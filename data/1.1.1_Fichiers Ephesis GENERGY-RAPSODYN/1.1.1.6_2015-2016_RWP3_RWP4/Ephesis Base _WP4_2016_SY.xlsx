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10" windowHeight="11640" tabRatio="820" activeTab="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</sheets>
  <definedNames>
    <definedName name="_xlnm._FilterDatabase" localSheetId="8" hidden="1">Data!$A$1:$CM$865</definedName>
    <definedName name="_xlnm._FilterDatabase" localSheetId="5" hidden="1">PlantMaterial!$A$1:$E$865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" i="9"/>
  <c r="E38" i="17" l="1"/>
  <c r="M42" i="15"/>
  <c r="N42" i="15" s="1"/>
  <c r="E42" i="15"/>
  <c r="Q42" i="15" s="1"/>
  <c r="B42" i="15"/>
  <c r="M41" i="15"/>
  <c r="N41" i="15" s="1"/>
  <c r="Q41" i="15" s="1"/>
  <c r="E41" i="15"/>
  <c r="B41" i="15"/>
  <c r="M40" i="15"/>
  <c r="N40" i="15" s="1"/>
  <c r="E40" i="15"/>
  <c r="B40" i="15"/>
  <c r="M39" i="15"/>
  <c r="N39" i="15" s="1"/>
  <c r="E39" i="15"/>
  <c r="B39" i="15"/>
  <c r="M38" i="15"/>
  <c r="N38" i="15" s="1"/>
  <c r="E38" i="15"/>
  <c r="B38" i="15"/>
  <c r="M37" i="15"/>
  <c r="N37" i="15" s="1"/>
  <c r="E37" i="15"/>
  <c r="B37" i="15"/>
  <c r="M36" i="15"/>
  <c r="N36" i="15" s="1"/>
  <c r="Q36" i="15" s="1"/>
  <c r="E36" i="15"/>
  <c r="B36" i="15"/>
  <c r="M35" i="15"/>
  <c r="N35" i="15" s="1"/>
  <c r="E35" i="15"/>
  <c r="B35" i="15"/>
  <c r="M34" i="15"/>
  <c r="N34" i="15" s="1"/>
  <c r="E34" i="15"/>
  <c r="Q34" i="15" s="1"/>
  <c r="B34" i="15"/>
  <c r="M33" i="15"/>
  <c r="N33" i="15" s="1"/>
  <c r="E33" i="15"/>
  <c r="B33" i="15"/>
  <c r="M32" i="15"/>
  <c r="N32" i="15" s="1"/>
  <c r="Q32" i="15" s="1"/>
  <c r="E32" i="15"/>
  <c r="B32" i="15"/>
  <c r="M31" i="15"/>
  <c r="N31" i="15" s="1"/>
  <c r="E31" i="15"/>
  <c r="B31" i="15"/>
  <c r="M30" i="15"/>
  <c r="N30" i="15" s="1"/>
  <c r="E30" i="15"/>
  <c r="B30" i="15"/>
  <c r="M29" i="15"/>
  <c r="N29" i="15" s="1"/>
  <c r="E29" i="15"/>
  <c r="B29" i="15"/>
  <c r="N28" i="15"/>
  <c r="M28" i="15"/>
  <c r="E28" i="15"/>
  <c r="B28" i="15"/>
  <c r="M27" i="15"/>
  <c r="N27" i="15" s="1"/>
  <c r="Q27" i="15" s="1"/>
  <c r="E27" i="15"/>
  <c r="B27" i="15"/>
  <c r="M26" i="15"/>
  <c r="N26" i="15" s="1"/>
  <c r="E26" i="15"/>
  <c r="Q26" i="15" s="1"/>
  <c r="B26" i="15"/>
  <c r="M25" i="15"/>
  <c r="N25" i="15" s="1"/>
  <c r="E25" i="15"/>
  <c r="B25" i="15"/>
  <c r="M24" i="15"/>
  <c r="N24" i="15" s="1"/>
  <c r="E24" i="15"/>
  <c r="B24" i="15"/>
  <c r="M23" i="15"/>
  <c r="N23" i="15" s="1"/>
  <c r="E23" i="15"/>
  <c r="B23" i="15"/>
  <c r="M22" i="15"/>
  <c r="N22" i="15" s="1"/>
  <c r="E22" i="15"/>
  <c r="B22" i="15"/>
  <c r="M21" i="15"/>
  <c r="N21" i="15" s="1"/>
  <c r="E21" i="15"/>
  <c r="B21" i="15"/>
  <c r="M20" i="15"/>
  <c r="N20" i="15" s="1"/>
  <c r="Q20" i="15" s="1"/>
  <c r="E20" i="15"/>
  <c r="B20" i="15"/>
  <c r="M19" i="15"/>
  <c r="N19" i="15" s="1"/>
  <c r="E19" i="15"/>
  <c r="B19" i="15"/>
  <c r="Q35" i="15" l="1"/>
  <c r="Q40" i="15"/>
  <c r="Q25" i="15"/>
  <c r="Q19" i="15"/>
  <c r="Q24" i="15"/>
  <c r="Q33" i="15"/>
  <c r="Q22" i="15"/>
  <c r="Q23" i="15"/>
  <c r="Q29" i="15"/>
  <c r="Q38" i="15"/>
  <c r="Q39" i="15"/>
  <c r="Q28" i="15"/>
  <c r="Q21" i="15"/>
  <c r="Q31" i="15"/>
  <c r="Q37" i="15"/>
  <c r="Q30" i="15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>Remy Adriaensen</author>
  </authors>
  <commentList>
    <comment ref="E156" authorId="0">
      <text>
        <r>
          <rPr>
            <b/>
            <sz val="9"/>
            <color indexed="81"/>
            <rFont val="Tahoma"/>
            <family val="2"/>
          </rPr>
          <t>Remy Adriaensen:</t>
        </r>
        <r>
          <rPr>
            <sz val="9"/>
            <color indexed="81"/>
            <rFont val="Tahoma"/>
            <family val="2"/>
          </rPr>
          <t xml:space="preserve">
metapop MP001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G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6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<sst xmlns="http://schemas.openxmlformats.org/spreadsheetml/2006/main" count="9379" uniqueCount="8484">
  <si>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</si>
  <si>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</si>
  <si>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</si>
  <si>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</si>
  <si>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</si>
  <si>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</si>
  <si>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</si>
  <si>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</si>
  <si>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</si>
  <si>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</si>
  <si>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</si>
  <si>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</si>
  <si>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</si>
  <si>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</si>
  <si>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</si>
  <si>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</si>
  <si>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</si>
  <si>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</si>
  <si>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</si>
  <si>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</si>
  <si>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</si>
  <si>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</si>
  <si>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</si>
  <si>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</si>
  <si>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</si>
  <si>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</si>
  <si>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</si>
  <si>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</si>
  <si>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</si>
  <si>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</si>
  <si>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</si>
  <si>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</si>
  <si>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</si>
  <si>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</si>
  <si>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</si>
  <si>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</si>
  <si>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</si>
  <si>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</si>
  <si>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</si>
  <si>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</si>
  <si>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</si>
  <si>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</si>
  <si>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</si>
  <si>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</si>
  <si>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</si>
  <si>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</si>
  <si>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</si>
  <si>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</si>
  <si>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</si>
  <si>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</si>
  <si>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</si>
  <si>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</si>
  <si>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</si>
  <si>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</si>
  <si>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</si>
  <si>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</si>
  <si>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</si>
  <si>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</si>
  <si>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</si>
  <si>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</si>
  <si>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</si>
  <si>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</si>
  <si>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</si>
  <si>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</si>
  <si>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</si>
  <si>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</si>
  <si>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</si>
  <si>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</si>
  <si>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</si>
  <si>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</si>
  <si>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</si>
  <si>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</si>
  <si>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</si>
  <si>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</si>
  <si>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</si>
  <si>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</si>
  <si>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</si>
  <si>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</si>
  <si>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</si>
  <si>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</si>
  <si>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</si>
  <si>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</si>
  <si>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</si>
  <si>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</si>
  <si>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</si>
  <si>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</si>
  <si>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</si>
  <si>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</si>
  <si>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</si>
  <si>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</si>
  <si>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</si>
  <si>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</si>
  <si>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</si>
  <si>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</si>
  <si>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</si>
  <si>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</si>
  <si>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</si>
  <si>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</si>
  <si>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</si>
  <si>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</si>
  <si>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</si>
  <si>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</si>
  <si>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</si>
  <si>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</si>
  <si>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</si>
  <si>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</si>
  <si>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</si>
  <si>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</si>
  <si>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</si>
  <si>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</si>
  <si>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</si>
  <si>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</si>
  <si>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</si>
  <si>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</si>
  <si>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</si>
  <si>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</si>
  <si>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</si>
  <si>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</si>
  <si>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</si>
  <si>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</si>
  <si>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</si>
  <si>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</si>
  <si>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</si>
  <si>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</si>
  <si>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</si>
  <si>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</si>
  <si>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</si>
  <si>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</si>
  <si>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</si>
  <si>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</si>
  <si>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</si>
  <si>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</si>
  <si>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</si>
  <si>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</si>
  <si>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</si>
  <si>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</si>
  <si>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</si>
  <si>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</si>
  <si>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</si>
  <si>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</si>
  <si>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</si>
  <si>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</si>
  <si>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</si>
  <si>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</si>
  <si>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</si>
  <si>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</si>
  <si>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</si>
  <si>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</si>
  <si>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</si>
  <si>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</si>
  <si>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</si>
  <si>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</si>
  <si>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</si>
  <si>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</si>
  <si>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</si>
  <si>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</si>
  <si>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</si>
  <si>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</si>
  <si>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</si>
  <si>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</si>
  <si>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</si>
  <si>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</si>
  <si>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</si>
  <si>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</si>
  <si>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</si>
  <si>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</si>
  <si>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</si>
  <si>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</si>
  <si>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</si>
  <si>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</si>
  <si>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</si>
  <si>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</si>
  <si>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</si>
  <si>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</si>
  <si>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</si>
  <si>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</si>
  <si>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</si>
  <si>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</si>
  <si>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</si>
  <si>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</si>
  <si>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</si>
  <si>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</si>
  <si>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</si>
  <si>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</si>
  <si>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</si>
  <si>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</si>
  <si>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</si>
  <si>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</si>
  <si>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</si>
  <si>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</si>
  <si>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</si>
  <si>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</si>
  <si>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</si>
  <si>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</si>
  <si>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</si>
  <si>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</si>
  <si>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</si>
  <si>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</si>
  <si>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</si>
  <si>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</si>
  <si>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</si>
  <si>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</si>
  <si>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</si>
  <si>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</si>
  <si>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</si>
  <si>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</si>
  <si>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</si>
  <si>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</si>
  <si>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</si>
  <si>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</si>
  <si>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</si>
  <si>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</si>
  <si>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SN</t>
  </si>
  <si>
    <t>O</t>
  </si>
  <si>
    <t>PrY</t>
  </si>
  <si>
    <t>OY</t>
  </si>
  <si>
    <t>Brassica napus L.</t>
  </si>
  <si>
    <t>Azote</t>
  </si>
  <si>
    <t>azote limitant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</si>
  <si>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</si>
  <si>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</si>
  <si>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</si>
  <si>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</si>
  <si>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</si>
  <si>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</si>
  <si>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</si>
  <si>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</si>
  <si>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</si>
  <si>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</si>
  <si>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</si>
  <si>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</si>
  <si>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</si>
  <si>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</si>
  <si>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</si>
  <si>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</si>
  <si>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</si>
  <si>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</si>
  <si>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</si>
  <si>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</si>
  <si>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</si>
  <si>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</si>
  <si>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</si>
  <si>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</si>
  <si>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</si>
  <si>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</si>
  <si>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</si>
  <si>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</si>
  <si>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</si>
  <si>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</si>
  <si>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</si>
  <si>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</si>
  <si>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</si>
  <si>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</si>
  <si>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</si>
  <si>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</si>
  <si>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</si>
  <si>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</si>
  <si>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</si>
  <si>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</si>
  <si>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</si>
  <si>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</si>
  <si>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</si>
  <si>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</si>
  <si>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</si>
  <si>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</si>
  <si>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</si>
  <si>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</si>
  <si>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</si>
  <si>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</si>
  <si>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</si>
  <si>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</si>
  <si>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</si>
  <si>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</si>
  <si>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</si>
  <si>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</si>
  <si>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</si>
  <si>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</si>
  <si>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</si>
  <si>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</si>
  <si>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</si>
  <si>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</si>
  <si>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</si>
  <si>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</si>
  <si>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</si>
  <si>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</si>
  <si>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</si>
  <si>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</si>
  <si>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</si>
  <si>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</si>
  <si>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</si>
  <si>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</si>
  <si>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</si>
  <si>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</si>
  <si>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</si>
  <si>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</si>
  <si>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</si>
  <si>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</si>
  <si>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</si>
  <si>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</si>
  <si>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</si>
  <si>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</si>
  <si>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</si>
  <si>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</si>
  <si>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</si>
  <si>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</si>
  <si>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</si>
  <si>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</si>
  <si>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</si>
  <si>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</si>
  <si>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</si>
  <si>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</si>
  <si>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</si>
  <si>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</si>
  <si>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</si>
  <si>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</si>
  <si>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</si>
  <si>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</si>
  <si>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</si>
  <si>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</si>
  <si>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</si>
  <si>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</si>
  <si>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</si>
  <si>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</si>
  <si>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</si>
  <si>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</si>
  <si>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</si>
  <si>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</si>
  <si>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</si>
  <si>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</si>
  <si>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</si>
  <si>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</si>
  <si>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</si>
  <si>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</si>
  <si>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</si>
  <si>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</si>
  <si>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</si>
  <si>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</si>
  <si>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</si>
  <si>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</si>
  <si>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</si>
  <si>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</si>
  <si>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</si>
  <si>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</si>
  <si>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</si>
  <si>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</si>
  <si>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</si>
  <si>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</si>
  <si>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</si>
  <si>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</si>
  <si>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</si>
  <si>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</si>
  <si>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</si>
  <si>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</si>
  <si>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</si>
  <si>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</si>
  <si>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</si>
  <si>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</si>
  <si>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</si>
  <si>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</si>
  <si>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</si>
  <si>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</si>
  <si>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</si>
  <si>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</si>
  <si>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</si>
  <si>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</si>
  <si>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</si>
  <si>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</si>
  <si>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</si>
  <si>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</si>
  <si>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</si>
  <si>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</si>
  <si>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</si>
  <si>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</si>
  <si>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</si>
  <si>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</si>
  <si>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</si>
  <si>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</si>
  <si>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</si>
  <si>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</si>
  <si>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</si>
  <si>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</si>
  <si>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</si>
  <si>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</si>
  <si>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</si>
  <si>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</si>
  <si>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</si>
  <si>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</si>
  <si>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</si>
  <si>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</si>
  <si>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</si>
  <si>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</si>
  <si>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</si>
  <si>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</si>
  <si>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</si>
  <si>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</si>
  <si>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</si>
  <si>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</si>
  <si>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</si>
  <si>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</si>
  <si>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</si>
  <si>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</si>
  <si>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</si>
  <si>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</si>
  <si>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</si>
  <si>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</si>
  <si>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</si>
  <si>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</si>
  <si>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</si>
  <si>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</si>
  <si>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</si>
  <si>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</si>
  <si>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</si>
  <si>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</si>
  <si>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</si>
  <si>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</si>
  <si>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</si>
  <si>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</si>
  <si>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</si>
  <si>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</si>
  <si>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</si>
  <si>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</si>
  <si>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</si>
  <si>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</si>
  <si>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</si>
  <si>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</si>
  <si>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</si>
  <si>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</si>
  <si>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</si>
  <si>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</si>
  <si>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</si>
  <si>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</si>
  <si>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</si>
  <si>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</si>
  <si>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</si>
  <si>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</si>
  <si>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</si>
  <si>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</si>
  <si>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</si>
  <si>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</si>
  <si>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</si>
  <si>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</si>
  <si>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</si>
  <si>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</si>
  <si>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</si>
  <si>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</si>
  <si>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</si>
  <si>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</si>
  <si>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</si>
  <si>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</si>
  <si>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</si>
  <si>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</si>
  <si>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</si>
  <si>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</si>
  <si>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</si>
  <si>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</si>
  <si>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</si>
  <si>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</si>
  <si>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</si>
  <si>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</si>
  <si>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</si>
  <si>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</si>
  <si>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</si>
  <si>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</si>
  <si>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</si>
  <si>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</si>
  <si>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</si>
  <si>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</si>
  <si>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</si>
  <si>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</si>
  <si>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</si>
  <si>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</si>
  <si>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</si>
  <si>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</si>
  <si>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</si>
  <si>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</si>
  <si>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</si>
  <si>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</si>
  <si>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</si>
  <si>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</si>
  <si>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</si>
  <si>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</si>
  <si>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</si>
  <si>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</si>
  <si>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</si>
  <si>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</si>
  <si>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</si>
  <si>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</si>
  <si>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</si>
  <si>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</si>
  <si>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</si>
  <si>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</si>
  <si>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</si>
  <si>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</si>
  <si>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</si>
  <si>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</si>
  <si>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</si>
  <si>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</si>
  <si>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</si>
  <si>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</si>
  <si>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</si>
  <si>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</si>
  <si>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</si>
  <si>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</si>
  <si>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</si>
  <si>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</si>
  <si>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</si>
  <si>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</si>
  <si>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</si>
  <si>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</si>
  <si>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</si>
  <si>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</si>
  <si>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</si>
  <si>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</si>
  <si>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</si>
  <si>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</si>
  <si>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</si>
  <si>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</si>
  <si>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</si>
  <si>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</si>
  <si>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</si>
  <si>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</si>
  <si>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</si>
  <si>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</si>
  <si>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</si>
  <si>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</si>
  <si>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</si>
  <si>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</si>
  <si>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</si>
  <si>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</si>
  <si>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</si>
  <si>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</si>
  <si>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</si>
  <si>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</si>
  <si>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</si>
  <si>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</si>
  <si>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</si>
  <si>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</si>
  <si>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</si>
  <si>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</si>
  <si>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</si>
  <si>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</si>
  <si>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</si>
  <si>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</si>
  <si>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</si>
  <si>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</si>
  <si>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</si>
  <si>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</si>
  <si>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</si>
  <si>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</si>
  <si>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</si>
  <si>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</si>
  <si>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</si>
  <si>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</si>
  <si>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</si>
  <si>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</si>
  <si>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</si>
  <si>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</si>
  <si>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</si>
  <si>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</si>
  <si>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</si>
  <si>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</si>
  <si>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</si>
  <si>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</si>
  <si>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</si>
  <si>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</si>
  <si>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</si>
  <si>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</si>
  <si>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</si>
  <si>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</si>
  <si>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</si>
  <si>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</si>
  <si>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</si>
  <si>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</si>
  <si>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</si>
  <si>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</si>
  <si>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</si>
  <si>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</si>
  <si>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</si>
  <si>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</si>
  <si>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</si>
  <si>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</si>
  <si>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</si>
  <si>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</si>
  <si>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</si>
  <si>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</si>
  <si>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</si>
  <si>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</si>
  <si>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</si>
  <si>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</si>
  <si>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</si>
  <si>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</si>
  <si>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</si>
  <si>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</si>
  <si>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</si>
  <si>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</si>
  <si>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</si>
  <si>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</si>
  <si>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</si>
  <si>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</si>
  <si>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</si>
  <si>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</si>
  <si>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</si>
  <si>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</si>
  <si>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</si>
  <si>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</si>
  <si>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</si>
  <si>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</si>
  <si>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</si>
  <si>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</si>
  <si>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</si>
  <si>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</si>
  <si>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</si>
  <si>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</si>
  <si>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</si>
  <si>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</si>
  <si>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</si>
  <si>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</si>
  <si>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</si>
  <si>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</si>
  <si>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</si>
  <si>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</si>
  <si>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</si>
  <si>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</si>
  <si>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</si>
  <si>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</si>
  <si>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</si>
  <si>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</si>
  <si>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</si>
  <si>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</si>
  <si>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</si>
  <si>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</si>
  <si>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</si>
  <si>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</si>
  <si>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</si>
  <si>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</si>
  <si>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</si>
  <si>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</si>
  <si>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</si>
  <si>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</si>
  <si>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</si>
  <si>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</si>
  <si>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</si>
  <si>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</si>
  <si>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</si>
  <si>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</si>
  <si>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</si>
  <si>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</si>
  <si>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</si>
  <si>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</si>
  <si>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</si>
  <si>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</si>
  <si>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</si>
  <si>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</si>
  <si>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</si>
  <si>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</si>
  <si>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</si>
  <si>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</si>
  <si>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</si>
  <si>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</si>
  <si>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</si>
  <si>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</si>
  <si>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</si>
  <si>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</si>
  <si>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</si>
  <si>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</si>
  <si>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</si>
  <si>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</si>
  <si>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</si>
  <si>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</si>
  <si>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</si>
  <si>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</si>
  <si>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</si>
  <si>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</si>
  <si>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</si>
  <si>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</si>
  <si>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</si>
  <si>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</si>
  <si>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</si>
  <si>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</si>
  <si>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</si>
  <si>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</si>
  <si>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</si>
  <si>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</si>
  <si>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</si>
  <si>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</si>
  <si>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</si>
  <si>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</si>
  <si>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</si>
  <si>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</si>
  <si>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</si>
  <si>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</si>
  <si>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</si>
  <si>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</si>
  <si>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</si>
  <si>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</si>
  <si>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</si>
  <si>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</si>
  <si>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</si>
  <si>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</si>
  <si>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</si>
  <si>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</si>
  <si>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</si>
  <si>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</si>
  <si>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</si>
  <si>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</si>
  <si>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</si>
  <si>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</si>
  <si>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</si>
  <si>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</si>
  <si>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</si>
  <si>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</si>
  <si>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</si>
  <si>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</si>
  <si>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</si>
  <si>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</si>
  <si>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</si>
  <si>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</si>
  <si>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</si>
  <si>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</si>
  <si>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</si>
  <si>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</si>
  <si>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</si>
  <si>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</si>
  <si>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</si>
  <si>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</si>
  <si>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</si>
  <si>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</si>
  <si>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</si>
  <si>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</si>
  <si>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</si>
  <si>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</si>
  <si>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</si>
  <si>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</si>
  <si>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</si>
  <si>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</si>
  <si>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</si>
  <si>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</si>
  <si>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</si>
  <si>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</si>
  <si>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</si>
  <si>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</si>
  <si>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</si>
  <si>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</si>
  <si>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</si>
  <si>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</si>
  <si>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</si>
  <si>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</si>
  <si>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</si>
  <si>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</si>
  <si>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</si>
  <si>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</si>
  <si>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</si>
  <si>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</si>
  <si>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</si>
  <si>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</si>
  <si>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</si>
  <si>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</si>
  <si>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</si>
  <si>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</si>
  <si>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</si>
  <si>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</si>
  <si>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</si>
  <si>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</si>
  <si>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</si>
  <si>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</si>
  <si>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</si>
  <si>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</si>
  <si>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</si>
  <si>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</si>
  <si>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</si>
  <si>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</si>
  <si>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</si>
  <si>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</si>
  <si>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</si>
  <si>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</si>
  <si>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</si>
  <si>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</si>
  <si>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</si>
  <si>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</si>
  <si>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</si>
  <si>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</si>
  <si>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</si>
  <si>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</si>
  <si>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</si>
  <si>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</si>
  <si>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</si>
  <si>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</si>
  <si>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</si>
  <si>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</si>
  <si>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</si>
  <si>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</si>
  <si>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</si>
  <si>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</si>
  <si>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</si>
  <si>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</si>
  <si>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</si>
  <si>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</si>
  <si>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</si>
  <si>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</si>
  <si>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</si>
  <si>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</si>
  <si>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</si>
  <si>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</si>
  <si>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</si>
  <si>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</si>
  <si>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</si>
  <si>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</si>
  <si>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</si>
  <si>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</si>
  <si>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</si>
  <si>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</si>
  <si>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</si>
  <si>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</si>
  <si>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</si>
  <si>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</si>
  <si>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</si>
  <si>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</si>
  <si>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</si>
  <si>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</si>
  <si>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</si>
  <si>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</si>
  <si>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</si>
  <si>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</si>
  <si>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</si>
  <si>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</si>
  <si>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</si>
  <si>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</si>
  <si>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</si>
  <si>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</si>
  <si>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</si>
  <si>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</si>
  <si>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</si>
  <si>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</si>
  <si>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</si>
  <si>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</si>
  <si>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</si>
  <si>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</si>
  <si>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</si>
  <si>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</si>
  <si>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</si>
  <si>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</si>
  <si>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</si>
  <si>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</si>
  <si>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</si>
  <si>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</si>
  <si>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</si>
  <si>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</si>
  <si>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</si>
  <si>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</si>
  <si>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</si>
  <si>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</si>
  <si>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</si>
  <si>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</si>
  <si>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</si>
  <si>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</si>
  <si>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</si>
  <si>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</si>
  <si>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</si>
  <si>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</si>
  <si>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</si>
  <si>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</si>
  <si>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</si>
  <si>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</si>
  <si>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</si>
  <si>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</si>
  <si>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</si>
  <si>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</si>
  <si>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</si>
  <si>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</si>
  <si>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</si>
  <si>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</si>
  <si>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</si>
  <si>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</si>
  <si>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</si>
  <si>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</si>
  <si>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</si>
  <si>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</si>
  <si>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</si>
  <si>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</si>
  <si>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</si>
  <si>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</si>
  <si>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</si>
  <si>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</si>
  <si>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</si>
  <si>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</si>
  <si>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</si>
  <si>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</si>
  <si>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</si>
  <si>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</si>
  <si>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</si>
  <si>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</si>
  <si>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</si>
  <si>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</si>
  <si>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</si>
  <si>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</si>
  <si>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</si>
  <si>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</si>
  <si>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</si>
  <si>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</si>
  <si>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</si>
  <si>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</si>
  <si>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</si>
  <si>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</si>
  <si>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</si>
  <si>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</si>
  <si>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</si>
  <si>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</si>
  <si>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</si>
  <si>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</si>
  <si>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</si>
  <si>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</si>
  <si>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</si>
  <si>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</si>
  <si>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</si>
  <si>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</si>
  <si>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</si>
  <si>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</si>
  <si>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</si>
  <si>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</si>
  <si>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</si>
  <si>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</si>
  <si>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</si>
  <si>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</si>
  <si>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</si>
  <si>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</si>
  <si>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</si>
  <si>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</si>
  <si>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</si>
  <si>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</si>
  <si>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</si>
  <si>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</si>
  <si>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</si>
  <si>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</si>
  <si>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</si>
  <si>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</si>
  <si>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</si>
  <si>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</si>
  <si>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</si>
  <si>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</si>
  <si>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</si>
  <si>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</si>
  <si>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</si>
  <si>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</si>
  <si>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</si>
  <si>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</si>
  <si>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</si>
  <si>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</si>
  <si>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</si>
  <si>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</si>
  <si>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</si>
  <si>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</si>
  <si>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</si>
  <si>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</si>
  <si>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</si>
  <si>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</si>
  <si>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</si>
  <si>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</si>
  <si>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</si>
  <si>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</si>
  <si>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</si>
  <si>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</si>
  <si>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</si>
  <si>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</si>
  <si>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</si>
  <si>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</si>
  <si>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</si>
  <si>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</si>
  <si>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</si>
  <si>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</si>
  <si>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</si>
  <si>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</si>
  <si>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</si>
  <si>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</si>
  <si>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</si>
  <si>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</si>
  <si>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</si>
  <si>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</si>
  <si>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</si>
  <si>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</si>
  <si>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</si>
  <si>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</si>
  <si>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</si>
  <si>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</si>
  <si>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</si>
  <si>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</si>
  <si>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</si>
  <si>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</si>
  <si>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</si>
  <si>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</si>
  <si>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</si>
  <si>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</si>
  <si>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</si>
  <si>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</si>
  <si>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</si>
  <si>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</si>
  <si>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</si>
  <si>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</si>
  <si>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</si>
  <si>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</si>
  <si>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</si>
  <si>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</si>
  <si>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</si>
  <si>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</si>
  <si>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</si>
  <si>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</si>
  <si>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</si>
  <si>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</si>
  <si>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</si>
  <si>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</si>
  <si>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</si>
  <si>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</si>
  <si>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</si>
  <si>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</si>
  <si>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</si>
  <si>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</si>
  <si>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</si>
  <si>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</si>
  <si>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</si>
  <si>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</si>
  <si>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</si>
  <si>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</si>
  <si>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</si>
  <si>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</si>
  <si>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</si>
  <si>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</si>
  <si>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</si>
  <si>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</si>
  <si>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</si>
  <si>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</si>
  <si>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</si>
  <si>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</si>
  <si>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</si>
  <si>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</si>
  <si>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</si>
  <si>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</si>
  <si>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</si>
  <si>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</si>
  <si>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</si>
  <si>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</si>
  <si>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</si>
  <si>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</si>
  <si>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</si>
  <si>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</si>
  <si>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</si>
  <si>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</si>
  <si>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</si>
  <si>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</si>
  <si>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</si>
  <si>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</si>
  <si>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</si>
  <si>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</si>
  <si>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</si>
  <si>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</si>
  <si>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</si>
  <si>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</si>
  <si>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</si>
  <si>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</si>
  <si>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</si>
  <si>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</si>
  <si>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</si>
  <si>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</si>
  <si>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</si>
  <si>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</si>
  <si>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</si>
  <si>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</si>
  <si>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</si>
  <si>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</si>
  <si>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</si>
  <si>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</si>
  <si>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</si>
  <si>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</si>
  <si>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</si>
  <si>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</si>
  <si>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</si>
  <si>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</si>
  <si>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</si>
  <si>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</si>
  <si>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</si>
  <si>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</si>
  <si>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</si>
  <si>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</si>
  <si>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</si>
  <si>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</si>
  <si>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</si>
  <si>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</si>
  <si>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</si>
  <si>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</si>
  <si>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</si>
  <si>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</si>
  <si>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</si>
  <si>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</si>
  <si>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</si>
  <si>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</si>
  <si>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</si>
  <si>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</si>
  <si>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</si>
  <si>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</si>
  <si>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</si>
  <si>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</si>
  <si>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</si>
  <si>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</si>
  <si>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</si>
  <si>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</si>
  <si>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</si>
  <si>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</si>
  <si>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</si>
  <si>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</si>
  <si>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</si>
  <si>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</si>
  <si>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</si>
  <si>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</si>
  <si>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</si>
  <si>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</si>
  <si>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</si>
  <si>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</si>
  <si>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</si>
  <si>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</si>
  <si>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</si>
  <si>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</si>
  <si>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</si>
  <si>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</si>
  <si>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</si>
  <si>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</si>
  <si>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</si>
  <si>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</si>
  <si>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</si>
  <si>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</si>
  <si>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</si>
  <si>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</si>
  <si>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</si>
  <si>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</si>
  <si>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</si>
  <si>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</si>
  <si>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</si>
  <si>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</si>
  <si>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</si>
  <si>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</si>
  <si>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</si>
  <si>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</si>
  <si>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</si>
  <si>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</si>
  <si>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</si>
  <si>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</si>
  <si>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</si>
  <si>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</si>
  <si>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</si>
  <si>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</si>
  <si>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</si>
  <si>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</si>
  <si>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</si>
  <si>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</si>
  <si>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</si>
  <si>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</si>
  <si>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</si>
  <si>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</si>
  <si>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</si>
  <si>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</si>
  <si>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</si>
  <si>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</si>
  <si>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</si>
  <si>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</si>
  <si>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</si>
  <si>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</si>
  <si>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</si>
  <si>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</si>
  <si>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</si>
  <si>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</si>
  <si>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</si>
  <si>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</si>
  <si>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</si>
  <si>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</si>
  <si>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</si>
  <si>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</si>
  <si>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</si>
  <si>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</si>
  <si>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</si>
  <si>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</si>
  <si>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</si>
  <si>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</si>
  <si>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</si>
  <si>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</si>
  <si>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</si>
  <si>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</si>
  <si>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</si>
  <si>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</si>
  <si>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</si>
  <si>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</si>
  <si>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</si>
  <si>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</si>
  <si>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</si>
  <si>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</si>
  <si>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</si>
  <si>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</si>
  <si>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</si>
  <si>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</si>
  <si>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</si>
  <si>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</si>
  <si>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</si>
  <si>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</si>
  <si>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</si>
  <si>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</si>
  <si>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</si>
  <si>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</si>
  <si>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</si>
  <si>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</si>
  <si>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</si>
  <si>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</si>
  <si>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</si>
  <si>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</si>
  <si>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</si>
  <si>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</si>
  <si>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</si>
  <si>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</si>
  <si>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</si>
  <si>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</si>
  <si>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</si>
  <si>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</si>
  <si>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</si>
  <si>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</si>
  <si>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</si>
  <si>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</si>
  <si>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</si>
  <si>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</si>
  <si>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</si>
  <si>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</si>
  <si>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</si>
  <si>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</si>
  <si>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</si>
  <si>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</si>
  <si>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</si>
  <si>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</si>
  <si>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</si>
  <si>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</si>
  <si>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</si>
  <si>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</si>
  <si>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</si>
  <si>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</si>
  <si>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</si>
  <si>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</si>
  <si>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</si>
  <si>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</si>
  <si>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</si>
  <si>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</si>
  <si>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</si>
  <si>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</si>
  <si>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</si>
  <si>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</si>
  <si>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</si>
  <si>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</si>
  <si>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</si>
  <si>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</si>
  <si>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</si>
  <si>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</si>
  <si>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</si>
  <si>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</si>
  <si>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</si>
  <si>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</si>
  <si>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</si>
  <si>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</si>
  <si>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</si>
  <si>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</si>
  <si>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</si>
  <si>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</si>
  <si>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</si>
  <si>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</si>
  <si>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</si>
  <si>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</si>
  <si>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</si>
  <si>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</si>
  <si>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</si>
  <si>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</si>
  <si>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</si>
  <si>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</si>
  <si>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</si>
  <si>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</si>
  <si>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</si>
  <si>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</si>
  <si>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</si>
  <si>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</si>
  <si>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</si>
  <si>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</si>
  <si>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</si>
  <si>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</si>
  <si>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</si>
  <si>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</si>
  <si>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</si>
  <si>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</si>
  <si>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</si>
  <si>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</si>
  <si>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</si>
  <si>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</si>
  <si>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</si>
  <si>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</si>
  <si>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</si>
  <si>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</si>
  <si>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</si>
  <si>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</si>
  <si>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</si>
  <si>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</si>
  <si>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</si>
  <si>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</si>
  <si>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</si>
  <si>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</si>
  <si>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</si>
  <si>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</si>
  <si>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</si>
  <si>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</si>
  <si>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</si>
  <si>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</si>
  <si>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</si>
  <si>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</si>
  <si>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</si>
  <si>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</si>
  <si>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</si>
  <si>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</si>
  <si>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</si>
  <si>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</si>
  <si>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</si>
  <si>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</si>
  <si>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</si>
  <si>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</si>
  <si>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</si>
  <si>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</si>
  <si>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</si>
  <si>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</si>
  <si>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</si>
  <si>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</si>
  <si>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</si>
  <si>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</si>
  <si>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</si>
  <si>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</si>
  <si>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</si>
  <si>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</si>
  <si>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</si>
  <si>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</si>
  <si>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</si>
  <si>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</si>
  <si>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</si>
  <si>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</si>
  <si>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</si>
  <si>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</si>
  <si>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</si>
  <si>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</si>
  <si>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</si>
  <si>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</si>
  <si>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</si>
  <si>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</si>
  <si>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</si>
  <si>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</si>
  <si>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</si>
  <si>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</si>
  <si>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</si>
  <si>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</si>
  <si>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</si>
  <si>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</si>
  <si>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</si>
  <si>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</si>
  <si>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</si>
  <si>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</si>
  <si>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</si>
  <si>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</si>
  <si>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</si>
  <si>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</si>
  <si>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</si>
  <si>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</si>
  <si>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</si>
  <si>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</si>
  <si>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</si>
  <si>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</si>
  <si>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</si>
  <si>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</si>
  <si>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</si>
  <si>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</si>
  <si>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</si>
  <si>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</si>
  <si>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</si>
  <si>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</si>
  <si>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</si>
  <si>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</si>
  <si>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</si>
  <si>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</si>
  <si>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</si>
  <si>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</si>
  <si>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</si>
  <si>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</si>
  <si>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</si>
  <si>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</si>
  <si>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</si>
  <si>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</si>
  <si>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</si>
  <si>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</si>
  <si>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</si>
  <si>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</si>
  <si>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</si>
  <si>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</si>
  <si>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</si>
  <si>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</si>
  <si>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</si>
  <si>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</si>
  <si>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</si>
  <si>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</si>
  <si>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</si>
  <si>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</si>
  <si>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</si>
  <si>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</si>
  <si>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</si>
  <si>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</si>
  <si>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</si>
  <si>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</si>
  <si>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</si>
  <si>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</si>
  <si>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</si>
  <si>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</si>
  <si>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</si>
  <si>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</si>
  <si>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</si>
  <si>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</si>
  <si>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</si>
  <si>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</si>
  <si>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</si>
  <si>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</si>
  <si>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</si>
  <si>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</si>
  <si>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</si>
  <si>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</si>
  <si>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</si>
  <si>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</si>
  <si>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</si>
  <si>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</si>
  <si>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</si>
  <si>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</si>
  <si>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</si>
  <si>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</si>
  <si>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</si>
  <si>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</si>
  <si>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</si>
  <si>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</si>
  <si>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</si>
  <si>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</si>
  <si>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</si>
  <si>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</si>
  <si>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</si>
  <si>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</si>
  <si>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</si>
  <si>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</si>
  <si>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</si>
  <si>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</si>
  <si>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</si>
  <si>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</si>
  <si>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</si>
  <si>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</si>
  <si>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</si>
  <si>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</si>
  <si>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</si>
  <si>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</si>
  <si>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</si>
  <si>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</si>
  <si>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</si>
  <si>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</si>
  <si>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</si>
  <si>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</si>
  <si>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</si>
  <si>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</si>
  <si>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</si>
  <si>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</si>
  <si>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</si>
  <si>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</si>
  <si>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</si>
  <si>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</si>
  <si>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</si>
  <si>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</si>
  <si>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</si>
  <si>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</si>
  <si>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</si>
  <si>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</si>
  <si>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</si>
  <si>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</si>
  <si>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</si>
  <si>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</si>
  <si>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</si>
  <si>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</si>
  <si>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</si>
  <si>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</si>
  <si>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</si>
  <si>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</si>
  <si>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</si>
  <si>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</si>
  <si>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</si>
  <si>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</si>
  <si>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</si>
  <si>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</si>
  <si>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</si>
  <si>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</si>
  <si>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</si>
  <si>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</si>
  <si>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</si>
  <si>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</si>
  <si>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</si>
  <si>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</si>
  <si>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</si>
  <si>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</si>
  <si>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</si>
  <si>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</si>
  <si>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</si>
  <si>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</si>
  <si>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</si>
  <si>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</si>
  <si>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</si>
  <si>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</si>
  <si>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</si>
  <si>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</si>
  <si>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</si>
  <si>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</si>
  <si>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</si>
  <si>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</si>
  <si>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</si>
  <si>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</si>
  <si>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</si>
  <si>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</si>
  <si>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</si>
  <si>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</si>
  <si>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</si>
  <si>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</si>
  <si>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</si>
  <si>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</si>
  <si>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</si>
  <si>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</si>
  <si>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</si>
  <si>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</si>
  <si>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</si>
  <si>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</si>
  <si>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</si>
  <si>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</si>
  <si>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</si>
  <si>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</si>
  <si>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</si>
  <si>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</si>
  <si>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</si>
  <si>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</si>
  <si>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</si>
  <si>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</si>
  <si>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</si>
  <si>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</si>
  <si>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</si>
  <si>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</si>
  <si>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</si>
  <si>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</si>
  <si>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</si>
  <si>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</si>
  <si>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</si>
  <si>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</si>
  <si>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</si>
  <si>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</si>
  <si>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</si>
  <si>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</si>
  <si>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</si>
  <si>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</si>
  <si>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</si>
  <si>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</si>
  <si>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</si>
  <si>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</si>
  <si>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</si>
  <si>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</si>
  <si>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</si>
  <si>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</si>
  <si>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</si>
  <si>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</si>
  <si>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</si>
  <si>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</si>
  <si>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</si>
  <si>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</si>
  <si>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</si>
  <si>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</si>
  <si>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</si>
  <si>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</si>
  <si>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</si>
  <si>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</si>
  <si>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</si>
  <si>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</si>
  <si>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</si>
  <si>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</si>
  <si>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</si>
  <si>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</si>
  <si>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</si>
  <si>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</si>
  <si>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</si>
  <si>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</si>
  <si>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</si>
  <si>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</si>
  <si>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</si>
  <si>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</si>
  <si>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</si>
  <si>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</si>
  <si>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</si>
  <si>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</si>
  <si>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</si>
  <si>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</si>
  <si>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</si>
  <si>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</si>
  <si>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</si>
  <si>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</si>
  <si>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</si>
  <si>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</si>
  <si>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</si>
  <si>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</si>
  <si>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</si>
  <si>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</si>
  <si>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</si>
  <si>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</si>
  <si>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</si>
  <si>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</si>
  <si>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</si>
  <si>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</si>
  <si>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</si>
  <si>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</si>
  <si>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</si>
  <si>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</si>
  <si>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</si>
  <si>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</si>
  <si>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</si>
  <si>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</si>
  <si>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</si>
  <si>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</si>
  <si>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</si>
  <si>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</si>
  <si>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</si>
  <si>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</si>
  <si>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</si>
  <si>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</si>
  <si>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</si>
  <si>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</si>
  <si>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</si>
  <si>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</si>
  <si>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</si>
  <si>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</si>
  <si>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</si>
  <si>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</si>
  <si>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</si>
  <si>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</si>
  <si>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</si>
  <si>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</si>
  <si>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</si>
  <si>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</si>
  <si>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</si>
  <si>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</si>
  <si>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</si>
  <si>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</si>
  <si>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</si>
  <si>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</si>
  <si>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</si>
  <si>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</si>
  <si>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</si>
  <si>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</si>
  <si>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</si>
  <si>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</si>
  <si>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</si>
  <si>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</si>
  <si>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</si>
  <si>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</si>
  <si>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</si>
  <si>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</si>
  <si>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</si>
  <si>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</si>
  <si>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</si>
  <si>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</si>
  <si>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</si>
  <si>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</si>
  <si>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</si>
  <si>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</si>
  <si>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</si>
  <si>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</si>
  <si>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</si>
  <si>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</si>
  <si>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</si>
  <si>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</si>
  <si>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</si>
  <si>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</si>
  <si>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</si>
  <si>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</si>
  <si>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</si>
  <si>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</si>
  <si>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</si>
  <si>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</si>
  <si>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</si>
  <si>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</si>
  <si>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</si>
  <si>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</si>
  <si>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</si>
  <si>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</si>
  <si>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</si>
  <si>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</si>
  <si>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</si>
  <si>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</si>
  <si>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</si>
  <si>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</si>
  <si>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</si>
  <si>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</si>
  <si>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</si>
  <si>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</si>
  <si>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</si>
  <si>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</si>
  <si>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</si>
  <si>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</si>
  <si>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</si>
  <si>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</si>
  <si>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</si>
  <si>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</si>
  <si>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</si>
  <si>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</si>
  <si>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</si>
  <si>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</si>
  <si>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</si>
  <si>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</si>
  <si>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</si>
  <si>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</si>
  <si>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</si>
  <si>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</si>
  <si>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</si>
  <si>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</si>
  <si>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</si>
  <si>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</si>
  <si>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</si>
  <si>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</si>
  <si>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</si>
  <si>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</si>
  <si>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</si>
  <si>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</si>
  <si>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</si>
  <si>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</si>
  <si>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</si>
  <si>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</si>
  <si>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</si>
  <si>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</si>
  <si>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</si>
  <si>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</si>
  <si>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</si>
  <si>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</si>
  <si>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</si>
  <si>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</si>
  <si>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</si>
  <si>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</si>
  <si>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</si>
  <si>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</si>
  <si>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</si>
  <si>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</si>
  <si>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</si>
  <si>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</si>
  <si>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</si>
  <si>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</si>
  <si>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</si>
  <si>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</si>
  <si>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</si>
  <si>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</si>
  <si>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</si>
  <si>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</si>
  <si>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</si>
  <si>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</si>
  <si>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</si>
  <si>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</si>
  <si>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</si>
  <si>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</si>
  <si>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</si>
  <si>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</si>
  <si>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</si>
  <si>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</si>
  <si>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</si>
  <si>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</si>
  <si>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</si>
  <si>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</si>
  <si>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</si>
  <si>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</si>
  <si>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</si>
  <si>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</si>
  <si>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</si>
  <si>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</si>
  <si>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</si>
  <si>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</si>
  <si>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</si>
  <si>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</si>
  <si>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</si>
  <si>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</si>
  <si>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</si>
  <si>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</si>
  <si>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</si>
  <si>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</si>
  <si>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</si>
  <si>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</si>
  <si>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</si>
  <si>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</si>
  <si>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</si>
  <si>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</si>
  <si>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</si>
  <si>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</si>
  <si>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</si>
  <si>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</si>
  <si>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</si>
  <si>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</si>
  <si>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</si>
  <si>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</si>
  <si>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</si>
  <si>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</si>
  <si>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</si>
  <si>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</si>
  <si>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</si>
  <si>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</si>
  <si>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</si>
  <si>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</si>
  <si>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</si>
  <si>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</si>
  <si>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</si>
  <si>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</si>
  <si>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</si>
  <si>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</si>
  <si>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</si>
  <si>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</si>
  <si>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</si>
  <si>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</si>
  <si>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</si>
  <si>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</si>
  <si>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</si>
  <si>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</si>
  <si>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</si>
  <si>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</si>
  <si>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</si>
  <si>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</si>
  <si>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</si>
  <si>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</si>
  <si>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</si>
  <si>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</si>
  <si>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</si>
  <si>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</si>
  <si>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</si>
  <si>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</si>
  <si>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</si>
  <si>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</si>
  <si>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</si>
  <si>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</si>
  <si>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</si>
  <si>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</si>
  <si>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</si>
  <si>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</si>
  <si>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</si>
  <si>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</si>
  <si>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</si>
  <si>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</si>
  <si>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</si>
  <si>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</si>
  <si>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</si>
  <si>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</si>
  <si>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</si>
  <si>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</si>
  <si>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</si>
  <si>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</si>
  <si>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</si>
  <si>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</si>
  <si>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</si>
  <si>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</si>
  <si>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</si>
  <si>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</si>
  <si>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</si>
  <si>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</si>
  <si>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</si>
  <si>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</si>
  <si>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</si>
  <si>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</si>
  <si>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</si>
  <si>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</si>
  <si>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</si>
  <si>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</si>
  <si>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</si>
  <si>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</si>
  <si>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</si>
  <si>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</si>
  <si>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</si>
  <si>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</si>
  <si>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</si>
  <si>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</si>
  <si>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</si>
  <si>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</si>
  <si>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</si>
  <si>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</si>
  <si>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</si>
  <si>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</si>
  <si>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</si>
  <si>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</si>
  <si>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</si>
  <si>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</si>
  <si>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</si>
  <si>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</si>
  <si>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</si>
  <si>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</si>
  <si>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</si>
  <si>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</si>
  <si>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</si>
  <si>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</si>
  <si>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</si>
  <si>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</si>
  <si>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</si>
  <si>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</si>
  <si>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</si>
  <si>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</si>
  <si>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</si>
  <si>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</si>
  <si>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</si>
  <si>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</si>
  <si>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</si>
  <si>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</si>
  <si>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</si>
  <si>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</si>
  <si>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</si>
  <si>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</si>
  <si>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</si>
  <si>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</si>
  <si>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</si>
  <si>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</si>
  <si>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</si>
  <si>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</si>
  <si>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</si>
  <si>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</si>
  <si>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</si>
  <si>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</si>
  <si>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</si>
  <si>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</si>
  <si>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</si>
  <si>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</si>
  <si>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</si>
  <si>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</si>
  <si>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</si>
  <si>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</si>
  <si>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</si>
  <si>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</si>
  <si>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</si>
  <si>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</si>
  <si>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</si>
  <si>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</si>
  <si>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</si>
  <si>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</si>
  <si>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</si>
  <si>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</si>
  <si>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</si>
  <si>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</si>
  <si>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</si>
  <si>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</si>
  <si>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</si>
  <si>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</si>
  <si>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</si>
  <si>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</si>
  <si>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</si>
  <si>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</si>
  <si>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</si>
  <si>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</si>
  <si>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</si>
  <si>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</si>
  <si>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</si>
  <si>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</si>
  <si>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</si>
  <si>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</si>
  <si>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</si>
  <si>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</si>
  <si>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</si>
  <si>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</si>
  <si>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</si>
  <si>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</si>
  <si>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</si>
  <si>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</si>
  <si>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</si>
  <si>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</si>
  <si>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</si>
  <si>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</si>
  <si>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</si>
  <si>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</si>
  <si>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</si>
  <si>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</si>
  <si>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</si>
  <si>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</si>
  <si>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</si>
  <si>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</si>
  <si>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</si>
  <si>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</si>
  <si>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</si>
  <si>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</si>
  <si>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</si>
  <si>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</si>
  <si>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</si>
  <si>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</si>
  <si>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</si>
  <si>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</si>
  <si>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</si>
  <si>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</si>
  <si>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</si>
  <si>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</si>
  <si>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</si>
  <si>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</si>
  <si>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</si>
  <si>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</si>
  <si>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</si>
  <si>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</si>
  <si>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</si>
  <si>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</si>
  <si>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</si>
  <si>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</si>
  <si>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</si>
  <si>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</si>
  <si>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</si>
  <si>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</si>
  <si>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</si>
  <si>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</si>
  <si>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</si>
  <si>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</si>
  <si>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</si>
  <si>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</si>
  <si>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</si>
  <si>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</si>
  <si>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</si>
  <si>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</si>
  <si>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</si>
  <si>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</si>
  <si>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</si>
  <si>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</si>
  <si>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</si>
  <si>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</si>
  <si>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</si>
  <si>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</si>
  <si>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</si>
  <si>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</si>
  <si>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</si>
  <si>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</si>
  <si>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</si>
  <si>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</si>
  <si>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</si>
  <si>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</si>
  <si>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</si>
  <si>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</si>
  <si>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</si>
  <si>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</si>
  <si>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</si>
  <si>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</si>
  <si>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</si>
  <si>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</si>
  <si>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</si>
  <si>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</si>
  <si>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</si>
  <si>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</si>
  <si>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</si>
  <si>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</si>
  <si>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</si>
  <si>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</si>
  <si>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</si>
  <si>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</si>
  <si>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</si>
  <si>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</si>
  <si>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</si>
  <si>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</si>
  <si>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</si>
  <si>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</si>
  <si>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</si>
  <si>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</si>
  <si>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</si>
  <si>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</si>
  <si>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</si>
  <si>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</si>
  <si>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</si>
  <si>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</si>
  <si>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</si>
  <si>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</si>
  <si>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</si>
  <si>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</si>
  <si>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</si>
  <si>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</si>
  <si>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</si>
  <si>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</si>
  <si>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</si>
  <si>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</si>
  <si>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</si>
  <si>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</si>
  <si>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</si>
  <si>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</si>
  <si>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</si>
  <si>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</si>
  <si>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</si>
  <si>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</si>
  <si>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</si>
  <si>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</si>
  <si>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</si>
  <si>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</si>
  <si>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</si>
  <si>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</si>
  <si>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</si>
  <si>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</si>
  <si>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</si>
  <si>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</si>
  <si>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</si>
  <si>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</si>
  <si>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</si>
  <si>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</si>
  <si>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</si>
  <si>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</si>
  <si>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</si>
  <si>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</si>
  <si>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</si>
  <si>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</si>
  <si>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</si>
  <si>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</si>
  <si>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</si>
  <si>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</si>
  <si>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</si>
  <si>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</si>
  <si>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</si>
  <si>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</si>
  <si>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</si>
  <si>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</si>
  <si>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</si>
  <si>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</si>
  <si>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</si>
  <si>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</si>
  <si>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</si>
  <si>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</si>
  <si>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</si>
  <si>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</si>
  <si>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</si>
  <si>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</si>
  <si>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</si>
  <si>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</si>
  <si>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</si>
  <si>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</si>
  <si>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</si>
  <si>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</si>
  <si>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</si>
  <si>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</si>
  <si>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</si>
  <si>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</si>
  <si>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</si>
  <si>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</si>
  <si>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</si>
  <si>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</si>
  <si>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</si>
  <si>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</si>
  <si>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</si>
  <si>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</si>
  <si>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</si>
  <si>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</si>
  <si>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</si>
  <si>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</si>
  <si>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</si>
  <si>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</si>
  <si>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</si>
  <si>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</si>
  <si>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</si>
  <si>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</si>
  <si>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</si>
  <si>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</si>
  <si>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</si>
  <si>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</si>
  <si>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</si>
  <si>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</si>
  <si>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</si>
  <si>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</si>
  <si>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</si>
  <si>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</si>
  <si>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</si>
  <si>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</si>
  <si>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</si>
  <si>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</si>
  <si>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</si>
  <si>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</si>
  <si>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</si>
  <si>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</si>
  <si>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</si>
  <si>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</si>
  <si>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</si>
  <si>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</si>
  <si>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</si>
  <si>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</si>
  <si>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</si>
  <si>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</si>
  <si>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</si>
  <si>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</si>
  <si>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</si>
  <si>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</si>
  <si>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</si>
  <si>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</si>
  <si>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</si>
  <si>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</si>
  <si>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</si>
  <si>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</si>
  <si>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</si>
  <si>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</si>
  <si>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</si>
  <si>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</si>
  <si>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</si>
  <si>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</si>
  <si>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</si>
  <si>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</si>
  <si>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</si>
  <si>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</si>
  <si>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</si>
  <si>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</si>
  <si>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</si>
  <si>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</si>
  <si>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</si>
  <si>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</si>
  <si>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</si>
  <si>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</si>
  <si>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</si>
  <si>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</si>
  <si>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</si>
  <si>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</si>
  <si>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</si>
  <si>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</si>
  <si>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</si>
  <si>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</si>
  <si>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</si>
  <si>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</si>
  <si>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</si>
  <si>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</si>
  <si>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</si>
  <si>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</si>
  <si>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</si>
  <si>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</si>
  <si>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</si>
  <si>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</si>
  <si>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</si>
  <si>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</si>
  <si>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</si>
  <si>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</si>
  <si>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</si>
  <si>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</si>
  <si>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</si>
  <si>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</si>
  <si>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</si>
  <si>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</si>
  <si>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</si>
  <si>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</si>
  <si>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</si>
  <si>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</si>
  <si>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</si>
  <si>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</si>
  <si>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</si>
  <si>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</si>
  <si>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</si>
  <si>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</si>
  <si>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</si>
  <si>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</si>
  <si>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</si>
  <si>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</si>
  <si>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</si>
  <si>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</si>
  <si>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</si>
  <si>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</si>
  <si>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</si>
  <si>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</si>
  <si>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</si>
  <si>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</si>
  <si>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</si>
  <si>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</si>
  <si>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</si>
  <si>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</si>
  <si>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</si>
  <si>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</si>
  <si>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</si>
  <si>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</si>
  <si>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</si>
  <si>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</si>
  <si>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</si>
  <si>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</si>
  <si>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</si>
  <si>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</si>
  <si>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</si>
  <si>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</si>
  <si>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</si>
  <si>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</si>
  <si>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</si>
  <si>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</si>
  <si>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</si>
  <si>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</si>
  <si>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</si>
  <si>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</si>
  <si>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</si>
  <si>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</si>
  <si>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</si>
  <si>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</si>
  <si>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</si>
  <si>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</si>
  <si>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</si>
  <si>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</si>
  <si>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</si>
  <si>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</si>
  <si>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</si>
  <si>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</si>
  <si>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</si>
  <si>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</si>
  <si>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</si>
  <si>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</si>
  <si>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</si>
  <si>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</si>
  <si>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</si>
  <si>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</si>
  <si>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</si>
  <si>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</si>
  <si>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</si>
  <si>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</si>
  <si>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</si>
  <si>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</si>
  <si>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</si>
  <si>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</si>
  <si>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</si>
  <si>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</si>
  <si>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</si>
  <si>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</si>
  <si>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</si>
  <si>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</si>
  <si>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</si>
  <si>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</si>
  <si>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</si>
  <si>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</si>
  <si>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</si>
  <si>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</si>
  <si>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</si>
  <si>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</si>
  <si>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</si>
  <si>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</si>
  <si>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</si>
  <si>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</si>
  <si>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</si>
  <si>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</si>
  <si>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</si>
  <si>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</si>
  <si>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</si>
  <si>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</si>
  <si>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</si>
  <si>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</si>
  <si>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</si>
  <si>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</si>
  <si>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</si>
  <si>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</si>
  <si>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</si>
  <si>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</si>
  <si>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</si>
  <si>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</si>
  <si>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</si>
  <si>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</si>
  <si>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</si>
  <si>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</si>
  <si>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</si>
  <si>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</si>
  <si>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</si>
  <si>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</si>
  <si>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</si>
  <si>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</si>
  <si>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</si>
  <si>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</si>
  <si>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</si>
  <si>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</si>
  <si>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</si>
  <si>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</si>
  <si>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</si>
  <si>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</si>
  <si>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</si>
  <si>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</si>
  <si>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</si>
  <si>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</si>
  <si>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</si>
  <si>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</si>
  <si>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</si>
  <si>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</si>
  <si>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</si>
  <si>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</si>
  <si>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</si>
  <si>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</si>
  <si>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</si>
  <si>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</si>
  <si>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</si>
  <si>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</si>
  <si>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</si>
  <si>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</si>
  <si>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</si>
  <si>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</si>
  <si>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</si>
  <si>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</si>
  <si>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</si>
  <si>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</si>
  <si>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</si>
  <si>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</si>
  <si>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</si>
  <si>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</si>
  <si>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</si>
  <si>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</si>
  <si>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</si>
  <si>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</si>
  <si>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</si>
  <si>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</si>
  <si>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</si>
  <si>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</si>
  <si>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</si>
  <si>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</si>
  <si>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</si>
  <si>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</si>
  <si>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</si>
  <si>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</si>
  <si>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</si>
  <si>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</si>
  <si>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</si>
  <si>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</si>
  <si>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</si>
  <si>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</si>
  <si>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</si>
  <si>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</si>
  <si>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</si>
  <si>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</si>
  <si>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</si>
  <si>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</si>
  <si>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</si>
  <si>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</si>
  <si>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</si>
  <si>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</si>
  <si>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</si>
  <si>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</si>
  <si>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</si>
  <si>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</si>
  <si>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</si>
  <si>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</si>
  <si>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</si>
  <si>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</si>
  <si>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</si>
  <si>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</si>
  <si>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</si>
  <si>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</si>
  <si>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</si>
  <si>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</si>
  <si>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</si>
  <si>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</si>
  <si>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</si>
  <si>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</si>
  <si>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</si>
  <si>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</si>
  <si>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</si>
  <si>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</si>
  <si>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</si>
  <si>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</si>
  <si>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</si>
  <si>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</si>
  <si>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</si>
  <si>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</si>
  <si>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</si>
  <si>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</si>
  <si>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</si>
  <si>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</si>
  <si>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</si>
  <si>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</si>
  <si>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</si>
  <si>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</si>
  <si>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</si>
  <si>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</si>
  <si>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</si>
  <si>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</si>
  <si>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</si>
  <si>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</si>
  <si>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</si>
  <si>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</si>
  <si>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</si>
  <si>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</si>
  <si>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</si>
  <si>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</si>
  <si>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</si>
  <si>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</si>
  <si>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</si>
  <si>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</si>
  <si>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</si>
  <si>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</si>
  <si>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</si>
  <si>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</si>
  <si>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</si>
  <si>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</si>
  <si>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</si>
  <si>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</si>
  <si>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</si>
  <si>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</si>
  <si>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</si>
  <si>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</si>
  <si>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</si>
  <si>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</si>
  <si>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</si>
  <si>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</si>
  <si>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</si>
  <si>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</si>
  <si>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</si>
  <si>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</si>
  <si>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</si>
  <si>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</si>
  <si>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</si>
  <si>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</si>
  <si>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</si>
  <si>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</si>
  <si>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</si>
  <si>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</si>
  <si>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</si>
  <si>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</si>
  <si>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</si>
  <si>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</si>
  <si>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</si>
  <si>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</si>
  <si>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</si>
  <si>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</si>
  <si>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</si>
  <si>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</si>
  <si>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</si>
  <si>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</si>
  <si>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</si>
  <si>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</si>
  <si>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</si>
  <si>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</si>
  <si>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</si>
  <si>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</si>
  <si>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</si>
  <si>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</si>
  <si>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</si>
  <si>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</si>
  <si>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</si>
  <si>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</si>
  <si>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</si>
  <si>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</si>
  <si>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</si>
  <si>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</si>
  <si>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</si>
  <si>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</si>
  <si>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</si>
  <si>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</si>
  <si>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</si>
  <si>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</si>
  <si>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</si>
  <si>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</si>
  <si>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</si>
  <si>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</si>
  <si>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</si>
  <si>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</si>
  <si>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</si>
  <si>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</si>
  <si>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</si>
  <si>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</si>
  <si>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</si>
  <si>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</si>
  <si>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</si>
  <si>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</si>
  <si>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</si>
  <si>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</si>
  <si>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</si>
  <si>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</si>
  <si>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</si>
  <si>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</si>
  <si>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</si>
  <si>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</si>
  <si>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</si>
  <si>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</si>
  <si>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</si>
  <si>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</si>
  <si>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</si>
  <si>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</si>
  <si>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</si>
  <si>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</si>
  <si>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</si>
  <si>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</si>
  <si>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</si>
  <si>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</si>
  <si>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</si>
  <si>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</si>
  <si>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</si>
  <si>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</si>
  <si>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</si>
  <si>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</si>
  <si>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</si>
  <si>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</si>
  <si>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</si>
  <si>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</si>
  <si>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</si>
  <si>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</si>
  <si>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</si>
  <si>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</si>
  <si>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</si>
  <si>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</si>
  <si>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</si>
  <si>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</si>
  <si>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</si>
  <si>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</si>
  <si>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</si>
  <si>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</si>
  <si>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</si>
  <si>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</si>
  <si>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</si>
  <si>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</si>
  <si>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</si>
  <si>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</si>
  <si>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</si>
  <si>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</si>
  <si>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</si>
  <si>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</si>
  <si>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</si>
  <si>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</si>
  <si>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</si>
  <si>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</si>
  <si>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</si>
  <si>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</si>
  <si>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</si>
  <si>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</si>
  <si>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</si>
  <si>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</si>
  <si>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</si>
  <si>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</si>
  <si>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</si>
  <si>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</si>
  <si>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</si>
  <si>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</si>
  <si>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</si>
  <si>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</si>
  <si>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</si>
  <si>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</si>
  <si>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</si>
  <si>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</si>
  <si>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</si>
  <si>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</si>
  <si>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</si>
  <si>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</si>
  <si>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</si>
  <si>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</si>
  <si>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</si>
  <si>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</si>
  <si>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</si>
  <si>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</si>
  <si>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</si>
  <si>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</si>
  <si>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</si>
  <si>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</si>
  <si>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</si>
  <si>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</si>
  <si>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</si>
  <si>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</si>
  <si>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</si>
  <si>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</si>
  <si>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</si>
  <si>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</si>
  <si>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</si>
  <si>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</si>
  <si>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</si>
  <si>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</si>
  <si>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</si>
  <si>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</si>
  <si>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</si>
  <si>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</si>
  <si>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</si>
  <si>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</si>
  <si>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</si>
  <si>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</si>
  <si>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</si>
  <si>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</si>
  <si>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</si>
  <si>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</si>
  <si>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</si>
  <si>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</si>
  <si>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</si>
  <si>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</si>
  <si>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</si>
  <si>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</si>
  <si>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</si>
  <si>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</si>
  <si>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</si>
  <si>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</si>
  <si>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</si>
  <si>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</si>
  <si>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</si>
  <si>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</si>
  <si>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</si>
  <si>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</si>
  <si>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</si>
  <si>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</si>
  <si>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</si>
  <si>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</si>
  <si>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</si>
  <si>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</si>
  <si>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</si>
  <si>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</si>
  <si>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</si>
  <si>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</si>
  <si>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</si>
  <si>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</si>
  <si>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</si>
  <si>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</si>
  <si>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</si>
  <si>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</si>
  <si>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</si>
  <si>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</si>
  <si>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</si>
  <si>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</si>
  <si>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</si>
  <si>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</si>
  <si>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</si>
  <si>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</si>
  <si>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</si>
  <si>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</si>
  <si>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</si>
  <si>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</si>
  <si>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</si>
  <si>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</si>
  <si>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</si>
  <si>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</si>
  <si>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</si>
  <si>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</si>
  <si>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</si>
  <si>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</si>
  <si>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</si>
  <si>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</si>
  <si>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</si>
  <si>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</si>
  <si>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</si>
  <si>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</si>
  <si>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</si>
  <si>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</si>
  <si>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</si>
  <si>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</si>
  <si>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</si>
  <si>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</si>
  <si>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</si>
  <si>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</si>
  <si>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</si>
  <si>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</si>
  <si>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</si>
  <si>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</si>
  <si>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</si>
  <si>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</si>
  <si>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</si>
  <si>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</si>
  <si>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</si>
  <si>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</si>
  <si>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</si>
  <si>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</si>
  <si>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</si>
  <si>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</si>
  <si>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</si>
  <si>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</si>
  <si>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</si>
  <si>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</si>
  <si>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</si>
  <si>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</si>
  <si>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</si>
  <si>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</si>
  <si>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</si>
  <si>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</si>
  <si>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</si>
  <si>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</si>
  <si>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</si>
  <si>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</si>
  <si>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</si>
  <si>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</si>
  <si>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</si>
  <si>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</si>
  <si>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</si>
  <si>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</si>
  <si>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</si>
  <si>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</si>
  <si>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</si>
  <si>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</si>
  <si>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</si>
  <si>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</si>
  <si>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</si>
  <si>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</si>
  <si>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</si>
  <si>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</si>
  <si>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</si>
  <si>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</si>
  <si>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</si>
  <si>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</si>
  <si>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</si>
  <si>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</si>
  <si>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</si>
  <si>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</si>
  <si>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</si>
  <si>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</si>
  <si>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</si>
  <si>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</si>
  <si>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</si>
  <si>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</si>
  <si>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</si>
  <si>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</si>
  <si>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</si>
  <si>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</si>
  <si>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</si>
  <si>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</si>
  <si>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</si>
  <si>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</si>
  <si>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</si>
  <si>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</si>
  <si>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</si>
  <si>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</si>
  <si>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</si>
  <si>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</si>
  <si>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</si>
  <si>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</si>
  <si>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</si>
  <si>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</si>
  <si>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</si>
  <si>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</si>
  <si>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</si>
  <si>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</si>
  <si>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</si>
  <si>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</si>
  <si>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</si>
  <si>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</si>
  <si>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</si>
  <si>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</si>
  <si>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</si>
  <si>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</si>
  <si>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</si>
  <si>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</si>
  <si>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</si>
  <si>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</si>
  <si>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</si>
  <si>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</si>
  <si>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</si>
  <si>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</si>
  <si>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</si>
  <si>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</si>
  <si>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</si>
  <si>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</si>
  <si>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</si>
  <si>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</si>
  <si>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</si>
  <si>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</si>
  <si>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</si>
  <si>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</si>
  <si>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</si>
  <si>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</si>
  <si>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</si>
  <si>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</si>
  <si>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</si>
  <si>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</si>
  <si>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</si>
  <si>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</si>
  <si>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</si>
  <si>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</si>
  <si>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</si>
  <si>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</si>
  <si>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</si>
  <si>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</si>
  <si>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</si>
  <si>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</si>
  <si>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</si>
  <si>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</si>
  <si>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</si>
  <si>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</si>
  <si>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</si>
  <si>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</si>
  <si>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</si>
  <si>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</si>
  <si>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</si>
  <si>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</si>
  <si>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</si>
  <si>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</si>
  <si>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</si>
  <si>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</si>
  <si>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</si>
  <si>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</si>
  <si>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</si>
  <si>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</si>
  <si>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</si>
  <si>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</si>
  <si>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</si>
  <si>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</si>
  <si>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</si>
  <si>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</si>
  <si>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</si>
  <si>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</si>
  <si>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</si>
  <si>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</si>
  <si>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</si>
  <si>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</si>
  <si>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</si>
  <si>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</si>
  <si>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</si>
  <si>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</si>
  <si>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</si>
  <si>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</si>
  <si>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</si>
  <si>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</si>
  <si>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</si>
  <si>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</si>
  <si>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</si>
  <si>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</si>
  <si>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</si>
  <si>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</si>
  <si>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</si>
  <si>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</si>
  <si>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</si>
  <si>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</si>
  <si>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</si>
  <si>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</si>
  <si>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</si>
  <si>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</si>
  <si>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</si>
  <si>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</si>
  <si>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</si>
  <si>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</si>
  <si>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</si>
  <si>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</si>
  <si>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</si>
  <si>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</si>
  <si>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</si>
  <si>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</si>
  <si>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</si>
  <si>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</si>
  <si>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</si>
  <si>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</si>
  <si>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</si>
  <si>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</si>
  <si>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</si>
  <si>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</si>
  <si>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</si>
  <si>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</si>
  <si>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</si>
  <si>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</si>
  <si>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</si>
  <si>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</si>
  <si>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</si>
  <si>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</si>
  <si>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</si>
  <si>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</si>
  <si>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</si>
  <si>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</si>
  <si>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</si>
  <si>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</si>
  <si>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</si>
  <si>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</si>
  <si>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</si>
  <si>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</si>
  <si>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</si>
  <si>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</si>
  <si>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</si>
  <si>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</si>
  <si>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</si>
  <si>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</si>
  <si>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</si>
  <si>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</si>
  <si>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</si>
  <si>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</si>
  <si>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</si>
  <si>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</si>
  <si>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</si>
  <si>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</si>
  <si>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</si>
  <si>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</si>
  <si>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</si>
  <si>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</si>
  <si>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</si>
  <si>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</si>
  <si>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</si>
  <si>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</si>
  <si>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</si>
  <si>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</si>
  <si>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</si>
  <si>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</si>
  <si>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</si>
  <si>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</si>
  <si>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</si>
  <si>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</si>
  <si>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</si>
  <si>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</si>
  <si>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</si>
  <si>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</si>
  <si>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</si>
  <si>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</si>
  <si>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</si>
  <si>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</si>
  <si>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</si>
  <si>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</si>
  <si>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</si>
  <si>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</si>
  <si>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</si>
  <si>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</si>
  <si>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</si>
  <si>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</si>
  <si>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</si>
  <si>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</si>
  <si>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</si>
  <si>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</si>
  <si>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</si>
  <si>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</si>
  <si>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</si>
  <si>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</si>
  <si>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</si>
  <si>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</si>
  <si>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</si>
  <si>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</si>
  <si>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</si>
  <si>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</si>
  <si>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</si>
  <si>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</si>
  <si>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</si>
  <si>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</si>
  <si>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</si>
  <si>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</si>
  <si>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</si>
  <si>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</si>
  <si>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</si>
  <si>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</si>
  <si>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</si>
  <si>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</si>
  <si>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</si>
  <si>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</si>
  <si>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</si>
  <si>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</si>
  <si>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</si>
  <si>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</si>
  <si>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</si>
  <si>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</si>
  <si>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</si>
  <si>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</si>
  <si>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</si>
  <si>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</si>
  <si>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</si>
  <si>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</si>
  <si>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</si>
  <si>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</si>
  <si>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</si>
  <si>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</si>
  <si>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</si>
  <si>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</si>
  <si>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</si>
  <si>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</si>
  <si>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</si>
  <si>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</si>
  <si>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</si>
  <si>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</si>
  <si>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</si>
  <si>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</si>
  <si>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</si>
  <si>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</si>
  <si>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</si>
  <si>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</si>
  <si>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</si>
  <si>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</si>
  <si>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</si>
  <si>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</si>
  <si>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</si>
  <si>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</si>
  <si>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</si>
  <si>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</si>
  <si>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</si>
  <si>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</si>
  <si>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</si>
  <si>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</si>
  <si>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</si>
  <si>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</si>
  <si>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</si>
  <si>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</si>
  <si>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</si>
  <si>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</si>
  <si>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</si>
  <si>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</si>
  <si>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</si>
  <si>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</si>
  <si>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</si>
  <si>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</si>
  <si>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</si>
  <si>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</si>
  <si>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</si>
  <si>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</si>
  <si>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</si>
  <si>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</si>
  <si>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</si>
  <si>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</si>
  <si>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</si>
  <si>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</si>
  <si>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</si>
  <si>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</si>
  <si>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</si>
  <si>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</si>
  <si>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</si>
  <si>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</si>
  <si>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</si>
  <si>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</si>
  <si>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</si>
  <si>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</si>
  <si>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</si>
  <si>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</si>
  <si>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</si>
  <si>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</si>
  <si>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</si>
  <si>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</si>
  <si>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</si>
  <si>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</si>
  <si>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</si>
  <si>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</si>
  <si>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</si>
  <si>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</si>
  <si>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</si>
  <si>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</si>
  <si>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</si>
  <si>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</si>
  <si>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</si>
  <si>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</si>
  <si>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</si>
  <si>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</si>
  <si>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</si>
  <si>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</si>
  <si>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</si>
  <si>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</si>
  <si>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</si>
  <si>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</si>
  <si>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</si>
  <si>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</si>
  <si>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</si>
  <si>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</si>
  <si>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</si>
  <si>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</si>
  <si>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</si>
  <si>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</si>
  <si>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</si>
  <si>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</si>
  <si>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</si>
  <si>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</si>
  <si>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</si>
  <si>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</si>
  <si>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</si>
  <si>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</si>
  <si>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</si>
  <si>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</si>
  <si>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</si>
  <si>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</si>
  <si>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</si>
  <si>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</si>
  <si>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</si>
  <si>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</si>
  <si>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</si>
  <si>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</si>
  <si>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</si>
  <si>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</si>
  <si>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</si>
  <si>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</si>
  <si>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</si>
  <si>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</si>
  <si>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</si>
  <si>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</si>
  <si>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</si>
  <si>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</si>
  <si>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</si>
  <si>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</si>
  <si>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</si>
  <si>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</si>
  <si>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</si>
  <si>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</si>
  <si>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</si>
  <si>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</si>
  <si>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</si>
  <si>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</si>
  <si>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</si>
  <si>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</si>
  <si>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</si>
  <si>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</si>
  <si>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</si>
  <si>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</si>
  <si>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</si>
  <si>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</si>
  <si>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</si>
  <si>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</si>
  <si>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</si>
  <si>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</si>
  <si>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</si>
  <si>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</si>
  <si>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</si>
  <si>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</si>
  <si>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</si>
  <si>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</si>
  <si>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</si>
  <si>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</si>
  <si>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</si>
  <si>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</si>
  <si>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</si>
  <si>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</si>
  <si>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</si>
  <si>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</si>
  <si>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</si>
  <si>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</si>
  <si>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</si>
  <si>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</si>
  <si>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</si>
  <si>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</si>
  <si>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</si>
  <si>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</si>
  <si>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</si>
  <si>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</si>
  <si>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</si>
  <si>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</si>
  <si>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</si>
  <si>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</si>
  <si>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</si>
  <si>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</si>
  <si>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</si>
  <si>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</si>
  <si>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</si>
  <si>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</si>
  <si>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</si>
  <si>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</si>
  <si>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</si>
  <si>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</si>
  <si>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</si>
  <si>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</si>
  <si>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</si>
  <si>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</si>
  <si>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</si>
  <si>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</si>
  <si>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</si>
  <si>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</si>
  <si>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</si>
  <si>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</si>
  <si>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</si>
  <si>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</si>
  <si>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</si>
  <si>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</si>
  <si>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</si>
  <si>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</si>
  <si>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</si>
  <si>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</si>
  <si>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</si>
  <si>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</si>
  <si>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</si>
  <si>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</si>
  <si>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</si>
  <si>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</si>
  <si>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</si>
  <si>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</si>
  <si>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</si>
  <si>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</si>
  <si>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</si>
  <si>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</si>
  <si>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</si>
  <si>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</si>
  <si>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</si>
  <si>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</si>
  <si>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</si>
  <si>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</si>
  <si>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</si>
  <si>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</si>
  <si>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</si>
  <si>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</si>
  <si>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</si>
  <si>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</si>
  <si>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</si>
  <si>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</si>
  <si>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</si>
  <si>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</si>
  <si>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</si>
  <si>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</si>
  <si>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</si>
  <si>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</si>
  <si>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</si>
  <si>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</si>
  <si>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</si>
  <si>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</si>
  <si>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</si>
  <si>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</si>
  <si>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</si>
  <si>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</si>
  <si>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</si>
  <si>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</si>
  <si>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</si>
  <si>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</si>
  <si>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</si>
  <si>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</si>
  <si>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</si>
  <si>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</si>
  <si>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</si>
  <si>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</si>
  <si>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</si>
  <si>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</si>
  <si>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</si>
  <si>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</si>
  <si>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</si>
  <si>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</si>
  <si>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</si>
  <si>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</si>
  <si>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</si>
  <si>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</si>
  <si>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</si>
  <si>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</si>
  <si>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</si>
  <si>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</si>
  <si>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</si>
  <si>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</si>
  <si>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</si>
  <si>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</si>
  <si>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</si>
  <si>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</si>
  <si>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</si>
  <si>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</si>
  <si>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</si>
  <si>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</si>
  <si>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</si>
  <si>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</si>
  <si>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</si>
  <si>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</si>
  <si>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</si>
  <si>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</si>
  <si>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</si>
  <si>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</si>
  <si>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</si>
  <si>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</si>
  <si>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</si>
  <si>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</si>
  <si>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</si>
  <si>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</si>
  <si>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</si>
  <si>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</si>
  <si>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</si>
  <si>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</si>
  <si>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</si>
  <si>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</si>
  <si>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</si>
  <si>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</si>
  <si>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</si>
  <si>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</si>
  <si>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</si>
  <si>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</si>
  <si>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</si>
  <si>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</si>
  <si>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</si>
  <si>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</si>
  <si>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</si>
  <si>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</si>
  <si>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</si>
  <si>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</si>
  <si>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</si>
  <si>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</si>
  <si>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</si>
  <si>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</si>
  <si>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</si>
  <si>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</si>
  <si>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</si>
  <si>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</si>
  <si>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</si>
  <si>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</si>
  <si>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</si>
  <si>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</si>
  <si>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</si>
  <si>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</si>
  <si>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</si>
  <si>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</si>
  <si>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</si>
  <si>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</si>
  <si>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</si>
  <si>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</si>
  <si>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</si>
  <si>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</si>
  <si>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</si>
  <si>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</si>
  <si>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</si>
  <si>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</si>
  <si>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</si>
  <si>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</si>
  <si>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</si>
  <si>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</si>
  <si>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</si>
  <si>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</si>
  <si>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</si>
  <si>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</si>
  <si>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</si>
  <si>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</si>
  <si>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</si>
  <si>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</si>
  <si>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</si>
  <si>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</si>
  <si>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</si>
  <si>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</si>
  <si>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</si>
  <si>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</si>
  <si>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</si>
  <si>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</si>
  <si>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</si>
  <si>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</si>
  <si>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</si>
  <si>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</si>
  <si>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</si>
  <si>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</si>
  <si>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</si>
  <si>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</si>
  <si>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</si>
  <si>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</si>
  <si>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</si>
  <si>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</si>
  <si>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</si>
  <si>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</si>
  <si>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</si>
  <si>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</si>
  <si>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</si>
  <si>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</si>
  <si>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</si>
  <si>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</si>
  <si>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</si>
  <si>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</si>
  <si>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</si>
  <si>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</si>
  <si>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</si>
  <si>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</si>
  <si>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</si>
  <si>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</si>
  <si>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</si>
  <si>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</si>
  <si>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</si>
  <si>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</si>
  <si>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</si>
  <si>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</si>
  <si>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</si>
  <si>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</si>
  <si>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</si>
  <si>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</si>
  <si>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</si>
  <si>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</si>
  <si>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</si>
  <si>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</si>
  <si>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</si>
  <si>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</si>
  <si>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</si>
  <si>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</si>
  <si>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</si>
  <si>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</si>
  <si>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</si>
  <si>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</si>
  <si>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</si>
  <si>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</si>
  <si>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</si>
  <si>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</si>
  <si>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</si>
  <si>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</si>
  <si>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</si>
  <si>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</si>
  <si>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</si>
  <si>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</si>
  <si>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</si>
  <si>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</si>
  <si>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</si>
  <si>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</si>
  <si>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</si>
  <si>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</si>
  <si>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</si>
  <si>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</si>
  <si>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</si>
  <si>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</si>
  <si>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</si>
  <si>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</si>
  <si>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</si>
  <si>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</si>
  <si>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</si>
  <si>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</si>
  <si>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</si>
  <si>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</si>
  <si>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</si>
  <si>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</si>
  <si>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</si>
  <si>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</si>
  <si>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</si>
  <si>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</si>
  <si>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</si>
  <si>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</si>
  <si>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</si>
  <si>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</si>
  <si>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</si>
  <si>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</si>
  <si>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</si>
  <si>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</si>
  <si>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</si>
  <si>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</si>
  <si>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</si>
  <si>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</si>
  <si>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</si>
  <si>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</si>
  <si>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</si>
  <si>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</si>
  <si>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</si>
  <si>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</si>
  <si>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</si>
  <si>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</si>
  <si>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</si>
  <si>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</si>
  <si>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</si>
  <si>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</si>
  <si>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</si>
  <si>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</si>
  <si>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</si>
  <si>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</si>
  <si>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</si>
  <si>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</si>
  <si>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</si>
  <si>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</si>
  <si>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</si>
  <si>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</si>
  <si>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</si>
  <si>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</si>
  <si>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</si>
  <si>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</si>
  <si>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</si>
  <si>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</si>
  <si>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</si>
  <si>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</si>
  <si>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</si>
  <si>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</si>
  <si>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</si>
  <si>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</si>
  <si>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</si>
  <si>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</si>
  <si>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</si>
  <si>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</si>
  <si>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</si>
  <si>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</si>
  <si>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</si>
  <si>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</si>
  <si>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</si>
  <si>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</si>
  <si>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</si>
  <si>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</si>
  <si>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</si>
  <si>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</si>
  <si>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</si>
  <si>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</si>
  <si>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</si>
  <si>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</si>
  <si>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</si>
  <si>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</si>
  <si>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</si>
  <si>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</si>
  <si>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</si>
  <si>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</si>
  <si>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</si>
  <si>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</si>
  <si>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</si>
  <si>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</si>
  <si>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</si>
  <si>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</si>
  <si>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</si>
  <si>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</si>
  <si>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</si>
  <si>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</si>
  <si>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</si>
  <si>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</si>
  <si>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</si>
  <si>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</si>
  <si>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</si>
  <si>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</si>
  <si>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</si>
  <si>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</si>
  <si>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</si>
  <si>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</si>
  <si>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</si>
  <si>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</si>
  <si>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</si>
  <si>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</si>
  <si>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</si>
  <si>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</si>
  <si>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</si>
  <si>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</si>
  <si>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</si>
  <si>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</si>
  <si>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</si>
  <si>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</si>
  <si>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</si>
  <si>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</si>
  <si>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</si>
  <si>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</si>
  <si>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</si>
  <si>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</si>
  <si>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</si>
  <si>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</si>
  <si>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</si>
  <si>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</si>
  <si>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</si>
  <si>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</si>
  <si>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</si>
  <si>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</si>
  <si>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</si>
  <si>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</si>
  <si>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</si>
  <si>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</si>
  <si>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</si>
  <si>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</si>
  <si>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</si>
  <si>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</si>
  <si>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</si>
  <si>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</si>
  <si>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</si>
  <si>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</si>
  <si>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</si>
  <si>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</si>
  <si>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</si>
  <si>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</si>
  <si>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</si>
  <si>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</si>
  <si>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</si>
  <si>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</si>
  <si>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</si>
  <si>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</si>
  <si>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</si>
  <si>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</si>
  <si>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</si>
  <si>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</si>
  <si>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</si>
  <si>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</si>
  <si>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</si>
  <si>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</si>
  <si>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</si>
  <si>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</si>
  <si>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</si>
  <si>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</si>
  <si>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</si>
  <si>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</si>
  <si>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</si>
  <si>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</si>
  <si>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</si>
  <si>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</si>
  <si>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</si>
  <si>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</si>
  <si>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</si>
  <si>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</si>
  <si>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</si>
  <si>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</si>
  <si>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</si>
  <si>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</si>
  <si>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</si>
  <si>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</si>
  <si>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</si>
  <si>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</si>
  <si>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</si>
  <si>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</si>
  <si>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</si>
  <si>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</si>
  <si>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</si>
  <si>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</si>
  <si>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</si>
  <si>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</si>
  <si>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</si>
  <si>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</si>
  <si>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</si>
  <si>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</si>
  <si>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</si>
  <si>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</si>
  <si>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</si>
  <si>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</si>
  <si>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</si>
  <si>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</si>
  <si>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</si>
  <si>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</si>
  <si>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</si>
  <si>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</si>
  <si>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</si>
  <si>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</si>
  <si>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</si>
  <si>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</si>
  <si>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</si>
  <si>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</si>
  <si>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</si>
  <si>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</si>
  <si>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</si>
  <si>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</si>
  <si>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</si>
  <si>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</si>
  <si>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</si>
  <si>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</si>
  <si>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</si>
  <si>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</si>
  <si>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</si>
  <si>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</si>
  <si>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</si>
  <si>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</si>
  <si>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</si>
  <si>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</si>
  <si>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</si>
  <si>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</si>
  <si>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</si>
  <si>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</si>
  <si>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</si>
  <si>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</si>
  <si>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</si>
  <si>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</si>
  <si>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</si>
  <si>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</si>
  <si>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</si>
  <si>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</si>
  <si>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</si>
  <si>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</si>
  <si>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</si>
  <si>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</si>
  <si>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</si>
  <si>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</si>
  <si>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</si>
  <si>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</si>
  <si>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</si>
  <si>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</si>
  <si>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</si>
  <si>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</si>
  <si>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</si>
  <si>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</si>
  <si>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</si>
  <si>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</si>
  <si>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</si>
  <si>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</si>
  <si>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</si>
  <si>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</si>
  <si>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</si>
  <si>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</si>
  <si>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</si>
  <si>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</si>
  <si>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</si>
  <si>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</si>
  <si>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</si>
  <si>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</si>
  <si>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</si>
  <si>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</si>
  <si>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</si>
  <si>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</si>
  <si>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</si>
  <si>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</si>
  <si>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</si>
  <si>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</si>
  <si>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</si>
  <si>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</si>
  <si>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</si>
  <si>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</si>
  <si>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</si>
  <si>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</si>
  <si>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</si>
  <si>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</si>
  <si>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</si>
  <si>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</si>
  <si>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</si>
  <si>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</si>
  <si>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</si>
  <si>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</si>
  <si>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</si>
  <si>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</si>
  <si>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</si>
  <si>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</si>
  <si>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</si>
  <si>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</si>
  <si>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</si>
  <si>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</si>
  <si>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</si>
  <si>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</si>
  <si>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</si>
  <si>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</si>
  <si>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</si>
  <si>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</si>
  <si>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</si>
  <si>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</si>
  <si>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</si>
  <si>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</si>
  <si>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</si>
  <si>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</si>
  <si>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</si>
  <si>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</si>
  <si>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</si>
  <si>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</si>
  <si>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</si>
  <si>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</si>
  <si>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</si>
  <si>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</si>
  <si>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</si>
  <si>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</si>
  <si>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</si>
  <si>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</si>
  <si>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</si>
  <si>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</si>
  <si>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</si>
  <si>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</si>
  <si>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</si>
  <si>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</si>
  <si>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</si>
  <si>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</si>
  <si>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</si>
  <si>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</si>
  <si>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</si>
  <si>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</si>
  <si>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</si>
  <si>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</si>
  <si>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</si>
  <si>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</si>
  <si>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</si>
  <si>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</si>
  <si>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</si>
  <si>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</si>
  <si>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</si>
  <si>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</si>
  <si>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</si>
  <si>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</si>
  <si>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</si>
  <si>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</si>
  <si>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</si>
  <si>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</si>
  <si>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</si>
  <si>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</si>
  <si>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</si>
  <si>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</si>
  <si>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</si>
  <si>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</si>
  <si>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</si>
  <si>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</si>
  <si>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</si>
  <si>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</si>
  <si>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</si>
  <si>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</si>
  <si>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</si>
  <si>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</si>
  <si>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</si>
  <si>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</si>
  <si>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</si>
  <si>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</si>
  <si>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</si>
  <si>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</si>
  <si>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</si>
  <si>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</si>
  <si>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</si>
  <si>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</si>
  <si>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</si>
  <si>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</si>
  <si>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</si>
  <si>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</si>
  <si>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</si>
  <si>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</si>
  <si>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</si>
  <si>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</si>
  <si>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</si>
  <si>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</si>
  <si>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</si>
  <si>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</si>
  <si>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</si>
  <si>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</si>
  <si>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</si>
  <si>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</si>
  <si>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</si>
  <si>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</si>
  <si>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</si>
  <si>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</si>
  <si>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</si>
  <si>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</si>
  <si>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</si>
  <si>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</si>
  <si>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</si>
  <si>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</si>
  <si>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</si>
  <si>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</si>
  <si>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</si>
  <si>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</si>
  <si>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</si>
  <si>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</si>
  <si>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</si>
  <si>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</si>
  <si>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</si>
  <si>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</si>
  <si>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</si>
  <si>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</si>
  <si>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</si>
  <si>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</si>
  <si>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</si>
  <si>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</si>
  <si>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</si>
  <si>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</si>
  <si>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</si>
  <si>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</si>
  <si>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</si>
  <si>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</si>
  <si>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</si>
  <si>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</si>
  <si>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</si>
  <si>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</si>
  <si>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</si>
  <si>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</si>
  <si>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</si>
  <si>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</si>
  <si>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</si>
  <si>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</si>
  <si>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</si>
  <si>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</si>
  <si>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</si>
  <si>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</si>
  <si>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</si>
  <si>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</si>
  <si>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</si>
  <si>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</si>
  <si>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</si>
  <si>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</si>
  <si>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</si>
  <si>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</si>
  <si>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</si>
  <si>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</si>
  <si>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</si>
  <si>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</si>
  <si>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</si>
  <si>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</si>
  <si>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</si>
  <si>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</si>
  <si>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</si>
  <si>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</si>
  <si>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</si>
  <si>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</si>
  <si>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</si>
  <si>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</si>
  <si>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</si>
  <si>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</si>
  <si>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</si>
  <si>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</si>
  <si>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</si>
  <si>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</si>
  <si>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</si>
  <si>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</si>
  <si>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</si>
  <si>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</si>
  <si>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</si>
  <si>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</si>
  <si>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</si>
  <si>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</si>
  <si>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</si>
  <si>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</si>
  <si>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</si>
  <si>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</si>
  <si>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</si>
  <si>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</si>
  <si>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</si>
  <si>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</si>
  <si>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</si>
  <si>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</si>
  <si>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</si>
  <si>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</si>
  <si>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</si>
  <si>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</si>
  <si>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</si>
  <si>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</si>
  <si>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</si>
  <si>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</si>
  <si>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</si>
  <si>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</si>
  <si>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</si>
  <si>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</si>
  <si>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</si>
  <si>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</si>
  <si>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</si>
  <si>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</si>
  <si>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</si>
  <si>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</si>
  <si>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</si>
  <si>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</si>
  <si>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</si>
  <si>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</si>
  <si>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</si>
  <si>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</si>
  <si>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</si>
  <si>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</si>
  <si>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</si>
  <si>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</si>
  <si>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</si>
  <si>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</si>
  <si>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</si>
  <si>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</si>
  <si>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</si>
  <si>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</si>
  <si>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</si>
  <si>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</si>
  <si>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</si>
  <si>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</si>
  <si>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</si>
  <si>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</si>
  <si>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</si>
  <si>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</si>
  <si>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</si>
  <si>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</si>
  <si>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</si>
  <si>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</si>
  <si>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</si>
  <si>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</si>
  <si>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</si>
  <si>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</si>
  <si>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</si>
  <si>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</si>
  <si>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</si>
  <si>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</si>
  <si>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</si>
  <si>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</si>
  <si>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</si>
  <si>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</si>
  <si>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</si>
  <si>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</si>
  <si>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</si>
  <si>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</si>
  <si>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</si>
  <si>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</si>
  <si>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</si>
  <si>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</si>
  <si>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</si>
  <si>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</si>
  <si>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</si>
  <si>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</si>
  <si>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</si>
  <si>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</si>
  <si>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</si>
  <si>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</si>
  <si>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</si>
  <si>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</si>
  <si>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</si>
  <si>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</si>
  <si>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</si>
  <si>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</si>
  <si>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</si>
  <si>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</si>
  <si>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</si>
  <si>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</si>
  <si>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</si>
  <si>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</si>
  <si>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</si>
  <si>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</si>
  <si>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</si>
  <si>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</si>
  <si>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</si>
  <si>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</si>
  <si>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</si>
  <si>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</si>
  <si>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</si>
  <si>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</si>
  <si>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</si>
  <si>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</si>
  <si>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</si>
  <si>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</si>
  <si>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</si>
  <si>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</si>
  <si>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</si>
  <si>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</si>
  <si>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</si>
  <si>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</si>
  <si>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</si>
  <si>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</si>
  <si>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</si>
  <si>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</si>
  <si>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</si>
  <si>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</si>
  <si>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</si>
  <si>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</si>
  <si>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</si>
  <si>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</si>
  <si>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</si>
  <si>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</si>
  <si>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</si>
  <si>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</si>
  <si>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</si>
  <si>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</si>
  <si>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</si>
  <si>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</si>
  <si>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</si>
  <si>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</si>
  <si>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</si>
  <si>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</si>
  <si>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</si>
  <si>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</si>
  <si>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</si>
  <si>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</si>
  <si>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</si>
  <si>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</si>
  <si>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</si>
  <si>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</si>
  <si>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</si>
  <si>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</si>
  <si>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</si>
  <si>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</si>
  <si>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</si>
  <si>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</si>
  <si>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</si>
  <si>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</si>
  <si>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</si>
  <si>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</si>
  <si>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</si>
  <si>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</si>
  <si>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</si>
  <si>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</si>
  <si>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</si>
  <si>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</si>
  <si>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</si>
  <si>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</si>
  <si>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</si>
  <si>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</si>
  <si>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</si>
  <si>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</si>
  <si>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</si>
  <si>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</si>
  <si>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</si>
  <si>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</si>
  <si>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</si>
  <si>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</si>
  <si>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</si>
  <si>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</si>
  <si>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</si>
  <si>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</si>
  <si>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</si>
  <si>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</si>
  <si>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</si>
  <si>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</si>
  <si>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</si>
  <si>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</si>
  <si>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</si>
  <si>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</si>
  <si>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</si>
  <si>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</si>
  <si>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</si>
  <si>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</si>
  <si>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</si>
  <si>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</si>
  <si>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</si>
  <si>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</si>
  <si>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</si>
  <si>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</si>
  <si>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</si>
  <si>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</si>
  <si>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</si>
  <si>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</si>
  <si>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</si>
  <si>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</si>
  <si>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</si>
  <si>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</si>
  <si>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</si>
  <si>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</si>
  <si>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</si>
  <si>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</si>
  <si>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</si>
  <si>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</si>
  <si>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</si>
  <si>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</si>
  <si>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</si>
  <si>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</si>
  <si>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</si>
  <si>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</si>
  <si>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</si>
  <si>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</si>
  <si>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</si>
  <si>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</si>
  <si>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</si>
  <si>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</si>
  <si>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</si>
  <si>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</si>
  <si>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</si>
  <si>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</si>
  <si>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</si>
  <si>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</si>
  <si>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</si>
  <si>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</si>
  <si>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</si>
  <si>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</si>
  <si>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</si>
  <si>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</si>
  <si>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</si>
  <si>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</si>
  <si>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</si>
  <si>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</si>
  <si>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</si>
  <si>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</si>
  <si>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</si>
  <si>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</si>
  <si>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</si>
  <si>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</si>
  <si>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</si>
  <si>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</si>
  <si>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</si>
  <si>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</si>
  <si>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</si>
  <si>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</si>
  <si>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</si>
  <si>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</si>
  <si>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</si>
  <si>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</si>
  <si>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</si>
  <si>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</si>
  <si>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</si>
  <si>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</si>
  <si>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</si>
  <si>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</si>
  <si>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</si>
  <si>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</si>
  <si>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</si>
  <si>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</si>
  <si>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</si>
  <si>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</si>
  <si>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</si>
  <si>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</si>
  <si>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</si>
  <si>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</si>
  <si>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</si>
  <si>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</si>
  <si>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</si>
  <si>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</si>
  <si>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</si>
  <si>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</si>
  <si>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</si>
  <si>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</si>
  <si>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</si>
  <si>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</si>
  <si>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</si>
  <si>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</si>
  <si>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</si>
  <si>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</si>
  <si>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</si>
  <si>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</si>
  <si>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</si>
  <si>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</si>
  <si>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</si>
  <si>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</si>
  <si>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</si>
  <si>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</si>
  <si>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</si>
  <si>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</si>
  <si>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</si>
  <si>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</si>
  <si>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</si>
  <si>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</si>
  <si>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</si>
  <si>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</si>
  <si>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</si>
  <si>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</si>
  <si>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</si>
  <si>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</si>
  <si>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</si>
  <si>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</si>
  <si>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</si>
  <si>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</si>
  <si>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</si>
  <si>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</si>
  <si>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</si>
  <si>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</si>
  <si>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</si>
  <si>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</si>
  <si>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</si>
  <si>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</si>
  <si>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</si>
  <si>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</si>
  <si>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</si>
  <si>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</si>
  <si>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</si>
  <si>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</si>
  <si>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</si>
  <si>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</si>
  <si>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</si>
  <si>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</si>
  <si>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</si>
  <si>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</si>
  <si>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</si>
  <si>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</si>
  <si>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</si>
  <si>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</si>
  <si>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</si>
  <si>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</si>
  <si>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</si>
  <si>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</si>
  <si>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</si>
  <si>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</si>
  <si>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</si>
  <si>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</si>
  <si>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</si>
  <si>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</si>
  <si>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</si>
  <si>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</si>
  <si>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</si>
  <si>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</si>
  <si>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</si>
  <si>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</si>
  <si>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</si>
  <si>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</si>
  <si>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</si>
  <si>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</si>
  <si>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</si>
  <si>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</si>
  <si>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</si>
  <si>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</si>
  <si>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</si>
  <si>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</si>
  <si>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</si>
  <si>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</si>
  <si>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</si>
  <si>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</si>
  <si>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</si>
  <si>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</si>
  <si>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</si>
  <si>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</si>
  <si>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</si>
  <si>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</si>
  <si>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</si>
  <si>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</si>
  <si>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</si>
  <si>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</si>
  <si>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</si>
  <si>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</si>
  <si>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</si>
  <si>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</si>
  <si>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</si>
  <si>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</si>
  <si>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</si>
  <si>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</si>
  <si>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</si>
  <si>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</si>
  <si>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</si>
  <si>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</si>
  <si>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</si>
  <si>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</si>
  <si>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</si>
  <si>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</si>
  <si>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</si>
  <si>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</si>
  <si>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</si>
  <si>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</si>
  <si>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</si>
  <si>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</si>
  <si>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</si>
  <si>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</si>
  <si>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</si>
  <si>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</si>
  <si>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</si>
  <si>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</si>
  <si>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</si>
  <si>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</si>
  <si>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</si>
  <si>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</si>
  <si>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</si>
  <si>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</si>
  <si>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</si>
  <si>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</si>
  <si>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</si>
  <si>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</si>
  <si>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</si>
  <si>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</si>
  <si>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</si>
  <si>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</si>
  <si>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</si>
  <si>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</si>
  <si>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</si>
  <si>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</si>
  <si>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</si>
  <si>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</si>
  <si>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</si>
  <si>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</si>
  <si>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</si>
  <si>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</si>
  <si>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</si>
  <si>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</si>
  <si>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</si>
  <si>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</si>
  <si>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</si>
  <si>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</si>
  <si>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</si>
  <si>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</si>
  <si>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</si>
  <si>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</si>
  <si>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</si>
  <si>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</si>
  <si>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</si>
  <si>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</si>
  <si>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</si>
  <si>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</si>
  <si>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</si>
  <si>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</si>
  <si>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</si>
  <si>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</si>
  <si>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</si>
  <si>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</si>
  <si>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</si>
  <si>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</si>
  <si>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</si>
  <si>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</si>
  <si>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</si>
  <si>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</si>
  <si>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</si>
  <si>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</si>
  <si>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</si>
  <si>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</si>
  <si>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</si>
  <si>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</si>
  <si>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</si>
  <si>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</si>
  <si>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</si>
  <si>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</si>
  <si>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</si>
  <si>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</si>
  <si>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</si>
  <si>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</si>
  <si>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</si>
  <si>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</si>
  <si>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</si>
  <si>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</si>
  <si>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</si>
  <si>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</si>
  <si>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</si>
  <si>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</si>
  <si>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</si>
  <si>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</si>
  <si>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</si>
  <si>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</si>
  <si>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</si>
  <si>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</si>
  <si>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</si>
  <si>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</si>
  <si>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</si>
  <si>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</si>
  <si>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</si>
  <si>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</si>
  <si>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</si>
  <si>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</si>
  <si>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</si>
  <si>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</si>
  <si>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</si>
  <si>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</si>
  <si>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</si>
  <si>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</si>
  <si>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</si>
  <si>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</si>
  <si>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</si>
  <si>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</si>
  <si>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</si>
  <si>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</si>
  <si>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</si>
  <si>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</si>
  <si>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</si>
  <si>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</si>
  <si>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</si>
  <si>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</si>
  <si>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</si>
  <si>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</si>
  <si>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</si>
  <si>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</si>
  <si>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</si>
  <si>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</si>
  <si>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</si>
  <si>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</si>
  <si>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</si>
  <si>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</si>
  <si>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</si>
  <si>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</si>
  <si>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</si>
  <si>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</si>
  <si>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</si>
  <si>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</si>
  <si>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</si>
  <si>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</si>
  <si>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</si>
  <si>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</si>
  <si>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</si>
  <si>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</si>
  <si>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</si>
  <si>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</si>
  <si>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</si>
  <si>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</si>
  <si>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</si>
  <si>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</si>
  <si>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</si>
  <si>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</si>
  <si>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</si>
  <si>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</si>
  <si>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</si>
  <si>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</si>
  <si>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</si>
  <si>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</si>
  <si>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</si>
  <si>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</si>
  <si>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</si>
  <si>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</si>
  <si>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</si>
  <si>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</si>
  <si>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</si>
  <si>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</si>
  <si>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</si>
  <si>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</si>
  <si>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</si>
  <si>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</si>
  <si>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</si>
  <si>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</si>
  <si>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</si>
  <si>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</si>
  <si>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</si>
  <si>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</si>
  <si>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</si>
  <si>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</si>
  <si>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</si>
  <si>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</si>
  <si>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</si>
  <si>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</si>
  <si>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</si>
  <si>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</si>
  <si>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</si>
  <si>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</si>
  <si>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</si>
  <si>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</si>
  <si>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</si>
  <si>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</si>
  <si>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</si>
  <si>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</si>
  <si>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</si>
  <si>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</si>
  <si>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</si>
  <si>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</si>
  <si>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</si>
  <si>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</si>
  <si>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</si>
  <si>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</si>
  <si>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</si>
  <si>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</si>
  <si>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</si>
  <si>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</si>
  <si>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</si>
  <si>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</si>
  <si>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</si>
  <si>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</si>
  <si>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</si>
  <si>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</si>
  <si>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</si>
  <si>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</si>
  <si>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</si>
  <si>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</si>
  <si>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</si>
  <si>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</si>
  <si>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</si>
  <si>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</si>
  <si>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</si>
  <si>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</si>
  <si>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</si>
  <si>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</si>
  <si>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</si>
  <si>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</si>
  <si>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</si>
  <si>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</si>
  <si>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</si>
  <si>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</si>
  <si>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</si>
  <si>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</si>
  <si>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</si>
  <si>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</si>
  <si>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</si>
  <si>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</si>
  <si>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</si>
  <si>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</si>
  <si>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</si>
  <si>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</si>
  <si>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</si>
  <si>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</si>
  <si>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</si>
  <si>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</si>
  <si>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</si>
  <si>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</si>
  <si>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</si>
  <si>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</si>
  <si>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</si>
  <si>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</si>
  <si>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</si>
  <si>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</si>
  <si>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</si>
  <si>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</si>
  <si>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</si>
  <si>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</si>
  <si>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</si>
  <si>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</si>
  <si>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</si>
  <si>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</si>
  <si>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</si>
  <si>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</si>
  <si>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</si>
  <si>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</si>
  <si>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</si>
  <si>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</si>
  <si>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</si>
  <si>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</si>
  <si>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</si>
  <si>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</si>
  <si>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</si>
  <si>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</si>
  <si>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</si>
  <si>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</si>
  <si>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</si>
  <si>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</si>
  <si>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</si>
  <si>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</si>
  <si>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</si>
  <si>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</si>
  <si>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</si>
  <si>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</si>
  <si>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</si>
  <si>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</si>
  <si>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</si>
  <si>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</si>
  <si>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</si>
  <si>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</si>
  <si>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</si>
  <si>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</si>
  <si>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</si>
  <si>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</si>
  <si>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</si>
  <si>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</si>
  <si>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</si>
  <si>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</si>
  <si>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</si>
  <si>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</si>
  <si>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</si>
  <si>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</si>
  <si>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</si>
  <si>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</si>
  <si>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</si>
  <si>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</si>
  <si>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</si>
  <si>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</si>
  <si>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</si>
  <si>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</si>
  <si>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</si>
  <si>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</si>
  <si>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</si>
  <si>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</si>
  <si>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</si>
  <si>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</si>
  <si>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</si>
  <si>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</si>
  <si>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</si>
  <si>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</si>
  <si>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</si>
  <si>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</si>
  <si>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</si>
  <si>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</si>
  <si>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</si>
  <si>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</si>
  <si>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</si>
  <si>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</si>
  <si>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</si>
  <si>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</si>
  <si>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</si>
  <si>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</si>
  <si>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</si>
  <si>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</si>
  <si>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</si>
  <si>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</si>
  <si>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</si>
  <si>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</si>
  <si>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</si>
  <si>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</si>
  <si>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</si>
  <si>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</si>
  <si>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</si>
  <si>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</si>
  <si>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</si>
  <si>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</si>
  <si>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</si>
  <si>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</si>
  <si>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</si>
  <si>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</si>
  <si>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</si>
  <si>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</si>
  <si>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</si>
  <si>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</si>
  <si>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</si>
  <si>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</si>
  <si>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</si>
  <si>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</si>
  <si>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</si>
  <si>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</si>
  <si>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</si>
  <si>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</si>
  <si>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</si>
  <si>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</si>
  <si>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</si>
  <si>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</si>
  <si>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</si>
  <si>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</si>
  <si>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</si>
  <si>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</si>
  <si>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</si>
  <si>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</si>
  <si>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</si>
  <si>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</si>
  <si>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</si>
  <si>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</si>
  <si>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</si>
  <si>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</si>
  <si>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</si>
  <si>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</si>
  <si>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</si>
  <si>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</si>
  <si>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</si>
  <si>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</si>
  <si>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</si>
  <si>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</si>
  <si>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</si>
  <si>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</si>
  <si>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</si>
  <si>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</si>
  <si>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</si>
  <si>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</si>
  <si>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</si>
  <si>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</si>
  <si>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</si>
  <si>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</si>
  <si>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</si>
  <si>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</si>
  <si>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</si>
  <si>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</si>
  <si>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</si>
  <si>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</si>
  <si>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</si>
  <si>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</si>
  <si>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</si>
  <si>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</si>
  <si>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</si>
  <si>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</si>
  <si>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</si>
  <si>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</si>
  <si>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</si>
  <si>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</si>
  <si>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</si>
  <si>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</si>
  <si>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</si>
  <si>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</si>
  <si>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</si>
  <si>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</si>
  <si>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</si>
  <si>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</si>
  <si>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</si>
  <si>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</si>
  <si>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</si>
  <si>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</si>
  <si>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</si>
  <si>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</si>
  <si>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</si>
  <si>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</si>
  <si>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</si>
  <si>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</si>
  <si>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</si>
  <si>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</si>
  <si>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</si>
  <si>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</si>
  <si>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</si>
  <si>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</si>
  <si>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</si>
  <si>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</si>
  <si>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</si>
  <si>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</si>
  <si>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</si>
  <si>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</si>
  <si>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</si>
  <si>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</si>
  <si>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</si>
  <si>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</si>
  <si>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</si>
  <si>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</si>
  <si>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</si>
  <si>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</si>
  <si>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</si>
  <si>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</si>
  <si>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</si>
  <si>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</si>
  <si>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</si>
  <si>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</si>
  <si>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</si>
  <si>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</si>
  <si>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</si>
  <si>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</si>
  <si>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</si>
  <si>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</si>
  <si>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</si>
  <si>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</si>
  <si>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</si>
  <si>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</si>
  <si>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</si>
  <si>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</si>
  <si>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</si>
  <si>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</si>
  <si>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</si>
  <si>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</si>
  <si>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</si>
  <si>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</si>
  <si>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</si>
  <si>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</si>
  <si>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</si>
  <si>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</si>
  <si>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</si>
  <si>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</si>
  <si>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</si>
  <si>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</si>
  <si>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</si>
  <si>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</si>
  <si>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</si>
  <si>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</si>
  <si>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</si>
  <si>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</si>
  <si>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</si>
  <si>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</si>
  <si>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</si>
  <si>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</si>
  <si>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</si>
  <si>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</si>
  <si>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</si>
  <si>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</si>
  <si>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</si>
  <si>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</si>
  <si>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</si>
  <si>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</si>
  <si>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</si>
  <si>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</si>
  <si>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</si>
  <si>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</si>
  <si>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</si>
  <si>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</si>
  <si>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</si>
  <si>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</si>
  <si>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</si>
  <si>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</si>
  <si>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</si>
  <si>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</si>
  <si>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</si>
  <si>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</si>
  <si>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</si>
  <si>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</si>
  <si>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</si>
  <si>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</si>
  <si>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</si>
  <si>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</si>
  <si>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</si>
  <si>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</si>
  <si>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</si>
  <si>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</si>
  <si>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</si>
  <si>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</si>
  <si>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</si>
  <si>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</si>
  <si>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</si>
  <si>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</si>
  <si>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</si>
  <si>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</si>
  <si>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</si>
  <si>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</si>
  <si>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</si>
  <si>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</si>
  <si>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</si>
  <si>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</si>
  <si>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</si>
  <si>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</si>
  <si>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</si>
  <si>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</si>
  <si>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</si>
  <si>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</si>
  <si>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</si>
  <si>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</si>
  <si>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</si>
  <si>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</si>
  <si>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</si>
  <si>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</si>
  <si>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</si>
  <si>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</si>
  <si>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</si>
  <si>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</si>
  <si>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</si>
  <si>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</si>
  <si>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</si>
  <si>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</si>
  <si>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</si>
  <si>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</si>
  <si>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</si>
  <si>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</si>
  <si>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</si>
  <si>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</si>
  <si>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</si>
  <si>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</si>
  <si>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</si>
  <si>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</si>
  <si>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</si>
  <si>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</si>
  <si>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</si>
  <si>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</si>
  <si>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</si>
  <si>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</si>
  <si>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</si>
  <si>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</si>
  <si>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</si>
  <si>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</si>
  <si>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</si>
  <si>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</si>
  <si>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</si>
  <si>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</si>
  <si>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</si>
  <si>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</si>
  <si>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</si>
  <si>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</si>
  <si>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</si>
  <si>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</si>
  <si>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</si>
  <si>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</si>
  <si>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</si>
  <si>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</si>
  <si>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</si>
  <si>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</si>
  <si>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</si>
  <si>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</si>
  <si>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</si>
  <si>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</si>
  <si>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</si>
  <si>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</si>
  <si>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</si>
  <si>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</si>
  <si>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</si>
  <si>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</si>
  <si>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</si>
  <si>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</si>
  <si>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</si>
  <si>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</si>
  <si>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</si>
  <si>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</si>
  <si>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</si>
  <si>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</si>
  <si>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</si>
  <si>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</si>
  <si>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</si>
  <si>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</si>
  <si>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</si>
  <si>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</si>
  <si>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</si>
  <si>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</si>
  <si>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</si>
  <si>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</si>
  <si>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</si>
  <si>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</si>
  <si>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</si>
  <si>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</si>
  <si>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</si>
  <si>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</si>
  <si>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</si>
  <si>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</si>
  <si>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</si>
  <si>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</si>
  <si>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</si>
  <si>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</si>
  <si>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</si>
  <si>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</si>
  <si>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</si>
  <si>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</si>
  <si>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</si>
  <si>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</si>
  <si>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</si>
  <si>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</si>
  <si>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</si>
  <si>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</si>
  <si>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</si>
  <si>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</si>
  <si>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</si>
  <si>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</si>
  <si>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</si>
  <si>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</si>
  <si>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</si>
  <si>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</si>
  <si>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</si>
  <si>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</si>
  <si>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</si>
  <si>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</si>
  <si>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</si>
  <si>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</si>
  <si>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</si>
  <si>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</si>
  <si>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</si>
  <si>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</si>
  <si>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</si>
  <si>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</si>
  <si>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</si>
  <si>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</si>
  <si>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</si>
  <si>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</si>
  <si>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</si>
  <si>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</si>
  <si>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</si>
  <si>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</si>
  <si>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</si>
  <si>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</si>
  <si>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</si>
  <si>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</si>
  <si>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</si>
  <si>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</si>
  <si>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</si>
  <si>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</si>
  <si>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</si>
  <si>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</si>
  <si>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</si>
  <si>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</si>
  <si>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</si>
  <si>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</si>
  <si>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</si>
  <si>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</si>
  <si>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</si>
  <si>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</si>
  <si>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</si>
  <si>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</si>
  <si>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</si>
  <si>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</si>
  <si>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</si>
  <si>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</si>
  <si>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</si>
  <si>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</si>
  <si>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</si>
  <si>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</si>
  <si>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</si>
  <si>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</si>
  <si>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</si>
  <si>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</si>
  <si>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</si>
  <si>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</si>
  <si>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</si>
  <si>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</si>
  <si>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</si>
  <si>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</si>
  <si>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</si>
  <si>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</si>
  <si>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</si>
  <si>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</si>
  <si>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</si>
  <si>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</si>
  <si>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</si>
  <si>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</si>
  <si>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</si>
  <si>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</si>
  <si>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</si>
  <si>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</si>
  <si>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</si>
  <si>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</si>
  <si>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</si>
  <si>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</si>
  <si>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</si>
  <si>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</si>
  <si>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</si>
  <si>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</si>
  <si>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</si>
  <si>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</si>
  <si>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</si>
  <si>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</si>
  <si>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</si>
  <si>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</si>
  <si>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</si>
  <si>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</si>
  <si>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</si>
  <si>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</si>
  <si>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</si>
  <si>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</si>
  <si>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</si>
  <si>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</si>
  <si>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</si>
  <si>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</si>
  <si>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</si>
  <si>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</si>
  <si>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</si>
  <si>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</si>
  <si>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</si>
  <si>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</si>
  <si>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</si>
  <si>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</si>
  <si>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</si>
  <si>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</si>
  <si>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</si>
  <si>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</si>
  <si>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</si>
  <si>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</si>
  <si>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</si>
  <si>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</si>
  <si>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</si>
  <si>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</si>
  <si>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</si>
  <si>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</si>
  <si>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</si>
  <si>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</si>
  <si>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</si>
  <si>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</si>
  <si>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</si>
  <si>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</si>
  <si>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</si>
  <si>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</si>
  <si>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</si>
  <si>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</si>
  <si>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</si>
  <si>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</si>
  <si>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</si>
  <si>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</si>
  <si>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</si>
  <si>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</si>
  <si>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</si>
  <si>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</si>
  <si>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</si>
  <si>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</si>
  <si>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</si>
  <si>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</si>
  <si>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</si>
  <si>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</si>
  <si>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</si>
  <si>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</si>
  <si>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</si>
  <si>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</si>
  <si>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</si>
  <si>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</si>
  <si>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</si>
  <si>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</si>
  <si>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</si>
  <si>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</si>
  <si>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</si>
  <si>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</si>
  <si>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</si>
  <si>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</si>
  <si>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</si>
  <si>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</si>
  <si>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</si>
  <si>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</si>
  <si>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</si>
  <si>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</si>
  <si>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</si>
  <si>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</si>
  <si>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</si>
  <si>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</si>
  <si>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</si>
  <si>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</si>
  <si>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</si>
  <si>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</si>
  <si>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</si>
  <si>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</si>
  <si>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</si>
  <si>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</si>
  <si>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</si>
  <si>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</si>
  <si>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</si>
  <si>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</si>
  <si>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</si>
  <si>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</si>
  <si>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</si>
  <si>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</si>
  <si>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</si>
  <si>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</si>
  <si>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</si>
  <si>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</si>
  <si>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</si>
  <si>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</si>
  <si>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</si>
  <si>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</si>
  <si>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</si>
  <si>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</si>
  <si>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</si>
  <si>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</si>
  <si>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</si>
  <si>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</si>
  <si>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</si>
  <si>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</si>
  <si>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</si>
  <si>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</si>
  <si>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</si>
  <si>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</si>
  <si>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</si>
  <si>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</si>
  <si>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</si>
  <si>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</si>
  <si>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</si>
  <si>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</si>
  <si>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</si>
  <si>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</si>
  <si>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</si>
  <si>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</si>
  <si>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</si>
  <si>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</si>
  <si>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</si>
  <si>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</si>
  <si>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</si>
  <si>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</si>
  <si>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</si>
  <si>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</si>
  <si>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</si>
  <si>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</si>
  <si>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</si>
  <si>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</si>
  <si>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</si>
  <si>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</si>
  <si>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</si>
  <si>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</si>
  <si>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</si>
  <si>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</si>
  <si>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</si>
  <si>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</si>
  <si>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</si>
  <si>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</si>
  <si>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</si>
  <si>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</si>
  <si>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</si>
  <si>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</si>
  <si>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</si>
  <si>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</si>
  <si>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</si>
  <si>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</si>
  <si>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</si>
  <si>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</si>
  <si>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</si>
  <si>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</si>
  <si>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</si>
  <si>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</si>
  <si>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</si>
  <si>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</si>
  <si>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</si>
  <si>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</si>
  <si>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</si>
  <si>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</si>
  <si>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</si>
  <si>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</si>
  <si>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</si>
  <si>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</si>
  <si>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</si>
  <si>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</si>
  <si>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</si>
  <si>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</si>
  <si>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</si>
  <si>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</si>
  <si>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</si>
  <si>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</si>
  <si>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</si>
  <si>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</si>
  <si>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</si>
  <si>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</si>
  <si>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</si>
  <si>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</si>
  <si>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</si>
  <si>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</si>
  <si>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</si>
  <si>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</si>
  <si>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</si>
  <si>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</si>
  <si>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</si>
  <si>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</si>
  <si>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</si>
  <si>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</si>
  <si>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</si>
  <si>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</si>
  <si>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</si>
  <si>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</si>
  <si>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</si>
  <si>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</si>
  <si>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</si>
  <si>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</si>
  <si>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</si>
  <si>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</si>
  <si>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</si>
  <si>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</si>
  <si>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</si>
  <si>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</si>
  <si>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</si>
  <si>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</si>
  <si>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</si>
  <si>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</si>
  <si>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</si>
  <si>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</si>
  <si>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</si>
  <si>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</si>
  <si>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</si>
  <si>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</si>
  <si>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</si>
  <si>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</si>
  <si>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</si>
  <si>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</si>
  <si>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</si>
  <si>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</si>
  <si>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</si>
  <si>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</si>
  <si>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</si>
  <si>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</si>
  <si>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</si>
  <si>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</si>
  <si>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</si>
  <si>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</si>
  <si>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</si>
  <si>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</si>
  <si>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</si>
  <si>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</si>
  <si>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</si>
  <si>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</si>
  <si>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</si>
  <si>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</si>
  <si>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</si>
  <si>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</si>
  <si>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</si>
  <si>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</si>
  <si>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</si>
  <si>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</si>
  <si>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</si>
  <si>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</si>
  <si>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</si>
  <si>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</si>
  <si>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</si>
  <si>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</si>
  <si>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</si>
  <si>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</si>
  <si>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</si>
  <si>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</si>
  <si>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</si>
  <si>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</si>
  <si>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</si>
  <si>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</si>
  <si>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</si>
  <si>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</si>
  <si>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</si>
  <si>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</si>
  <si>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</si>
  <si>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</si>
  <si>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</si>
  <si>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</si>
  <si>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</si>
  <si>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</si>
  <si>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</si>
  <si>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</si>
  <si>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</si>
  <si>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</si>
  <si>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</si>
  <si>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</si>
  <si>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</si>
  <si>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</si>
  <si>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</si>
  <si>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</si>
  <si>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</si>
  <si>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</si>
  <si>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</si>
  <si>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</si>
  <si>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</si>
  <si>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</si>
  <si>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</si>
  <si>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</si>
  <si>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</si>
  <si>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</si>
  <si>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</si>
  <si>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</si>
  <si>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</si>
  <si>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</si>
  <si>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</si>
  <si>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</si>
  <si>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</si>
  <si>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</si>
  <si>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</si>
  <si>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</si>
  <si>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</si>
  <si>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</si>
  <si>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</si>
  <si>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</si>
  <si>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</si>
  <si>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</si>
  <si>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</si>
  <si>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</si>
  <si>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</si>
  <si>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</si>
  <si>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</si>
  <si>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</si>
  <si>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</si>
  <si>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</si>
  <si>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</si>
  <si>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</si>
  <si>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</si>
  <si>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</si>
  <si>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</si>
  <si>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</si>
  <si>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</si>
  <si>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</si>
  <si>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</si>
  <si>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</si>
  <si>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</si>
  <si>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</si>
  <si>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</si>
  <si>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</si>
  <si>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</si>
  <si>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</si>
  <si>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</si>
  <si>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</si>
  <si>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</si>
  <si>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</si>
  <si>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</si>
  <si>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</si>
  <si>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</si>
  <si>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</si>
  <si>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</si>
  <si>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</si>
  <si>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</si>
  <si>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</si>
  <si>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</si>
  <si>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</si>
  <si>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</si>
  <si>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</si>
  <si>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</si>
  <si>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</si>
  <si>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</si>
  <si>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</si>
  <si>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</si>
  <si>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</si>
  <si>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</si>
  <si>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</si>
  <si>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</si>
  <si>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</si>
  <si>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</si>
  <si>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</si>
  <si>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</si>
  <si>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</si>
  <si>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</si>
  <si>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</si>
  <si>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</si>
  <si>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</si>
  <si>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</si>
  <si>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</si>
  <si>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</si>
  <si>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</si>
  <si>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</si>
  <si>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</si>
  <si>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</si>
  <si>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</si>
  <si>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</si>
  <si>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</si>
  <si>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</si>
  <si>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</si>
  <si>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</si>
  <si>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</si>
  <si>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</si>
  <si>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</si>
  <si>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</si>
  <si>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</si>
  <si>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</si>
  <si>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</si>
  <si>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</si>
  <si>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</si>
  <si>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</si>
  <si>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</si>
  <si>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</si>
  <si>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</si>
  <si>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</si>
  <si>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</si>
  <si>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</si>
  <si>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</si>
  <si>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</si>
  <si>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</si>
  <si>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</si>
  <si>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</si>
  <si>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</si>
  <si>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</si>
  <si>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</si>
  <si>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</si>
  <si>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</si>
  <si>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</si>
  <si>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</si>
  <si>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</si>
  <si>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</si>
  <si>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</si>
  <si>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</si>
  <si>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</si>
  <si>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</si>
  <si>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</si>
  <si>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</si>
  <si>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</si>
  <si>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</si>
  <si>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</si>
  <si>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</si>
  <si>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</si>
  <si>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</si>
  <si>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</si>
  <si>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</si>
  <si>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</si>
  <si>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</si>
  <si>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</si>
  <si>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</si>
  <si>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</si>
  <si>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</si>
  <si>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</si>
  <si>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</si>
  <si>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</si>
  <si>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</si>
  <si>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</si>
  <si>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</si>
  <si>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</si>
  <si>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</si>
  <si>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</si>
  <si>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</si>
  <si>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</si>
  <si>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</si>
  <si>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</si>
  <si>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</si>
  <si>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</si>
  <si>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</si>
  <si>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</si>
  <si>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</si>
  <si>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</si>
  <si>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</si>
  <si>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</si>
  <si>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</si>
  <si>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</si>
  <si>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</si>
  <si>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</si>
  <si>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</si>
  <si>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</si>
  <si>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</si>
  <si>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</si>
  <si>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</si>
  <si>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</si>
  <si>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</si>
  <si>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</si>
  <si>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</si>
  <si>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</si>
  <si>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</si>
  <si>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</si>
  <si>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</si>
  <si>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</si>
  <si>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</si>
  <si>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</si>
  <si>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</si>
  <si>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</si>
  <si>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</si>
  <si>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</si>
  <si>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</si>
  <si>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</si>
  <si>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</si>
  <si>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</si>
  <si>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</si>
  <si>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</si>
  <si>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</si>
  <si>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</si>
  <si>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</si>
  <si>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</si>
  <si>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</si>
  <si>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</si>
  <si>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</si>
  <si>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</si>
  <si>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</si>
  <si>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</si>
  <si>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</si>
  <si>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</si>
  <si>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</si>
  <si>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</si>
  <si>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</si>
  <si>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</si>
  <si>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</si>
  <si>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</si>
  <si>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</si>
  <si>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</si>
  <si>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</si>
  <si>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</si>
  <si>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</si>
  <si>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</si>
  <si>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</si>
  <si>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</si>
  <si>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</si>
  <si>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</si>
  <si>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</si>
  <si>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</si>
  <si>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</si>
  <si>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</si>
  <si>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</si>
  <si>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</si>
  <si>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</si>
  <si>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</si>
  <si>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</si>
  <si>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</si>
  <si>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</si>
  <si>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</si>
  <si>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</si>
  <si>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</si>
  <si>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</si>
  <si>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</si>
  <si>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</si>
  <si>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</si>
  <si>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</si>
  <si>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</si>
  <si>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</si>
  <si>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</si>
  <si>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</si>
  <si>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</si>
  <si>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</si>
  <si>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</si>
  <si>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</si>
  <si>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</si>
  <si>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</si>
  <si>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</si>
  <si>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</si>
  <si>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</si>
  <si>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</si>
  <si>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</si>
  <si>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</si>
  <si>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</si>
  <si>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</si>
  <si>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</si>
  <si>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</si>
  <si>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</si>
  <si>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</si>
  <si>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</si>
  <si>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</si>
  <si>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</si>
  <si>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</si>
  <si>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</si>
  <si>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</si>
  <si>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</si>
  <si>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</si>
  <si>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</si>
  <si>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</si>
  <si>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</si>
  <si>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</si>
  <si>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</si>
  <si>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</si>
  <si>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</si>
  <si>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</si>
  <si>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</si>
  <si>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</si>
  <si>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</si>
  <si>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</si>
  <si>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</si>
  <si>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</si>
  <si>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</si>
  <si>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</si>
  <si>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</si>
  <si>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</si>
  <si>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</si>
  <si>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</si>
  <si>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</si>
  <si>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</si>
  <si>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</si>
  <si>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</si>
  <si>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</si>
  <si>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</si>
  <si>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</si>
  <si>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</si>
  <si>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</si>
  <si>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</si>
  <si>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</si>
  <si>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</si>
  <si>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</si>
  <si>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</si>
  <si>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</si>
  <si>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</si>
  <si>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</si>
  <si>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</si>
  <si>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</si>
  <si>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</si>
  <si>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</si>
  <si>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</si>
  <si>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</si>
  <si>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</si>
  <si>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</si>
  <si>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</si>
  <si>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</si>
  <si>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</si>
  <si>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</si>
  <si>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</si>
  <si>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</si>
  <si>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</si>
  <si>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</si>
  <si>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</si>
  <si>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</si>
  <si>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</si>
  <si>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</si>
  <si>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</si>
  <si>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</si>
  <si>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</si>
  <si>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</si>
  <si>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</si>
  <si>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</si>
  <si>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</si>
  <si>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</si>
  <si>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</si>
  <si>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</si>
  <si>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</si>
  <si>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</si>
  <si>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</si>
  <si>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</si>
  <si>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</si>
  <si>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</si>
  <si>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</si>
  <si>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</si>
  <si>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</si>
  <si>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</si>
  <si>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</si>
  <si>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</si>
  <si>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</si>
  <si>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</si>
  <si>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</si>
  <si>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</si>
  <si>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</si>
  <si>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</si>
  <si>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</si>
  <si>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</si>
  <si>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</si>
  <si>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</si>
  <si>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</si>
  <si>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</si>
  <si>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</si>
  <si>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</si>
  <si>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</si>
  <si>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</si>
  <si>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</si>
  <si>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</si>
  <si>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</si>
  <si>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</si>
  <si>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</si>
  <si>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</si>
  <si>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</si>
  <si>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</si>
  <si>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</si>
  <si>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</si>
  <si>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</si>
  <si>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</si>
  <si>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</si>
  <si>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</si>
  <si>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</si>
  <si>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</si>
  <si>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</si>
  <si>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</si>
  <si>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</si>
  <si>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</si>
  <si>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</si>
  <si>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</si>
  <si>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</si>
  <si>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</si>
  <si>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</si>
  <si>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</si>
  <si>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</si>
  <si>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</si>
  <si>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</si>
  <si>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</si>
  <si>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</si>
  <si>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</si>
  <si>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</si>
  <si>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</si>
  <si>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</si>
  <si>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</si>
  <si>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</si>
  <si>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</si>
  <si>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</si>
  <si>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</si>
  <si>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</si>
  <si>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</si>
  <si>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</si>
  <si>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</si>
  <si>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</si>
  <si>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</si>
  <si>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</si>
  <si>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</si>
  <si>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</si>
  <si>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</si>
  <si>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</si>
  <si>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</si>
  <si>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</si>
  <si>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</si>
  <si>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</si>
  <si>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</si>
  <si>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</si>
  <si>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</si>
  <si>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</si>
  <si>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</si>
  <si>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</si>
  <si>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</si>
  <si>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</si>
  <si>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</si>
  <si>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</si>
  <si>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</si>
  <si>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</si>
  <si>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</si>
  <si>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</si>
  <si>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</si>
  <si>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</si>
  <si>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</si>
  <si>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</si>
  <si>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</si>
  <si>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</si>
  <si>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</si>
  <si>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</si>
  <si>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</si>
  <si>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</si>
  <si>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</si>
  <si>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</si>
  <si>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</si>
  <si>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</si>
  <si>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</si>
  <si>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</si>
  <si>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</si>
  <si>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</si>
  <si>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</si>
  <si>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</si>
  <si>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</si>
  <si>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</si>
  <si>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</si>
  <si>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</si>
  <si>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</si>
  <si>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</si>
  <si>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</si>
  <si>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</si>
  <si>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</si>
  <si>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</si>
  <si>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</si>
  <si>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</si>
  <si>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</si>
  <si>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</si>
  <si>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</si>
  <si>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</si>
  <si>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</si>
  <si>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</si>
  <si>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</si>
  <si>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</si>
  <si>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</si>
  <si>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</si>
  <si>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</si>
  <si>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</si>
  <si>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</si>
  <si>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</si>
  <si>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</si>
  <si>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</si>
  <si>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</si>
  <si>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</si>
  <si>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</si>
  <si>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</si>
  <si>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</si>
  <si>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</si>
  <si>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</si>
  <si>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</si>
  <si>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</si>
  <si>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</si>
  <si>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</si>
  <si>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</si>
  <si>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</si>
  <si>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</si>
  <si>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</si>
  <si>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</si>
  <si>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</si>
  <si>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</si>
  <si>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</si>
  <si>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</si>
  <si>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</si>
  <si>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</si>
  <si>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</si>
  <si>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</si>
  <si>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</si>
  <si>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</si>
  <si>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</si>
  <si>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</si>
  <si>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</si>
  <si>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</si>
  <si>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</si>
  <si>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</si>
  <si>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</si>
  <si>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</si>
  <si>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</si>
  <si>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</si>
  <si>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</si>
  <si>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</si>
  <si>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</si>
  <si>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</si>
  <si>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</si>
  <si>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</si>
  <si>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</si>
  <si>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</si>
  <si>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</si>
  <si>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</si>
  <si>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</si>
  <si>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</si>
  <si>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</si>
  <si>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</si>
  <si>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</si>
  <si>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</si>
  <si>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</si>
  <si>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</si>
  <si>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</si>
  <si>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</si>
  <si>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</si>
  <si>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</si>
  <si>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</si>
  <si>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</si>
  <si>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</si>
  <si>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</si>
  <si>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</si>
  <si>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</si>
  <si>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</si>
  <si>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</si>
  <si>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</si>
  <si>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</si>
  <si>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</si>
  <si>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</si>
  <si>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</si>
  <si>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</si>
  <si>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</si>
  <si>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</si>
  <si>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</si>
  <si>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</si>
  <si>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</si>
  <si>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</si>
  <si>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</si>
  <si>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</si>
  <si>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</si>
  <si>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</si>
  <si>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</si>
  <si>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</si>
  <si>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</si>
  <si>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</si>
  <si>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</si>
  <si>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</si>
  <si>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</si>
  <si>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</si>
  <si>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</si>
  <si>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</si>
  <si>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</si>
  <si>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</si>
  <si>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</si>
  <si>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</si>
  <si>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</si>
  <si>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</si>
  <si>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</si>
  <si>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</si>
  <si>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</si>
  <si>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</si>
  <si>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</si>
  <si>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</si>
  <si>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</si>
  <si>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</si>
  <si>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</si>
  <si>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</si>
  <si>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</si>
  <si>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</si>
  <si>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</si>
  <si>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</si>
  <si>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</si>
  <si>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</si>
  <si>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</si>
  <si>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</si>
  <si>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</si>
  <si>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</si>
  <si>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</si>
  <si>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</si>
  <si>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</si>
  <si>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</si>
  <si>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</si>
  <si>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</si>
  <si>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</si>
  <si>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</si>
  <si>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</si>
  <si>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</si>
  <si>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</si>
  <si>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</si>
  <si>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</si>
  <si>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</si>
  <si>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</si>
  <si>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</si>
  <si>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</si>
  <si>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</si>
  <si>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</si>
  <si>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</si>
  <si>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</si>
  <si>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</si>
  <si>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</si>
  <si>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</si>
  <si>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</si>
  <si>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</si>
  <si>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</si>
  <si>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</si>
  <si>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</si>
  <si>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</si>
  <si>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</si>
  <si>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</si>
  <si>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</si>
  <si>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</si>
  <si>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</si>
  <si>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</si>
  <si>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</si>
  <si>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</si>
  <si>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</si>
  <si>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</si>
  <si>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</si>
  <si>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</si>
  <si>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</si>
  <si>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</si>
  <si>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</si>
  <si>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</si>
  <si>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</si>
  <si>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</si>
  <si>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</si>
  <si>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</si>
  <si>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</si>
  <si>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</si>
  <si>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</si>
  <si>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</si>
  <si>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</si>
  <si>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</si>
  <si>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</si>
  <si>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</si>
  <si>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</si>
  <si>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</si>
  <si>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</si>
  <si>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</si>
  <si>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</si>
  <si>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</si>
  <si>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</si>
  <si>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</si>
  <si>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</si>
  <si>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</si>
  <si>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</si>
  <si>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</si>
  <si>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</si>
  <si>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</si>
  <si>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</si>
  <si>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</si>
  <si>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</si>
  <si>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</si>
  <si>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</si>
  <si>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</si>
  <si>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</si>
  <si>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</si>
  <si>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</si>
  <si>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</si>
  <si>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</si>
  <si>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</si>
  <si>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</si>
  <si>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</si>
  <si>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</si>
  <si>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</si>
  <si>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</si>
  <si>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</si>
  <si>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</si>
  <si>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</si>
  <si>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</si>
  <si>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</si>
  <si>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</si>
  <si>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</si>
  <si>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</si>
  <si>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</si>
  <si>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</si>
  <si>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</si>
  <si>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</si>
  <si>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</si>
  <si>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</si>
  <si>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</si>
  <si>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</si>
  <si>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</si>
  <si>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</si>
  <si>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</si>
  <si>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</si>
  <si>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</si>
  <si>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</si>
  <si>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</si>
  <si>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</si>
  <si>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</si>
  <si>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</si>
  <si>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</si>
  <si>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</si>
  <si>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</si>
  <si>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</si>
  <si>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</si>
  <si>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</si>
  <si>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</si>
  <si>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</si>
  <si>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</si>
  <si>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</si>
  <si>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</si>
  <si>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</si>
  <si>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</si>
  <si>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</si>
  <si>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</si>
  <si>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</si>
  <si>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</si>
  <si>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</si>
  <si>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</si>
  <si>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</si>
  <si>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</si>
  <si>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</si>
  <si>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</si>
  <si>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</si>
  <si>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</si>
  <si>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</si>
  <si>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</si>
  <si>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</si>
  <si>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</si>
  <si>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</si>
  <si>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</si>
  <si>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</si>
  <si>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</si>
  <si>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</si>
  <si>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</si>
  <si>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</si>
  <si>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</si>
  <si>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</si>
  <si>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</si>
  <si>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</si>
  <si>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</si>
  <si>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</si>
  <si>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</si>
  <si>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</si>
  <si>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</si>
  <si>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</si>
  <si>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</si>
  <si>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</si>
  <si>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</si>
  <si>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</si>
  <si>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</si>
  <si>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</si>
  <si>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</si>
  <si>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</si>
  <si>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</si>
  <si>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</si>
  <si>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</si>
  <si>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</si>
  <si>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</si>
  <si>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</si>
  <si>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</si>
  <si>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</si>
  <si>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</si>
  <si>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</si>
  <si>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</si>
  <si>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</si>
  <si>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</si>
  <si>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</si>
  <si>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</si>
  <si>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</si>
  <si>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</si>
  <si>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</si>
  <si>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</si>
  <si>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</si>
  <si>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</si>
  <si>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</si>
  <si>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</si>
  <si>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</si>
  <si>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</si>
  <si>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</si>
  <si>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</si>
  <si>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</si>
  <si>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</si>
  <si>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</si>
  <si>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</si>
  <si>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</si>
  <si>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</si>
  <si>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</si>
  <si>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</si>
  <si>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</si>
  <si>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</si>
  <si>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</si>
  <si>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</si>
  <si>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</si>
  <si>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</si>
  <si>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</si>
  <si>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</si>
  <si>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</si>
  <si>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</si>
  <si>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</si>
  <si>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</si>
  <si>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</si>
  <si>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</si>
  <si>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</si>
  <si>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</si>
  <si>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</si>
  <si>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</si>
  <si>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</si>
  <si>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</si>
  <si>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</si>
  <si>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</si>
  <si>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</si>
  <si>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</si>
  <si>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</si>
  <si>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</si>
  <si>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</si>
  <si>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</si>
  <si>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</si>
  <si>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</si>
  <si>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</si>
  <si>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</si>
  <si>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</si>
  <si>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</si>
  <si>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</si>
  <si>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</si>
  <si>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</si>
  <si>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</si>
  <si>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</si>
  <si>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</si>
  <si>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</si>
  <si>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</si>
  <si>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</si>
  <si>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</si>
  <si>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</si>
  <si>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</si>
  <si>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</si>
  <si>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</si>
  <si>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</si>
  <si>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</si>
  <si>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</si>
  <si>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</si>
  <si>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</si>
  <si>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</si>
  <si>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</si>
  <si>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</si>
  <si>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</si>
  <si>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</si>
  <si>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</si>
  <si>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</si>
  <si>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</si>
  <si>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</si>
  <si>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</si>
  <si>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</si>
  <si>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</si>
  <si>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</si>
  <si>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</si>
  <si>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</si>
  <si>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</si>
  <si>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</si>
  <si>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</si>
  <si>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</si>
  <si>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</si>
  <si>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</si>
  <si>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</si>
  <si>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</si>
  <si>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</si>
  <si>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</si>
  <si>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</si>
  <si>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</si>
  <si>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</si>
  <si>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</si>
  <si>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</si>
  <si>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</si>
  <si>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</si>
  <si>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</si>
  <si>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</si>
  <si>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</si>
  <si>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</si>
  <si>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</si>
  <si>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</si>
  <si>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</si>
  <si>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</si>
  <si>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</si>
  <si>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</si>
  <si>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</si>
  <si>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</si>
  <si>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</si>
  <si>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</si>
  <si>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</si>
  <si>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</si>
  <si>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</si>
  <si>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</si>
  <si>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</si>
  <si>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</si>
  <si>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</si>
  <si>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</si>
  <si>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</si>
  <si>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</si>
  <si>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</si>
  <si>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</si>
  <si>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</si>
  <si>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</si>
  <si>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</si>
  <si>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</si>
  <si>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</si>
  <si>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</si>
  <si>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</si>
  <si>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</si>
  <si>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</si>
  <si>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</si>
  <si>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</si>
  <si>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</si>
  <si>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</si>
  <si>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</si>
  <si>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</si>
  <si>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</si>
  <si>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</si>
  <si>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</si>
  <si>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</si>
  <si>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</si>
  <si>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</si>
  <si>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</si>
  <si>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</si>
  <si>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</si>
  <si>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</si>
  <si>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</si>
  <si>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</si>
  <si>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</si>
  <si>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</si>
  <si>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</si>
  <si>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</si>
  <si>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</si>
  <si>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</si>
  <si>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</si>
  <si>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</si>
  <si>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</si>
  <si>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</si>
  <si>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</si>
  <si>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</si>
  <si>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</si>
  <si>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</si>
  <si>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</si>
  <si>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</si>
  <si>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</si>
  <si>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</si>
  <si>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</si>
  <si>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</si>
  <si>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</si>
  <si>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</si>
  <si>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</si>
  <si>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</si>
  <si>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</si>
  <si>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</si>
  <si>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</si>
  <si>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</si>
  <si>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</si>
  <si>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</si>
  <si>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</si>
  <si>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</si>
  <si>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</si>
  <si>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</si>
  <si>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</si>
  <si>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</si>
  <si>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</si>
  <si>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</si>
  <si>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</si>
  <si>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</si>
  <si>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</si>
  <si>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</si>
  <si>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</si>
  <si>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</si>
  <si>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</si>
  <si>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</si>
  <si>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</si>
  <si>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</si>
  <si>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</si>
  <si>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</si>
  <si>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</si>
  <si>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</si>
  <si>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</si>
  <si>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</si>
  <si>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</si>
  <si>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</si>
  <si>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</si>
  <si>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</si>
  <si>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</si>
  <si>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</si>
  <si>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</si>
  <si>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</si>
  <si>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</si>
  <si>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</si>
  <si>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</si>
  <si>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</si>
  <si>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</si>
  <si>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</si>
  <si>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</si>
  <si>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</si>
  <si>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</si>
  <si>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</si>
  <si>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</si>
  <si>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</si>
  <si>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</si>
  <si>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</si>
  <si>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</si>
  <si>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</si>
  <si>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</si>
  <si>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</si>
  <si>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</si>
  <si>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</si>
  <si>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</si>
  <si>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</si>
  <si>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</si>
  <si>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</si>
  <si>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</si>
  <si>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</si>
  <si>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</si>
  <si>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</si>
  <si>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</si>
  <si>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</si>
  <si>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</si>
  <si>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</si>
  <si>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</si>
  <si>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</si>
  <si>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</si>
  <si>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</si>
  <si>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</si>
  <si>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</si>
  <si>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</si>
  <si>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</si>
  <si>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</si>
  <si>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</si>
  <si>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</si>
  <si>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</si>
  <si>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</si>
  <si>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</si>
  <si>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</si>
  <si>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</si>
  <si>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</si>
  <si>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</si>
  <si>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</si>
  <si>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</si>
  <si>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</si>
  <si>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</si>
  <si>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</si>
  <si>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</si>
  <si>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</si>
  <si>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</si>
  <si>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</si>
  <si>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</si>
  <si>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</si>
  <si>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</si>
  <si>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</si>
  <si>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</si>
  <si>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</si>
  <si>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</si>
  <si>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</si>
  <si>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</si>
  <si>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</si>
  <si>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</si>
  <si>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</si>
  <si>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</si>
  <si>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</si>
  <si>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</si>
  <si>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</si>
  <si>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</si>
  <si>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</si>
  <si>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</si>
  <si>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</si>
  <si>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</si>
  <si>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</si>
  <si>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</si>
  <si>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</si>
  <si>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</si>
  <si>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</si>
  <si>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</si>
  <si>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</si>
  <si>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</si>
  <si>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</si>
  <si>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</si>
  <si>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</si>
  <si>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</si>
  <si>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</si>
  <si>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</si>
  <si>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</si>
  <si>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</si>
  <si>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</si>
  <si>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</si>
  <si>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</si>
  <si>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</si>
  <si>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</si>
  <si>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</si>
  <si>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</si>
  <si>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</si>
  <si>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</si>
  <si>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</si>
  <si>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</si>
  <si>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</si>
  <si>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</si>
  <si>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</si>
  <si>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</si>
  <si>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</si>
  <si>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</si>
  <si>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</si>
  <si>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</si>
  <si>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</si>
  <si>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</si>
  <si>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</si>
  <si>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</si>
  <si>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</si>
  <si>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</si>
  <si>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</si>
  <si>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</si>
  <si>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</si>
  <si>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</si>
  <si>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</si>
  <si>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</si>
  <si>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</si>
  <si>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</si>
  <si>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</si>
  <si>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</si>
  <si>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</si>
  <si>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</si>
  <si>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</si>
  <si>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</si>
  <si>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</si>
  <si>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</si>
  <si>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</si>
  <si>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</si>
  <si>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</si>
  <si>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</si>
  <si>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</si>
  <si>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</si>
  <si>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</si>
  <si>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</si>
  <si>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</si>
  <si>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</si>
  <si>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</si>
  <si>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</si>
  <si>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</si>
  <si>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</si>
  <si>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</si>
  <si>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</si>
  <si>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</si>
  <si>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</si>
  <si>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</si>
  <si>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</si>
  <si>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</si>
  <si>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</si>
  <si>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</si>
  <si>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</si>
  <si>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</si>
  <si>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</si>
  <si>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</si>
  <si>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</si>
  <si>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</si>
  <si>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</si>
  <si>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</si>
  <si>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</si>
  <si>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</si>
  <si>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</si>
  <si>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</si>
  <si>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</si>
  <si>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</si>
  <si>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</si>
  <si>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</si>
  <si>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</si>
  <si>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</si>
  <si>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</si>
  <si>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</si>
  <si>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</si>
  <si>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</si>
  <si>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</si>
  <si>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</si>
  <si>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</si>
  <si>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</si>
  <si>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</si>
  <si>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</si>
  <si>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</si>
  <si>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</si>
  <si>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</si>
  <si>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</si>
  <si>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</si>
  <si>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</si>
  <si>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</si>
  <si>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</si>
  <si>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</si>
  <si>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</si>
  <si>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</si>
  <si>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</si>
  <si>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</si>
  <si>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</si>
  <si>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</si>
  <si>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</si>
  <si>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</si>
  <si>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</si>
  <si>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</si>
  <si>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</si>
  <si>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</si>
  <si>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</si>
  <si>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</si>
  <si>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</si>
  <si>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</si>
  <si>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</si>
  <si>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</si>
  <si>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</si>
  <si>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</si>
  <si>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</si>
  <si>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</si>
  <si>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</si>
  <si>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</si>
  <si>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</si>
  <si>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</si>
  <si>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</si>
  <si>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</si>
  <si>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</si>
  <si>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</si>
  <si>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</si>
  <si>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</si>
  <si>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</si>
  <si>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</si>
  <si>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</si>
  <si>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</si>
  <si>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</si>
  <si>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</si>
  <si>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</si>
  <si>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</si>
  <si>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</si>
  <si>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</si>
  <si>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</si>
  <si>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</si>
  <si>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</si>
  <si>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</si>
  <si>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</si>
  <si>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</si>
  <si>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</si>
  <si>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</si>
  <si>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</si>
  <si>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</si>
  <si>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</si>
  <si>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</si>
  <si>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</si>
  <si>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</si>
  <si>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</si>
  <si>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</si>
  <si>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</si>
  <si>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</si>
  <si>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</si>
  <si>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</si>
  <si>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</si>
  <si>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</si>
  <si>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</si>
  <si>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</si>
  <si>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</si>
  <si>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</si>
  <si>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</si>
  <si>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</si>
  <si>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</si>
  <si>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</si>
  <si>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</si>
  <si>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</si>
  <si>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</si>
  <si>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</si>
  <si>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</si>
  <si>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</si>
  <si>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</si>
  <si>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</si>
  <si>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</si>
  <si>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</si>
  <si>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</si>
  <si>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</si>
  <si>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</si>
  <si>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</si>
  <si>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</si>
  <si>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</si>
  <si>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</si>
  <si>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</si>
  <si>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</si>
  <si>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</si>
  <si>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</si>
  <si>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</si>
  <si>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</si>
  <si>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</si>
  <si>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</si>
  <si>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</si>
  <si>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</si>
  <si>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</si>
  <si>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</si>
  <si>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</si>
  <si>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</si>
  <si>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</si>
  <si>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</si>
  <si>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</si>
  <si>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</si>
  <si>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</si>
  <si>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</si>
  <si>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</si>
  <si>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</si>
  <si>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</si>
  <si>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</si>
  <si>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</si>
  <si>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</si>
  <si>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</si>
  <si>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</si>
  <si>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</si>
  <si>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</si>
  <si>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</si>
  <si>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</si>
  <si>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</si>
  <si>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</si>
  <si>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</si>
  <si>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</si>
  <si>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</si>
  <si>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</si>
  <si>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</si>
  <si>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</si>
  <si>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</si>
  <si>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</si>
  <si>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</si>
  <si>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</si>
  <si>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</si>
  <si>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</si>
  <si>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</si>
  <si>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</si>
  <si>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</si>
  <si>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</si>
  <si>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</si>
  <si>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</si>
  <si>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</si>
  <si>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</si>
  <si>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</si>
  <si>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</si>
  <si>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</si>
  <si>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</si>
  <si>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</si>
  <si>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</si>
  <si>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</si>
  <si>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</si>
  <si>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</si>
  <si>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</si>
  <si>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</si>
  <si>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</si>
  <si>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</si>
  <si>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</si>
  <si>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</si>
  <si>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</si>
  <si>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</si>
  <si>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</si>
  <si>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</si>
  <si>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</si>
  <si>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</si>
  <si>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</si>
  <si>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</si>
  <si>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</si>
  <si>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</si>
  <si>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</si>
  <si>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</si>
  <si>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</si>
  <si>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</si>
  <si>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</si>
  <si>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</si>
  <si>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</si>
  <si>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</si>
  <si>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</si>
  <si>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</si>
  <si>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</si>
  <si>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</si>
  <si>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</si>
  <si>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</si>
  <si>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</si>
  <si>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</si>
  <si>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</si>
  <si>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</si>
  <si>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</si>
  <si>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</si>
  <si>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</si>
  <si>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</si>
  <si>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</si>
  <si>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</si>
  <si>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</si>
  <si>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</si>
  <si>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</si>
  <si>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</si>
  <si>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</si>
  <si>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</si>
  <si>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</si>
  <si>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</si>
  <si>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</si>
  <si>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</si>
  <si>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</si>
  <si>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</si>
  <si>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</si>
  <si>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</si>
  <si>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</si>
  <si>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</si>
  <si>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</si>
  <si>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</si>
  <si>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</si>
  <si>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</si>
  <si>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</si>
  <si>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</si>
  <si>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</si>
  <si>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</si>
  <si>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</si>
  <si>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</si>
  <si>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</si>
  <si>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</si>
  <si>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</si>
  <si>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</si>
  <si>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</si>
  <si>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</si>
  <si>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</si>
  <si>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</si>
  <si>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</si>
  <si>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</si>
  <si>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</si>
  <si>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</si>
  <si>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</si>
  <si>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</si>
  <si>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</si>
  <si>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</si>
  <si>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</si>
  <si>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</si>
  <si>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</si>
  <si>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</si>
  <si>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</si>
  <si>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</si>
  <si>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</si>
  <si>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</si>
  <si>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</si>
  <si>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</si>
  <si>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</si>
  <si>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</si>
  <si>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</si>
  <si>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</si>
  <si>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</si>
  <si>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</si>
  <si>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</si>
  <si>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</si>
  <si>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</si>
  <si>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</si>
  <si>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</si>
  <si>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</si>
  <si>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</si>
  <si>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</si>
  <si>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</si>
  <si>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</si>
  <si>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</si>
  <si>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</si>
  <si>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</si>
  <si>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</si>
  <si>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</si>
  <si>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</si>
  <si>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</si>
  <si>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</si>
  <si>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</si>
  <si>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</si>
  <si>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</si>
  <si>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</si>
  <si>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</si>
  <si>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</si>
  <si>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</si>
  <si>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</si>
  <si>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</si>
  <si>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</si>
  <si>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</si>
  <si>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</si>
  <si>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</si>
  <si>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</si>
  <si>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</si>
  <si>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</si>
  <si>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</si>
  <si>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</si>
  <si>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</si>
  <si>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</si>
  <si>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</si>
  <si>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</si>
  <si>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</si>
  <si>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</si>
  <si>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</si>
  <si>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</si>
  <si>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</si>
  <si>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</si>
  <si>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</si>
  <si>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</si>
  <si>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</si>
  <si>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</si>
  <si>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</si>
  <si>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</si>
  <si>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</si>
  <si>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</si>
  <si>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</si>
  <si>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</si>
  <si>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</si>
  <si>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</si>
  <si>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</si>
  <si>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</si>
  <si>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</si>
  <si>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</si>
  <si>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</si>
  <si>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</si>
  <si>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</si>
  <si>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</si>
  <si>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</si>
  <si>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</si>
  <si>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</si>
  <si>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</si>
  <si>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</si>
  <si>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</si>
  <si>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</si>
  <si>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</si>
  <si>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</si>
  <si>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</si>
  <si>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</si>
  <si>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</si>
  <si>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</si>
  <si>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</si>
  <si>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</si>
  <si>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</si>
  <si>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</si>
  <si>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</si>
  <si>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</si>
  <si>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</si>
  <si>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</si>
  <si>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</si>
  <si>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</si>
  <si>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</si>
  <si>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</si>
  <si>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</si>
  <si>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</si>
  <si>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</si>
  <si>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</si>
  <si>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</si>
  <si>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</si>
  <si>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</si>
  <si>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</si>
  <si>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</si>
  <si>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</si>
  <si>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</si>
  <si>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</si>
  <si>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</si>
  <si>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</si>
  <si>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</si>
  <si>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</si>
  <si>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</si>
  <si>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</si>
  <si>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</si>
  <si>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</si>
  <si>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</si>
  <si>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</si>
  <si>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</si>
  <si>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</si>
  <si>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</si>
  <si>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</si>
  <si>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</si>
  <si>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</si>
  <si>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</si>
  <si>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</si>
  <si>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</si>
  <si>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</si>
  <si>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</si>
  <si>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</si>
  <si>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</si>
  <si>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</si>
  <si>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</si>
  <si>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</si>
  <si>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</si>
  <si>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</si>
  <si>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</si>
  <si>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</si>
  <si>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</si>
  <si>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</si>
  <si>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</si>
  <si>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</si>
  <si>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</si>
  <si>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</si>
  <si>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</si>
  <si>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</si>
  <si>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</si>
  <si>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</si>
  <si>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</si>
  <si>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</si>
  <si>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</si>
  <si>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</si>
  <si>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</si>
  <si>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</si>
  <si>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</si>
  <si>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</si>
  <si>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</si>
  <si>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</si>
  <si>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</si>
  <si>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</si>
  <si>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</si>
  <si>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</si>
  <si>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</si>
  <si>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</si>
  <si>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</si>
  <si>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</si>
  <si>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</si>
  <si>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</si>
  <si>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</si>
  <si>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</si>
  <si>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</si>
  <si>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</si>
  <si>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</si>
  <si>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</si>
  <si>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</si>
  <si>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</si>
  <si>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</si>
  <si>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</si>
  <si>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</si>
  <si>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</si>
  <si>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</si>
  <si>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</si>
  <si>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</si>
  <si>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</si>
  <si>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</si>
  <si>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</si>
  <si>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</si>
  <si>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</si>
  <si>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</si>
  <si>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</si>
  <si>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</si>
  <si>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</si>
  <si>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</si>
  <si>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</si>
  <si>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</si>
  <si>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</si>
  <si>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</si>
  <si>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</si>
  <si>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</si>
  <si>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</si>
  <si>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</si>
  <si>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</si>
  <si>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</si>
  <si>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</si>
  <si>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</si>
  <si>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</si>
  <si>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</si>
  <si>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</si>
  <si>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</si>
  <si>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</si>
  <si>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</si>
  <si>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</si>
  <si>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</si>
  <si>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</si>
  <si>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</si>
  <si>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</si>
  <si>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</si>
  <si>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</si>
  <si>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</si>
  <si>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</si>
  <si>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</si>
  <si>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</si>
  <si>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</si>
  <si>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</si>
  <si>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</si>
  <si>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</si>
  <si>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</si>
  <si>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</si>
  <si>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</si>
  <si>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</si>
  <si>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</si>
  <si>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</si>
  <si>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</si>
  <si>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</si>
  <si>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</si>
  <si>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</si>
  <si>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</si>
  <si>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</si>
  <si>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</si>
  <si>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</si>
  <si>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</si>
  <si>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</si>
  <si>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</si>
  <si>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</si>
  <si>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</si>
  <si>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</si>
  <si>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</si>
  <si>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</si>
  <si>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</si>
  <si>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</si>
  <si>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</si>
  <si>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</si>
  <si>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</si>
  <si>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</si>
  <si>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</si>
  <si>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</si>
  <si>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</si>
  <si>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</si>
  <si>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</si>
  <si>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</si>
  <si>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</si>
  <si>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</si>
  <si>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</si>
  <si>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</si>
  <si>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</si>
  <si>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</si>
  <si>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</si>
  <si>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</si>
  <si>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</si>
  <si>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</si>
  <si>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</si>
  <si>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</si>
  <si>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</si>
  <si>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</si>
  <si>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</si>
  <si>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</si>
  <si>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</si>
  <si>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</si>
  <si>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</si>
  <si>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</si>
  <si>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</si>
  <si>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</si>
  <si>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</si>
  <si>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</si>
  <si>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</si>
  <si>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</si>
  <si>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</si>
  <si>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</si>
  <si>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</si>
  <si>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</si>
  <si>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</si>
  <si>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</si>
  <si>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</si>
  <si>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</si>
  <si>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</si>
  <si>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</si>
  <si>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</si>
  <si>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</si>
  <si>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</si>
  <si>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</si>
  <si>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</si>
  <si>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</si>
  <si>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</si>
  <si>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</si>
  <si>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</si>
  <si>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</si>
  <si>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</si>
  <si>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</si>
  <si>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</si>
  <si>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</si>
  <si>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</si>
  <si>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</si>
  <si>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</si>
  <si>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</si>
  <si>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</si>
  <si>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</si>
  <si>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</si>
  <si>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</si>
  <si>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</si>
  <si>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</si>
  <si>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</si>
  <si>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</si>
  <si>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</si>
  <si>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</si>
  <si>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</si>
  <si>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</si>
  <si>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</si>
  <si>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</si>
  <si>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</si>
  <si>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</si>
  <si>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</si>
  <si>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</si>
  <si>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</si>
  <si>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</si>
  <si>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</si>
  <si>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</si>
  <si>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</si>
  <si>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</si>
  <si>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</si>
  <si>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</si>
  <si>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</si>
  <si>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</si>
  <si>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</si>
  <si>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</si>
  <si>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</si>
  <si>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</si>
  <si>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</si>
  <si>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</si>
  <si>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</si>
  <si>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</si>
  <si>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</si>
  <si>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</si>
  <si>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</si>
  <si>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</si>
  <si>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</si>
  <si>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</si>
  <si>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</si>
  <si>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</si>
  <si>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</si>
  <si>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</si>
  <si>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</si>
  <si>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</si>
  <si>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</si>
  <si>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</si>
  <si>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</si>
  <si>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</si>
  <si>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</si>
  <si>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</si>
  <si>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</si>
  <si>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</si>
  <si>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</si>
  <si>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</si>
  <si>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</si>
  <si>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</si>
  <si>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</si>
  <si>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</si>
  <si>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</si>
  <si>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</si>
  <si>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</si>
  <si>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</si>
  <si>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</si>
  <si>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</si>
  <si>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</si>
  <si>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</si>
  <si>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</si>
  <si>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</si>
  <si>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</si>
  <si>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</si>
  <si>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</si>
  <si>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</si>
  <si>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</si>
  <si>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</si>
  <si>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</si>
  <si>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</si>
  <si>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</si>
  <si>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</si>
  <si>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</si>
  <si>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</si>
  <si>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</si>
  <si>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</si>
  <si>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</si>
  <si>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</si>
  <si>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</si>
  <si>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</si>
  <si>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</si>
  <si>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</si>
  <si>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</si>
  <si>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</si>
  <si>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</si>
  <si>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</si>
  <si>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</si>
  <si>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</si>
  <si>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</si>
  <si>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</si>
  <si>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</si>
  <si>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</si>
  <si>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</si>
  <si>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</si>
  <si>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</si>
  <si>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</si>
  <si>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</si>
  <si>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</si>
  <si>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</si>
  <si>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</si>
  <si>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</si>
  <si>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</si>
  <si>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</si>
  <si>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</si>
  <si>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</si>
  <si>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</si>
  <si>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</si>
  <si>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</si>
  <si>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</si>
  <si>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</si>
  <si>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</si>
  <si>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</si>
  <si>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</si>
  <si>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</si>
  <si>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</si>
  <si>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</si>
  <si>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</si>
  <si>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</si>
  <si>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</si>
  <si>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</si>
  <si>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</si>
  <si>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</si>
  <si>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</si>
  <si>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</si>
  <si>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</si>
  <si>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</si>
  <si>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</si>
  <si>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</si>
  <si>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</si>
  <si>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</si>
  <si>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</si>
  <si>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</si>
  <si>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</si>
  <si>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</si>
  <si>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</si>
  <si>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</si>
  <si>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</si>
  <si>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</si>
  <si>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</si>
  <si>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</si>
  <si>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</si>
  <si>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</si>
  <si>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</si>
  <si>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</si>
  <si>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</si>
  <si>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</si>
  <si>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</si>
  <si>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</si>
  <si>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</si>
  <si>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</si>
  <si>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</si>
  <si>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</si>
  <si>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</si>
  <si>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</si>
  <si>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</si>
  <si>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</si>
  <si>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</si>
  <si>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</si>
  <si>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</si>
  <si>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</si>
  <si>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</si>
  <si>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</si>
  <si>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</si>
  <si>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</si>
  <si>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</si>
  <si>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</si>
  <si>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</si>
  <si>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</si>
  <si>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</si>
  <si>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</si>
  <si>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</si>
  <si>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</si>
  <si>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</si>
  <si>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</si>
  <si>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</si>
  <si>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</si>
  <si>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</si>
  <si>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</si>
  <si>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</si>
  <si>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</si>
  <si>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</si>
  <si>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</si>
  <si>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</si>
  <si>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</si>
  <si>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</si>
  <si>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</si>
  <si>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</si>
  <si>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</si>
  <si>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</si>
  <si>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</si>
  <si>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</si>
  <si>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</si>
  <si>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</si>
  <si>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</si>
  <si>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</si>
  <si>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</si>
  <si>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</si>
  <si>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</si>
  <si>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</si>
  <si>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</si>
  <si>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</si>
  <si>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</si>
  <si>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</si>
  <si>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</si>
  <si>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</si>
  <si>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</si>
  <si>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</si>
  <si>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</si>
  <si>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</si>
  <si>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</si>
  <si>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</si>
  <si>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</si>
  <si>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</si>
  <si>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</si>
  <si>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</si>
  <si>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</si>
  <si>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</si>
  <si>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</si>
  <si>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</si>
  <si>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</si>
  <si>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</si>
  <si>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</si>
  <si>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</si>
  <si>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</si>
  <si>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</si>
  <si>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</si>
  <si>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</si>
  <si>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</si>
  <si>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</si>
  <si>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</si>
  <si>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</si>
  <si>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</si>
  <si>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</si>
  <si>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</si>
  <si>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</si>
  <si>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</si>
  <si>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</si>
  <si>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</si>
  <si>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</si>
  <si>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</si>
  <si>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</si>
  <si>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</si>
  <si>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</si>
  <si>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</si>
  <si>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</si>
  <si>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</si>
  <si>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</si>
  <si>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</si>
  <si>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</si>
  <si>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</si>
  <si>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</si>
  <si>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</si>
  <si>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</si>
  <si>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</si>
  <si>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</si>
  <si>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</si>
  <si>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</si>
  <si>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</si>
  <si>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</si>
  <si>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</si>
  <si>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</si>
  <si>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</si>
  <si>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</si>
  <si>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</si>
  <si>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</si>
  <si>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</si>
  <si>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</si>
  <si>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</si>
  <si>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</si>
  <si>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</si>
  <si>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</si>
  <si>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</si>
  <si>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</si>
  <si>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</si>
  <si>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</si>
  <si>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</si>
  <si>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</si>
  <si>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</si>
  <si>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</si>
  <si>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</si>
  <si>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</si>
  <si>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</si>
  <si>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</si>
  <si>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</si>
  <si>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</si>
  <si>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</si>
  <si>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</si>
  <si>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</si>
  <si>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</si>
  <si>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</si>
  <si>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</si>
  <si>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</si>
  <si>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</si>
  <si>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</si>
  <si>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</si>
  <si>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</si>
  <si>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</si>
  <si>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</si>
  <si>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</si>
  <si>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</si>
  <si>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</si>
  <si>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</si>
  <si>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</si>
  <si>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</si>
  <si>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</si>
  <si>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</si>
  <si>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</si>
  <si>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</si>
  <si>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</si>
  <si>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</si>
  <si>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</si>
  <si>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</si>
  <si>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</si>
  <si>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</si>
  <si>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Prot_Yield</t>
  </si>
  <si>
    <t>Oil_Yield</t>
  </si>
  <si>
    <t>CROP</t>
  </si>
  <si>
    <t>Crop</t>
  </si>
  <si>
    <t>Seed_Impurities</t>
  </si>
  <si>
    <t>Glucosinolates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</si>
  <si>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</si>
  <si>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</si>
  <si>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</si>
  <si>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</si>
  <si>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</si>
  <si>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Note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</si>
  <si>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</si>
  <si>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</si>
  <si>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</si>
  <si>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</si>
  <si>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</si>
  <si>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</si>
  <si>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</si>
  <si>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</si>
  <si>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</si>
  <si>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</si>
  <si>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</si>
  <si>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</si>
  <si>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</si>
  <si>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</si>
  <si>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</si>
  <si>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</si>
  <si>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</si>
  <si>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</si>
  <si>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</si>
  <si>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</si>
  <si>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</si>
  <si>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</si>
  <si>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</si>
  <si>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</si>
  <si>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</si>
  <si>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</si>
  <si>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</si>
  <si>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</si>
  <si>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</si>
  <si>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</si>
  <si>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</si>
  <si>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</si>
  <si>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</si>
  <si>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</si>
  <si>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</si>
  <si>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</si>
  <si>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</si>
  <si>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</si>
  <si>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</si>
  <si>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</si>
  <si>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</si>
  <si>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</si>
  <si>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</si>
  <si>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</si>
  <si>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</si>
  <si>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</si>
  <si>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</si>
  <si>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</si>
  <si>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</si>
  <si>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</si>
  <si>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</si>
  <si>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</si>
  <si>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</si>
  <si>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</si>
  <si>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</si>
  <si>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</si>
  <si>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</si>
  <si>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</si>
  <si>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</si>
  <si>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</si>
  <si>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</si>
  <si>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</si>
  <si>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</si>
  <si>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</si>
  <si>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</si>
  <si>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</si>
  <si>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</si>
  <si>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</si>
  <si>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</si>
  <si>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</si>
  <si>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</si>
  <si>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</si>
  <si>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</si>
  <si>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</si>
  <si>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</si>
  <si>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</si>
  <si>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</si>
  <si>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</si>
  <si>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</si>
  <si>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</si>
  <si>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</si>
  <si>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</si>
  <si>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</si>
  <si>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</si>
  <si>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                                                      SEEDH2O_LAB = ((FWg – DWg) / FWg) x 100 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</si>
  <si>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</si>
  <si>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</si>
  <si>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</si>
  <si>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</si>
  <si>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</si>
  <si>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</si>
  <si>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</si>
  <si>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</si>
  <si>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</si>
  <si>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</si>
  <si>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</si>
  <si>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</si>
  <si>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</si>
  <si>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</si>
  <si>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</si>
  <si>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</si>
  <si>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</si>
  <si>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</si>
  <si>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</si>
  <si>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</si>
  <si>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GRWSTG_C1_value</t>
  </si>
  <si>
    <t>GRWSTG_C1_date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</si>
  <si>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</si>
  <si>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</si>
  <si>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</si>
  <si>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</si>
  <si>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</si>
  <si>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</si>
  <si>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</si>
  <si>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</si>
  <si>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</si>
  <si>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</si>
  <si>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</si>
  <si>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</si>
  <si>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</si>
  <si>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</si>
  <si>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GRWSTG_G5_value</t>
  </si>
  <si>
    <t>GRWSTG_G5_date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</si>
  <si>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</si>
  <si>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</si>
  <si>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</si>
  <si>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</si>
  <si>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</si>
  <si>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</si>
  <si>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</si>
  <si>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</si>
  <si>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</si>
  <si>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</si>
  <si>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</si>
  <si>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</si>
  <si>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</si>
  <si>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</si>
  <si>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</si>
  <si>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</si>
  <si>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</si>
  <si>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</si>
  <si>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</si>
  <si>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</si>
  <si>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</si>
  <si>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</si>
  <si>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</si>
  <si>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</si>
  <si>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</si>
  <si>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</si>
  <si>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</si>
  <si>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</si>
  <si>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</si>
  <si>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</si>
  <si>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</si>
  <si>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</si>
  <si>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RAPSO_SYN</t>
  </si>
  <si>
    <t>Diversity analysis and adaptation to N constraints</t>
  </si>
  <si>
    <t>culumn</t>
  </si>
  <si>
    <t>wheat</t>
  </si>
  <si>
    <t>Syngenta Verpillières, 80</t>
  </si>
  <si>
    <t>VER</t>
  </si>
  <si>
    <t>P</t>
  </si>
  <si>
    <t xml:space="preserve">row </t>
  </si>
  <si>
    <t>RAPSO_304</t>
  </si>
  <si>
    <t>RAPSO_323</t>
  </si>
  <si>
    <t>RAPSO_325</t>
  </si>
  <si>
    <t>Meteo_data</t>
  </si>
  <si>
    <t>See tab</t>
  </si>
  <si>
    <t>Excel</t>
  </si>
  <si>
    <t>Soil_data</t>
  </si>
  <si>
    <t>INN_data</t>
  </si>
  <si>
    <t>Parcellaire_data</t>
  </si>
  <si>
    <t>ITK_data</t>
  </si>
  <si>
    <t>Action</t>
  </si>
  <si>
    <t>Produits</t>
  </si>
  <si>
    <t>Cibles</t>
  </si>
  <si>
    <t>Détails</t>
  </si>
  <si>
    <t>INN</t>
  </si>
  <si>
    <t>Nom de la demande</t>
  </si>
  <si>
    <t>Pas de temps</t>
  </si>
  <si>
    <t>Date de début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</si>
  <si>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</si>
  <si>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</si>
  <si>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</si>
  <si>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</si>
  <si>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</si>
  <si>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</si>
  <si>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</si>
  <si>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</si>
  <si>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</si>
  <si>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</si>
  <si>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</si>
  <si>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</si>
  <si>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</si>
  <si>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</si>
  <si>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</si>
  <si>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</si>
  <si>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</si>
  <si>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</si>
  <si>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</si>
  <si>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</si>
  <si>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</si>
  <si>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</si>
  <si>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</si>
  <si>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</si>
  <si>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</si>
  <si>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</si>
  <si>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</si>
  <si>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</si>
  <si>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</si>
  <si>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</si>
  <si>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</si>
  <si>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</si>
  <si>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</si>
  <si>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</si>
  <si>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A modifier si nécessaire</t>
  </si>
  <si>
    <r>
      <t>Fertilisation limitante</t>
    </r>
    <r>
      <rPr>
        <b/>
        <sz val="10"/>
        <rFont val="Geneva"/>
      </rPr>
      <t xml:space="preserve"> (Dose)</t>
    </r>
  </si>
  <si>
    <r>
      <t xml:space="preserve">Fertilisation optimale </t>
    </r>
    <r>
      <rPr>
        <b/>
        <sz val="10"/>
        <rFont val="Geneva"/>
      </rPr>
      <t>(Dose)</t>
    </r>
  </si>
  <si>
    <t>Infos concernant la nature du sol, sa composition, sa profondeur...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</si>
  <si>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</si>
  <si>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</si>
  <si>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Ne mettre que les datas brutes</t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</si>
  <si>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</si>
  <si>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</si>
  <si>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</si>
  <si>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</si>
  <si>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</si>
  <si>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</si>
  <si>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</si>
  <si>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</si>
  <si>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</si>
  <si>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</si>
  <si>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Le plan de l'essai avec les coordonnées X-Y correspondantes à celles de l'onglet "Data"</t>
  </si>
  <si>
    <t>2015-2016</t>
  </si>
  <si>
    <t>RCB</t>
  </si>
  <si>
    <t>NONE</t>
  </si>
  <si>
    <t>MOREAU</t>
  </si>
  <si>
    <t>Julien</t>
  </si>
  <si>
    <t>+33 (0) 6 78 15 40 47</t>
  </si>
  <si>
    <t>julien.moreau@syngenta.com</t>
  </si>
  <si>
    <t>Syngenta France SAS</t>
  </si>
  <si>
    <t>AUREA</t>
  </si>
  <si>
    <t>Rapsodyn SYN 16</t>
  </si>
  <si>
    <t>Visual differences between N regimes ; troubles at harvest</t>
  </si>
  <si>
    <t>winter wheat</t>
  </si>
  <si>
    <t>Submitter</t>
  </si>
  <si>
    <t>AVISO</t>
  </si>
  <si>
    <t>MONTEGO</t>
  </si>
  <si>
    <t>TENOR</t>
  </si>
  <si>
    <t>EXPRESS</t>
  </si>
  <si>
    <t>A05-AMQ0</t>
  </si>
  <si>
    <t>A05-AMQ1</t>
  </si>
  <si>
    <t>C03-AMQ0</t>
  </si>
  <si>
    <t>C03-AMQ1</t>
  </si>
  <si>
    <t>C04-DKQ0</t>
  </si>
  <si>
    <t>C04-DKQ1</t>
  </si>
  <si>
    <t>AM087</t>
  </si>
  <si>
    <t>AM109</t>
  </si>
  <si>
    <t>DK038</t>
  </si>
  <si>
    <t>EXL4816</t>
  </si>
  <si>
    <t>EXL3155</t>
  </si>
  <si>
    <t>C03-1ESQ0</t>
  </si>
  <si>
    <t>C03-1ESQ1</t>
  </si>
  <si>
    <t>C04-1ESQ0</t>
  </si>
  <si>
    <t>C04-1ESQ1</t>
  </si>
  <si>
    <t>LEL17</t>
  </si>
  <si>
    <t>C04-1LEQ0</t>
  </si>
  <si>
    <t>C04-1LEQ1</t>
  </si>
  <si>
    <t>A05-1LEQ0</t>
  </si>
  <si>
    <t>A05-1LEQ1</t>
  </si>
  <si>
    <t>RAPSO_4</t>
  </si>
  <si>
    <t>C04-1MASQ0</t>
  </si>
  <si>
    <t>C04-1MASQ1</t>
  </si>
  <si>
    <t>C04-1RAGTQ0</t>
  </si>
  <si>
    <t>C04-1RAGTQ1</t>
  </si>
  <si>
    <t>C04-1SYNQ0</t>
  </si>
  <si>
    <t>C04-1SYNQ1</t>
  </si>
  <si>
    <t>Euralis</t>
  </si>
  <si>
    <t>Maïsadour</t>
  </si>
  <si>
    <t>N-</t>
  </si>
  <si>
    <t>N+</t>
  </si>
  <si>
    <t>replication</t>
  </si>
  <si>
    <t>37</t>
  </si>
  <si>
    <t>04535</t>
  </si>
  <si>
    <t>04537</t>
  </si>
  <si>
    <t>04539</t>
  </si>
  <si>
    <t>04541</t>
  </si>
  <si>
    <t>04542</t>
  </si>
  <si>
    <t>04543</t>
  </si>
  <si>
    <t>04544</t>
  </si>
  <si>
    <t>04545</t>
  </si>
  <si>
    <t>04546</t>
  </si>
  <si>
    <t>04547</t>
  </si>
  <si>
    <t>18</t>
  </si>
  <si>
    <t>04548</t>
  </si>
  <si>
    <t>04549</t>
  </si>
  <si>
    <t>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</si>
  <si>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</si>
  <si>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</si>
  <si>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</si>
  <si>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</si>
  <si>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</si>
  <si>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</si>
  <si>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</si>
  <si>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</si>
  <si>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</si>
  <si>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</si>
  <si>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</si>
  <si>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</si>
  <si>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</si>
  <si>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27</t>
  </si>
  <si>
    <t>04563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</si>
  <si>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</si>
  <si>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</si>
  <si>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</si>
  <si>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</si>
  <si>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</si>
  <si>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</si>
  <si>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</si>
  <si>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</si>
  <si>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</si>
  <si>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</si>
  <si>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04574</t>
  </si>
  <si>
    <t>04575</t>
  </si>
  <si>
    <t>16</t>
  </si>
  <si>
    <t>04587</t>
  </si>
  <si>
    <t>04610</t>
  </si>
  <si>
    <t>04609</t>
  </si>
  <si>
    <t>04602</t>
  </si>
  <si>
    <t>04594</t>
  </si>
  <si>
    <t>04601</t>
  </si>
  <si>
    <t>04611</t>
  </si>
  <si>
    <t>04614</t>
  </si>
  <si>
    <t>04577</t>
  </si>
  <si>
    <t>04586</t>
  </si>
  <si>
    <t>04598</t>
  </si>
  <si>
    <t>04589</t>
  </si>
  <si>
    <t>04593</t>
  </si>
  <si>
    <t>04613</t>
  </si>
  <si>
    <t>04583</t>
  </si>
  <si>
    <t>04617</t>
  </si>
  <si>
    <t>04600</t>
  </si>
  <si>
    <t>04603</t>
  </si>
  <si>
    <t>04590</t>
  </si>
  <si>
    <t>04608</t>
  </si>
  <si>
    <t>04616</t>
  </si>
  <si>
    <t>04591</t>
  </si>
  <si>
    <t>04592</t>
  </si>
  <si>
    <t>04576</t>
  </si>
  <si>
    <t>04599</t>
  </si>
  <si>
    <t>42</t>
  </si>
  <si>
    <t>04605</t>
  </si>
  <si>
    <t>04579</t>
  </si>
  <si>
    <t>04582</t>
  </si>
  <si>
    <t>04604</t>
  </si>
  <si>
    <t>04581</t>
  </si>
  <si>
    <t>04584</t>
  </si>
  <si>
    <t>04596</t>
  </si>
  <si>
    <t>04580</t>
  </si>
  <si>
    <t>04585</t>
  </si>
  <si>
    <t>04615</t>
  </si>
  <si>
    <t>04578</t>
  </si>
  <si>
    <t>04588</t>
  </si>
  <si>
    <t>04595</t>
  </si>
  <si>
    <t>33</t>
  </si>
  <si>
    <t>04626</t>
  </si>
  <si>
    <t>04627</t>
  </si>
  <si>
    <t>04648</t>
  </si>
  <si>
    <t>04634</t>
  </si>
  <si>
    <t>04654</t>
  </si>
  <si>
    <t>04619</t>
  </si>
  <si>
    <t>04643</t>
  </si>
  <si>
    <t>04641</t>
  </si>
  <si>
    <t>04659</t>
  </si>
  <si>
    <t>04636</t>
  </si>
  <si>
    <t>32</t>
  </si>
  <si>
    <t>04657</t>
  </si>
  <si>
    <t>04633</t>
  </si>
  <si>
    <t>04652</t>
  </si>
  <si>
    <t>04638</t>
  </si>
  <si>
    <t>04637</t>
  </si>
  <si>
    <t>04620</t>
  </si>
  <si>
    <t>04645</t>
  </si>
  <si>
    <t>04653</t>
  </si>
  <si>
    <t>04629</t>
  </si>
  <si>
    <t>04642</t>
  </si>
  <si>
    <t>04651</t>
  </si>
  <si>
    <t>04625</t>
  </si>
  <si>
    <t>04635</t>
  </si>
  <si>
    <t>04655</t>
  </si>
  <si>
    <t>04649</t>
  </si>
  <si>
    <t>35</t>
  </si>
  <si>
    <t>04640</t>
  </si>
  <si>
    <t>04644</t>
  </si>
  <si>
    <t>04623</t>
  </si>
  <si>
    <t>04621</t>
  </si>
  <si>
    <t>04639</t>
  </si>
  <si>
    <t>04622</t>
  </si>
  <si>
    <t>04618</t>
  </si>
  <si>
    <t>04632</t>
  </si>
  <si>
    <t>04650</t>
  </si>
  <si>
    <t>04628</t>
  </si>
  <si>
    <t>04647</t>
  </si>
  <si>
    <t>04630</t>
  </si>
  <si>
    <t>04646</t>
  </si>
  <si>
    <t>04661</t>
  </si>
  <si>
    <t>04663</t>
  </si>
  <si>
    <t>04665</t>
  </si>
  <si>
    <t>04667</t>
  </si>
  <si>
    <t>04668</t>
  </si>
  <si>
    <t>04669</t>
  </si>
  <si>
    <t>04670</t>
  </si>
  <si>
    <t>04671</t>
  </si>
  <si>
    <t>04672</t>
  </si>
  <si>
    <t>04673</t>
  </si>
  <si>
    <t>20</t>
  </si>
  <si>
    <t>04674</t>
  </si>
  <si>
    <t>04675</t>
  </si>
  <si>
    <t>13</t>
  </si>
  <si>
    <t>04676</t>
  </si>
  <si>
    <t>04677</t>
  </si>
  <si>
    <t>04678</t>
  </si>
  <si>
    <t>04679</t>
  </si>
  <si>
    <t>04680</t>
  </si>
  <si>
    <t>04681</t>
  </si>
  <si>
    <t>04682</t>
  </si>
  <si>
    <t>04683</t>
  </si>
  <si>
    <t>04684</t>
  </si>
  <si>
    <t>04685</t>
  </si>
  <si>
    <t>04686</t>
  </si>
  <si>
    <t>04687</t>
  </si>
  <si>
    <t>04688</t>
  </si>
  <si>
    <t>04689</t>
  </si>
  <si>
    <t>04690</t>
  </si>
  <si>
    <t>04691</t>
  </si>
  <si>
    <t>04692</t>
  </si>
  <si>
    <t>04693</t>
  </si>
  <si>
    <t>04694</t>
  </si>
  <si>
    <t>04695</t>
  </si>
  <si>
    <t>04696</t>
  </si>
  <si>
    <t>04697</t>
  </si>
  <si>
    <t>04698</t>
  </si>
  <si>
    <t>04699</t>
  </si>
  <si>
    <t>04700</t>
  </si>
  <si>
    <t>04701</t>
  </si>
  <si>
    <t>34</t>
  </si>
  <si>
    <t>04713</t>
  </si>
  <si>
    <t>04736</t>
  </si>
  <si>
    <t>04735</t>
  </si>
  <si>
    <t>04728</t>
  </si>
  <si>
    <t>04720</t>
  </si>
  <si>
    <t>04727</t>
  </si>
  <si>
    <t>04737</t>
  </si>
  <si>
    <t>04740</t>
  </si>
  <si>
    <t>04703</t>
  </si>
  <si>
    <t>04712</t>
  </si>
  <si>
    <t>48</t>
  </si>
  <si>
    <t>04724</t>
  </si>
  <si>
    <t>04715</t>
  </si>
  <si>
    <t>12</t>
  </si>
  <si>
    <t>04719</t>
  </si>
  <si>
    <t>04739</t>
  </si>
  <si>
    <t>04709</t>
  </si>
  <si>
    <t>04743</t>
  </si>
  <si>
    <t>04726</t>
  </si>
  <si>
    <t>04729</t>
  </si>
  <si>
    <t>04716</t>
  </si>
  <si>
    <t>04734</t>
  </si>
  <si>
    <t>04742</t>
  </si>
  <si>
    <t>04717</t>
  </si>
  <si>
    <t>04718</t>
  </si>
  <si>
    <t>04702</t>
  </si>
  <si>
    <t>04725</t>
  </si>
  <si>
    <t>21</t>
  </si>
  <si>
    <t>04731</t>
  </si>
  <si>
    <t>04705</t>
  </si>
  <si>
    <t>04708</t>
  </si>
  <si>
    <t>04730</t>
  </si>
  <si>
    <t>04707</t>
  </si>
  <si>
    <t>04710</t>
  </si>
  <si>
    <t>04722</t>
  </si>
  <si>
    <t>04706</t>
  </si>
  <si>
    <t>04711</t>
  </si>
  <si>
    <t>04741</t>
  </si>
  <si>
    <t>04704</t>
  </si>
  <si>
    <t>04714</t>
  </si>
  <si>
    <t>04721</t>
  </si>
  <si>
    <t>30</t>
  </si>
  <si>
    <t>04752</t>
  </si>
  <si>
    <t>04753</t>
  </si>
  <si>
    <t>04774</t>
  </si>
  <si>
    <t>04760</t>
  </si>
  <si>
    <t>04780</t>
  </si>
  <si>
    <t>04745</t>
  </si>
  <si>
    <t>04769</t>
  </si>
  <si>
    <t>04767</t>
  </si>
  <si>
    <t>04785</t>
  </si>
  <si>
    <t>04762</t>
  </si>
  <si>
    <t>04783</t>
  </si>
  <si>
    <t>04759</t>
  </si>
  <si>
    <t>04778</t>
  </si>
  <si>
    <t>04764</t>
  </si>
  <si>
    <t>04763</t>
  </si>
  <si>
    <t>04746</t>
  </si>
  <si>
    <t>04771</t>
  </si>
  <si>
    <t>04779</t>
  </si>
  <si>
    <t>04755</t>
  </si>
  <si>
    <t>04768</t>
  </si>
  <si>
    <t>04777</t>
  </si>
  <si>
    <t>04751</t>
  </si>
  <si>
    <t>04761</t>
  </si>
  <si>
    <t>04781</t>
  </si>
  <si>
    <t>04775</t>
  </si>
  <si>
    <t>04766</t>
  </si>
  <si>
    <t>04770</t>
  </si>
  <si>
    <t>04749</t>
  </si>
  <si>
    <t>04747</t>
  </si>
  <si>
    <t>04765</t>
  </si>
  <si>
    <t>04748</t>
  </si>
  <si>
    <t>04744</t>
  </si>
  <si>
    <t>04758</t>
  </si>
  <si>
    <t>04776</t>
  </si>
  <si>
    <t>04754</t>
  </si>
  <si>
    <t>04773</t>
  </si>
  <si>
    <t>04756</t>
  </si>
  <si>
    <t>04772</t>
  </si>
  <si>
    <t>used for INN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</si>
  <si>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</si>
  <si>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</si>
  <si>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</si>
  <si>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</si>
  <si>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</si>
  <si>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</si>
  <si>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</si>
  <si>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</si>
  <si>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</si>
  <si>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</si>
  <si>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</si>
  <si>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</si>
  <si>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</si>
  <si>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</si>
  <si>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</si>
  <si>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</si>
  <si>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</si>
  <si>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</si>
  <si>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</si>
  <si>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</si>
  <si>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</si>
  <si>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</si>
  <si>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</si>
  <si>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</si>
  <si>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</si>
  <si>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</si>
  <si>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</si>
  <si>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</si>
  <si>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</si>
  <si>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</si>
  <si>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</si>
  <si>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</si>
  <si>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</si>
  <si>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</si>
  <si>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</si>
  <si>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</si>
  <si>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</si>
  <si>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</si>
  <si>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</si>
  <si>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</si>
  <si>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</si>
  <si>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</si>
  <si>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</si>
  <si>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</si>
  <si>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</si>
  <si>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</si>
  <si>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</si>
  <si>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</si>
  <si>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</si>
  <si>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</si>
  <si>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</si>
  <si>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</si>
  <si>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</si>
  <si>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</si>
  <si>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</si>
  <si>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</si>
  <si>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</si>
  <si>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</si>
  <si>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</si>
  <si>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</si>
  <si>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</si>
  <si>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</si>
  <si>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</si>
  <si>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</si>
  <si>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</si>
  <si>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</si>
  <si>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</si>
  <si>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</si>
  <si>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</si>
  <si>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</si>
  <si>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</si>
  <si>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</si>
  <si>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</si>
  <si>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</si>
  <si>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</si>
  <si>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</si>
  <si>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</si>
  <si>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</si>
  <si>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</si>
  <si>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</si>
  <si>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</si>
  <si>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</si>
  <si>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</si>
  <si>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</si>
  <si>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</si>
  <si>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</si>
  <si>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</si>
  <si>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</si>
  <si>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</si>
  <si>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</si>
  <si>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</si>
  <si>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</si>
  <si>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</si>
  <si>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</si>
  <si>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</si>
  <si>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</si>
  <si>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</si>
  <si>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</si>
  <si>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</si>
  <si>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</si>
  <si>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</si>
  <si>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</si>
  <si>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</si>
  <si>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</si>
  <si>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</si>
  <si>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</si>
  <si>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</si>
  <si>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</si>
  <si>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</si>
  <si>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</si>
  <si>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</si>
  <si>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</si>
  <si>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</si>
  <si>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</si>
  <si>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</si>
  <si>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</si>
  <si>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</si>
  <si>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</si>
  <si>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</si>
  <si>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</si>
  <si>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</si>
  <si>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</si>
  <si>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</si>
  <si>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</si>
  <si>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</si>
  <si>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</si>
  <si>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</si>
  <si>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</si>
  <si>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</si>
  <si>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</si>
  <si>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</si>
  <si>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</si>
  <si>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</si>
  <si>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</si>
  <si>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</si>
  <si>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</si>
  <si>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</si>
  <si>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</si>
  <si>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</si>
  <si>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</si>
  <si>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</si>
  <si>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</si>
  <si>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</si>
  <si>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</si>
  <si>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</si>
  <si>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</si>
  <si>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</si>
  <si>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</si>
  <si>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</si>
  <si>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</si>
  <si>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</si>
  <si>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</si>
  <si>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</si>
  <si>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</si>
  <si>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</si>
  <si>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</si>
  <si>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</si>
  <si>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</si>
  <si>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</si>
  <si>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</si>
  <si>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</si>
  <si>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</si>
  <si>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</si>
  <si>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</si>
  <si>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</si>
  <si>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</si>
  <si>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</si>
  <si>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</si>
  <si>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</si>
  <si>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</si>
  <si>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</si>
  <si>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</si>
  <si>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</si>
  <si>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</si>
  <si>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</si>
  <si>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</si>
  <si>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</si>
  <si>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</si>
  <si>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</si>
  <si>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</si>
  <si>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</si>
  <si>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</si>
  <si>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</si>
  <si>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</si>
  <si>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</si>
  <si>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</si>
  <si>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</si>
  <si>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</si>
  <si>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</si>
  <si>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</si>
  <si>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</si>
  <si>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</si>
  <si>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</si>
  <si>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</si>
  <si>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</si>
  <si>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</si>
  <si>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</si>
  <si>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</si>
  <si>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</si>
  <si>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</si>
  <si>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</si>
  <si>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</si>
  <si>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</si>
  <si>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</si>
  <si>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</si>
  <si>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</si>
  <si>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</si>
  <si>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</si>
  <si>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</si>
  <si>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</si>
  <si>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</si>
  <si>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</si>
  <si>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</si>
  <si>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</si>
  <si>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</si>
  <si>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</si>
  <si>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</si>
  <si>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</si>
  <si>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</si>
  <si>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</si>
  <si>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</si>
  <si>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</si>
  <si>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</si>
  <si>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</si>
  <si>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</si>
  <si>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</si>
  <si>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</si>
  <si>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</si>
  <si>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</si>
  <si>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</si>
  <si>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</si>
  <si>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</si>
  <si>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</si>
  <si>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</si>
  <si>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</si>
  <si>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</si>
  <si>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</si>
  <si>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</si>
  <si>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</si>
  <si>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</si>
  <si>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</si>
  <si>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</si>
  <si>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</si>
  <si>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</si>
  <si>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</si>
  <si>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</si>
  <si>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</si>
  <si>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</si>
  <si>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</si>
  <si>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</si>
  <si>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</si>
  <si>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</si>
  <si>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</si>
  <si>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</si>
  <si>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</si>
  <si>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</si>
  <si>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</si>
  <si>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</si>
  <si>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</si>
  <si>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</si>
  <si>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</si>
  <si>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</si>
  <si>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</si>
  <si>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</si>
  <si>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</si>
  <si>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</si>
  <si>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</si>
  <si>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</si>
  <si>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</si>
  <si>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</si>
  <si>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</si>
  <si>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</si>
  <si>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</si>
  <si>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</si>
  <si>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</si>
  <si>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</si>
  <si>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</si>
  <si>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</si>
  <si>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</si>
  <si>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</si>
  <si>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</si>
  <si>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</si>
  <si>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</si>
  <si>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</si>
  <si>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</si>
  <si>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</si>
  <si>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</si>
  <si>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</si>
  <si>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</si>
  <si>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</si>
  <si>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</si>
  <si>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</si>
  <si>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</si>
  <si>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</si>
  <si>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</si>
  <si>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</si>
  <si>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</si>
  <si>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</si>
  <si>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</si>
  <si>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</si>
  <si>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</si>
  <si>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</si>
  <si>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</si>
  <si>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</si>
  <si>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</si>
  <si>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</si>
  <si>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</si>
  <si>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</si>
  <si>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</si>
  <si>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</si>
  <si>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</si>
  <si>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</si>
  <si>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</si>
  <si>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</si>
  <si>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</si>
  <si>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</si>
  <si>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</si>
  <si>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</si>
  <si>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</si>
  <si>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</si>
  <si>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</si>
  <si>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</si>
  <si>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</si>
  <si>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</si>
  <si>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</si>
  <si>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</si>
  <si>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</si>
  <si>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</si>
  <si>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</si>
  <si>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</si>
  <si>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</si>
  <si>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</si>
  <si>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</si>
  <si>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</si>
  <si>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</si>
  <si>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</si>
  <si>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</si>
  <si>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</si>
  <si>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</si>
  <si>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</si>
  <si>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</si>
  <si>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</si>
  <si>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</si>
  <si>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</si>
  <si>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</si>
  <si>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</si>
  <si>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</si>
  <si>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</si>
  <si>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</si>
  <si>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</si>
  <si>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</si>
  <si>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</si>
  <si>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</si>
  <si>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</si>
  <si>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</si>
  <si>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</si>
  <si>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</si>
  <si>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</si>
  <si>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</si>
  <si>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</si>
  <si>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</si>
  <si>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</si>
  <si>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</si>
  <si>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</si>
  <si>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</si>
  <si>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</si>
  <si>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</si>
  <si>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</si>
  <si>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</si>
  <si>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</si>
  <si>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</si>
  <si>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</si>
  <si>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</si>
  <si>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</si>
  <si>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</si>
  <si>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</si>
  <si>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</si>
  <si>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</si>
  <si>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</si>
  <si>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</si>
  <si>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</si>
  <si>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</si>
  <si>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</si>
  <si>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</si>
  <si>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</si>
  <si>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</si>
  <si>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</si>
  <si>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</si>
  <si>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</si>
  <si>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</si>
  <si>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</si>
  <si>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</si>
  <si>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</si>
  <si>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</si>
  <si>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</si>
  <si>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</si>
  <si>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</si>
  <si>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</si>
  <si>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</si>
  <si>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</si>
  <si>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</si>
  <si>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</si>
  <si>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</si>
  <si>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</si>
  <si>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</si>
  <si>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</si>
  <si>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</si>
  <si>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</si>
  <si>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</si>
  <si>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</si>
  <si>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</si>
  <si>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</si>
  <si>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PARCELLES</t>
  </si>
  <si>
    <t>NB plantes total</t>
  </si>
  <si>
    <t>NB plantes (4/5)</t>
  </si>
  <si>
    <t>NB plantes (1/5)</t>
  </si>
  <si>
    <t>POIDS FRAIS - g (FEUILLE1)
06/04/2016</t>
  </si>
  <si>
    <t>POIDS FRAIS 4/5 - g (FEUILLE1)
06/04/2016</t>
  </si>
  <si>
    <t>POIDS FRAIS 1/5 - g (FEUILLE1)
06/04/2016</t>
  </si>
  <si>
    <t>POIDS FRAIS - g (FEUILLE2)
06/04/2016</t>
  </si>
  <si>
    <t>Delta FEUILLE1-FEUILLE2</t>
  </si>
  <si>
    <t>echantillonnage
(1/5) / (4/5)</t>
  </si>
  <si>
    <t>POIDS FRAIS FEUILLES - g</t>
  </si>
  <si>
    <t>POIDS FRAIS TIGE - g</t>
  </si>
  <si>
    <t>POIDS SEC 1/5 - g (FEUILLE3)
13/04/2016</t>
  </si>
  <si>
    <t>taux humidité</t>
  </si>
  <si>
    <t>POIDS SEC FEUILLES - g</t>
  </si>
  <si>
    <t>POIDS SEC TIGE - g</t>
  </si>
  <si>
    <t>N% moyen</t>
  </si>
  <si>
    <t>N% tige</t>
  </si>
  <si>
    <t>N% feuille</t>
  </si>
  <si>
    <t>REMARQUES PRELEVEMENTS</t>
  </si>
  <si>
    <t>SURFACE prélevée m²</t>
  </si>
  <si>
    <t>densité pl/m²</t>
  </si>
  <si>
    <t>PO1 R1</t>
  </si>
  <si>
    <t>PO1 R2</t>
  </si>
  <si>
    <t>PO1 R3</t>
  </si>
  <si>
    <t>PO1 R4</t>
  </si>
  <si>
    <t>172 (967)</t>
  </si>
  <si>
    <t>275 (669)</t>
  </si>
  <si>
    <t>seule une partie de l'échantillon a été conservé par erreur</t>
  </si>
  <si>
    <t>PO1 R5</t>
  </si>
  <si>
    <t>PO1 R6</t>
  </si>
  <si>
    <t>PO3 R1</t>
  </si>
  <si>
    <t>échantillon FEUILLE2 issu de PO3 R1 4/5</t>
  </si>
  <si>
    <t>PO3 R2</t>
  </si>
  <si>
    <t>PO3 R3</t>
  </si>
  <si>
    <t>PO3 R4</t>
  </si>
  <si>
    <t>PO3 R5</t>
  </si>
  <si>
    <t>PO3 R6</t>
  </si>
  <si>
    <t>PO5 R1</t>
  </si>
  <si>
    <t>PO5 R2</t>
  </si>
  <si>
    <t>PO5 R3</t>
  </si>
  <si>
    <t>PO5 R4</t>
  </si>
  <si>
    <t>PO5 R5</t>
  </si>
  <si>
    <t>PO5 R6</t>
  </si>
  <si>
    <t>PO7 R1</t>
  </si>
  <si>
    <t>PO7 R2</t>
  </si>
  <si>
    <t>PO7 R3</t>
  </si>
  <si>
    <t>PO7 R4</t>
  </si>
  <si>
    <t>PO7 R5</t>
  </si>
  <si>
    <t>PO7 R6</t>
  </si>
  <si>
    <t>PO-9</t>
  </si>
  <si>
    <t>PO-28</t>
  </si>
  <si>
    <t>PO-3</t>
  </si>
  <si>
    <t>PO-15</t>
  </si>
  <si>
    <t>PO-1</t>
  </si>
  <si>
    <t>PO-13</t>
  </si>
  <si>
    <t>PO-37</t>
  </si>
  <si>
    <t>PO-38</t>
  </si>
  <si>
    <t>PO-39</t>
  </si>
  <si>
    <t>PO-40</t>
  </si>
  <si>
    <t>PO-41</t>
  </si>
  <si>
    <t>PO-42</t>
  </si>
  <si>
    <t>PO-6</t>
  </si>
  <si>
    <t>PO-29</t>
  </si>
  <si>
    <t>PO-25</t>
  </si>
  <si>
    <t>PO-17</t>
  </si>
  <si>
    <t>PO-22</t>
  </si>
  <si>
    <t>PO-36</t>
  </si>
  <si>
    <t>PO-35</t>
  </si>
  <si>
    <t>PO-34</t>
  </si>
  <si>
    <t>PO-33</t>
  </si>
  <si>
    <t>PO-32</t>
  </si>
  <si>
    <t>PO-31</t>
  </si>
  <si>
    <t>PO-24</t>
  </si>
  <si>
    <t>PO-11</t>
  </si>
  <si>
    <t>PO-21</t>
  </si>
  <si>
    <t>PO-26</t>
  </si>
  <si>
    <t>PO-27</t>
  </si>
  <si>
    <t>PO-30</t>
  </si>
  <si>
    <t>PO-14</t>
  </si>
  <si>
    <t>PO-19</t>
  </si>
  <si>
    <t>PO-18</t>
  </si>
  <si>
    <t>PO-12</t>
  </si>
  <si>
    <t>PO-23</t>
  </si>
  <si>
    <t>PO-20</t>
  </si>
  <si>
    <t>PO-5</t>
  </si>
  <si>
    <t>PO-16</t>
  </si>
  <si>
    <t>PO-8</t>
  </si>
  <si>
    <t>PO-7</t>
  </si>
  <si>
    <t>PO-2</t>
  </si>
  <si>
    <t>PO-4</t>
  </si>
  <si>
    <t>PO-10</t>
  </si>
  <si>
    <t>R1</t>
  </si>
  <si>
    <t>R2</t>
  </si>
  <si>
    <t>R3</t>
  </si>
  <si>
    <t>R4</t>
  </si>
  <si>
    <t>R5</t>
  </si>
  <si>
    <t>R6</t>
  </si>
  <si>
    <t>FACONS CULTURALES</t>
  </si>
  <si>
    <t>Interventions</t>
  </si>
  <si>
    <t>Profondeur</t>
  </si>
  <si>
    <t>déchaumage</t>
  </si>
  <si>
    <t>labour</t>
  </si>
  <si>
    <t>rotative croskillette</t>
  </si>
  <si>
    <t>FICHE CULTURALE</t>
  </si>
  <si>
    <t>IRRIGATION</t>
  </si>
  <si>
    <t>Quantité</t>
  </si>
  <si>
    <t>FERTILISATION</t>
  </si>
  <si>
    <t>Quantité/ha</t>
  </si>
  <si>
    <t>N</t>
  </si>
  <si>
    <t>P0205</t>
  </si>
  <si>
    <t>K2O</t>
  </si>
  <si>
    <t>MG0</t>
  </si>
  <si>
    <t>S03</t>
  </si>
  <si>
    <t>N39</t>
  </si>
  <si>
    <t>MAG 15-40</t>
  </si>
  <si>
    <t>N40</t>
  </si>
  <si>
    <t>PROTECTION DES CULTURES</t>
  </si>
  <si>
    <t>Insecticides</t>
  </si>
  <si>
    <t>Produits et doses</t>
  </si>
  <si>
    <t>(Sol - foliaire)</t>
  </si>
  <si>
    <t>Karaté Xpress 0,15</t>
  </si>
  <si>
    <t>Mavrick 0,2</t>
  </si>
  <si>
    <t>Décis Protech 0,3</t>
  </si>
  <si>
    <t>Herbicides</t>
  </si>
  <si>
    <t>Novall 1,0</t>
  </si>
  <si>
    <t>Stratos Ultra 1,5</t>
  </si>
  <si>
    <t>Fongicides</t>
  </si>
  <si>
    <t>Sunorg 0,2 + Pictor Pro 0,25</t>
  </si>
  <si>
    <t xml:space="preserve">   + Oligo</t>
  </si>
  <si>
    <t>Prosaro 0,5</t>
  </si>
  <si>
    <t>Autres</t>
  </si>
  <si>
    <t>Extra lugett 5 kg</t>
  </si>
  <si>
    <t>(Racourcisseur,</t>
  </si>
  <si>
    <t>anti-limaces)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</si>
</sst>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dd/mm/yy"/>
    <numFmt numFmtId="165" formatCode="d/mm/yyyy;@"/>
    <numFmt numFmtId="166" formatCode="dd/mm/yy;@"/>
    <numFmt numFmtId="167" formatCode="0.0%"/>
    <numFmt numFmtId="168" formatCode="0.0"/>
    <numFmt numFmtId="169" formatCode="[$-409]mmmm\-yy;@"/>
    <numFmt numFmtId="170" formatCode="[$-409]d\-mmm\-yy;@"/>
    <numFmt numFmtId="171" formatCode="mm/dd/yy;@"/>
  </numFmts>
  <fonts count="89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sz val="9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sz val="16"/>
      <name val="Arial"/>
      <family val="2"/>
      <charset val="1"/>
    </font>
    <font>
      <b/>
      <sz val="10"/>
      <name val="Geneva"/>
    </font>
    <font>
      <sz val="18"/>
      <color theme="1"/>
      <name val="Calibri"/>
      <family val="2"/>
      <scheme val="minor"/>
    </font>
    <font>
      <sz val="14"/>
      <name val="Arial"/>
      <family val="2"/>
    </font>
    <font>
      <sz val="16"/>
      <name val="Geneva"/>
      <family val="2"/>
    </font>
    <font>
      <sz val="18"/>
      <color theme="3"/>
      <name val="Cambria"/>
      <family val="2"/>
      <scheme val="maj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9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ck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ck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8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8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8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8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74">
    <xf numFmtId="0" fontId="0" fillId="0" borderId="0"/>
    <xf numFmtId="0" fontId="6" fillId="0" borderId="0" applyNumberForma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6" fillId="0" borderId="0" applyNumberFormat="0" applyFill="0" applyBorder="0" applyProtection="0"/>
    <xf numFmtId="0" fontId="8" fillId="0" borderId="0"/>
    <xf numFmtId="0" fontId="33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0" fillId="0" borderId="0"/>
    <xf numFmtId="0" fontId="38" fillId="0" borderId="0" applyNumberFormat="0" applyFill="0" applyBorder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2" fillId="8" borderId="0" applyNumberFormat="0" applyBorder="0" applyAlignment="0" applyProtection="0"/>
    <xf numFmtId="0" fontId="43" fillId="9" borderId="0" applyNumberFormat="0" applyBorder="0" applyAlignment="0" applyProtection="0"/>
    <xf numFmtId="0" fontId="44" fillId="10" borderId="0" applyNumberFormat="0" applyBorder="0" applyAlignment="0" applyProtection="0"/>
    <xf numFmtId="0" fontId="45" fillId="11" borderId="22" applyNumberFormat="0" applyAlignment="0" applyProtection="0"/>
    <xf numFmtId="0" fontId="46" fillId="12" borderId="23" applyNumberFormat="0" applyAlignment="0" applyProtection="0"/>
    <xf numFmtId="0" fontId="47" fillId="12" borderId="22" applyNumberFormat="0" applyAlignment="0" applyProtection="0"/>
    <xf numFmtId="0" fontId="48" fillId="0" borderId="24" applyNumberFormat="0" applyFill="0" applyAlignment="0" applyProtection="0"/>
    <xf numFmtId="0" fontId="49" fillId="13" borderId="25" applyNumberFormat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27" applyNumberFormat="0" applyFill="0" applyAlignment="0" applyProtection="0"/>
    <xf numFmtId="0" fontId="53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3" fillId="38" borderId="0" applyNumberFormat="0" applyBorder="0" applyAlignment="0" applyProtection="0"/>
    <xf numFmtId="0" fontId="5" fillId="0" borderId="0"/>
    <xf numFmtId="0" fontId="5" fillId="14" borderId="26" applyNumberFormat="0" applyFont="0" applyAlignment="0" applyProtection="0"/>
    <xf numFmtId="0" fontId="4" fillId="0" borderId="0"/>
    <xf numFmtId="0" fontId="4" fillId="14" borderId="26" applyNumberFormat="0" applyFont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30" fillId="0" borderId="0"/>
    <xf numFmtId="0" fontId="3" fillId="0" borderId="0"/>
    <xf numFmtId="0" fontId="30" fillId="0" borderId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5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0" borderId="0" applyNumberFormat="0" applyBorder="0" applyAlignment="0" applyProtection="0"/>
    <xf numFmtId="0" fontId="61" fillId="45" borderId="0" applyNumberFormat="0" applyBorder="0" applyAlignment="0" applyProtection="0"/>
    <xf numFmtId="0" fontId="61" fillId="45" borderId="0" applyNumberFormat="0" applyBorder="0" applyAlignment="0" applyProtection="0"/>
    <xf numFmtId="0" fontId="61" fillId="48" borderId="0" applyNumberFormat="0" applyBorder="0" applyAlignment="0" applyProtection="0"/>
    <xf numFmtId="0" fontId="61" fillId="48" borderId="0" applyNumberFormat="0" applyBorder="0" applyAlignment="0" applyProtection="0"/>
    <xf numFmtId="0" fontId="61" fillId="51" borderId="0" applyNumberFormat="0" applyBorder="0" applyAlignment="0" applyProtection="0"/>
    <xf numFmtId="0" fontId="61" fillId="51" borderId="0" applyNumberFormat="0" applyBorder="0" applyAlignment="0" applyProtection="0"/>
    <xf numFmtId="0" fontId="62" fillId="52" borderId="0" applyNumberFormat="0" applyBorder="0" applyAlignment="0" applyProtection="0"/>
    <xf numFmtId="0" fontId="62" fillId="52" borderId="0" applyNumberFormat="0" applyBorder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2" fillId="50" borderId="0" applyNumberFormat="0" applyBorder="0" applyAlignment="0" applyProtection="0"/>
    <xf numFmtId="0" fontId="62" fillId="50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5" borderId="0" applyNumberFormat="0" applyBorder="0" applyAlignment="0" applyProtection="0"/>
    <xf numFmtId="0" fontId="62" fillId="55" borderId="0" applyNumberFormat="0" applyBorder="0" applyAlignment="0" applyProtection="0"/>
    <xf numFmtId="0" fontId="62" fillId="56" borderId="0" applyNumberFormat="0" applyBorder="0" applyAlignment="0" applyProtection="0"/>
    <xf numFmtId="0" fontId="62" fillId="56" borderId="0" applyNumberFormat="0" applyBorder="0" applyAlignment="0" applyProtection="0"/>
    <xf numFmtId="0" fontId="62" fillId="57" borderId="0" applyNumberFormat="0" applyBorder="0" applyAlignment="0" applyProtection="0"/>
    <xf numFmtId="0" fontId="62" fillId="57" borderId="0" applyNumberFormat="0" applyBorder="0" applyAlignment="0" applyProtection="0"/>
    <xf numFmtId="0" fontId="62" fillId="58" borderId="0" applyNumberFormat="0" applyBorder="0" applyAlignment="0" applyProtection="0"/>
    <xf numFmtId="0" fontId="62" fillId="58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4" borderId="0" applyNumberFormat="0" applyBorder="0" applyAlignment="0" applyProtection="0"/>
    <xf numFmtId="0" fontId="62" fillId="54" borderId="0" applyNumberFormat="0" applyBorder="0" applyAlignment="0" applyProtection="0"/>
    <xf numFmtId="0" fontId="62" fillId="59" borderId="0" applyNumberFormat="0" applyBorder="0" applyAlignment="0" applyProtection="0"/>
    <xf numFmtId="0" fontId="62" fillId="59" borderId="0" applyNumberFormat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60" borderId="34" applyNumberFormat="0" applyAlignment="0" applyProtection="0"/>
    <xf numFmtId="0" fontId="64" fillId="60" borderId="34" applyNumberFormat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30" fillId="61" borderId="36" applyNumberFormat="0" applyFont="0" applyAlignment="0" applyProtection="0"/>
    <xf numFmtId="0" fontId="30" fillId="61" borderId="36" applyNumberFormat="0" applyFont="0" applyAlignment="0" applyProtection="0"/>
    <xf numFmtId="0" fontId="66" fillId="47" borderId="34" applyNumberFormat="0" applyAlignment="0" applyProtection="0"/>
    <xf numFmtId="0" fontId="66" fillId="47" borderId="34" applyNumberFormat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8" fillId="62" borderId="0" applyNumberFormat="0" applyBorder="0" applyAlignment="0" applyProtection="0"/>
    <xf numFmtId="0" fontId="68" fillId="62" borderId="0" applyNumberFormat="0" applyBorder="0" applyAlignment="0" applyProtection="0"/>
    <xf numFmtId="0" fontId="3" fillId="0" borderId="0"/>
    <xf numFmtId="0" fontId="3" fillId="0" borderId="0"/>
    <xf numFmtId="0" fontId="30" fillId="0" borderId="0"/>
    <xf numFmtId="0" fontId="30" fillId="0" borderId="0"/>
    <xf numFmtId="0" fontId="69" fillId="44" borderId="0" applyNumberFormat="0" applyBorder="0" applyAlignment="0" applyProtection="0"/>
    <xf numFmtId="0" fontId="69" fillId="44" borderId="0" applyNumberFormat="0" applyBorder="0" applyAlignment="0" applyProtection="0"/>
    <xf numFmtId="0" fontId="70" fillId="60" borderId="5" applyNumberFormat="0" applyAlignment="0" applyProtection="0"/>
    <xf numFmtId="0" fontId="70" fillId="60" borderId="5" applyNumberFormat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8" applyNumberFormat="0" applyFill="0" applyAlignment="0" applyProtection="0"/>
    <xf numFmtId="0" fontId="74" fillId="0" borderId="38" applyNumberFormat="0" applyFill="0" applyAlignment="0" applyProtection="0"/>
    <xf numFmtId="0" fontId="75" fillId="0" borderId="39" applyNumberFormat="0" applyFill="0" applyAlignment="0" applyProtection="0"/>
    <xf numFmtId="0" fontId="75" fillId="0" borderId="39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40" applyNumberFormat="0" applyFill="0" applyAlignment="0" applyProtection="0"/>
    <xf numFmtId="0" fontId="76" fillId="0" borderId="40" applyNumberFormat="0" applyFill="0" applyAlignment="0" applyProtection="0"/>
    <xf numFmtId="0" fontId="77" fillId="63" borderId="41" applyNumberFormat="0" applyAlignment="0" applyProtection="0"/>
    <xf numFmtId="0" fontId="77" fillId="63" borderId="41" applyNumberFormat="0" applyAlignment="0" applyProtection="0"/>
    <xf numFmtId="0" fontId="30" fillId="0" borderId="0"/>
    <xf numFmtId="0" fontId="78" fillId="0" borderId="0"/>
    <xf numFmtId="0" fontId="2" fillId="0" borderId="0"/>
    <xf numFmtId="0" fontId="84" fillId="0" borderId="0" applyNumberFormat="0" applyFill="0" applyBorder="0" applyAlignment="0" applyProtection="0"/>
    <xf numFmtId="0" fontId="1" fillId="14" borderId="26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385">
    <xf numFmtId="0" fontId="0" fillId="0" borderId="0" xfId="0"/>
    <xf numFmtId="0" fontId="8" fillId="0" borderId="0" xfId="0" applyFont="1" applyAlignment="1">
      <alignment horizontal="left"/>
    </xf>
    <xf numFmtId="0" fontId="11" fillId="0" borderId="0" xfId="6" applyFont="1" applyAlignment="1">
      <alignment horizontal="left"/>
    </xf>
    <xf numFmtId="164" fontId="11" fillId="0" borderId="0" xfId="6" applyNumberFormat="1" applyFont="1" applyAlignment="1">
      <alignment horizontal="left"/>
    </xf>
    <xf numFmtId="0" fontId="12" fillId="0" borderId="0" xfId="6" applyFont="1" applyAlignment="1">
      <alignment horizontal="left"/>
    </xf>
    <xf numFmtId="0" fontId="8" fillId="0" borderId="0" xfId="9" applyFont="1" applyAlignment="1">
      <alignment horizontal="left"/>
    </xf>
    <xf numFmtId="164" fontId="12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8" fillId="0" borderId="0" xfId="9" applyFont="1" applyBorder="1" applyAlignment="1">
      <alignment horizontal="left"/>
    </xf>
    <xf numFmtId="0" fontId="16" fillId="0" borderId="0" xfId="9" applyFont="1" applyBorder="1" applyAlignment="1">
      <alignment horizontal="left"/>
    </xf>
    <xf numFmtId="0" fontId="12" fillId="0" borderId="0" xfId="9" applyFont="1" applyAlignment="1">
      <alignment horizontal="left"/>
    </xf>
    <xf numFmtId="0" fontId="14" fillId="0" borderId="0" xfId="9" applyFont="1" applyAlignment="1">
      <alignment horizontal="left"/>
    </xf>
    <xf numFmtId="0" fontId="13" fillId="0" borderId="0" xfId="9" applyFont="1" applyFill="1" applyAlignment="1">
      <alignment horizontal="left"/>
    </xf>
    <xf numFmtId="0" fontId="12" fillId="2" borderId="1" xfId="9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49" fontId="17" fillId="2" borderId="1" xfId="0" applyNumberFormat="1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2" fillId="0" borderId="1" xfId="9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8" fillId="0" borderId="1" xfId="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0" borderId="1" xfId="9" applyFont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49" fontId="8" fillId="0" borderId="1" xfId="0" applyNumberFormat="1" applyFont="1" applyFill="1" applyBorder="1" applyAlignment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9" applyFont="1" applyFill="1" applyBorder="1" applyAlignment="1">
      <alignment horizontal="center" vertical="center" wrapText="1"/>
    </xf>
    <xf numFmtId="0" fontId="8" fillId="0" borderId="1" xfId="9" applyFont="1" applyBorder="1" applyAlignment="1">
      <alignment horizontal="left" vertical="center" wrapText="1"/>
    </xf>
    <xf numFmtId="0" fontId="8" fillId="0" borderId="7" xfId="9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wrapText="1"/>
    </xf>
    <xf numFmtId="0" fontId="8" fillId="0" borderId="8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2" borderId="1" xfId="9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2" fillId="0" borderId="2" xfId="9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2" xfId="9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left" wrapText="1"/>
    </xf>
    <xf numFmtId="0" fontId="8" fillId="0" borderId="0" xfId="9" applyFont="1" applyBorder="1" applyAlignment="1">
      <alignment horizontal="left" vertical="center"/>
    </xf>
    <xf numFmtId="0" fontId="13" fillId="0" borderId="0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7" fillId="2" borderId="1" xfId="9" applyFont="1" applyFill="1" applyBorder="1" applyAlignment="1">
      <alignment horizontal="left"/>
    </xf>
    <xf numFmtId="0" fontId="20" fillId="0" borderId="1" xfId="9" applyFont="1" applyBorder="1" applyAlignment="1">
      <alignment horizontal="left" vertical="center" wrapText="1"/>
    </xf>
    <xf numFmtId="0" fontId="8" fillId="0" borderId="1" xfId="9" applyFont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/>
    </xf>
    <xf numFmtId="0" fontId="12" fillId="0" borderId="0" xfId="9" applyFont="1" applyBorder="1" applyAlignment="1">
      <alignment horizontal="left" vertical="center" wrapText="1"/>
    </xf>
    <xf numFmtId="0" fontId="13" fillId="0" borderId="0" xfId="9" applyFont="1" applyBorder="1" applyAlignment="1">
      <alignment horizontal="left" vertical="center" wrapText="1"/>
    </xf>
    <xf numFmtId="0" fontId="12" fillId="0" borderId="0" xfId="9" applyFont="1" applyBorder="1" applyAlignment="1">
      <alignment horizontal="left" vertical="center"/>
    </xf>
    <xf numFmtId="0" fontId="12" fillId="0" borderId="0" xfId="9" applyFont="1" applyFill="1" applyBorder="1" applyAlignment="1">
      <alignment horizontal="left" vertical="center"/>
    </xf>
    <xf numFmtId="0" fontId="13" fillId="2" borderId="1" xfId="0" applyFont="1" applyFill="1" applyBorder="1" applyAlignment="1" applyProtection="1">
      <alignment horizontal="left"/>
    </xf>
    <xf numFmtId="0" fontId="17" fillId="2" borderId="1" xfId="0" applyFont="1" applyFill="1" applyBorder="1" applyAlignment="1" applyProtection="1">
      <alignment horizontal="left"/>
    </xf>
    <xf numFmtId="0" fontId="17" fillId="2" borderId="7" xfId="0" applyFont="1" applyFill="1" applyBorder="1" applyAlignment="1" applyProtection="1">
      <alignment horizontal="left"/>
    </xf>
    <xf numFmtId="0" fontId="8" fillId="0" borderId="5" xfId="0" applyFont="1" applyBorder="1" applyAlignment="1">
      <alignment horizontal="left" wrapText="1"/>
    </xf>
    <xf numFmtId="0" fontId="12" fillId="0" borderId="6" xfId="0" applyFont="1" applyBorder="1" applyAlignment="1">
      <alignment horizontal="left" vertical="center" wrapText="1"/>
    </xf>
    <xf numFmtId="0" fontId="8" fillId="0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6" fillId="0" borderId="7" xfId="1" applyNumberFormat="1" applyFont="1" applyFill="1" applyBorder="1" applyAlignment="1" applyProtection="1">
      <alignment horizontal="left" vertical="center" wrapText="1"/>
    </xf>
    <xf numFmtId="0" fontId="13" fillId="2" borderId="1" xfId="10" applyFont="1" applyFill="1" applyBorder="1" applyAlignment="1">
      <alignment horizontal="left"/>
    </xf>
    <xf numFmtId="0" fontId="12" fillId="2" borderId="1" xfId="10" applyFont="1" applyFill="1" applyBorder="1" applyAlignment="1">
      <alignment horizontal="left"/>
    </xf>
    <xf numFmtId="0" fontId="8" fillId="0" borderId="1" xfId="1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wrapText="1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49" fontId="17" fillId="2" borderId="1" xfId="0" applyNumberFormat="1" applyFont="1" applyFill="1" applyBorder="1" applyAlignment="1" applyProtection="1">
      <alignment horizontal="left"/>
    </xf>
    <xf numFmtId="0" fontId="14" fillId="2" borderId="1" xfId="0" applyFont="1" applyFill="1" applyBorder="1" applyAlignment="1" applyProtection="1">
      <alignment horizontal="left"/>
      <protection locked="0"/>
    </xf>
    <xf numFmtId="0" fontId="17" fillId="2" borderId="6" xfId="0" applyFont="1" applyFill="1" applyBorder="1" applyAlignment="1">
      <alignment horizontal="left"/>
    </xf>
    <xf numFmtId="49" fontId="24" fillId="0" borderId="1" xfId="0" applyNumberFormat="1" applyFont="1" applyFill="1" applyBorder="1" applyAlignment="1" applyProtection="1">
      <alignment horizontal="left" vertical="center" wrapText="1"/>
    </xf>
    <xf numFmtId="49" fontId="24" fillId="0" borderId="1" xfId="0" applyNumberFormat="1" applyFont="1" applyFill="1" applyBorder="1" applyAlignment="1" applyProtection="1">
      <alignment horizontal="left" wrapText="1"/>
    </xf>
    <xf numFmtId="0" fontId="8" fillId="0" borderId="0" xfId="0" applyFont="1" applyFill="1" applyBorder="1" applyAlignment="1">
      <alignment horizontal="left"/>
    </xf>
    <xf numFmtId="0" fontId="24" fillId="0" borderId="1" xfId="9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12" fillId="0" borderId="0" xfId="0" applyFont="1"/>
    <xf numFmtId="0" fontId="0" fillId="2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3" applyNumberFormat="1" applyFont="1" applyFill="1" applyBorder="1" applyAlignment="1" applyProtection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9" fillId="2" borderId="1" xfId="0" applyFont="1" applyFill="1" applyBorder="1"/>
    <xf numFmtId="0" fontId="8" fillId="0" borderId="1" xfId="0" applyFont="1" applyFill="1" applyBorder="1" applyAlignment="1" applyProtection="1">
      <alignment horizontal="center"/>
      <protection locked="0"/>
    </xf>
    <xf numFmtId="0" fontId="26" fillId="3" borderId="11" xfId="0" applyFont="1" applyFill="1" applyBorder="1" applyAlignment="1">
      <alignment vertical="center"/>
    </xf>
    <xf numFmtId="0" fontId="0" fillId="0" borderId="12" xfId="0" applyFill="1" applyBorder="1"/>
    <xf numFmtId="0" fontId="21" fillId="4" borderId="12" xfId="0" applyFont="1" applyFill="1" applyBorder="1"/>
    <xf numFmtId="0" fontId="13" fillId="3" borderId="13" xfId="0" applyFont="1" applyFill="1" applyBorder="1" applyAlignment="1">
      <alignment horizontal="center" vertical="center"/>
    </xf>
    <xf numFmtId="0" fontId="17" fillId="0" borderId="14" xfId="9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21" fillId="3" borderId="15" xfId="0" applyFont="1" applyFill="1" applyBorder="1" applyAlignment="1">
      <alignment vertical="center"/>
    </xf>
    <xf numFmtId="0" fontId="0" fillId="0" borderId="12" xfId="0" applyBorder="1"/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12" fillId="0" borderId="1" xfId="0" applyFont="1" applyFill="1" applyBorder="1"/>
    <xf numFmtId="0" fontId="17" fillId="0" borderId="1" xfId="9" applyFont="1" applyFill="1" applyBorder="1" applyAlignment="1">
      <alignment horizontal="center"/>
    </xf>
    <xf numFmtId="0" fontId="21" fillId="3" borderId="11" xfId="0" applyFont="1" applyFill="1" applyBorder="1" applyAlignment="1">
      <alignment vertical="center"/>
    </xf>
    <xf numFmtId="0" fontId="17" fillId="0" borderId="14" xfId="9" applyFont="1" applyBorder="1" applyAlignment="1">
      <alignment horizontal="center" vertical="center"/>
    </xf>
    <xf numFmtId="0" fontId="21" fillId="3" borderId="16" xfId="0" applyFont="1" applyFill="1" applyBorder="1" applyAlignment="1">
      <alignment vertical="center"/>
    </xf>
    <xf numFmtId="0" fontId="8" fillId="0" borderId="0" xfId="0" applyFont="1" applyAlignment="1" applyProtection="1">
      <protection locked="0"/>
    </xf>
    <xf numFmtId="0" fontId="12" fillId="0" borderId="0" xfId="0" applyFont="1" applyAlignment="1" applyProtection="1"/>
    <xf numFmtId="0" fontId="8" fillId="5" borderId="11" xfId="0" applyFont="1" applyFill="1" applyBorder="1" applyAlignment="1">
      <alignment vertical="center"/>
    </xf>
    <xf numFmtId="0" fontId="8" fillId="0" borderId="0" xfId="0" applyFont="1" applyProtection="1">
      <protection locked="0"/>
    </xf>
    <xf numFmtId="0" fontId="12" fillId="5" borderId="13" xfId="0" applyFont="1" applyFill="1" applyBorder="1" applyAlignment="1">
      <alignment horizontal="center" vertical="center"/>
    </xf>
    <xf numFmtId="0" fontId="12" fillId="0" borderId="0" xfId="0" applyFont="1" applyProtection="1"/>
    <xf numFmtId="0" fontId="28" fillId="3" borderId="11" xfId="0" applyFont="1" applyFill="1" applyBorder="1" applyAlignment="1">
      <alignment vertical="center"/>
    </xf>
    <xf numFmtId="0" fontId="28" fillId="0" borderId="12" xfId="0" applyFont="1" applyFill="1" applyBorder="1"/>
    <xf numFmtId="0" fontId="29" fillId="0" borderId="0" xfId="0" applyFont="1" applyAlignment="1">
      <alignment horizontal="right"/>
    </xf>
    <xf numFmtId="0" fontId="29" fillId="0" borderId="0" xfId="0" applyFont="1"/>
    <xf numFmtId="0" fontId="29" fillId="0" borderId="0" xfId="0" applyFont="1" applyFill="1"/>
    <xf numFmtId="0" fontId="26" fillId="6" borderId="12" xfId="5" applyFont="1" applyFill="1" applyBorder="1"/>
    <xf numFmtId="0" fontId="32" fillId="0" borderId="12" xfId="5" applyFont="1" applyFill="1" applyBorder="1"/>
    <xf numFmtId="0" fontId="8" fillId="0" borderId="12" xfId="5" applyBorder="1"/>
    <xf numFmtId="0" fontId="8" fillId="0" borderId="0" xfId="5"/>
    <xf numFmtId="0" fontId="13" fillId="6" borderId="1" xfId="5" applyFont="1" applyFill="1" applyBorder="1"/>
    <xf numFmtId="0" fontId="12" fillId="0" borderId="1" xfId="5" applyFont="1" applyFill="1" applyBorder="1"/>
    <xf numFmtId="0" fontId="12" fillId="0" borderId="1" xfId="5" applyFont="1" applyBorder="1"/>
    <xf numFmtId="0" fontId="0" fillId="7" borderId="12" xfId="0" applyFill="1" applyBorder="1"/>
    <xf numFmtId="0" fontId="19" fillId="7" borderId="1" xfId="0" applyFont="1" applyFill="1" applyBorder="1"/>
    <xf numFmtId="0" fontId="18" fillId="0" borderId="0" xfId="0" applyFont="1"/>
    <xf numFmtId="0" fontId="0" fillId="0" borderId="0" xfId="0" applyFont="1"/>
    <xf numFmtId="0" fontId="27" fillId="0" borderId="0" xfId="0" applyFont="1"/>
    <xf numFmtId="165" fontId="29" fillId="0" borderId="0" xfId="0" applyNumberFormat="1" applyFont="1" applyAlignment="1">
      <alignment horizontal="right"/>
    </xf>
    <xf numFmtId="0" fontId="2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7" fillId="0" borderId="2" xfId="9" applyFont="1" applyFill="1" applyBorder="1" applyAlignment="1">
      <alignment horizontal="center" vertical="center"/>
    </xf>
    <xf numFmtId="0" fontId="17" fillId="0" borderId="2" xfId="9" applyFont="1" applyFill="1" applyBorder="1" applyAlignment="1">
      <alignment horizontal="center" vertical="center" wrapText="1"/>
    </xf>
    <xf numFmtId="0" fontId="17" fillId="0" borderId="14" xfId="9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6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7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5" fillId="0" borderId="0" xfId="52"/>
    <xf numFmtId="0" fontId="8" fillId="0" borderId="5" xfId="0" applyFont="1" applyBorder="1" applyAlignment="1">
      <alignment horizontal="left" vertical="center" wrapText="1"/>
    </xf>
    <xf numFmtId="0" fontId="8" fillId="0" borderId="1" xfId="5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5" applyFont="1" applyBorder="1" applyAlignment="1">
      <alignment horizontal="center" vertical="center" wrapText="1"/>
    </xf>
    <xf numFmtId="14" fontId="8" fillId="0" borderId="1" xfId="9" applyNumberFormat="1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8" fillId="0" borderId="1" xfId="9" quotePrefix="1" applyFont="1" applyFill="1" applyBorder="1" applyAlignment="1">
      <alignment horizontal="left" vertical="center" wrapText="1"/>
    </xf>
    <xf numFmtId="14" fontId="0" fillId="0" borderId="12" xfId="0" applyNumberFormat="1" applyFill="1" applyBorder="1"/>
    <xf numFmtId="0" fontId="0" fillId="0" borderId="12" xfId="0" applyFill="1" applyBorder="1"/>
    <xf numFmtId="0" fontId="0" fillId="0" borderId="0" xfId="0"/>
    <xf numFmtId="0" fontId="21" fillId="3" borderId="11" xfId="0" applyFont="1" applyFill="1" applyBorder="1" applyAlignment="1">
      <alignment vertical="center"/>
    </xf>
    <xf numFmtId="0" fontId="27" fillId="3" borderId="16" xfId="0" applyFont="1" applyFill="1" applyBorder="1" applyAlignment="1">
      <alignment vertical="center"/>
    </xf>
    <xf numFmtId="0" fontId="31" fillId="0" borderId="0" xfId="0" applyFont="1" applyAlignment="1">
      <alignment horizontal="right"/>
    </xf>
    <xf numFmtId="14" fontId="0" fillId="0" borderId="12" xfId="0" applyNumberFormat="1" applyFill="1" applyBorder="1"/>
    <xf numFmtId="0" fontId="5" fillId="0" borderId="0" xfId="52"/>
    <xf numFmtId="0" fontId="5" fillId="0" borderId="0" xfId="52"/>
    <xf numFmtId="0" fontId="5" fillId="0" borderId="0" xfId="52"/>
    <xf numFmtId="0" fontId="5" fillId="0" borderId="0" xfId="52"/>
    <xf numFmtId="0" fontId="5" fillId="0" borderId="0" xfId="52"/>
    <xf numFmtId="14" fontId="29" fillId="0" borderId="0" xfId="0" applyNumberFormat="1" applyFont="1"/>
    <xf numFmtId="0" fontId="4" fillId="0" borderId="0" xfId="54"/>
    <xf numFmtId="0" fontId="4" fillId="0" borderId="0" xfId="54"/>
    <xf numFmtId="0" fontId="4" fillId="0" borderId="0" xfId="54"/>
    <xf numFmtId="0" fontId="4" fillId="0" borderId="0" xfId="54"/>
    <xf numFmtId="0" fontId="4" fillId="0" borderId="0" xfId="54"/>
    <xf numFmtId="0" fontId="4" fillId="0" borderId="0" xfId="54"/>
    <xf numFmtId="0" fontId="4" fillId="0" borderId="0" xfId="54"/>
    <xf numFmtId="0" fontId="4" fillId="0" borderId="0" xfId="54"/>
    <xf numFmtId="0" fontId="54" fillId="39" borderId="17" xfId="52" applyFont="1" applyFill="1" applyBorder="1" applyAlignment="1">
      <alignment horizontal="center"/>
    </xf>
    <xf numFmtId="14" fontId="55" fillId="40" borderId="17" xfId="52" applyNumberFormat="1" applyFont="1" applyFill="1" applyBorder="1" applyAlignment="1">
      <alignment horizontal="center"/>
    </xf>
    <xf numFmtId="0" fontId="55" fillId="0" borderId="17" xfId="52" applyFont="1" applyBorder="1" applyAlignment="1">
      <alignment horizontal="center"/>
    </xf>
    <xf numFmtId="0" fontId="30" fillId="0" borderId="0" xfId="68"/>
    <xf numFmtId="0" fontId="30" fillId="0" borderId="0" xfId="54" applyNumberFormat="1" applyFont="1" applyFill="1" applyBorder="1" applyAlignment="1">
      <alignment horizontal="center"/>
    </xf>
    <xf numFmtId="0" fontId="5" fillId="0" borderId="0" xfId="52" applyAlignment="1">
      <alignment horizontal="center"/>
    </xf>
    <xf numFmtId="14" fontId="30" fillId="0" borderId="0" xfId="54" applyNumberFormat="1" applyFont="1" applyFill="1" applyBorder="1" applyAlignment="1">
      <alignment horizontal="center"/>
    </xf>
    <xf numFmtId="0" fontId="5" fillId="0" borderId="0" xfId="52" applyBorder="1" applyAlignment="1">
      <alignment horizontal="center"/>
    </xf>
    <xf numFmtId="0" fontId="36" fillId="0" borderId="0" xfId="52" applyFont="1" applyBorder="1" applyAlignment="1">
      <alignment horizontal="center"/>
    </xf>
    <xf numFmtId="0" fontId="36" fillId="0" borderId="0" xfId="52" applyFont="1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30" fillId="0" borderId="0" xfId="0" applyFont="1" applyFill="1" applyAlignment="1" applyProtection="1">
      <protection locked="0"/>
    </xf>
    <xf numFmtId="165" fontId="30" fillId="0" borderId="0" xfId="0" applyNumberFormat="1" applyFont="1" applyFill="1" applyAlignment="1" applyProtection="1">
      <protection locked="0"/>
    </xf>
    <xf numFmtId="0" fontId="29" fillId="0" borderId="0" xfId="0" applyFont="1" applyFill="1" applyAlignment="1">
      <alignment horizontal="left"/>
    </xf>
    <xf numFmtId="0" fontId="29" fillId="0" borderId="0" xfId="0" applyFont="1" applyFill="1" applyAlignment="1">
      <alignment horizontal="right"/>
    </xf>
    <xf numFmtId="0" fontId="28" fillId="0" borderId="14" xfId="9" applyFont="1" applyFill="1" applyBorder="1" applyAlignment="1">
      <alignment horizontal="center"/>
    </xf>
    <xf numFmtId="0" fontId="55" fillId="0" borderId="17" xfId="52" applyFont="1" applyBorder="1" applyAlignment="1">
      <alignment horizontal="center" wrapText="1"/>
    </xf>
    <xf numFmtId="0" fontId="30" fillId="0" borderId="17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/>
    </xf>
    <xf numFmtId="14" fontId="55" fillId="40" borderId="17" xfId="52" applyNumberFormat="1" applyFont="1" applyFill="1" applyBorder="1" applyAlignment="1">
      <alignment horizontal="center" wrapText="1"/>
    </xf>
    <xf numFmtId="166" fontId="30" fillId="0" borderId="17" xfId="0" applyNumberFormat="1" applyFont="1" applyBorder="1" applyAlignment="1">
      <alignment horizontal="center" vertical="center"/>
    </xf>
    <xf numFmtId="0" fontId="30" fillId="0" borderId="17" xfId="0" applyFont="1" applyBorder="1" applyAlignment="1"/>
    <xf numFmtId="0" fontId="30" fillId="0" borderId="17" xfId="0" applyFont="1" applyBorder="1" applyAlignment="1">
      <alignment wrapText="1"/>
    </xf>
    <xf numFmtId="0" fontId="57" fillId="3" borderId="0" xfId="0" applyFont="1" applyFill="1" applyBorder="1" applyAlignment="1">
      <alignment vertical="center"/>
    </xf>
    <xf numFmtId="0" fontId="58" fillId="0" borderId="12" xfId="0" applyFont="1" applyFill="1" applyBorder="1"/>
    <xf numFmtId="0" fontId="57" fillId="4" borderId="12" xfId="0" applyFont="1" applyFill="1" applyBorder="1"/>
    <xf numFmtId="0" fontId="59" fillId="0" borderId="0" xfId="0" applyFont="1" applyAlignment="1">
      <alignment horizontal="right"/>
    </xf>
    <xf numFmtId="165" fontId="59" fillId="0" borderId="0" xfId="0" applyNumberFormat="1" applyFont="1" applyAlignment="1">
      <alignment horizontal="right"/>
    </xf>
    <xf numFmtId="0" fontId="50" fillId="0" borderId="0" xfId="52" applyFont="1"/>
    <xf numFmtId="14" fontId="59" fillId="0" borderId="0" xfId="0" applyNumberFormat="1" applyFont="1"/>
    <xf numFmtId="0" fontId="50" fillId="0" borderId="0" xfId="54" applyFont="1"/>
    <xf numFmtId="0" fontId="59" fillId="0" borderId="0" xfId="0" applyFont="1"/>
    <xf numFmtId="0" fontId="60" fillId="0" borderId="0" xfId="0" applyFont="1" applyAlignment="1">
      <alignment horizontal="right"/>
    </xf>
    <xf numFmtId="0" fontId="58" fillId="0" borderId="0" xfId="0" applyFont="1"/>
    <xf numFmtId="0" fontId="0" fillId="0" borderId="0" xfId="0" applyNumberFormat="1"/>
    <xf numFmtId="2" fontId="29" fillId="0" borderId="0" xfId="0" applyNumberFormat="1" applyFont="1" applyAlignment="1">
      <alignment horizontal="right"/>
    </xf>
    <xf numFmtId="0" fontId="56" fillId="0" borderId="0" xfId="68" applyFont="1"/>
    <xf numFmtId="1" fontId="30" fillId="0" borderId="0" xfId="68" applyNumberFormat="1"/>
    <xf numFmtId="0" fontId="30" fillId="0" borderId="0" xfId="68" applyFont="1"/>
    <xf numFmtId="0" fontId="6" fillId="0" borderId="1" xfId="1" applyFill="1" applyBorder="1"/>
    <xf numFmtId="49" fontId="0" fillId="0" borderId="0" xfId="0" applyNumberFormat="1"/>
    <xf numFmtId="14" fontId="0" fillId="0" borderId="0" xfId="0" applyNumberFormat="1"/>
    <xf numFmtId="0" fontId="0" fillId="41" borderId="0" xfId="0" applyNumberFormat="1" applyFill="1"/>
    <xf numFmtId="49" fontId="0" fillId="41" borderId="0" xfId="0" applyNumberFormat="1" applyFill="1"/>
    <xf numFmtId="0" fontId="0" fillId="41" borderId="0" xfId="0" applyFill="1"/>
    <xf numFmtId="14" fontId="0" fillId="41" borderId="0" xfId="0" applyNumberFormat="1" applyFill="1"/>
    <xf numFmtId="0" fontId="52" fillId="0" borderId="17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85" fillId="0" borderId="17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9" fontId="85" fillId="0" borderId="17" xfId="0" applyNumberFormat="1" applyFont="1" applyBorder="1" applyAlignment="1">
      <alignment horizontal="center" vertical="center"/>
    </xf>
    <xf numFmtId="1" fontId="85" fillId="0" borderId="17" xfId="0" applyNumberFormat="1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0" fillId="0" borderId="0" xfId="68" applyNumberFormat="1" applyFill="1"/>
    <xf numFmtId="168" fontId="85" fillId="0" borderId="17" xfId="0" applyNumberFormat="1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 wrapText="1"/>
    </xf>
    <xf numFmtId="0" fontId="30" fillId="0" borderId="0" xfId="68" applyNumberFormat="1"/>
    <xf numFmtId="167" fontId="85" fillId="0" borderId="17" xfId="0" applyNumberFormat="1" applyFont="1" applyBorder="1" applyAlignment="1">
      <alignment horizontal="center" vertical="center"/>
    </xf>
    <xf numFmtId="0" fontId="86" fillId="0" borderId="43" xfId="0" applyFont="1" applyFill="1" applyBorder="1" applyAlignment="1">
      <alignment horizontal="center" vertical="center"/>
    </xf>
    <xf numFmtId="0" fontId="86" fillId="64" borderId="46" xfId="0" applyFont="1" applyFill="1" applyBorder="1" applyAlignment="1">
      <alignment horizontal="center" vertical="center"/>
    </xf>
    <xf numFmtId="0" fontId="86" fillId="0" borderId="42" xfId="0" applyFont="1" applyFill="1" applyBorder="1" applyAlignment="1">
      <alignment horizontal="center" vertical="center"/>
    </xf>
    <xf numFmtId="0" fontId="86" fillId="0" borderId="45" xfId="0" applyFont="1" applyFill="1" applyBorder="1" applyAlignment="1">
      <alignment horizontal="center" vertical="center"/>
    </xf>
    <xf numFmtId="0" fontId="86" fillId="40" borderId="0" xfId="0" applyFont="1" applyFill="1" applyBorder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40" borderId="0" xfId="0" applyFont="1" applyFill="1" applyAlignment="1">
      <alignment horizontal="center" vertical="center"/>
    </xf>
    <xf numFmtId="2" fontId="0" fillId="41" borderId="17" xfId="0" applyNumberFormat="1" applyFill="1" applyBorder="1" applyAlignment="1">
      <alignment horizontal="center" vertical="center"/>
    </xf>
    <xf numFmtId="0" fontId="86" fillId="0" borderId="44" xfId="0" applyFont="1" applyFill="1" applyBorder="1" applyAlignment="1">
      <alignment horizontal="center" vertical="center"/>
    </xf>
    <xf numFmtId="0" fontId="52" fillId="0" borderId="17" xfId="0" applyFont="1" applyFill="1" applyBorder="1" applyAlignment="1">
      <alignment horizontal="center" vertical="center"/>
    </xf>
    <xf numFmtId="0" fontId="86" fillId="64" borderId="43" xfId="0" applyFont="1" applyFill="1" applyBorder="1" applyAlignment="1">
      <alignment horizontal="center" vertical="center"/>
    </xf>
    <xf numFmtId="49" fontId="30" fillId="0" borderId="0" xfId="68" applyNumberFormat="1"/>
    <xf numFmtId="0" fontId="86" fillId="0" borderId="46" xfId="0" applyFont="1" applyFill="1" applyBorder="1" applyAlignment="1">
      <alignment horizontal="center" vertical="center"/>
    </xf>
    <xf numFmtId="0" fontId="86" fillId="0" borderId="47" xfId="0" applyFont="1" applyFill="1" applyBorder="1" applyAlignment="1">
      <alignment horizontal="center" vertical="center"/>
    </xf>
    <xf numFmtId="0" fontId="86" fillId="64" borderId="45" xfId="0" applyFont="1" applyFill="1" applyBorder="1" applyAlignment="1">
      <alignment horizontal="center" vertical="center"/>
    </xf>
    <xf numFmtId="0" fontId="86" fillId="64" borderId="47" xfId="0" applyFont="1" applyFill="1" applyBorder="1" applyAlignment="1">
      <alignment horizontal="center" vertical="center"/>
    </xf>
    <xf numFmtId="0" fontId="86" fillId="0" borderId="48" xfId="0" applyFont="1" applyFill="1" applyBorder="1" applyAlignment="1">
      <alignment horizontal="center" vertical="center"/>
    </xf>
    <xf numFmtId="0" fontId="86" fillId="0" borderId="49" xfId="0" applyFont="1" applyFill="1" applyBorder="1" applyAlignment="1">
      <alignment horizontal="center" vertical="center"/>
    </xf>
    <xf numFmtId="0" fontId="86" fillId="0" borderId="50" xfId="0" applyFont="1" applyFill="1" applyBorder="1" applyAlignment="1">
      <alignment horizontal="center" vertical="center"/>
    </xf>
    <xf numFmtId="0" fontId="86" fillId="64" borderId="48" xfId="0" applyFont="1" applyFill="1" applyBorder="1" applyAlignment="1">
      <alignment horizontal="center" vertical="center"/>
    </xf>
    <xf numFmtId="0" fontId="86" fillId="64" borderId="49" xfId="0" applyFont="1" applyFill="1" applyBorder="1" applyAlignment="1">
      <alignment horizontal="center" vertical="center"/>
    </xf>
    <xf numFmtId="0" fontId="86" fillId="65" borderId="51" xfId="0" applyFont="1" applyFill="1" applyBorder="1" applyAlignment="1">
      <alignment horizontal="center" vertical="center"/>
    </xf>
    <xf numFmtId="0" fontId="86" fillId="65" borderId="52" xfId="0" applyFont="1" applyFill="1" applyBorder="1" applyAlignment="1">
      <alignment horizontal="center" vertical="center"/>
    </xf>
    <xf numFmtId="0" fontId="86" fillId="0" borderId="52" xfId="0" applyFont="1" applyFill="1" applyBorder="1" applyAlignment="1">
      <alignment horizontal="center" vertical="center"/>
    </xf>
    <xf numFmtId="0" fontId="86" fillId="0" borderId="53" xfId="0" applyFont="1" applyFill="1" applyBorder="1" applyAlignment="1">
      <alignment horizontal="center" vertical="center"/>
    </xf>
    <xf numFmtId="0" fontId="86" fillId="65" borderId="45" xfId="0" applyFont="1" applyFill="1" applyBorder="1" applyAlignment="1">
      <alignment horizontal="center" vertical="center"/>
    </xf>
    <xf numFmtId="0" fontId="86" fillId="65" borderId="46" xfId="0" applyFont="1" applyFill="1" applyBorder="1" applyAlignment="1">
      <alignment horizontal="center" vertical="center"/>
    </xf>
    <xf numFmtId="0" fontId="86" fillId="65" borderId="47" xfId="0" applyFont="1" applyFill="1" applyBorder="1" applyAlignment="1">
      <alignment horizontal="center" vertical="center"/>
    </xf>
    <xf numFmtId="0" fontId="86" fillId="0" borderId="48" xfId="0" applyFont="1" applyBorder="1" applyAlignment="1">
      <alignment horizontal="center" vertical="center"/>
    </xf>
    <xf numFmtId="0" fontId="86" fillId="0" borderId="49" xfId="0" applyFont="1" applyBorder="1" applyAlignment="1">
      <alignment horizontal="center" vertical="center"/>
    </xf>
    <xf numFmtId="0" fontId="86" fillId="0" borderId="51" xfId="0" applyFont="1" applyFill="1" applyBorder="1" applyAlignment="1">
      <alignment horizontal="center" vertical="center"/>
    </xf>
    <xf numFmtId="0" fontId="86" fillId="64" borderId="52" xfId="0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horizontal="center" vertical="center"/>
    </xf>
    <xf numFmtId="0" fontId="56" fillId="67" borderId="0" xfId="0" applyFont="1" applyFill="1"/>
    <xf numFmtId="0" fontId="0" fillId="67" borderId="0" xfId="0" applyFill="1" applyAlignment="1">
      <alignment horizontal="center"/>
    </xf>
    <xf numFmtId="0" fontId="56" fillId="67" borderId="0" xfId="0" applyFont="1" applyFill="1" applyAlignment="1">
      <alignment horizontal="left"/>
    </xf>
    <xf numFmtId="0" fontId="56" fillId="0" borderId="72" xfId="0" applyFont="1" applyBorder="1" applyAlignment="1">
      <alignment horizontal="center"/>
    </xf>
    <xf numFmtId="0" fontId="0" fillId="67" borderId="0" xfId="0" applyFill="1"/>
    <xf numFmtId="171" fontId="87" fillId="0" borderId="62" xfId="0" applyNumberFormat="1" applyFont="1" applyBorder="1" applyAlignment="1">
      <alignment horizontal="center"/>
    </xf>
    <xf numFmtId="171" fontId="30" fillId="0" borderId="73" xfId="0" applyNumberFormat="1" applyFont="1" applyBorder="1" applyAlignment="1">
      <alignment horizontal="center"/>
    </xf>
    <xf numFmtId="0" fontId="56" fillId="0" borderId="74" xfId="0" applyFont="1" applyBorder="1" applyAlignment="1">
      <alignment horizontal="center"/>
    </xf>
    <xf numFmtId="0" fontId="56" fillId="0" borderId="31" xfId="0" applyFont="1" applyBorder="1" applyAlignment="1">
      <alignment horizontal="center"/>
    </xf>
    <xf numFmtId="0" fontId="88" fillId="0" borderId="31" xfId="0" applyFont="1" applyBorder="1" applyAlignment="1">
      <alignment horizontal="center"/>
    </xf>
    <xf numFmtId="0" fontId="56" fillId="0" borderId="76" xfId="0" applyFont="1" applyBorder="1" applyAlignment="1">
      <alignment horizontal="center"/>
    </xf>
    <xf numFmtId="170" fontId="30" fillId="0" borderId="73" xfId="0" applyNumberFormat="1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76" xfId="0" applyFont="1" applyBorder="1" applyAlignment="1">
      <alignment horizontal="center"/>
    </xf>
    <xf numFmtId="170" fontId="30" fillId="0" borderId="77" xfId="0" applyNumberFormat="1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78" xfId="0" applyFont="1" applyBorder="1" applyAlignment="1">
      <alignment horizontal="center"/>
    </xf>
    <xf numFmtId="0" fontId="56" fillId="66" borderId="79" xfId="0" applyFont="1" applyFill="1" applyBorder="1"/>
    <xf numFmtId="0" fontId="56" fillId="0" borderId="78" xfId="0" applyFont="1" applyBorder="1" applyAlignment="1">
      <alignment horizontal="left"/>
    </xf>
    <xf numFmtId="0" fontId="56" fillId="66" borderId="72" xfId="0" applyFont="1" applyFill="1" applyBorder="1"/>
    <xf numFmtId="170" fontId="30" fillId="0" borderId="76" xfId="0" applyNumberFormat="1" applyFont="1" applyBorder="1" applyAlignment="1">
      <alignment horizontal="center"/>
    </xf>
    <xf numFmtId="0" fontId="56" fillId="67" borderId="80" xfId="0" applyFont="1" applyFill="1" applyBorder="1"/>
    <xf numFmtId="14" fontId="0" fillId="0" borderId="17" xfId="0" applyNumberFormat="1" applyBorder="1" applyAlignment="1">
      <alignment horizontal="center"/>
    </xf>
    <xf numFmtId="166" fontId="30" fillId="0" borderId="81" xfId="0" applyNumberFormat="1" applyFont="1" applyBorder="1" applyAlignment="1">
      <alignment horizontal="center"/>
    </xf>
    <xf numFmtId="170" fontId="30" fillId="0" borderId="81" xfId="0" applyNumberFormat="1" applyFont="1" applyBorder="1" applyAlignment="1">
      <alignment horizontal="center"/>
    </xf>
    <xf numFmtId="0" fontId="56" fillId="67" borderId="82" xfId="0" applyFont="1" applyFill="1" applyBorder="1"/>
    <xf numFmtId="170" fontId="30" fillId="0" borderId="72" xfId="0" applyNumberFormat="1" applyFont="1" applyBorder="1" applyAlignment="1">
      <alignment horizontal="center"/>
    </xf>
    <xf numFmtId="0" fontId="56" fillId="66" borderId="82" xfId="0" applyFont="1" applyFill="1" applyBorder="1"/>
    <xf numFmtId="0" fontId="56" fillId="66" borderId="83" xfId="0" applyFont="1" applyFill="1" applyBorder="1"/>
    <xf numFmtId="0" fontId="56" fillId="66" borderId="80" xfId="0" applyFont="1" applyFill="1" applyBorder="1" applyAlignment="1">
      <alignment horizontal="center"/>
    </xf>
    <xf numFmtId="0" fontId="56" fillId="66" borderId="80" xfId="0" applyFont="1" applyFill="1" applyBorder="1"/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0" xfId="9" applyFont="1" applyBorder="1" applyAlignment="1">
      <alignment horizontal="left"/>
    </xf>
    <xf numFmtId="0" fontId="12" fillId="0" borderId="1" xfId="9" applyFont="1" applyBorder="1" applyAlignment="1">
      <alignment horizontal="left" vertical="center"/>
    </xf>
    <xf numFmtId="0" fontId="13" fillId="0" borderId="2" xfId="9" applyFont="1" applyBorder="1" applyAlignment="1">
      <alignment horizontal="left"/>
    </xf>
    <xf numFmtId="0" fontId="12" fillId="0" borderId="3" xfId="9" applyFont="1" applyBorder="1" applyAlignment="1">
      <alignment horizontal="left"/>
    </xf>
    <xf numFmtId="0" fontId="14" fillId="0" borderId="4" xfId="9" applyFont="1" applyBorder="1" applyAlignment="1">
      <alignment horizontal="left"/>
    </xf>
    <xf numFmtId="0" fontId="17" fillId="0" borderId="1" xfId="9" applyFont="1" applyBorder="1" applyAlignment="1">
      <alignment horizontal="left" vertical="center" wrapText="1"/>
    </xf>
    <xf numFmtId="0" fontId="12" fillId="0" borderId="1" xfId="9" applyFont="1" applyFill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79" fillId="41" borderId="0" xfId="0" applyFont="1" applyFill="1" applyAlignment="1" applyProtection="1">
      <alignment horizontal="center"/>
      <protection locked="0"/>
    </xf>
    <xf numFmtId="0" fontId="36" fillId="0" borderId="0" xfId="52" applyFont="1" applyBorder="1" applyAlignment="1">
      <alignment horizontal="center"/>
    </xf>
    <xf numFmtId="0" fontId="5" fillId="0" borderId="0" xfId="52" applyBorder="1" applyAlignment="1">
      <alignment horizontal="center" vertical="center"/>
    </xf>
    <xf numFmtId="0" fontId="5" fillId="0" borderId="0" xfId="52" applyAlignment="1">
      <alignment horizontal="center"/>
    </xf>
    <xf numFmtId="0" fontId="81" fillId="41" borderId="0" xfId="159" applyFont="1" applyFill="1" applyAlignment="1">
      <alignment horizontal="center" wrapText="1"/>
    </xf>
    <xf numFmtId="0" fontId="82" fillId="41" borderId="0" xfId="68" applyFont="1" applyFill="1" applyAlignment="1">
      <alignment horizontal="center" vertical="center"/>
    </xf>
    <xf numFmtId="0" fontId="83" fillId="41" borderId="0" xfId="52" applyFont="1" applyFill="1" applyAlignment="1">
      <alignment horizontal="center" wrapText="1"/>
    </xf>
    <xf numFmtId="0" fontId="30" fillId="0" borderId="67" xfId="0" applyFont="1" applyBorder="1" applyAlignment="1">
      <alignment horizontal="center"/>
    </xf>
    <xf numFmtId="0" fontId="30" fillId="0" borderId="70" xfId="0" applyFont="1" applyBorder="1" applyAlignment="1">
      <alignment horizontal="center"/>
    </xf>
    <xf numFmtId="0" fontId="30" fillId="0" borderId="71" xfId="0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0" fillId="0" borderId="61" xfId="0" applyFont="1" applyBorder="1" applyAlignment="1">
      <alignment horizontal="center"/>
    </xf>
    <xf numFmtId="0" fontId="30" fillId="0" borderId="62" xfId="0" applyFont="1" applyBorder="1" applyAlignment="1">
      <alignment horizontal="center"/>
    </xf>
    <xf numFmtId="0" fontId="30" fillId="0" borderId="65" xfId="0" applyFont="1" applyBorder="1" applyAlignment="1">
      <alignment horizontal="center"/>
    </xf>
    <xf numFmtId="0" fontId="30" fillId="0" borderId="66" xfId="0" applyFont="1" applyBorder="1" applyAlignment="1">
      <alignment horizontal="center"/>
    </xf>
    <xf numFmtId="0" fontId="56" fillId="66" borderId="54" xfId="0" applyFont="1" applyFill="1" applyBorder="1" applyAlignment="1">
      <alignment horizontal="center"/>
    </xf>
    <xf numFmtId="0" fontId="56" fillId="66" borderId="55" xfId="0" applyFont="1" applyFill="1" applyBorder="1" applyAlignment="1">
      <alignment horizontal="center"/>
    </xf>
    <xf numFmtId="0" fontId="56" fillId="66" borderId="56" xfId="0" applyFont="1" applyFill="1" applyBorder="1" applyAlignment="1">
      <alignment horizontal="center"/>
    </xf>
    <xf numFmtId="0" fontId="56" fillId="0" borderId="54" xfId="0" applyFont="1" applyBorder="1" applyAlignment="1">
      <alignment horizontal="center"/>
    </xf>
    <xf numFmtId="0" fontId="56" fillId="0" borderId="55" xfId="0" applyFont="1" applyBorder="1" applyAlignment="1">
      <alignment horizontal="center"/>
    </xf>
    <xf numFmtId="0" fontId="56" fillId="0" borderId="56" xfId="0" applyFont="1" applyBorder="1" applyAlignment="1">
      <alignment horizontal="center"/>
    </xf>
    <xf numFmtId="0" fontId="88" fillId="0" borderId="75" xfId="0" applyFont="1" applyBorder="1" applyAlignment="1">
      <alignment horizontal="center"/>
    </xf>
    <xf numFmtId="0" fontId="88" fillId="0" borderId="58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63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68" xfId="0" applyFont="1" applyBorder="1" applyAlignment="1">
      <alignment horizontal="center"/>
    </xf>
    <xf numFmtId="0" fontId="30" fillId="67" borderId="57" xfId="0" applyFont="1" applyFill="1" applyBorder="1" applyAlignment="1">
      <alignment horizontal="center"/>
    </xf>
    <xf numFmtId="0" fontId="30" fillId="67" borderId="61" xfId="0" applyFont="1" applyFill="1" applyBorder="1" applyAlignment="1">
      <alignment horizontal="center"/>
    </xf>
    <xf numFmtId="0" fontId="30" fillId="67" borderId="62" xfId="0" applyFont="1" applyFill="1" applyBorder="1" applyAlignment="1">
      <alignment horizontal="center"/>
    </xf>
    <xf numFmtId="0" fontId="30" fillId="67" borderId="66" xfId="0" applyFont="1" applyFill="1" applyBorder="1" applyAlignment="1">
      <alignment horizontal="center"/>
    </xf>
    <xf numFmtId="0" fontId="30" fillId="67" borderId="67" xfId="0" applyFont="1" applyFill="1" applyBorder="1" applyAlignment="1">
      <alignment horizontal="center"/>
    </xf>
    <xf numFmtId="0" fontId="30" fillId="67" borderId="71" xfId="0" applyFont="1" applyFill="1" applyBorder="1" applyAlignment="1">
      <alignment horizontal="center"/>
    </xf>
    <xf numFmtId="170" fontId="30" fillId="0" borderId="67" xfId="0" applyNumberFormat="1" applyFont="1" applyBorder="1" applyAlignment="1">
      <alignment horizontal="center"/>
    </xf>
    <xf numFmtId="170" fontId="30" fillId="0" borderId="68" xfId="0" applyNumberFormat="1" applyFont="1" applyBorder="1" applyAlignment="1">
      <alignment horizontal="center"/>
    </xf>
    <xf numFmtId="0" fontId="30" fillId="0" borderId="64" xfId="0" applyFont="1" applyBorder="1"/>
    <xf numFmtId="0" fontId="30" fillId="0" borderId="65" xfId="0" applyFont="1" applyBorder="1"/>
    <xf numFmtId="0" fontId="30" fillId="0" borderId="63" xfId="0" applyFont="1" applyBorder="1"/>
    <xf numFmtId="0" fontId="30" fillId="0" borderId="69" xfId="0" applyFont="1" applyBorder="1" applyAlignment="1">
      <alignment horizontal="center"/>
    </xf>
    <xf numFmtId="0" fontId="56" fillId="67" borderId="0" xfId="0" applyFont="1" applyFill="1" applyAlignment="1">
      <alignment horizontal="center"/>
    </xf>
    <xf numFmtId="170" fontId="30" fillId="0" borderId="62" xfId="0" applyNumberFormat="1" applyFont="1" applyBorder="1" applyAlignment="1">
      <alignment horizontal="center"/>
    </xf>
    <xf numFmtId="170" fontId="30" fillId="0" borderId="63" xfId="0" applyNumberFormat="1" applyFont="1" applyBorder="1" applyAlignment="1">
      <alignment horizontal="center"/>
    </xf>
    <xf numFmtId="0" fontId="30" fillId="0" borderId="64" xfId="0" applyFont="1" applyBorder="1" applyAlignment="1">
      <alignment horizontal="center"/>
    </xf>
    <xf numFmtId="0" fontId="56" fillId="0" borderId="57" xfId="0" applyFont="1" applyBorder="1" applyAlignment="1">
      <alignment horizontal="center"/>
    </xf>
    <xf numFmtId="0" fontId="56" fillId="0" borderId="58" xfId="0" applyFont="1" applyBorder="1" applyAlignment="1">
      <alignment horizontal="center"/>
    </xf>
    <xf numFmtId="0" fontId="56" fillId="0" borderId="59" xfId="0" applyFont="1" applyBorder="1" applyAlignment="1">
      <alignment horizontal="center"/>
    </xf>
    <xf numFmtId="0" fontId="56" fillId="0" borderId="60" xfId="0" applyFont="1" applyBorder="1" applyAlignment="1">
      <alignment horizontal="center"/>
    </xf>
    <xf numFmtId="0" fontId="56" fillId="0" borderId="61" xfId="0" applyFont="1" applyBorder="1" applyAlignment="1">
      <alignment horizontal="center"/>
    </xf>
    <xf numFmtId="169" fontId="30" fillId="0" borderId="62" xfId="0" applyNumberFormat="1" applyFont="1" applyBorder="1" applyAlignment="1">
      <alignment horizontal="center"/>
    </xf>
    <xf numFmtId="169" fontId="30" fillId="0" borderId="63" xfId="0" applyNumberFormat="1" applyFont="1" applyBorder="1" applyAlignment="1">
      <alignment horizontal="center"/>
    </xf>
  </cellXfs>
  <cellStyles count="174">
    <cellStyle name="20 % - Accent1" xfId="29" builtinId="30" customBuiltin="1"/>
    <cellStyle name="20 % - Accent1 2" xfId="72"/>
    <cellStyle name="20 % - Accent1 3" xfId="71"/>
    <cellStyle name="20 % - Accent2" xfId="33" builtinId="34" customBuiltin="1"/>
    <cellStyle name="20 % - Accent2 2" xfId="74"/>
    <cellStyle name="20 % - Accent2 3" xfId="73"/>
    <cellStyle name="20 % - Accent3" xfId="37" builtinId="38" customBuiltin="1"/>
    <cellStyle name="20 % - Accent3 2" xfId="76"/>
    <cellStyle name="20 % - Accent3 3" xfId="75"/>
    <cellStyle name="20 % - Accent4" xfId="41" builtinId="42" customBuiltin="1"/>
    <cellStyle name="20 % - Accent4 2" xfId="78"/>
    <cellStyle name="20 % - Accent4 3" xfId="77"/>
    <cellStyle name="20 % - Accent5" xfId="45" builtinId="46" customBuiltin="1"/>
    <cellStyle name="20 % - Accent5 2" xfId="80"/>
    <cellStyle name="20 % - Accent5 3" xfId="79"/>
    <cellStyle name="20 % - Accent6" xfId="49" builtinId="50" customBuiltin="1"/>
    <cellStyle name="20 % - Accent6 2" xfId="82"/>
    <cellStyle name="20 % - Accent6 3" xfId="81"/>
    <cellStyle name="20% - Accent1 2" xfId="56"/>
    <cellStyle name="20% - Accent1 3" xfId="162"/>
    <cellStyle name="20% - Accent2 2" xfId="58"/>
    <cellStyle name="20% - Accent2 3" xfId="164"/>
    <cellStyle name="20% - Accent3 2" xfId="60"/>
    <cellStyle name="20% - Accent3 3" xfId="166"/>
    <cellStyle name="20% - Accent4 2" xfId="62"/>
    <cellStyle name="20% - Accent4 3" xfId="168"/>
    <cellStyle name="20% - Accent5 2" xfId="64"/>
    <cellStyle name="20% - Accent5 3" xfId="170"/>
    <cellStyle name="20% - Accent6 2" xfId="66"/>
    <cellStyle name="20% - Accent6 3" xfId="172"/>
    <cellStyle name="40 % - Accent1" xfId="30" builtinId="31" customBuiltin="1"/>
    <cellStyle name="40 % - Accent1 2" xfId="84"/>
    <cellStyle name="40 % - Accent1 3" xfId="83"/>
    <cellStyle name="40 % - Accent2" xfId="34" builtinId="35" customBuiltin="1"/>
    <cellStyle name="40 % - Accent2 2" xfId="86"/>
    <cellStyle name="40 % - Accent2 3" xfId="85"/>
    <cellStyle name="40 % - Accent3" xfId="38" builtinId="39" customBuiltin="1"/>
    <cellStyle name="40 % - Accent3 2" xfId="88"/>
    <cellStyle name="40 % - Accent3 3" xfId="87"/>
    <cellStyle name="40 % - Accent4" xfId="42" builtinId="43" customBuiltin="1"/>
    <cellStyle name="40 % - Accent4 2" xfId="90"/>
    <cellStyle name="40 % - Accent4 3" xfId="89"/>
    <cellStyle name="40 % - Accent5" xfId="46" builtinId="47" customBuiltin="1"/>
    <cellStyle name="40 % - Accent5 2" xfId="92"/>
    <cellStyle name="40 % - Accent5 3" xfId="91"/>
    <cellStyle name="40 % - Accent6" xfId="50" builtinId="51" customBuiltin="1"/>
    <cellStyle name="40 % - Accent6 2" xfId="94"/>
    <cellStyle name="40 % - Accent6 3" xfId="93"/>
    <cellStyle name="40% - Accent1 2" xfId="57"/>
    <cellStyle name="40% - Accent1 3" xfId="163"/>
    <cellStyle name="40% - Accent2 2" xfId="59"/>
    <cellStyle name="40% - Accent2 3" xfId="165"/>
    <cellStyle name="40% - Accent3 2" xfId="61"/>
    <cellStyle name="40% - Accent3 3" xfId="167"/>
    <cellStyle name="40% - Accent4 2" xfId="63"/>
    <cellStyle name="40% - Accent4 3" xfId="169"/>
    <cellStyle name="40% - Accent5 2" xfId="65"/>
    <cellStyle name="40% - Accent5 3" xfId="171"/>
    <cellStyle name="40% - Accent6 2" xfId="67"/>
    <cellStyle name="40% - Accent6 3" xfId="173"/>
    <cellStyle name="60 % - Accent1" xfId="31" builtinId="32" customBuiltin="1"/>
    <cellStyle name="60 % - Accent1 2" xfId="96"/>
    <cellStyle name="60 % - Accent1 3" xfId="95"/>
    <cellStyle name="60 % - Accent2" xfId="35" builtinId="36" customBuiltin="1"/>
    <cellStyle name="60 % - Accent2 2" xfId="98"/>
    <cellStyle name="60 % - Accent2 3" xfId="97"/>
    <cellStyle name="60 % - Accent3" xfId="39" builtinId="40" customBuiltin="1"/>
    <cellStyle name="60 % - Accent3 2" xfId="100"/>
    <cellStyle name="60 % - Accent3 3" xfId="99"/>
    <cellStyle name="60 % - Accent4" xfId="43" builtinId="44" customBuiltin="1"/>
    <cellStyle name="60 % - Accent4 2" xfId="102"/>
    <cellStyle name="60 % - Accent4 3" xfId="101"/>
    <cellStyle name="60 % - Accent5" xfId="47" builtinId="48" customBuiltin="1"/>
    <cellStyle name="60 % - Accent5 2" xfId="104"/>
    <cellStyle name="60 % - Accent5 3" xfId="103"/>
    <cellStyle name="60 % - Accent6" xfId="51" builtinId="52" customBuiltin="1"/>
    <cellStyle name="60 % - Accent6 2" xfId="106"/>
    <cellStyle name="60 % - Accent6 3" xfId="105"/>
    <cellStyle name="Accent1" xfId="28" builtinId="29" customBuiltin="1"/>
    <cellStyle name="Accent1 2" xfId="108"/>
    <cellStyle name="Accent1 3" xfId="107"/>
    <cellStyle name="Accent2" xfId="32" builtinId="33" customBuiltin="1"/>
    <cellStyle name="Accent2 2" xfId="110"/>
    <cellStyle name="Accent2 3" xfId="109"/>
    <cellStyle name="Accent3" xfId="36" builtinId="37" customBuiltin="1"/>
    <cellStyle name="Accent3 2" xfId="112"/>
    <cellStyle name="Accent3 3" xfId="111"/>
    <cellStyle name="Accent4" xfId="40" builtinId="41" customBuiltin="1"/>
    <cellStyle name="Accent4 2" xfId="114"/>
    <cellStyle name="Accent4 3" xfId="113"/>
    <cellStyle name="Accent5" xfId="44" builtinId="45" customBuiltin="1"/>
    <cellStyle name="Accent5 2" xfId="116"/>
    <cellStyle name="Accent5 3" xfId="115"/>
    <cellStyle name="Accent6" xfId="48" builtinId="49" customBuiltin="1"/>
    <cellStyle name="Accent6 2" xfId="118"/>
    <cellStyle name="Accent6 3" xfId="117"/>
    <cellStyle name="Avertissement" xfId="25" builtinId="11" customBuiltin="1"/>
    <cellStyle name="Avertissement 2" xfId="120"/>
    <cellStyle name="Avertissement 3" xfId="119"/>
    <cellStyle name="Calcul" xfId="22" builtinId="22" customBuiltin="1"/>
    <cellStyle name="Calcul 2" xfId="122"/>
    <cellStyle name="Calcul 3" xfId="121"/>
    <cellStyle name="Cellule liée" xfId="23" builtinId="24" customBuiltin="1"/>
    <cellStyle name="Cellule liée 2" xfId="124"/>
    <cellStyle name="Cellule liée 3" xfId="123"/>
    <cellStyle name="Commentaire 2" xfId="126"/>
    <cellStyle name="Commentaire 3" xfId="125"/>
    <cellStyle name="Entrée" xfId="20" builtinId="20" customBuiltin="1"/>
    <cellStyle name="Entrée 2" xfId="128"/>
    <cellStyle name="Entrée 3" xfId="127"/>
    <cellStyle name="Insatisfaisant" xfId="18" builtinId="27" customBuiltin="1"/>
    <cellStyle name="Insatisfaisant 2" xfId="130"/>
    <cellStyle name="Insatisfaisant 3" xfId="129"/>
    <cellStyle name="Lien hypertexte" xfId="1" builtinId="8"/>
    <cellStyle name="Lien hypertexte 2" xfId="2"/>
    <cellStyle name="Lien hypertexte 3" xfId="3"/>
    <cellStyle name="Lien hypertexte 4" xfId="4"/>
    <cellStyle name="N1" xfId="157"/>
    <cellStyle name="Neutre" xfId="19" builtinId="28" customBuiltin="1"/>
    <cellStyle name="Neutre 2" xfId="132"/>
    <cellStyle name="Neutre 3" xfId="131"/>
    <cellStyle name="Normal" xfId="0" builtinId="0"/>
    <cellStyle name="Normal 10" xfId="5"/>
    <cellStyle name="Normal 2" xfId="6"/>
    <cellStyle name="Normal 2 2" xfId="68"/>
    <cellStyle name="Normal 2 2 2" xfId="134"/>
    <cellStyle name="Normal 2 3" xfId="133"/>
    <cellStyle name="Normal 3" xfId="7"/>
    <cellStyle name="Normal 3 2" xfId="8"/>
    <cellStyle name="Normal 3 3" xfId="135"/>
    <cellStyle name="Normal 4" xfId="9"/>
    <cellStyle name="Normal 4 2" xfId="136"/>
    <cellStyle name="Normal 5" xfId="10"/>
    <cellStyle name="Normal 5 2" xfId="70"/>
    <cellStyle name="Normal 6" xfId="52"/>
    <cellStyle name="Normal 6 2" xfId="158"/>
    <cellStyle name="Normal 7" xfId="54"/>
    <cellStyle name="Normal 8" xfId="69"/>
    <cellStyle name="Normal 8 2" xfId="159"/>
    <cellStyle name="Normalny 2" xfId="11"/>
    <cellStyle name="Note 2" xfId="53"/>
    <cellStyle name="Note 3" xfId="55"/>
    <cellStyle name="Note 4" xfId="161"/>
    <cellStyle name="Satisfaisant" xfId="17" builtinId="26" customBuiltin="1"/>
    <cellStyle name="Satisfaisant 2" xfId="138"/>
    <cellStyle name="Satisfaisant 3" xfId="137"/>
    <cellStyle name="Sortie" xfId="21" builtinId="21" customBuiltin="1"/>
    <cellStyle name="Sortie 2" xfId="140"/>
    <cellStyle name="Sortie 3" xfId="139"/>
    <cellStyle name="Texte explicatif" xfId="26" builtinId="53" customBuiltin="1"/>
    <cellStyle name="Texte explicatif 2" xfId="142"/>
    <cellStyle name="Texte explicatif 3" xfId="141"/>
    <cellStyle name="Title 2" xfId="160"/>
    <cellStyle name="Titre" xfId="12" builtinId="15" customBuiltin="1"/>
    <cellStyle name="Titre 2" xfId="144"/>
    <cellStyle name="Titre 3" xfId="143"/>
    <cellStyle name="Titre 1" xfId="13" builtinId="16" customBuiltin="1"/>
    <cellStyle name="Titre 1 2" xfId="146"/>
    <cellStyle name="Titre 1 3" xfId="145"/>
    <cellStyle name="Titre 2" xfId="14" builtinId="17" customBuiltin="1"/>
    <cellStyle name="Titre 2 2" xfId="148"/>
    <cellStyle name="Titre 2 3" xfId="147"/>
    <cellStyle name="Titre 3" xfId="15" builtinId="18" customBuiltin="1"/>
    <cellStyle name="Titre 3 2" xfId="150"/>
    <cellStyle name="Titre 3 3" xfId="149"/>
    <cellStyle name="Titre 4" xfId="16" builtinId="19" customBuiltin="1"/>
    <cellStyle name="Titre 4 2" xfId="152"/>
    <cellStyle name="Titre 4 3" xfId="151"/>
    <cellStyle name="Total" xfId="27" builtinId="25" customBuiltin="1"/>
    <cellStyle name="Total 2" xfId="154"/>
    <cellStyle name="Total 3" xfId="153"/>
    <cellStyle name="Vérification" xfId="24" builtinId="23" customBuiltin="1"/>
    <cellStyle name="Vérification 2" xfId="156"/>
    <cellStyle name="Vérification 3" xfId="15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47623</xdr:rowOff>
    </xdr:from>
    <xdr:to>
      <xdr:col>13</xdr:col>
      <xdr:colOff>76202</xdr:colOff>
      <xdr:row>91</xdr:row>
      <xdr:rowOff>11427</xdr:rowOff>
    </xdr:to>
    <xdr:pic>
      <xdr:nvPicPr>
        <xdr:cNvPr id="2" name="Picture 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494" b="45846"/>
        <a:stretch/>
      </xdr:blipFill>
      <xdr:spPr bwMode="auto">
        <a:xfrm rot="16200000">
          <a:off x="-1391601" y="2506024"/>
          <a:ext cx="12765404" cy="9982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en.moreau@syngenta.com" TargetMode="Externa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22" zoomScale="95" zoomScaleNormal="95" workbookViewId="0">
      <selection activeCell="I30" sqref="C30:I30"/>
    </sheetView>
  </sheetViews>
  <sheetFormatPr baseColWidth="10" defaultColWidth="11.42578125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26" t="s">
        <v>5</v>
      </c>
      <c r="B5" s="326"/>
      <c r="C5" s="326"/>
      <c r="D5" s="326"/>
      <c r="E5" s="326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27" t="s">
        <v>6</v>
      </c>
      <c r="B7" s="328" t="s">
        <v>7</v>
      </c>
      <c r="C7" s="328"/>
      <c r="D7" s="328"/>
      <c r="E7" s="328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27"/>
      <c r="B8" s="329" t="s">
        <v>8</v>
      </c>
      <c r="C8" s="329"/>
      <c r="D8" s="329"/>
      <c r="E8" s="329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27"/>
      <c r="B9" s="330" t="s">
        <v>9</v>
      </c>
      <c r="C9" s="330"/>
      <c r="D9" s="330"/>
      <c r="E9" s="330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3" customFormat="1" ht="70.5" customHeight="1">
      <c r="A16" s="18" t="s">
        <v>29</v>
      </c>
      <c r="B16" s="164" t="s">
        <v>7652</v>
      </c>
      <c r="C16" s="164" t="s">
        <v>7565</v>
      </c>
      <c r="D16" s="169">
        <v>42039</v>
      </c>
      <c r="E16" s="169">
        <v>41855</v>
      </c>
      <c r="F16" s="165" t="s">
        <v>7566</v>
      </c>
      <c r="G16" s="164" t="s">
        <v>7653</v>
      </c>
      <c r="H16" s="166" t="s">
        <v>7643</v>
      </c>
      <c r="I16" s="167"/>
      <c r="J16" s="167" t="s">
        <v>38</v>
      </c>
      <c r="K16" s="167" t="s">
        <v>7567</v>
      </c>
      <c r="L16" s="167" t="s">
        <v>7568</v>
      </c>
      <c r="M16" s="167" t="s">
        <v>7644</v>
      </c>
      <c r="N16" s="168"/>
      <c r="O16" s="167" t="s">
        <v>207</v>
      </c>
      <c r="P16" s="167"/>
      <c r="Q16" s="167"/>
    </row>
    <row r="17" spans="1:256" ht="25.5">
      <c r="A17" s="24" t="s">
        <v>30</v>
      </c>
      <c r="B17" s="25" t="s">
        <v>31</v>
      </c>
      <c r="C17" s="25" t="s">
        <v>32</v>
      </c>
      <c r="D17" s="26" t="s">
        <v>33</v>
      </c>
      <c r="E17" s="26" t="s">
        <v>34</v>
      </c>
      <c r="F17" s="26" t="s">
        <v>35</v>
      </c>
      <c r="G17" s="25" t="s">
        <v>36</v>
      </c>
      <c r="H17" s="27">
        <v>2012</v>
      </c>
      <c r="I17" s="26" t="s">
        <v>37</v>
      </c>
      <c r="J17" s="28" t="s">
        <v>38</v>
      </c>
      <c r="K17" s="28" t="s">
        <v>39</v>
      </c>
      <c r="L17" s="28"/>
      <c r="M17" s="28"/>
      <c r="N17" s="29" t="s">
        <v>40</v>
      </c>
      <c r="O17" s="28"/>
      <c r="P17" s="28" t="s">
        <v>41</v>
      </c>
      <c r="Q17" s="28" t="s">
        <v>42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3" customFormat="1" ht="38.25">
      <c r="A18" s="24" t="s">
        <v>43</v>
      </c>
      <c r="B18" s="30" t="s">
        <v>44</v>
      </c>
      <c r="C18" s="30" t="s">
        <v>44</v>
      </c>
      <c r="D18" s="30" t="s">
        <v>45</v>
      </c>
      <c r="E18" s="30" t="s">
        <v>45</v>
      </c>
      <c r="F18" s="30" t="s">
        <v>44</v>
      </c>
      <c r="G18" s="30" t="s">
        <v>44</v>
      </c>
      <c r="H18" s="31" t="s">
        <v>44</v>
      </c>
      <c r="I18" s="30" t="s">
        <v>46</v>
      </c>
      <c r="J18" s="30" t="s">
        <v>44</v>
      </c>
      <c r="K18" s="30" t="s">
        <v>44</v>
      </c>
      <c r="L18" s="32" t="s">
        <v>44</v>
      </c>
      <c r="M18" s="32" t="s">
        <v>44</v>
      </c>
      <c r="N18" s="32" t="s">
        <v>44</v>
      </c>
      <c r="O18" s="32" t="s">
        <v>44</v>
      </c>
      <c r="P18" s="32" t="s">
        <v>44</v>
      </c>
      <c r="Q18" s="32" t="s">
        <v>44</v>
      </c>
    </row>
    <row r="19" spans="1:256">
      <c r="A19" s="34"/>
      <c r="B19" s="35"/>
      <c r="C19" s="35"/>
      <c r="D19" s="35"/>
      <c r="E19" s="35"/>
      <c r="F19" s="35"/>
      <c r="G19" s="35"/>
      <c r="H19" s="35"/>
      <c r="I19" s="36"/>
      <c r="J19" s="36"/>
      <c r="K19" s="36"/>
      <c r="L19" s="36"/>
      <c r="M19" s="36"/>
      <c r="N19" s="36"/>
      <c r="O19" s="36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7"/>
      <c r="B20" s="38"/>
      <c r="C20" s="38"/>
      <c r="D20" s="38"/>
      <c r="E20" s="38"/>
      <c r="F20" s="38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2" customFormat="1" ht="12.75" customHeight="1">
      <c r="A21" s="39" t="s">
        <v>47</v>
      </c>
      <c r="B21" s="40" t="s">
        <v>48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spans="1:256">
      <c r="A22" s="43"/>
      <c r="B22" s="14" t="s">
        <v>49</v>
      </c>
      <c r="C22" s="15" t="s">
        <v>50</v>
      </c>
      <c r="D22" s="15" t="s">
        <v>51</v>
      </c>
      <c r="E22" s="15" t="s">
        <v>52</v>
      </c>
      <c r="F22" s="44" t="s">
        <v>53</v>
      </c>
      <c r="G22" s="44" t="s">
        <v>54</v>
      </c>
      <c r="H22" s="45" t="s">
        <v>55</v>
      </c>
      <c r="I22" s="15" t="s">
        <v>56</v>
      </c>
      <c r="J22" s="15" t="s">
        <v>57</v>
      </c>
      <c r="K22" s="15" t="s">
        <v>58</v>
      </c>
      <c r="L22" s="15" t="s">
        <v>59</v>
      </c>
      <c r="M22" s="15" t="s">
        <v>60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>
      <c r="A23" s="46" t="s">
        <v>29</v>
      </c>
      <c r="B23" s="170" t="s">
        <v>7569</v>
      </c>
      <c r="C23" s="172">
        <v>49.669199999999996</v>
      </c>
      <c r="D23" s="172">
        <v>2.8228580000000001</v>
      </c>
      <c r="E23" s="172">
        <v>79</v>
      </c>
      <c r="F23" s="173"/>
      <c r="G23" s="173" t="s">
        <v>7645</v>
      </c>
      <c r="H23" s="173" t="s">
        <v>7570</v>
      </c>
      <c r="I23" s="172" t="s">
        <v>7571</v>
      </c>
      <c r="J23" s="172"/>
      <c r="K23" s="172"/>
      <c r="L23" s="171"/>
      <c r="M23" s="172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48" t="s">
        <v>61</v>
      </c>
      <c r="B24" s="25" t="s">
        <v>62</v>
      </c>
      <c r="C24" s="28"/>
      <c r="D24" s="28"/>
      <c r="E24" s="28"/>
      <c r="F24" s="49"/>
      <c r="G24" s="49"/>
      <c r="H24" s="49" t="s">
        <v>63</v>
      </c>
      <c r="I24" s="28" t="s">
        <v>64</v>
      </c>
      <c r="J24" s="28" t="s">
        <v>65</v>
      </c>
      <c r="K24" s="28"/>
      <c r="L24" s="28"/>
      <c r="M24" s="28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4" t="s">
        <v>43</v>
      </c>
      <c r="B25" s="30" t="s">
        <v>44</v>
      </c>
      <c r="C25" s="30" t="s">
        <v>46</v>
      </c>
      <c r="D25" s="30" t="s">
        <v>46</v>
      </c>
      <c r="E25" s="50" t="s">
        <v>46</v>
      </c>
      <c r="F25" s="51" t="s">
        <v>44</v>
      </c>
      <c r="G25" s="51" t="s">
        <v>44</v>
      </c>
      <c r="H25" s="51" t="s">
        <v>44</v>
      </c>
      <c r="I25" s="30" t="s">
        <v>66</v>
      </c>
      <c r="J25" s="50" t="s">
        <v>44</v>
      </c>
      <c r="K25" s="50" t="s">
        <v>44</v>
      </c>
      <c r="L25" s="30" t="s">
        <v>44</v>
      </c>
      <c r="M25" s="30" t="s">
        <v>44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4"/>
      <c r="B26" s="41"/>
      <c r="C26" s="38"/>
      <c r="D26" s="52"/>
      <c r="E26" s="38"/>
      <c r="F26" s="38"/>
      <c r="G26" s="38"/>
      <c r="H26" s="38"/>
      <c r="I26" s="38"/>
      <c r="J26" s="38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3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4" t="s">
        <v>67</v>
      </c>
      <c r="B28" s="10" t="s">
        <v>68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3"/>
      <c r="B29" s="55" t="s">
        <v>69</v>
      </c>
      <c r="C29" s="55" t="s">
        <v>70</v>
      </c>
      <c r="D29" s="55" t="s">
        <v>71</v>
      </c>
      <c r="E29" s="56" t="s">
        <v>72</v>
      </c>
      <c r="F29" s="56" t="s">
        <v>73</v>
      </c>
      <c r="G29" s="55" t="s">
        <v>74</v>
      </c>
      <c r="H29" s="55" t="s">
        <v>75</v>
      </c>
      <c r="I29" s="56" t="s">
        <v>76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174" t="s">
        <v>77</v>
      </c>
      <c r="C30" s="174" t="s">
        <v>7646</v>
      </c>
      <c r="D30" s="174" t="s">
        <v>7647</v>
      </c>
      <c r="E30" s="175" t="s">
        <v>7648</v>
      </c>
      <c r="F30" s="174"/>
      <c r="G30" s="237" t="s">
        <v>7649</v>
      </c>
      <c r="H30" s="174" t="s">
        <v>7650</v>
      </c>
      <c r="I30" s="174" t="s">
        <v>7651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48" t="s">
        <v>61</v>
      </c>
      <c r="B31" s="30" t="s">
        <v>77</v>
      </c>
      <c r="C31" s="30" t="s">
        <v>78</v>
      </c>
      <c r="D31" s="30" t="s">
        <v>79</v>
      </c>
      <c r="E31" s="30" t="s">
        <v>80</v>
      </c>
      <c r="F31" s="30" t="s">
        <v>81</v>
      </c>
      <c r="G31" s="57" t="s">
        <v>82</v>
      </c>
      <c r="H31" s="30" t="s">
        <v>83</v>
      </c>
      <c r="I31" s="30" t="s">
        <v>84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4" t="s">
        <v>43</v>
      </c>
      <c r="B32" s="30" t="s">
        <v>44</v>
      </c>
      <c r="C32" s="30" t="s">
        <v>44</v>
      </c>
      <c r="D32" s="30" t="s">
        <v>44</v>
      </c>
      <c r="E32" s="58" t="s">
        <v>85</v>
      </c>
      <c r="F32" s="58" t="s">
        <v>86</v>
      </c>
      <c r="G32" s="30" t="s">
        <v>44</v>
      </c>
      <c r="H32" s="30" t="s">
        <v>44</v>
      </c>
      <c r="I32" s="30" t="s">
        <v>44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0" customFormat="1">
      <c r="A33" s="34"/>
      <c r="B33" s="59"/>
      <c r="C33" s="59"/>
      <c r="D33" s="59"/>
      <c r="E33" s="38"/>
      <c r="F33" s="38"/>
      <c r="G33" s="38"/>
      <c r="H33" s="38"/>
      <c r="I33" s="38"/>
    </row>
    <row r="34" spans="1:256">
      <c r="A34" s="61"/>
      <c r="B34" s="35"/>
      <c r="C34" s="35"/>
      <c r="D34" s="35"/>
      <c r="E34" s="8"/>
      <c r="F34" s="8"/>
      <c r="G34" s="35"/>
      <c r="H34" s="35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2" t="s">
        <v>87</v>
      </c>
      <c r="B35" s="63" t="s">
        <v>88</v>
      </c>
      <c r="C35" s="35"/>
      <c r="D35" s="35"/>
      <c r="E35" s="8"/>
      <c r="F35" s="8"/>
      <c r="G35" s="35"/>
      <c r="H35" s="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4" t="s">
        <v>89</v>
      </c>
      <c r="C36" s="35"/>
      <c r="D36" s="35"/>
      <c r="E36" s="8"/>
      <c r="F36" s="8"/>
      <c r="G36" s="35"/>
      <c r="H36" s="35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3"/>
      <c r="B37" s="65" t="s">
        <v>90</v>
      </c>
      <c r="C37" s="65" t="s">
        <v>91</v>
      </c>
      <c r="D37" s="66" t="s">
        <v>92</v>
      </c>
      <c r="E37" s="66" t="s">
        <v>29</v>
      </c>
      <c r="F37" s="66" t="s">
        <v>93</v>
      </c>
      <c r="G37" s="66" t="s">
        <v>94</v>
      </c>
      <c r="H37" s="67" t="s">
        <v>95</v>
      </c>
      <c r="I37" s="66" t="s">
        <v>58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2" t="s">
        <v>96</v>
      </c>
      <c r="C38" s="68" t="s">
        <v>97</v>
      </c>
      <c r="D38" s="20" t="s">
        <v>98</v>
      </c>
      <c r="E38" s="19" t="s">
        <v>99</v>
      </c>
      <c r="F38" s="20" t="s">
        <v>100</v>
      </c>
      <c r="G38" s="19" t="s">
        <v>101</v>
      </c>
      <c r="H38" s="69" t="s">
        <v>102</v>
      </c>
      <c r="I38" s="22" t="s">
        <v>103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48" t="s">
        <v>61</v>
      </c>
      <c r="B39" s="49" t="s">
        <v>104</v>
      </c>
      <c r="C39" s="70" t="s">
        <v>105</v>
      </c>
      <c r="D39" s="71" t="s">
        <v>106</v>
      </c>
      <c r="E39" s="30"/>
      <c r="F39" s="30" t="s">
        <v>107</v>
      </c>
      <c r="G39" s="30"/>
      <c r="H39" s="72"/>
      <c r="I39" s="30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4" t="s">
        <v>43</v>
      </c>
      <c r="B40" s="49" t="s">
        <v>44</v>
      </c>
      <c r="C40" s="30" t="s">
        <v>44</v>
      </c>
      <c r="D40" s="30" t="s">
        <v>44</v>
      </c>
      <c r="E40" s="30" t="s">
        <v>44</v>
      </c>
      <c r="F40" s="30" t="s">
        <v>44</v>
      </c>
      <c r="G40" s="30" t="s">
        <v>44</v>
      </c>
      <c r="H40" s="31" t="s">
        <v>44</v>
      </c>
      <c r="I40" s="30" t="s">
        <v>44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4"/>
      <c r="B41" s="35"/>
      <c r="C41" s="35"/>
      <c r="D41" s="35"/>
      <c r="E41" s="8"/>
      <c r="F41" s="8"/>
      <c r="G41" s="35"/>
      <c r="H41" s="35"/>
      <c r="I41" s="35"/>
      <c r="J41" s="35"/>
      <c r="K41" s="35"/>
      <c r="L41" s="35"/>
      <c r="M41" s="8"/>
      <c r="N41" s="35"/>
      <c r="O41" s="35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1"/>
      <c r="B42" s="35"/>
      <c r="C42" s="35"/>
      <c r="D42" s="35"/>
      <c r="E42" s="8"/>
      <c r="F42" s="8"/>
      <c r="G42" s="35"/>
      <c r="H42" s="35"/>
      <c r="I42" s="35"/>
      <c r="J42" s="35"/>
      <c r="K42" s="35"/>
      <c r="L42" s="35"/>
      <c r="M42" s="8"/>
      <c r="N42" s="35"/>
      <c r="O42" s="35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2" t="s">
        <v>108</v>
      </c>
      <c r="B43" s="63" t="s">
        <v>109</v>
      </c>
      <c r="C43" s="35"/>
      <c r="D43" s="35"/>
      <c r="E43" s="8"/>
      <c r="F43" s="35"/>
      <c r="G43" s="35"/>
      <c r="H43" s="35"/>
      <c r="I43" s="8"/>
      <c r="J43" s="35"/>
      <c r="K43" s="3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3"/>
      <c r="B44" s="73" t="s">
        <v>110</v>
      </c>
      <c r="C44" s="73" t="s">
        <v>111</v>
      </c>
      <c r="D44" s="73" t="s">
        <v>112</v>
      </c>
      <c r="E44" s="74" t="s">
        <v>113</v>
      </c>
      <c r="F44" s="73" t="s">
        <v>114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115</v>
      </c>
      <c r="C45" s="20" t="s">
        <v>116</v>
      </c>
      <c r="D45" s="20" t="s">
        <v>117</v>
      </c>
      <c r="E45" s="75" t="s">
        <v>118</v>
      </c>
      <c r="F45" s="20" t="s">
        <v>119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48" t="s">
        <v>61</v>
      </c>
      <c r="B46" s="76" t="s">
        <v>120</v>
      </c>
      <c r="C46" s="70" t="s">
        <v>121</v>
      </c>
      <c r="D46" s="70" t="s">
        <v>122</v>
      </c>
      <c r="E46" s="75"/>
      <c r="F46" s="70" t="s">
        <v>123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4" t="s">
        <v>43</v>
      </c>
      <c r="B47" s="30" t="s">
        <v>44</v>
      </c>
      <c r="C47" s="30" t="s">
        <v>44</v>
      </c>
      <c r="D47" s="30" t="s">
        <v>44</v>
      </c>
      <c r="E47" s="75" t="s">
        <v>44</v>
      </c>
      <c r="F47" s="58" t="s">
        <v>44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4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78" customFormat="1" ht="12.75" customHeight="1">
      <c r="A49" s="77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1:256" ht="12.75" customHeight="1">
      <c r="A50" s="79" t="s">
        <v>124</v>
      </c>
      <c r="B50" s="40" t="s">
        <v>125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7"/>
      <c r="B51" s="40" t="s">
        <v>126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3"/>
      <c r="B52" s="14" t="s">
        <v>127</v>
      </c>
      <c r="C52" s="14" t="s">
        <v>128</v>
      </c>
      <c r="D52" s="14" t="s">
        <v>129</v>
      </c>
      <c r="E52" s="15" t="s">
        <v>130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131</v>
      </c>
      <c r="C53" s="20" t="s">
        <v>132</v>
      </c>
      <c r="D53" s="20" t="s">
        <v>133</v>
      </c>
      <c r="E53" s="20" t="s">
        <v>134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48" t="s">
        <v>61</v>
      </c>
      <c r="B54" s="80" t="s">
        <v>135</v>
      </c>
      <c r="C54" s="80" t="s">
        <v>136</v>
      </c>
      <c r="D54" s="80" t="s">
        <v>137</v>
      </c>
      <c r="E54" s="76" t="s">
        <v>138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4" t="s">
        <v>43</v>
      </c>
      <c r="B55" s="30" t="s">
        <v>44</v>
      </c>
      <c r="C55" s="30" t="s">
        <v>44</v>
      </c>
      <c r="D55" s="30" t="s">
        <v>44</v>
      </c>
      <c r="E55" s="58" t="s">
        <v>44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2" customFormat="1">
      <c r="A56" s="34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 spans="1:256" ht="12.75" customHeight="1">
      <c r="A57" s="77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79" t="s">
        <v>139</v>
      </c>
      <c r="B58" s="40" t="s">
        <v>140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7"/>
      <c r="B59" s="40" t="s">
        <v>141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3"/>
      <c r="B60" s="65" t="s">
        <v>142</v>
      </c>
      <c r="C60" s="66" t="s">
        <v>143</v>
      </c>
      <c r="D60" s="66" t="s">
        <v>29</v>
      </c>
      <c r="E60" s="66" t="s">
        <v>144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145</v>
      </c>
      <c r="C61" s="20" t="s">
        <v>146</v>
      </c>
      <c r="D61" s="20" t="s">
        <v>147</v>
      </c>
      <c r="E61" s="18" t="s">
        <v>148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31" t="s">
        <v>61</v>
      </c>
      <c r="B62" s="20" t="s">
        <v>149</v>
      </c>
      <c r="C62" s="20" t="s">
        <v>150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31"/>
      <c r="B63" s="80" t="s">
        <v>151</v>
      </c>
      <c r="C63" s="80" t="s">
        <v>151</v>
      </c>
      <c r="D63"/>
      <c r="E63" s="80" t="s">
        <v>149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4" t="s">
        <v>43</v>
      </c>
      <c r="B64" s="30" t="s">
        <v>44</v>
      </c>
      <c r="C64" s="30" t="s">
        <v>44</v>
      </c>
      <c r="D64" s="30" t="s">
        <v>44</v>
      </c>
      <c r="E64" s="58" t="s">
        <v>44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2" customFormat="1">
      <c r="A65" s="34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</row>
    <row r="66" spans="1:256" s="42" customFormat="1" ht="12.75" customHeight="1">
      <c r="A66" s="77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 spans="1:256" ht="12.75" customHeight="1">
      <c r="A67" s="79" t="s">
        <v>152</v>
      </c>
      <c r="B67" s="40" t="s">
        <v>153</v>
      </c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3"/>
      <c r="B68" s="81" t="s">
        <v>114</v>
      </c>
      <c r="C68" s="82" t="s">
        <v>154</v>
      </c>
      <c r="D68" s="82" t="s">
        <v>155</v>
      </c>
      <c r="E68" s="83" t="s">
        <v>21</v>
      </c>
      <c r="F68" s="83" t="s">
        <v>22</v>
      </c>
      <c r="G68" s="83" t="s">
        <v>156</v>
      </c>
      <c r="H68" s="17" t="s">
        <v>157</v>
      </c>
      <c r="I68" s="84" t="s">
        <v>158</v>
      </c>
      <c r="J68" s="15" t="s">
        <v>159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32" t="s">
        <v>29</v>
      </c>
      <c r="B69" s="333" t="s">
        <v>160</v>
      </c>
      <c r="C69" s="85" t="s">
        <v>161</v>
      </c>
      <c r="D69" s="85" t="s">
        <v>162</v>
      </c>
      <c r="E69" s="325" t="s">
        <v>163</v>
      </c>
      <c r="F69" s="325" t="s">
        <v>164</v>
      </c>
      <c r="G69" s="325" t="s">
        <v>165</v>
      </c>
      <c r="H69" s="325" t="s">
        <v>166</v>
      </c>
      <c r="I69" s="86" t="s">
        <v>167</v>
      </c>
      <c r="J69" s="85" t="s">
        <v>167</v>
      </c>
      <c r="K69" s="87"/>
      <c r="L69" s="87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32"/>
      <c r="B70" s="333"/>
      <c r="C70" s="88" t="s">
        <v>168</v>
      </c>
      <c r="D70" s="88" t="s">
        <v>169</v>
      </c>
      <c r="E70" s="325"/>
      <c r="F70" s="325"/>
      <c r="G70" s="325"/>
      <c r="H70" s="325"/>
      <c r="I70" s="88" t="s">
        <v>170</v>
      </c>
      <c r="J70" s="88" t="s">
        <v>171</v>
      </c>
      <c r="K70" s="38"/>
      <c r="L70" s="38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48" t="s">
        <v>61</v>
      </c>
      <c r="B71" s="70" t="s">
        <v>123</v>
      </c>
      <c r="C71" s="88" t="s">
        <v>172</v>
      </c>
      <c r="D71" s="88" t="s">
        <v>173</v>
      </c>
      <c r="E71" s="20">
        <v>1</v>
      </c>
      <c r="F71" s="49">
        <v>3</v>
      </c>
      <c r="G71" s="49"/>
      <c r="H71" s="49"/>
      <c r="I71" s="88" t="s">
        <v>174</v>
      </c>
      <c r="J71" s="88" t="s">
        <v>175</v>
      </c>
      <c r="K71" s="38"/>
      <c r="L71" s="38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4" t="s">
        <v>43</v>
      </c>
      <c r="B72" s="30" t="s">
        <v>44</v>
      </c>
      <c r="C72" s="30" t="s">
        <v>44</v>
      </c>
      <c r="D72" s="30" t="s">
        <v>44</v>
      </c>
      <c r="E72" s="58" t="s">
        <v>44</v>
      </c>
      <c r="F72" s="58" t="s">
        <v>44</v>
      </c>
      <c r="G72" s="49" t="s">
        <v>46</v>
      </c>
      <c r="H72" s="49" t="s">
        <v>46</v>
      </c>
      <c r="I72" s="89" t="s">
        <v>176</v>
      </c>
      <c r="J72" s="49" t="s">
        <v>177</v>
      </c>
      <c r="K72" s="38"/>
      <c r="L72" s="38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1"/>
      <c r="B73" s="35"/>
      <c r="C73" s="35"/>
      <c r="D73" s="35"/>
      <c r="E73" s="8"/>
      <c r="F73" s="38"/>
      <c r="G73" s="38"/>
      <c r="H73" s="38"/>
      <c r="I73" s="38"/>
      <c r="J73" s="38"/>
      <c r="K73" s="38"/>
      <c r="L73" s="38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4"/>
      <c r="B74" s="41"/>
      <c r="C74" s="38"/>
      <c r="D74" s="52"/>
      <c r="E74" s="38"/>
      <c r="F74" s="38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0" t="s">
        <v>178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4" customFormat="1">
      <c r="A76" s="91"/>
      <c r="B76" s="92" t="s">
        <v>179</v>
      </c>
      <c r="C76" s="93" t="s">
        <v>180</v>
      </c>
      <c r="D76" s="92" t="s">
        <v>181</v>
      </c>
      <c r="E76" s="93" t="s">
        <v>182</v>
      </c>
      <c r="F76" s="93" t="s">
        <v>183</v>
      </c>
      <c r="G76" s="93" t="s">
        <v>29</v>
      </c>
    </row>
    <row r="77" spans="1:256" s="98" customFormat="1" ht="25.5">
      <c r="A77" s="95" t="s">
        <v>29</v>
      </c>
      <c r="B77" s="96" t="s">
        <v>184</v>
      </c>
      <c r="C77" s="96" t="s">
        <v>185</v>
      </c>
      <c r="D77" s="96" t="s">
        <v>186</v>
      </c>
      <c r="E77" s="96" t="s">
        <v>187</v>
      </c>
      <c r="F77" s="97" t="s">
        <v>188</v>
      </c>
      <c r="G77" s="96" t="s">
        <v>189</v>
      </c>
    </row>
    <row r="78" spans="1:256" s="94" customFormat="1" ht="38.25">
      <c r="A78" s="99" t="s">
        <v>30</v>
      </c>
      <c r="B78" s="100" t="s">
        <v>190</v>
      </c>
      <c r="C78" s="101" t="s">
        <v>191</v>
      </c>
      <c r="D78" s="96" t="s">
        <v>192</v>
      </c>
      <c r="E78" s="51">
        <v>39</v>
      </c>
      <c r="F78" s="102">
        <v>40568</v>
      </c>
      <c r="G78" s="51"/>
    </row>
    <row r="79" spans="1:256" ht="38.25">
      <c r="A79" s="103" t="s">
        <v>43</v>
      </c>
      <c r="B79" s="96" t="s">
        <v>44</v>
      </c>
      <c r="C79" s="96" t="s">
        <v>44</v>
      </c>
      <c r="D79" s="96" t="s">
        <v>193</v>
      </c>
      <c r="E79" s="51" t="s">
        <v>46</v>
      </c>
      <c r="F79" s="51" t="s">
        <v>194</v>
      </c>
      <c r="G79" s="96" t="s">
        <v>44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4"/>
      <c r="B80" s="105"/>
      <c r="C80" s="105"/>
      <c r="D80" s="105"/>
      <c r="E80" s="106"/>
      <c r="F80" s="106"/>
      <c r="G80" s="105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7"/>
      <c r="B81" s="38"/>
      <c r="C81" s="38"/>
      <c r="D81" s="38"/>
      <c r="E81" s="38"/>
      <c r="F81" s="38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2" customFormat="1" ht="12.75" customHeight="1">
      <c r="A82" s="79" t="s">
        <v>195</v>
      </c>
      <c r="B82" s="40" t="s">
        <v>196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</row>
    <row r="83" spans="1:256">
      <c r="A83" s="43"/>
      <c r="B83" s="107" t="s">
        <v>197</v>
      </c>
      <c r="C83" s="107" t="s">
        <v>198</v>
      </c>
      <c r="D83" s="107" t="s">
        <v>199</v>
      </c>
      <c r="E83"/>
      <c r="F83"/>
      <c r="G83"/>
      <c r="H83"/>
      <c r="I83"/>
      <c r="J83"/>
    </row>
    <row r="84" spans="1:256" ht="38.25" customHeight="1">
      <c r="A84" s="46" t="s">
        <v>29</v>
      </c>
      <c r="B84" s="21" t="s">
        <v>200</v>
      </c>
      <c r="C84" s="21" t="s">
        <v>201</v>
      </c>
      <c r="D84" s="21" t="s">
        <v>202</v>
      </c>
      <c r="E84"/>
      <c r="F84"/>
      <c r="G84"/>
      <c r="H84"/>
      <c r="I84"/>
      <c r="J84"/>
    </row>
    <row r="85" spans="1:256">
      <c r="A85" s="48" t="s">
        <v>61</v>
      </c>
      <c r="B85" s="29">
        <v>1</v>
      </c>
      <c r="C85" s="108">
        <v>3</v>
      </c>
      <c r="D85" s="29" t="s">
        <v>203</v>
      </c>
      <c r="E85"/>
      <c r="F85"/>
      <c r="G85"/>
      <c r="H85"/>
      <c r="I85"/>
      <c r="J85"/>
    </row>
    <row r="86" spans="1:256" ht="140.25">
      <c r="A86" s="24" t="s">
        <v>43</v>
      </c>
      <c r="B86" s="47" t="s">
        <v>204</v>
      </c>
      <c r="C86" s="47" t="s">
        <v>205</v>
      </c>
      <c r="D86" s="47" t="s">
        <v>206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  <hyperlink ref="G30" r:id="rId3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2"/>
  <sheetViews>
    <sheetView zoomScale="95" zoomScaleNormal="95" workbookViewId="0">
      <selection activeCell="B21" sqref="B21"/>
    </sheetView>
  </sheetViews>
  <sheetFormatPr baseColWidth="10" defaultColWidth="12.85546875" defaultRowHeight="12.75"/>
  <cols>
    <col min="1" max="1" width="18" style="109" bestFit="1" customWidth="1"/>
    <col min="2" max="2" width="10.5703125" style="109" customWidth="1"/>
    <col min="3" max="3" width="15.85546875" style="110" customWidth="1"/>
    <col min="4" max="4" width="13.85546875" style="110" customWidth="1"/>
    <col min="5" max="5" width="12.42578125" style="110" customWidth="1"/>
    <col min="6" max="6" width="15.85546875" style="110" customWidth="1"/>
    <col min="7" max="7" width="22.28515625" style="110" customWidth="1"/>
    <col min="8" max="8" width="6.28515625" style="110" customWidth="1"/>
    <col min="9" max="9" width="4.7109375" style="111" bestFit="1" customWidth="1"/>
    <col min="10" max="10" width="7.42578125" style="111" bestFit="1" customWidth="1"/>
    <col min="11" max="11" width="19.28515625" style="110" customWidth="1"/>
    <col min="12" max="13" width="12.42578125" style="110" customWidth="1"/>
    <col min="14" max="14" width="17" style="110" customWidth="1"/>
    <col min="15" max="15" width="8.7109375" style="110" customWidth="1"/>
    <col min="16" max="16" width="13.5703125" style="110" customWidth="1"/>
  </cols>
  <sheetData>
    <row r="1" spans="1:16">
      <c r="A1" s="112" t="s">
        <v>13</v>
      </c>
      <c r="B1" s="112" t="s">
        <v>14</v>
      </c>
      <c r="C1" s="113" t="s">
        <v>15</v>
      </c>
      <c r="D1" s="113" t="s">
        <v>16</v>
      </c>
      <c r="E1" s="113" t="s">
        <v>17</v>
      </c>
      <c r="F1" s="113" t="s">
        <v>18</v>
      </c>
      <c r="G1" s="113" t="s">
        <v>19</v>
      </c>
      <c r="H1" s="113" t="s">
        <v>20</v>
      </c>
      <c r="I1" s="114" t="s">
        <v>21</v>
      </c>
      <c r="J1" s="114" t="s">
        <v>22</v>
      </c>
      <c r="K1" s="113" t="s">
        <v>23</v>
      </c>
      <c r="L1" s="113" t="s">
        <v>24</v>
      </c>
      <c r="M1" s="113" t="s">
        <v>25</v>
      </c>
      <c r="N1" s="113" t="s">
        <v>26</v>
      </c>
      <c r="O1" s="113" t="s">
        <v>27</v>
      </c>
      <c r="P1" s="113" t="s">
        <v>28</v>
      </c>
    </row>
    <row r="2" spans="1:16">
      <c r="A2" s="109" t="s">
        <v>7652</v>
      </c>
      <c r="B2" s="109" t="s">
        <v>7565</v>
      </c>
      <c r="C2" s="176">
        <v>42039</v>
      </c>
      <c r="D2" s="176">
        <v>41855</v>
      </c>
      <c r="E2" s="110" t="s">
        <v>7566</v>
      </c>
      <c r="F2" s="110" t="s">
        <v>7653</v>
      </c>
      <c r="G2" s="110" t="s">
        <v>7643</v>
      </c>
      <c r="I2" s="111" t="s">
        <v>7572</v>
      </c>
      <c r="J2" s="111" t="s">
        <v>39</v>
      </c>
      <c r="K2" s="110" t="s">
        <v>7654</v>
      </c>
      <c r="L2" s="110" t="s">
        <v>7644</v>
      </c>
      <c r="N2" s="110" t="s">
        <v>207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L2"/>
  <sheetViews>
    <sheetView workbookViewId="0">
      <selection activeCell="A2" sqref="A2"/>
    </sheetView>
  </sheetViews>
  <sheetFormatPr baseColWidth="10" defaultColWidth="10.7109375" defaultRowHeight="12.75"/>
  <cols>
    <col min="1" max="1" width="11.85546875" style="115" customWidth="1"/>
    <col min="2" max="2" width="9.140625" style="116" customWidth="1"/>
    <col min="3" max="3" width="11" style="116" customWidth="1"/>
    <col min="4" max="4" width="10.140625" style="116" customWidth="1"/>
    <col min="5" max="5" width="10.42578125" style="116" customWidth="1"/>
    <col min="6" max="6" width="6.5703125" style="116" customWidth="1"/>
    <col min="7" max="7" width="25.140625" style="115" customWidth="1"/>
    <col min="8" max="8" width="11.28515625" style="116" customWidth="1"/>
    <col min="9" max="9" width="12.140625" style="116" customWidth="1"/>
    <col min="10" max="10" width="10.42578125" style="116" customWidth="1"/>
    <col min="11" max="11" width="19.28515625" style="110" customWidth="1"/>
    <col min="12" max="12" width="22.42578125" style="110" customWidth="1"/>
  </cols>
  <sheetData>
    <row r="1" spans="1:12" s="90" customFormat="1">
      <c r="A1" s="117" t="s">
        <v>49</v>
      </c>
      <c r="B1" s="118" t="s">
        <v>50</v>
      </c>
      <c r="C1" s="118" t="s">
        <v>51</v>
      </c>
      <c r="D1" s="118" t="s">
        <v>52</v>
      </c>
      <c r="E1" s="118" t="s">
        <v>53</v>
      </c>
      <c r="F1" s="118" t="s">
        <v>54</v>
      </c>
      <c r="G1" s="117" t="s">
        <v>55</v>
      </c>
      <c r="H1" s="119" t="s">
        <v>56</v>
      </c>
      <c r="I1" s="119" t="s">
        <v>57</v>
      </c>
      <c r="J1" s="118" t="s">
        <v>58</v>
      </c>
      <c r="K1" s="120" t="s">
        <v>59</v>
      </c>
      <c r="L1" s="120" t="s">
        <v>60</v>
      </c>
    </row>
    <row r="2" spans="1:12">
      <c r="A2" s="115" t="s">
        <v>7569</v>
      </c>
      <c r="B2" s="116">
        <v>49.669199999999996</v>
      </c>
      <c r="C2" s="116">
        <v>2.8228580000000001</v>
      </c>
      <c r="D2" s="116">
        <v>79</v>
      </c>
      <c r="F2" s="116" t="s">
        <v>7645</v>
      </c>
      <c r="G2" s="115" t="s">
        <v>7570</v>
      </c>
      <c r="H2" s="116" t="s">
        <v>7571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2"/>
  <sheetViews>
    <sheetView zoomScale="95" zoomScaleNormal="95" workbookViewId="0">
      <selection activeCell="F2" sqref="F2"/>
    </sheetView>
  </sheetViews>
  <sheetFormatPr baseColWidth="10" defaultColWidth="10.7109375" defaultRowHeight="12.75"/>
  <cols>
    <col min="1" max="1" width="8.7109375" style="121" customWidth="1"/>
    <col min="2" max="2" width="10.85546875" style="121" customWidth="1"/>
    <col min="3" max="3" width="11.140625" style="121" customWidth="1"/>
    <col min="4" max="4" width="7.42578125" style="110" customWidth="1"/>
    <col min="5" max="5" width="4.5703125" style="116" customWidth="1"/>
    <col min="6" max="6" width="26" style="121" customWidth="1"/>
    <col min="7" max="7" width="23.7109375" style="121" customWidth="1"/>
    <col min="8" max="8" width="12" style="110" customWidth="1"/>
  </cols>
  <sheetData>
    <row r="1" spans="1:8">
      <c r="A1" s="112" t="s">
        <v>69</v>
      </c>
      <c r="B1" s="112" t="s">
        <v>70</v>
      </c>
      <c r="C1" s="112" t="s">
        <v>71</v>
      </c>
      <c r="D1" s="113" t="s">
        <v>72</v>
      </c>
      <c r="E1" s="122" t="s">
        <v>73</v>
      </c>
      <c r="F1" s="112" t="s">
        <v>74</v>
      </c>
      <c r="G1" s="112" t="s">
        <v>75</v>
      </c>
      <c r="H1" s="113" t="s">
        <v>76</v>
      </c>
    </row>
    <row r="2" spans="1:8">
      <c r="A2" s="121" t="s">
        <v>7655</v>
      </c>
      <c r="B2" s="121" t="s">
        <v>7646</v>
      </c>
      <c r="C2" s="121" t="s">
        <v>7647</v>
      </c>
      <c r="D2" s="110" t="s">
        <v>7648</v>
      </c>
      <c r="F2" s="121" t="s">
        <v>7649</v>
      </c>
      <c r="G2" s="121" t="s">
        <v>7650</v>
      </c>
      <c r="H2" s="110" t="s">
        <v>7651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H27"/>
  <sheetViews>
    <sheetView zoomScale="70" zoomScaleNormal="70" workbookViewId="0">
      <selection activeCell="C19" sqref="C19"/>
    </sheetView>
  </sheetViews>
  <sheetFormatPr baseColWidth="10" defaultColWidth="12.7109375" defaultRowHeight="12.75"/>
  <cols>
    <col min="1" max="1" width="41.42578125" style="121" customWidth="1"/>
    <col min="2" max="2" width="17.7109375" style="121" bestFit="1" customWidth="1"/>
    <col min="3" max="3" width="28.140625" style="110" bestFit="1" customWidth="1"/>
    <col min="4" max="4" width="85.28515625" style="110" bestFit="1" customWidth="1"/>
    <col min="5" max="5" width="17.28515625" style="110" customWidth="1"/>
    <col min="6" max="6" width="48" style="110" customWidth="1"/>
    <col min="7" max="7" width="15.42578125" style="110" customWidth="1"/>
    <col min="8" max="8" width="10.42578125" style="110" customWidth="1"/>
    <col min="9" max="16384" width="12.7109375" style="124"/>
  </cols>
  <sheetData>
    <row r="1" spans="1:8" s="125" customFormat="1">
      <c r="A1" s="150" t="s">
        <v>90</v>
      </c>
      <c r="B1" s="150" t="s">
        <v>91</v>
      </c>
      <c r="C1" s="151" t="s">
        <v>92</v>
      </c>
      <c r="D1" s="152" t="s">
        <v>29</v>
      </c>
      <c r="E1" s="152" t="s">
        <v>93</v>
      </c>
      <c r="F1" s="152" t="s">
        <v>94</v>
      </c>
      <c r="G1" s="153" t="s">
        <v>95</v>
      </c>
      <c r="H1" s="153" t="s">
        <v>58</v>
      </c>
    </row>
    <row r="2" spans="1:8" ht="89.25">
      <c r="A2" s="154" t="s">
        <v>208</v>
      </c>
      <c r="B2" s="154" t="s">
        <v>7404</v>
      </c>
      <c r="C2" s="155" t="s">
        <v>7405</v>
      </c>
      <c r="D2" s="155" t="s">
        <v>7406</v>
      </c>
      <c r="E2" s="155" t="s">
        <v>7407</v>
      </c>
      <c r="F2" s="156" t="s">
        <v>7408</v>
      </c>
      <c r="G2" s="157"/>
      <c r="H2" s="157"/>
    </row>
    <row r="3" spans="1:8" ht="38.25">
      <c r="A3" s="154" t="s">
        <v>208</v>
      </c>
      <c r="B3" s="154" t="s">
        <v>7410</v>
      </c>
      <c r="C3" s="155" t="s">
        <v>7411</v>
      </c>
      <c r="D3" s="155" t="s">
        <v>7412</v>
      </c>
      <c r="E3" s="155" t="s">
        <v>210</v>
      </c>
      <c r="F3" s="156" t="s">
        <v>7413</v>
      </c>
      <c r="G3" s="157"/>
      <c r="H3" s="157"/>
    </row>
    <row r="4" spans="1:8">
      <c r="A4" s="154" t="s">
        <v>208</v>
      </c>
      <c r="B4" s="154" t="s">
        <v>215</v>
      </c>
      <c r="C4" s="155" t="s">
        <v>7399</v>
      </c>
      <c r="D4" s="155" t="s">
        <v>7414</v>
      </c>
      <c r="E4" s="155" t="s">
        <v>7415</v>
      </c>
      <c r="F4" s="156" t="s">
        <v>7416</v>
      </c>
      <c r="G4" s="157"/>
      <c r="H4" s="157"/>
    </row>
    <row r="5" spans="1:8" ht="38.25">
      <c r="A5" s="154" t="s">
        <v>208</v>
      </c>
      <c r="B5" s="154" t="s">
        <v>7417</v>
      </c>
      <c r="C5" s="155" t="s">
        <v>7418</v>
      </c>
      <c r="D5" s="155" t="s">
        <v>7419</v>
      </c>
      <c r="E5" s="155" t="s">
        <v>209</v>
      </c>
      <c r="F5" s="156" t="s">
        <v>7420</v>
      </c>
      <c r="G5" s="157"/>
      <c r="H5" s="157"/>
    </row>
    <row r="6" spans="1:8">
      <c r="A6" s="154" t="s">
        <v>208</v>
      </c>
      <c r="B6" s="154" t="s">
        <v>214</v>
      </c>
      <c r="C6" s="155" t="s">
        <v>7398</v>
      </c>
      <c r="D6" s="155" t="s">
        <v>7421</v>
      </c>
      <c r="E6" s="155" t="s">
        <v>7415</v>
      </c>
      <c r="F6" s="156" t="s">
        <v>7422</v>
      </c>
      <c r="G6" s="157"/>
      <c r="H6" s="157"/>
    </row>
    <row r="7" spans="1:8">
      <c r="A7" s="154" t="s">
        <v>208</v>
      </c>
      <c r="B7" s="154" t="s">
        <v>212</v>
      </c>
      <c r="C7" s="155" t="s">
        <v>7423</v>
      </c>
      <c r="D7" s="155" t="s">
        <v>7424</v>
      </c>
      <c r="E7" s="155" t="s">
        <v>7425</v>
      </c>
      <c r="F7" s="156" t="s">
        <v>7426</v>
      </c>
      <c r="G7" s="157"/>
      <c r="H7" s="157"/>
    </row>
    <row r="8" spans="1:8" ht="38.25">
      <c r="A8" s="154" t="s">
        <v>208</v>
      </c>
      <c r="B8" s="154" t="s">
        <v>7427</v>
      </c>
      <c r="C8" s="155" t="s">
        <v>7428</v>
      </c>
      <c r="D8" s="155" t="s">
        <v>7429</v>
      </c>
      <c r="E8" s="155" t="s">
        <v>7415</v>
      </c>
      <c r="F8" s="156" t="s">
        <v>7430</v>
      </c>
      <c r="G8" s="157"/>
      <c r="H8" s="157"/>
    </row>
    <row r="9" spans="1:8" ht="25.5">
      <c r="A9" s="154" t="s">
        <v>208</v>
      </c>
      <c r="B9" s="154" t="s">
        <v>7495</v>
      </c>
      <c r="C9" s="155" t="s">
        <v>7431</v>
      </c>
      <c r="D9" s="155" t="s">
        <v>7432</v>
      </c>
      <c r="E9" s="155" t="s">
        <v>107</v>
      </c>
      <c r="F9" s="156" t="s">
        <v>7433</v>
      </c>
      <c r="G9" s="157"/>
      <c r="H9" s="124"/>
    </row>
    <row r="10" spans="1:8">
      <c r="A10" s="154" t="s">
        <v>208</v>
      </c>
      <c r="B10" s="154" t="s">
        <v>7434</v>
      </c>
      <c r="C10" s="155" t="s">
        <v>7435</v>
      </c>
      <c r="D10" s="155" t="s">
        <v>7436</v>
      </c>
      <c r="E10" s="155" t="s">
        <v>7437</v>
      </c>
      <c r="F10" s="156" t="s">
        <v>7438</v>
      </c>
      <c r="G10" s="157"/>
      <c r="H10" s="158"/>
    </row>
    <row r="11" spans="1:8">
      <c r="A11" s="154" t="s">
        <v>208</v>
      </c>
      <c r="B11" s="154" t="s">
        <v>7439</v>
      </c>
      <c r="C11" s="155" t="s">
        <v>7440</v>
      </c>
      <c r="D11" s="155" t="s">
        <v>7441</v>
      </c>
      <c r="E11" s="155" t="s">
        <v>7437</v>
      </c>
      <c r="F11" s="156" t="s">
        <v>7438</v>
      </c>
      <c r="G11" s="157"/>
      <c r="H11" s="158"/>
    </row>
    <row r="12" spans="1:8">
      <c r="A12" s="154" t="s">
        <v>208</v>
      </c>
      <c r="B12" s="154" t="s">
        <v>7442</v>
      </c>
      <c r="C12" s="155" t="s">
        <v>7443</v>
      </c>
      <c r="D12" s="155" t="s">
        <v>7444</v>
      </c>
      <c r="E12" s="155" t="s">
        <v>7437</v>
      </c>
      <c r="F12" s="156" t="s">
        <v>7438</v>
      </c>
      <c r="G12" s="157"/>
      <c r="H12" s="158"/>
    </row>
    <row r="13" spans="1:8">
      <c r="A13" s="154" t="s">
        <v>208</v>
      </c>
      <c r="B13" s="154" t="s">
        <v>7445</v>
      </c>
      <c r="C13" s="155" t="s">
        <v>7446</v>
      </c>
      <c r="D13" s="155" t="s">
        <v>7447</v>
      </c>
      <c r="E13" s="155" t="s">
        <v>7437</v>
      </c>
      <c r="F13" s="156" t="s">
        <v>7438</v>
      </c>
      <c r="G13" s="157"/>
      <c r="H13" s="158"/>
    </row>
    <row r="14" spans="1:8">
      <c r="A14" s="154" t="s">
        <v>208</v>
      </c>
      <c r="B14" s="154" t="s">
        <v>7448</v>
      </c>
      <c r="C14" s="155" t="s">
        <v>7449</v>
      </c>
      <c r="D14" s="155" t="s">
        <v>7450</v>
      </c>
      <c r="E14" s="155" t="s">
        <v>7437</v>
      </c>
      <c r="F14" s="156" t="s">
        <v>7438</v>
      </c>
      <c r="G14" s="157"/>
      <c r="H14" s="158"/>
    </row>
    <row r="15" spans="1:8">
      <c r="A15" s="154" t="s">
        <v>208</v>
      </c>
      <c r="B15" s="154" t="s">
        <v>7451</v>
      </c>
      <c r="C15" s="155" t="s">
        <v>7452</v>
      </c>
      <c r="D15" s="155" t="s">
        <v>7453</v>
      </c>
      <c r="E15" s="155" t="s">
        <v>7437</v>
      </c>
      <c r="F15" s="156" t="s">
        <v>7438</v>
      </c>
      <c r="G15" s="157"/>
      <c r="H15" s="158"/>
    </row>
    <row r="16" spans="1:8" ht="24">
      <c r="A16" s="154" t="s">
        <v>208</v>
      </c>
      <c r="B16" s="154" t="s">
        <v>213</v>
      </c>
      <c r="C16" s="155" t="s">
        <v>7454</v>
      </c>
      <c r="D16" s="155" t="s">
        <v>7455</v>
      </c>
      <c r="E16" s="155" t="s">
        <v>7456</v>
      </c>
      <c r="F16" s="156" t="s">
        <v>7438</v>
      </c>
      <c r="G16" s="157"/>
      <c r="H16" s="158"/>
    </row>
    <row r="17" spans="1:8" ht="24">
      <c r="A17" s="154" t="s">
        <v>208</v>
      </c>
      <c r="B17" s="154" t="s">
        <v>7457</v>
      </c>
      <c r="C17" s="155" t="s">
        <v>7458</v>
      </c>
      <c r="D17" s="155" t="s">
        <v>7459</v>
      </c>
      <c r="E17" s="155" t="s">
        <v>7456</v>
      </c>
      <c r="F17" s="156" t="s">
        <v>7438</v>
      </c>
      <c r="G17" s="157"/>
      <c r="H17" s="158"/>
    </row>
    <row r="18" spans="1:8">
      <c r="A18" s="154" t="s">
        <v>208</v>
      </c>
      <c r="B18" s="154" t="s">
        <v>7460</v>
      </c>
      <c r="C18" s="155" t="s">
        <v>7403</v>
      </c>
      <c r="D18" s="155" t="s">
        <v>7461</v>
      </c>
      <c r="E18" s="155" t="s">
        <v>7462</v>
      </c>
      <c r="F18" s="156" t="s">
        <v>7438</v>
      </c>
      <c r="G18" s="157"/>
      <c r="H18" s="157"/>
    </row>
    <row r="19" spans="1:8">
      <c r="A19" s="154" t="s">
        <v>208</v>
      </c>
      <c r="B19" s="154" t="s">
        <v>7463</v>
      </c>
      <c r="C19" s="155" t="s">
        <v>7464</v>
      </c>
      <c r="D19" s="155" t="s">
        <v>7465</v>
      </c>
      <c r="E19" s="155" t="s">
        <v>211</v>
      </c>
      <c r="F19" s="156" t="s">
        <v>7438</v>
      </c>
      <c r="G19" s="157"/>
      <c r="H19" s="157"/>
    </row>
    <row r="20" spans="1:8" ht="24">
      <c r="A20" s="154" t="s">
        <v>208</v>
      </c>
      <c r="B20" s="154" t="s">
        <v>7466</v>
      </c>
      <c r="C20" s="155" t="s">
        <v>7467</v>
      </c>
      <c r="D20" s="155" t="s">
        <v>7468</v>
      </c>
      <c r="E20" s="155" t="s">
        <v>7456</v>
      </c>
      <c r="F20" s="156" t="s">
        <v>7438</v>
      </c>
      <c r="G20" s="157"/>
      <c r="H20" s="157"/>
    </row>
    <row r="21" spans="1:8">
      <c r="A21" s="154" t="s">
        <v>208</v>
      </c>
      <c r="B21" s="154" t="s">
        <v>7469</v>
      </c>
      <c r="C21" s="155" t="s">
        <v>7470</v>
      </c>
      <c r="D21" s="155" t="s">
        <v>7471</v>
      </c>
      <c r="E21" s="155" t="s">
        <v>211</v>
      </c>
      <c r="F21" s="156" t="s">
        <v>7472</v>
      </c>
      <c r="G21" s="157"/>
      <c r="H21" s="157"/>
    </row>
    <row r="22" spans="1:8" ht="83.25" customHeight="1">
      <c r="A22" s="154" t="s">
        <v>208</v>
      </c>
      <c r="B22" s="154" t="s">
        <v>7473</v>
      </c>
      <c r="C22" s="155" t="s">
        <v>7474</v>
      </c>
      <c r="D22" s="155" t="s">
        <v>7475</v>
      </c>
      <c r="E22" s="155" t="s">
        <v>211</v>
      </c>
      <c r="F22" s="156" t="s">
        <v>7494</v>
      </c>
      <c r="G22" s="157"/>
      <c r="H22" s="157"/>
    </row>
    <row r="23" spans="1:8" ht="63.75">
      <c r="A23" s="154" t="s">
        <v>208</v>
      </c>
      <c r="B23" s="154" t="s">
        <v>7476</v>
      </c>
      <c r="C23" s="155" t="s">
        <v>7402</v>
      </c>
      <c r="D23" s="155" t="s">
        <v>7477</v>
      </c>
      <c r="E23" s="155" t="s">
        <v>211</v>
      </c>
      <c r="F23" s="156" t="s">
        <v>7478</v>
      </c>
      <c r="G23" s="157"/>
      <c r="H23" s="157"/>
    </row>
    <row r="24" spans="1:8" ht="36">
      <c r="A24" s="154" t="s">
        <v>208</v>
      </c>
      <c r="B24" s="154" t="s">
        <v>7479</v>
      </c>
      <c r="C24" s="155" t="s">
        <v>7480</v>
      </c>
      <c r="D24" s="155" t="s">
        <v>7481</v>
      </c>
      <c r="E24" s="155" t="s">
        <v>7482</v>
      </c>
      <c r="F24" s="156" t="s">
        <v>7483</v>
      </c>
      <c r="G24" s="157"/>
      <c r="H24" s="157"/>
    </row>
    <row r="25" spans="1:8" ht="36">
      <c r="A25" s="154" t="s">
        <v>208</v>
      </c>
      <c r="B25" s="154" t="s">
        <v>7400</v>
      </c>
      <c r="C25" s="155" t="s">
        <v>7401</v>
      </c>
      <c r="D25" s="155" t="s">
        <v>7484</v>
      </c>
      <c r="E25" s="155" t="s">
        <v>7485</v>
      </c>
      <c r="F25" s="156" t="s">
        <v>7483</v>
      </c>
      <c r="G25" s="157"/>
      <c r="H25" s="157"/>
    </row>
    <row r="26" spans="1:8" ht="36">
      <c r="A26" s="154" t="s">
        <v>208</v>
      </c>
      <c r="B26" s="154" t="s">
        <v>7486</v>
      </c>
      <c r="C26" s="155" t="s">
        <v>7487</v>
      </c>
      <c r="D26" s="155" t="s">
        <v>7488</v>
      </c>
      <c r="E26" s="155" t="s">
        <v>7489</v>
      </c>
      <c r="F26" s="156" t="s">
        <v>7483</v>
      </c>
      <c r="G26" s="157"/>
      <c r="H26" s="157"/>
    </row>
    <row r="27" spans="1:8" ht="114.75">
      <c r="A27" s="159" t="s">
        <v>208</v>
      </c>
      <c r="B27" s="159" t="s">
        <v>7490</v>
      </c>
      <c r="C27" s="155" t="s">
        <v>7491</v>
      </c>
      <c r="D27" s="160" t="s">
        <v>7492</v>
      </c>
      <c r="E27" s="155" t="s">
        <v>7409</v>
      </c>
      <c r="F27" s="161" t="s">
        <v>7493</v>
      </c>
      <c r="G27" s="162"/>
      <c r="H27" s="16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0"/>
  </sheetPr>
  <dimension ref="A1:H217"/>
  <sheetViews>
    <sheetView topLeftCell="A13" zoomScale="95" zoomScaleNormal="95" workbookViewId="0">
      <selection activeCell="B29" sqref="B29"/>
    </sheetView>
  </sheetViews>
  <sheetFormatPr baseColWidth="10" defaultColWidth="12.7109375" defaultRowHeight="12.75"/>
  <cols>
    <col min="1" max="1" width="21.85546875" style="121" customWidth="1"/>
    <col min="2" max="2" width="24.42578125" style="121" customWidth="1"/>
    <col min="3" max="3" width="26" style="121" customWidth="1"/>
    <col min="4" max="4" width="18.5703125" style="126" customWidth="1"/>
    <col min="5" max="5" width="12.140625" style="179" bestFit="1" customWidth="1"/>
    <col min="6" max="16384" width="12.7109375" style="127"/>
  </cols>
  <sheetData>
    <row r="1" spans="1:8" s="129" customFormat="1" ht="13.5" thickBot="1">
      <c r="A1" s="112" t="s">
        <v>110</v>
      </c>
      <c r="B1" s="112" t="s">
        <v>111</v>
      </c>
      <c r="C1" s="112" t="s">
        <v>112</v>
      </c>
      <c r="D1" s="128" t="s">
        <v>113</v>
      </c>
      <c r="E1" s="112" t="s">
        <v>114</v>
      </c>
    </row>
    <row r="2" spans="1:8" ht="12.75" customHeight="1">
      <c r="A2" s="180" t="s">
        <v>216</v>
      </c>
      <c r="B2" s="179">
        <v>1</v>
      </c>
      <c r="C2" s="179" t="s">
        <v>7656</v>
      </c>
      <c r="D2" s="178"/>
      <c r="E2" s="179">
        <v>1</v>
      </c>
      <c r="F2" s="334" t="s">
        <v>7625</v>
      </c>
      <c r="G2" s="334"/>
      <c r="H2" s="334"/>
    </row>
    <row r="3" spans="1:8" ht="12.75" customHeight="1">
      <c r="A3" s="180" t="s">
        <v>216</v>
      </c>
      <c r="B3" s="179">
        <v>3</v>
      </c>
      <c r="C3" s="179" t="s">
        <v>7657</v>
      </c>
      <c r="D3" s="178"/>
      <c r="E3" s="179">
        <v>3</v>
      </c>
      <c r="F3" s="334"/>
      <c r="G3" s="334"/>
      <c r="H3" s="334"/>
    </row>
    <row r="4" spans="1:8">
      <c r="A4" s="180" t="s">
        <v>216</v>
      </c>
      <c r="B4" s="179">
        <v>5</v>
      </c>
      <c r="C4" s="179" t="s">
        <v>7658</v>
      </c>
      <c r="D4" s="178"/>
      <c r="E4" s="179">
        <v>5</v>
      </c>
    </row>
    <row r="5" spans="1:8">
      <c r="A5" s="180" t="s">
        <v>216</v>
      </c>
      <c r="B5" s="179">
        <v>7</v>
      </c>
      <c r="C5" s="179" t="s">
        <v>7659</v>
      </c>
      <c r="D5" s="178"/>
      <c r="E5" s="179">
        <v>7</v>
      </c>
    </row>
    <row r="6" spans="1:8">
      <c r="A6" s="180" t="s">
        <v>216</v>
      </c>
      <c r="B6" s="179">
        <v>12</v>
      </c>
      <c r="C6" s="179" t="s">
        <v>7656</v>
      </c>
      <c r="D6" s="178"/>
      <c r="E6" s="179">
        <v>12</v>
      </c>
    </row>
    <row r="7" spans="1:8">
      <c r="A7" s="180" t="s">
        <v>216</v>
      </c>
      <c r="B7" s="179">
        <v>14</v>
      </c>
      <c r="C7" s="179" t="s">
        <v>7657</v>
      </c>
      <c r="D7" s="178"/>
      <c r="E7" s="179">
        <v>14</v>
      </c>
    </row>
    <row r="8" spans="1:8">
      <c r="A8" s="180" t="s">
        <v>216</v>
      </c>
      <c r="B8" s="179">
        <v>16</v>
      </c>
      <c r="C8" s="179" t="s">
        <v>7658</v>
      </c>
      <c r="D8" s="178"/>
      <c r="E8" s="179">
        <v>16</v>
      </c>
    </row>
    <row r="9" spans="1:8">
      <c r="A9" s="180" t="s">
        <v>216</v>
      </c>
      <c r="B9" s="179">
        <v>18</v>
      </c>
      <c r="C9" s="179" t="s">
        <v>7659</v>
      </c>
      <c r="D9" s="178"/>
      <c r="E9" s="179">
        <v>18</v>
      </c>
    </row>
    <row r="10" spans="1:8">
      <c r="A10" s="180" t="s">
        <v>216</v>
      </c>
      <c r="B10" s="179">
        <v>23</v>
      </c>
      <c r="C10" s="179" t="s">
        <v>7656</v>
      </c>
      <c r="D10" s="178"/>
      <c r="E10" s="179">
        <v>23</v>
      </c>
    </row>
    <row r="11" spans="1:8">
      <c r="A11" s="180" t="s">
        <v>216</v>
      </c>
      <c r="B11" s="179">
        <v>25</v>
      </c>
      <c r="C11" s="179" t="s">
        <v>7657</v>
      </c>
      <c r="D11" s="178"/>
      <c r="E11" s="179">
        <v>25</v>
      </c>
    </row>
    <row r="12" spans="1:8">
      <c r="A12" s="180" t="s">
        <v>216</v>
      </c>
      <c r="B12" s="179">
        <v>27</v>
      </c>
      <c r="C12" s="179" t="s">
        <v>7658</v>
      </c>
      <c r="D12" s="178"/>
      <c r="E12" s="179">
        <v>27</v>
      </c>
    </row>
    <row r="13" spans="1:8">
      <c r="A13" s="180" t="s">
        <v>216</v>
      </c>
      <c r="B13" s="179">
        <v>29</v>
      </c>
      <c r="C13" s="179" t="s">
        <v>7659</v>
      </c>
      <c r="D13" s="178"/>
      <c r="E13" s="179">
        <v>29</v>
      </c>
    </row>
    <row r="14" spans="1:8">
      <c r="A14" s="180" t="s">
        <v>216</v>
      </c>
      <c r="B14" s="179">
        <v>2</v>
      </c>
      <c r="C14" s="179" t="s">
        <v>7660</v>
      </c>
      <c r="D14" s="178"/>
      <c r="E14" s="179">
        <v>2</v>
      </c>
    </row>
    <row r="15" spans="1:8">
      <c r="A15" s="180" t="s">
        <v>216</v>
      </c>
      <c r="B15" s="179">
        <v>4</v>
      </c>
      <c r="C15" s="179" t="s">
        <v>7661</v>
      </c>
      <c r="D15" s="178"/>
      <c r="E15" s="179">
        <v>4</v>
      </c>
    </row>
    <row r="16" spans="1:8">
      <c r="A16" s="180" t="s">
        <v>216</v>
      </c>
      <c r="B16" s="179">
        <v>6</v>
      </c>
      <c r="C16" s="179" t="s">
        <v>7662</v>
      </c>
      <c r="D16" s="178"/>
      <c r="E16" s="179">
        <v>6</v>
      </c>
    </row>
    <row r="17" spans="1:5">
      <c r="A17" s="180" t="s">
        <v>216</v>
      </c>
      <c r="B17" s="179">
        <v>8</v>
      </c>
      <c r="C17" s="179" t="s">
        <v>7663</v>
      </c>
      <c r="D17" s="178"/>
      <c r="E17" s="179">
        <v>8</v>
      </c>
    </row>
    <row r="18" spans="1:5">
      <c r="A18" s="180" t="s">
        <v>216</v>
      </c>
      <c r="B18" s="179">
        <v>9</v>
      </c>
      <c r="C18" s="179" t="s">
        <v>7664</v>
      </c>
      <c r="D18" s="178"/>
      <c r="E18" s="179">
        <v>9</v>
      </c>
    </row>
    <row r="19" spans="1:5">
      <c r="A19" s="180" t="s">
        <v>216</v>
      </c>
      <c r="B19" s="179">
        <v>10</v>
      </c>
      <c r="C19" s="179" t="s">
        <v>7665</v>
      </c>
      <c r="D19" s="178"/>
      <c r="E19" s="179">
        <v>10</v>
      </c>
    </row>
    <row r="20" spans="1:5">
      <c r="A20" s="180" t="s">
        <v>216</v>
      </c>
      <c r="B20" s="179">
        <v>11</v>
      </c>
      <c r="C20" s="179" t="s">
        <v>7666</v>
      </c>
      <c r="D20" s="178"/>
      <c r="E20" s="179">
        <v>11</v>
      </c>
    </row>
    <row r="21" spans="1:5">
      <c r="A21" s="180" t="s">
        <v>216</v>
      </c>
      <c r="B21" s="179">
        <v>13</v>
      </c>
      <c r="C21" s="179" t="s">
        <v>7667</v>
      </c>
      <c r="D21" s="178"/>
      <c r="E21" s="179">
        <v>13</v>
      </c>
    </row>
    <row r="22" spans="1:5">
      <c r="A22" s="180" t="s">
        <v>216</v>
      </c>
      <c r="B22" s="179">
        <v>15</v>
      </c>
      <c r="C22" s="179" t="s">
        <v>7668</v>
      </c>
      <c r="D22" s="178"/>
      <c r="E22" s="179">
        <v>15</v>
      </c>
    </row>
    <row r="23" spans="1:5">
      <c r="A23" s="180" t="s">
        <v>216</v>
      </c>
      <c r="B23" s="179">
        <v>17</v>
      </c>
      <c r="C23" s="179" t="s">
        <v>7669</v>
      </c>
      <c r="D23" s="178" t="s">
        <v>7687</v>
      </c>
      <c r="E23" s="179">
        <v>17</v>
      </c>
    </row>
    <row r="24" spans="1:5">
      <c r="A24" s="180" t="s">
        <v>216</v>
      </c>
      <c r="B24" s="179">
        <v>19</v>
      </c>
      <c r="C24" s="179" t="s">
        <v>7670</v>
      </c>
      <c r="D24" s="178" t="s">
        <v>7687</v>
      </c>
      <c r="E24" s="179">
        <v>19</v>
      </c>
    </row>
    <row r="25" spans="1:5">
      <c r="A25" s="180" t="s">
        <v>216</v>
      </c>
      <c r="B25" s="179">
        <v>20</v>
      </c>
      <c r="C25" s="179" t="s">
        <v>7671</v>
      </c>
      <c r="D25" s="178" t="s">
        <v>7687</v>
      </c>
      <c r="E25" s="179">
        <v>20</v>
      </c>
    </row>
    <row r="26" spans="1:5">
      <c r="A26" s="180" t="s">
        <v>216</v>
      </c>
      <c r="B26" s="179">
        <v>21</v>
      </c>
      <c r="C26" s="179" t="s">
        <v>7672</v>
      </c>
      <c r="D26" s="178" t="s">
        <v>7687</v>
      </c>
      <c r="E26" s="179">
        <v>21</v>
      </c>
    </row>
    <row r="27" spans="1:5">
      <c r="A27" s="180" t="s">
        <v>216</v>
      </c>
      <c r="B27" s="179">
        <v>22</v>
      </c>
      <c r="C27" s="179" t="s">
        <v>7673</v>
      </c>
      <c r="D27" s="178" t="s">
        <v>7687</v>
      </c>
      <c r="E27" s="179">
        <v>22</v>
      </c>
    </row>
    <row r="28" spans="1:5">
      <c r="A28" s="180" t="s">
        <v>216</v>
      </c>
      <c r="B28" s="179">
        <v>24</v>
      </c>
      <c r="C28" s="179" t="s">
        <v>7674</v>
      </c>
      <c r="D28" s="178" t="s">
        <v>7687</v>
      </c>
      <c r="E28" s="179">
        <v>24</v>
      </c>
    </row>
    <row r="29" spans="1:5">
      <c r="A29" s="180" t="s">
        <v>216</v>
      </c>
      <c r="B29" s="179">
        <v>26</v>
      </c>
      <c r="C29" s="179" t="s">
        <v>7573</v>
      </c>
      <c r="D29" s="178" t="s">
        <v>2049</v>
      </c>
      <c r="E29" s="179">
        <v>26</v>
      </c>
    </row>
    <row r="30" spans="1:5">
      <c r="A30" s="180" t="s">
        <v>216</v>
      </c>
      <c r="B30" s="179">
        <v>28</v>
      </c>
      <c r="C30" s="179" t="s">
        <v>7675</v>
      </c>
      <c r="D30" s="178" t="s">
        <v>2049</v>
      </c>
      <c r="E30" s="179">
        <v>28</v>
      </c>
    </row>
    <row r="31" spans="1:5">
      <c r="A31" s="180" t="s">
        <v>216</v>
      </c>
      <c r="B31" s="179">
        <v>30</v>
      </c>
      <c r="C31" s="179" t="s">
        <v>7676</v>
      </c>
      <c r="D31" s="178" t="s">
        <v>2049</v>
      </c>
      <c r="E31" s="179">
        <v>30</v>
      </c>
    </row>
    <row r="32" spans="1:5">
      <c r="A32" s="180" t="s">
        <v>216</v>
      </c>
      <c r="B32" s="179">
        <v>31</v>
      </c>
      <c r="C32" s="179" t="s">
        <v>7677</v>
      </c>
      <c r="D32" s="178" t="s">
        <v>2049</v>
      </c>
      <c r="E32" s="179">
        <v>31</v>
      </c>
    </row>
    <row r="33" spans="1:5">
      <c r="A33" s="180" t="s">
        <v>216</v>
      </c>
      <c r="B33" s="179">
        <v>32</v>
      </c>
      <c r="C33" s="179" t="s">
        <v>7678</v>
      </c>
      <c r="D33" s="178" t="s">
        <v>2049</v>
      </c>
      <c r="E33" s="179">
        <v>32</v>
      </c>
    </row>
    <row r="34" spans="1:5">
      <c r="A34" s="180" t="s">
        <v>216</v>
      </c>
      <c r="B34" s="179">
        <v>33</v>
      </c>
      <c r="C34" s="179" t="s">
        <v>7679</v>
      </c>
      <c r="D34" s="178" t="s">
        <v>2049</v>
      </c>
      <c r="E34" s="179">
        <v>33</v>
      </c>
    </row>
    <row r="35" spans="1:5">
      <c r="A35" s="180" t="s">
        <v>216</v>
      </c>
      <c r="B35" s="179">
        <v>34</v>
      </c>
      <c r="C35" s="179" t="s">
        <v>7680</v>
      </c>
      <c r="D35" s="178" t="s">
        <v>7688</v>
      </c>
      <c r="E35" s="179">
        <v>34</v>
      </c>
    </row>
    <row r="36" spans="1:5">
      <c r="A36" s="180" t="s">
        <v>216</v>
      </c>
      <c r="B36" s="179">
        <v>35</v>
      </c>
      <c r="C36" s="179" t="s">
        <v>7681</v>
      </c>
      <c r="D36" s="178" t="s">
        <v>7688</v>
      </c>
      <c r="E36" s="179">
        <v>35</v>
      </c>
    </row>
    <row r="37" spans="1:5">
      <c r="A37" s="180" t="s">
        <v>216</v>
      </c>
      <c r="B37" s="179">
        <v>36</v>
      </c>
      <c r="C37" s="179" t="s">
        <v>7682</v>
      </c>
      <c r="D37" s="178" t="s">
        <v>7688</v>
      </c>
      <c r="E37" s="179">
        <v>36</v>
      </c>
    </row>
    <row r="38" spans="1:5">
      <c r="A38" s="180" t="s">
        <v>216</v>
      </c>
      <c r="B38" s="179">
        <v>37</v>
      </c>
      <c r="C38" s="179" t="s">
        <v>7574</v>
      </c>
      <c r="D38" s="178" t="s">
        <v>2619</v>
      </c>
      <c r="E38" s="179">
        <v>37</v>
      </c>
    </row>
    <row r="39" spans="1:5">
      <c r="A39" s="180" t="s">
        <v>216</v>
      </c>
      <c r="B39" s="179">
        <v>38</v>
      </c>
      <c r="C39" s="179" t="s">
        <v>7683</v>
      </c>
      <c r="D39" s="178" t="s">
        <v>2619</v>
      </c>
      <c r="E39" s="179">
        <v>38</v>
      </c>
    </row>
    <row r="40" spans="1:5">
      <c r="A40" s="180" t="s">
        <v>216</v>
      </c>
      <c r="B40" s="179">
        <v>39</v>
      </c>
      <c r="C40" s="179" t="s">
        <v>7684</v>
      </c>
      <c r="D40" s="178" t="s">
        <v>2619</v>
      </c>
      <c r="E40" s="179">
        <v>39</v>
      </c>
    </row>
    <row r="41" spans="1:5">
      <c r="A41" s="180" t="s">
        <v>216</v>
      </c>
      <c r="B41" s="179">
        <v>40</v>
      </c>
      <c r="C41" s="179" t="s">
        <v>7575</v>
      </c>
      <c r="D41" s="178" t="s">
        <v>2921</v>
      </c>
      <c r="E41" s="179">
        <v>40</v>
      </c>
    </row>
    <row r="42" spans="1:5">
      <c r="A42" s="180" t="s">
        <v>216</v>
      </c>
      <c r="B42" s="179">
        <v>41</v>
      </c>
      <c r="C42" s="179" t="s">
        <v>7685</v>
      </c>
      <c r="D42" s="178" t="s">
        <v>2921</v>
      </c>
      <c r="E42" s="179">
        <v>41</v>
      </c>
    </row>
    <row r="43" spans="1:5">
      <c r="A43" s="180" t="s">
        <v>216</v>
      </c>
      <c r="B43" s="179">
        <v>42</v>
      </c>
      <c r="C43" s="179" t="s">
        <v>7686</v>
      </c>
      <c r="D43" s="178" t="s">
        <v>2921</v>
      </c>
      <c r="E43" s="179">
        <v>42</v>
      </c>
    </row>
    <row r="44" spans="1:5">
      <c r="A44" s="180"/>
      <c r="B44" s="179"/>
      <c r="C44" s="179"/>
      <c r="D44" s="178"/>
    </row>
    <row r="45" spans="1:5">
      <c r="A45" s="180"/>
      <c r="B45" s="179"/>
      <c r="C45" s="179"/>
      <c r="D45" s="178"/>
    </row>
    <row r="46" spans="1:5">
      <c r="A46" s="180"/>
      <c r="B46" s="179"/>
      <c r="C46" s="179"/>
      <c r="D46" s="178"/>
    </row>
    <row r="47" spans="1:5">
      <c r="A47" s="180"/>
      <c r="B47" s="179"/>
      <c r="C47" s="179"/>
      <c r="D47" s="178"/>
    </row>
    <row r="48" spans="1:5">
      <c r="A48" s="180"/>
      <c r="B48" s="179"/>
      <c r="C48" s="179"/>
      <c r="D48" s="178"/>
    </row>
    <row r="49" spans="1:4">
      <c r="A49" s="180"/>
      <c r="B49" s="179"/>
      <c r="C49" s="179"/>
      <c r="D49" s="178"/>
    </row>
    <row r="50" spans="1:4">
      <c r="A50" s="180"/>
      <c r="B50" s="179"/>
      <c r="C50" s="179"/>
      <c r="D50" s="178"/>
    </row>
    <row r="51" spans="1:4">
      <c r="A51" s="180"/>
      <c r="B51" s="179"/>
      <c r="C51" s="179"/>
      <c r="D51" s="178"/>
    </row>
    <row r="52" spans="1:4">
      <c r="A52" s="180"/>
      <c r="B52" s="179"/>
      <c r="C52" s="179"/>
      <c r="D52" s="178"/>
    </row>
    <row r="53" spans="1:4">
      <c r="A53" s="180"/>
      <c r="B53" s="179"/>
      <c r="C53" s="179"/>
      <c r="D53" s="178"/>
    </row>
    <row r="54" spans="1:4">
      <c r="A54" s="180"/>
      <c r="B54" s="179"/>
      <c r="C54" s="179"/>
      <c r="D54" s="178"/>
    </row>
    <row r="55" spans="1:4">
      <c r="A55" s="180"/>
      <c r="B55" s="179"/>
      <c r="C55" s="179"/>
      <c r="D55" s="178"/>
    </row>
    <row r="56" spans="1:4">
      <c r="A56" s="180"/>
      <c r="B56" s="179"/>
      <c r="C56" s="179"/>
      <c r="D56" s="178"/>
    </row>
    <row r="57" spans="1:4">
      <c r="A57" s="180"/>
      <c r="B57" s="179"/>
      <c r="C57" s="179"/>
      <c r="D57" s="178"/>
    </row>
    <row r="58" spans="1:4">
      <c r="A58" s="180"/>
      <c r="B58" s="179"/>
      <c r="C58" s="179"/>
      <c r="D58" s="178"/>
    </row>
    <row r="59" spans="1:4">
      <c r="A59" s="180"/>
      <c r="B59" s="179"/>
      <c r="C59" s="179"/>
      <c r="D59" s="178"/>
    </row>
    <row r="60" spans="1:4">
      <c r="A60" s="180"/>
      <c r="B60" s="179"/>
      <c r="C60" s="179"/>
      <c r="D60" s="178"/>
    </row>
    <row r="61" spans="1:4">
      <c r="A61" s="180"/>
      <c r="B61" s="179"/>
      <c r="C61" s="179"/>
      <c r="D61" s="178"/>
    </row>
    <row r="62" spans="1:4">
      <c r="A62" s="180"/>
      <c r="B62" s="179"/>
      <c r="C62" s="179"/>
      <c r="D62" s="178"/>
    </row>
    <row r="63" spans="1:4">
      <c r="A63" s="180"/>
      <c r="B63" s="179"/>
      <c r="C63" s="179"/>
      <c r="D63" s="178"/>
    </row>
    <row r="64" spans="1:4">
      <c r="A64" s="180"/>
      <c r="B64" s="179"/>
      <c r="C64" s="179"/>
      <c r="D64" s="178"/>
    </row>
    <row r="65" spans="1:4">
      <c r="A65" s="180"/>
      <c r="B65" s="179"/>
      <c r="C65" s="179"/>
      <c r="D65" s="178"/>
    </row>
    <row r="66" spans="1:4">
      <c r="A66" s="180"/>
      <c r="B66" s="179"/>
      <c r="C66" s="179"/>
      <c r="D66" s="178"/>
    </row>
    <row r="67" spans="1:4">
      <c r="A67" s="180"/>
      <c r="B67" s="179"/>
      <c r="C67" s="179"/>
      <c r="D67" s="178"/>
    </row>
    <row r="68" spans="1:4">
      <c r="A68" s="180"/>
      <c r="B68" s="179"/>
      <c r="C68" s="179"/>
      <c r="D68" s="178"/>
    </row>
    <row r="69" spans="1:4">
      <c r="A69" s="180"/>
      <c r="B69" s="179"/>
      <c r="C69" s="179"/>
      <c r="D69" s="178"/>
    </row>
    <row r="70" spans="1:4">
      <c r="A70" s="180"/>
      <c r="B70" s="179"/>
      <c r="C70" s="179"/>
      <c r="D70" s="178"/>
    </row>
    <row r="71" spans="1:4">
      <c r="A71" s="180"/>
      <c r="B71" s="179"/>
      <c r="C71" s="179"/>
      <c r="D71" s="178"/>
    </row>
    <row r="72" spans="1:4">
      <c r="A72" s="180"/>
      <c r="B72" s="179"/>
      <c r="C72" s="179"/>
      <c r="D72" s="178"/>
    </row>
    <row r="73" spans="1:4">
      <c r="A73" s="180"/>
      <c r="B73" s="179"/>
      <c r="C73" s="179"/>
      <c r="D73" s="178"/>
    </row>
    <row r="74" spans="1:4">
      <c r="A74" s="180"/>
      <c r="B74" s="179"/>
      <c r="C74" s="179"/>
      <c r="D74" s="178"/>
    </row>
    <row r="75" spans="1:4">
      <c r="A75" s="180"/>
      <c r="B75" s="179"/>
      <c r="C75" s="179"/>
      <c r="D75" s="178"/>
    </row>
    <row r="76" spans="1:4">
      <c r="A76" s="180"/>
      <c r="B76" s="179"/>
      <c r="C76" s="179"/>
      <c r="D76" s="178"/>
    </row>
    <row r="77" spans="1:4">
      <c r="A77" s="180"/>
      <c r="B77" s="179"/>
      <c r="C77" s="179"/>
      <c r="D77" s="178"/>
    </row>
    <row r="78" spans="1:4">
      <c r="A78" s="180"/>
      <c r="B78" s="179"/>
      <c r="C78" s="179"/>
      <c r="D78" s="178"/>
    </row>
    <row r="79" spans="1:4">
      <c r="A79" s="180"/>
      <c r="B79" s="179"/>
      <c r="C79" s="179"/>
      <c r="D79" s="178"/>
    </row>
    <row r="80" spans="1:4">
      <c r="A80" s="180"/>
      <c r="B80" s="179"/>
      <c r="C80" s="179"/>
      <c r="D80" s="178"/>
    </row>
    <row r="81" spans="1:4">
      <c r="A81" s="180"/>
      <c r="B81" s="179"/>
      <c r="C81" s="179"/>
      <c r="D81" s="178"/>
    </row>
    <row r="82" spans="1:4">
      <c r="A82" s="180"/>
      <c r="B82" s="179"/>
      <c r="C82" s="179"/>
      <c r="D82" s="178"/>
    </row>
    <row r="83" spans="1:4">
      <c r="A83" s="180"/>
      <c r="B83" s="179"/>
      <c r="C83" s="179"/>
      <c r="D83" s="178"/>
    </row>
    <row r="84" spans="1:4">
      <c r="A84" s="180"/>
      <c r="B84" s="179"/>
      <c r="C84" s="179"/>
      <c r="D84" s="178"/>
    </row>
    <row r="85" spans="1:4">
      <c r="A85" s="180"/>
      <c r="B85" s="179"/>
      <c r="C85" s="179"/>
      <c r="D85" s="178"/>
    </row>
    <row r="86" spans="1:4">
      <c r="A86" s="180"/>
      <c r="B86" s="179"/>
      <c r="C86" s="179"/>
      <c r="D86" s="178"/>
    </row>
    <row r="87" spans="1:4">
      <c r="A87" s="180"/>
      <c r="B87" s="179"/>
      <c r="C87" s="179"/>
      <c r="D87" s="178"/>
    </row>
    <row r="88" spans="1:4">
      <c r="A88" s="180"/>
      <c r="B88" s="179"/>
      <c r="C88" s="179"/>
      <c r="D88" s="178"/>
    </row>
    <row r="89" spans="1:4">
      <c r="A89" s="180"/>
      <c r="B89" s="179"/>
      <c r="C89" s="179"/>
      <c r="D89" s="178"/>
    </row>
    <row r="90" spans="1:4">
      <c r="A90" s="180"/>
      <c r="B90" s="179"/>
      <c r="C90" s="179"/>
      <c r="D90" s="178"/>
    </row>
    <row r="91" spans="1:4">
      <c r="A91" s="180"/>
      <c r="B91" s="179"/>
      <c r="C91" s="179"/>
      <c r="D91" s="178"/>
    </row>
    <row r="92" spans="1:4">
      <c r="A92" s="180"/>
      <c r="B92" s="179"/>
      <c r="C92" s="179"/>
      <c r="D92" s="178"/>
    </row>
    <row r="93" spans="1:4">
      <c r="A93" s="180"/>
      <c r="B93" s="179"/>
      <c r="C93" s="179"/>
      <c r="D93" s="178"/>
    </row>
    <row r="94" spans="1:4">
      <c r="A94" s="180"/>
      <c r="B94" s="179"/>
      <c r="C94" s="179"/>
      <c r="D94" s="178"/>
    </row>
    <row r="95" spans="1:4">
      <c r="A95" s="180"/>
      <c r="B95" s="179"/>
      <c r="C95" s="179"/>
      <c r="D95" s="178"/>
    </row>
    <row r="96" spans="1:4">
      <c r="A96" s="180"/>
      <c r="B96" s="179"/>
      <c r="C96" s="179"/>
      <c r="D96" s="178"/>
    </row>
    <row r="97" spans="1:4">
      <c r="A97" s="180"/>
      <c r="B97" s="179"/>
      <c r="C97" s="179"/>
      <c r="D97" s="178"/>
    </row>
    <row r="98" spans="1:4">
      <c r="A98" s="180"/>
      <c r="B98" s="179"/>
      <c r="C98" s="179"/>
      <c r="D98" s="178"/>
    </row>
    <row r="99" spans="1:4">
      <c r="A99" s="180"/>
      <c r="B99" s="179"/>
      <c r="C99" s="179"/>
      <c r="D99" s="178"/>
    </row>
    <row r="100" spans="1:4">
      <c r="A100" s="180"/>
      <c r="B100" s="179"/>
      <c r="C100" s="179"/>
      <c r="D100" s="178"/>
    </row>
    <row r="101" spans="1:4">
      <c r="A101" s="180"/>
      <c r="B101" s="179"/>
      <c r="C101" s="179"/>
      <c r="D101" s="178"/>
    </row>
    <row r="102" spans="1:4">
      <c r="A102" s="180"/>
      <c r="B102" s="179"/>
      <c r="C102" s="179"/>
      <c r="D102" s="178"/>
    </row>
    <row r="103" spans="1:4">
      <c r="A103" s="180"/>
      <c r="B103" s="179"/>
      <c r="C103" s="179"/>
      <c r="D103" s="178"/>
    </row>
    <row r="104" spans="1:4">
      <c r="A104" s="180"/>
      <c r="B104" s="179"/>
      <c r="C104" s="179"/>
      <c r="D104" s="178"/>
    </row>
    <row r="105" spans="1:4">
      <c r="A105" s="180"/>
      <c r="B105" s="179"/>
      <c r="C105" s="179"/>
      <c r="D105" s="178"/>
    </row>
    <row r="106" spans="1:4">
      <c r="A106" s="180"/>
      <c r="B106" s="179"/>
      <c r="C106" s="179"/>
      <c r="D106" s="178"/>
    </row>
    <row r="107" spans="1:4">
      <c r="A107" s="180"/>
      <c r="B107" s="179"/>
      <c r="C107" s="179"/>
      <c r="D107" s="178"/>
    </row>
    <row r="108" spans="1:4">
      <c r="A108" s="180"/>
      <c r="B108" s="179"/>
      <c r="C108" s="179"/>
      <c r="D108" s="178"/>
    </row>
    <row r="109" spans="1:4">
      <c r="A109" s="180"/>
      <c r="B109" s="179"/>
      <c r="C109" s="179"/>
      <c r="D109" s="178"/>
    </row>
    <row r="110" spans="1:4">
      <c r="A110" s="180"/>
      <c r="B110" s="179"/>
      <c r="C110" s="179"/>
      <c r="D110" s="178"/>
    </row>
    <row r="111" spans="1:4">
      <c r="A111" s="180"/>
      <c r="B111" s="179"/>
      <c r="C111" s="179"/>
      <c r="D111" s="178"/>
    </row>
    <row r="112" spans="1:4">
      <c r="A112" s="180"/>
      <c r="B112" s="179"/>
      <c r="C112" s="179"/>
      <c r="D112" s="178"/>
    </row>
    <row r="113" spans="1:4">
      <c r="A113" s="180"/>
      <c r="B113" s="179"/>
      <c r="C113" s="179"/>
      <c r="D113" s="178"/>
    </row>
    <row r="114" spans="1:4">
      <c r="A114" s="180"/>
      <c r="B114" s="179"/>
      <c r="C114" s="179"/>
      <c r="D114" s="178"/>
    </row>
    <row r="115" spans="1:4">
      <c r="A115" s="180"/>
      <c r="B115" s="179"/>
      <c r="C115" s="179"/>
      <c r="D115" s="178"/>
    </row>
    <row r="116" spans="1:4">
      <c r="A116" s="180"/>
      <c r="B116" s="179"/>
      <c r="C116" s="179"/>
      <c r="D116" s="178"/>
    </row>
    <row r="117" spans="1:4">
      <c r="A117" s="180"/>
      <c r="B117" s="179"/>
      <c r="C117" s="179"/>
      <c r="D117" s="178"/>
    </row>
    <row r="118" spans="1:4">
      <c r="A118" s="180"/>
      <c r="B118" s="179"/>
      <c r="C118" s="179"/>
      <c r="D118" s="178"/>
    </row>
    <row r="119" spans="1:4">
      <c r="A119" s="180"/>
      <c r="B119" s="179"/>
      <c r="C119" s="179"/>
      <c r="D119" s="178"/>
    </row>
    <row r="120" spans="1:4">
      <c r="A120" s="180"/>
      <c r="B120" s="179"/>
      <c r="C120" s="179"/>
      <c r="D120" s="178"/>
    </row>
    <row r="121" spans="1:4">
      <c r="A121" s="180"/>
      <c r="B121" s="179"/>
      <c r="C121" s="179"/>
      <c r="D121" s="178"/>
    </row>
    <row r="122" spans="1:4">
      <c r="A122" s="180"/>
      <c r="B122" s="179"/>
      <c r="C122" s="179"/>
      <c r="D122" s="178"/>
    </row>
    <row r="123" spans="1:4">
      <c r="A123" s="180"/>
      <c r="B123" s="179"/>
      <c r="C123" s="179"/>
      <c r="D123" s="178"/>
    </row>
    <row r="124" spans="1:4">
      <c r="A124" s="180"/>
      <c r="B124" s="179"/>
      <c r="C124" s="179"/>
      <c r="D124" s="178"/>
    </row>
    <row r="125" spans="1:4">
      <c r="A125" s="180"/>
      <c r="B125" s="179"/>
      <c r="C125" s="179"/>
      <c r="D125" s="178"/>
    </row>
    <row r="126" spans="1:4">
      <c r="A126" s="180"/>
      <c r="B126" s="179"/>
      <c r="C126" s="179"/>
      <c r="D126" s="178"/>
    </row>
    <row r="127" spans="1:4">
      <c r="A127" s="180"/>
      <c r="B127" s="179"/>
      <c r="C127" s="179"/>
      <c r="D127" s="178"/>
    </row>
    <row r="128" spans="1:4">
      <c r="A128" s="180"/>
      <c r="B128" s="179"/>
      <c r="C128" s="179"/>
      <c r="D128" s="178"/>
    </row>
    <row r="129" spans="1:4">
      <c r="A129" s="180"/>
      <c r="B129" s="179"/>
      <c r="C129" s="179"/>
      <c r="D129" s="178"/>
    </row>
    <row r="130" spans="1:4">
      <c r="A130" s="180"/>
      <c r="B130" s="179"/>
      <c r="C130" s="179"/>
      <c r="D130" s="178"/>
    </row>
    <row r="131" spans="1:4">
      <c r="A131" s="180"/>
      <c r="B131" s="179"/>
      <c r="C131" s="179"/>
      <c r="D131" s="178"/>
    </row>
    <row r="132" spans="1:4">
      <c r="A132" s="180"/>
      <c r="B132" s="179"/>
      <c r="C132" s="179"/>
      <c r="D132" s="178"/>
    </row>
    <row r="133" spans="1:4">
      <c r="A133" s="180"/>
      <c r="B133" s="179"/>
      <c r="C133" s="179"/>
      <c r="D133" s="178"/>
    </row>
    <row r="134" spans="1:4">
      <c r="A134" s="180"/>
      <c r="B134" s="179"/>
      <c r="C134" s="179"/>
      <c r="D134" s="178"/>
    </row>
    <row r="135" spans="1:4">
      <c r="A135" s="180"/>
      <c r="B135" s="179"/>
      <c r="C135" s="179"/>
      <c r="D135" s="178"/>
    </row>
    <row r="136" spans="1:4">
      <c r="A136" s="180"/>
      <c r="B136" s="179"/>
      <c r="C136" s="179"/>
      <c r="D136" s="178"/>
    </row>
    <row r="137" spans="1:4">
      <c r="A137" s="180"/>
      <c r="B137" s="179"/>
      <c r="C137" s="179"/>
      <c r="D137" s="178"/>
    </row>
    <row r="138" spans="1:4">
      <c r="A138" s="180"/>
      <c r="B138" s="179"/>
      <c r="C138" s="179"/>
      <c r="D138" s="178"/>
    </row>
    <row r="139" spans="1:4">
      <c r="A139" s="180"/>
      <c r="B139" s="179"/>
      <c r="C139" s="179"/>
      <c r="D139" s="178"/>
    </row>
    <row r="140" spans="1:4">
      <c r="A140" s="180"/>
      <c r="B140" s="179"/>
      <c r="C140" s="179"/>
      <c r="D140" s="178"/>
    </row>
    <row r="141" spans="1:4">
      <c r="A141" s="180"/>
      <c r="B141" s="179"/>
      <c r="C141" s="179"/>
      <c r="D141" s="178"/>
    </row>
    <row r="142" spans="1:4">
      <c r="A142" s="180"/>
      <c r="B142" s="179"/>
      <c r="C142" s="179"/>
      <c r="D142" s="178"/>
    </row>
    <row r="143" spans="1:4">
      <c r="A143" s="180"/>
      <c r="B143" s="179"/>
      <c r="C143" s="179"/>
      <c r="D143" s="178"/>
    </row>
    <row r="144" spans="1:4">
      <c r="A144" s="180"/>
      <c r="B144" s="179"/>
      <c r="C144" s="179"/>
      <c r="D144" s="178"/>
    </row>
    <row r="145" spans="1:5">
      <c r="A145" s="180"/>
      <c r="B145" s="179"/>
      <c r="C145" s="179"/>
      <c r="D145" s="178"/>
    </row>
    <row r="146" spans="1:5">
      <c r="A146" s="180"/>
      <c r="B146" s="179"/>
      <c r="C146" s="179"/>
      <c r="D146" s="178"/>
    </row>
    <row r="147" spans="1:5">
      <c r="A147" s="180"/>
      <c r="B147" s="179"/>
      <c r="C147" s="179"/>
      <c r="D147" s="178"/>
    </row>
    <row r="148" spans="1:5">
      <c r="A148" s="180"/>
      <c r="B148" s="179"/>
      <c r="C148" s="179"/>
      <c r="D148" s="178"/>
    </row>
    <row r="149" spans="1:5">
      <c r="A149" s="180"/>
      <c r="B149" s="179"/>
      <c r="C149" s="179"/>
      <c r="D149" s="178"/>
    </row>
    <row r="150" spans="1:5">
      <c r="A150" s="180"/>
      <c r="B150" s="179"/>
      <c r="C150" s="179"/>
      <c r="D150" s="178"/>
    </row>
    <row r="151" spans="1:5">
      <c r="A151" s="180"/>
      <c r="B151" s="179"/>
      <c r="C151" s="179"/>
      <c r="D151" s="178"/>
    </row>
    <row r="152" spans="1:5">
      <c r="A152" s="180"/>
      <c r="B152" s="179"/>
      <c r="C152" s="179"/>
      <c r="D152" s="178"/>
    </row>
    <row r="153" spans="1:5">
      <c r="A153" s="180"/>
      <c r="B153" s="179"/>
      <c r="C153" s="179"/>
      <c r="D153" s="178"/>
    </row>
    <row r="154" spans="1:5">
      <c r="A154" s="180"/>
      <c r="B154" s="179"/>
      <c r="C154" s="179"/>
      <c r="D154" s="178"/>
    </row>
    <row r="155" spans="1:5">
      <c r="A155" s="180"/>
      <c r="B155" s="179"/>
      <c r="C155" s="179"/>
      <c r="D155" s="178"/>
    </row>
    <row r="156" spans="1:5">
      <c r="A156" s="180"/>
      <c r="B156" s="179"/>
      <c r="C156" s="179"/>
      <c r="D156" s="178"/>
    </row>
    <row r="157" spans="1:5">
      <c r="A157" s="180"/>
      <c r="B157" s="179"/>
      <c r="C157" s="179"/>
      <c r="D157" s="178"/>
    </row>
    <row r="158" spans="1:5">
      <c r="A158" s="180"/>
      <c r="B158" s="179"/>
      <c r="C158" s="179"/>
      <c r="D158" s="178"/>
    </row>
    <row r="159" spans="1:5">
      <c r="A159" s="180"/>
      <c r="B159" s="179"/>
      <c r="C159" s="179"/>
      <c r="D159" s="178"/>
    </row>
    <row r="160" spans="1:5">
      <c r="A160" s="180"/>
      <c r="B160" s="179"/>
      <c r="C160" s="179"/>
      <c r="D160" s="178"/>
    </row>
    <row r="161" spans="1:4">
      <c r="A161" s="180"/>
      <c r="B161" s="179"/>
      <c r="C161" s="179"/>
      <c r="D161" s="178"/>
    </row>
    <row r="162" spans="1:4">
      <c r="A162" s="180"/>
      <c r="B162" s="179"/>
      <c r="C162" s="179"/>
      <c r="D162" s="178"/>
    </row>
    <row r="163" spans="1:4">
      <c r="A163" s="180"/>
      <c r="B163" s="179"/>
      <c r="C163" s="179"/>
      <c r="D163" s="178"/>
    </row>
    <row r="164" spans="1:4">
      <c r="A164" s="180"/>
      <c r="B164" s="179"/>
      <c r="C164" s="179"/>
      <c r="D164" s="178"/>
    </row>
    <row r="165" spans="1:4">
      <c r="A165" s="180"/>
      <c r="B165" s="179"/>
      <c r="C165" s="179"/>
      <c r="D165" s="178"/>
    </row>
    <row r="166" spans="1:4">
      <c r="A166" s="180"/>
      <c r="B166" s="179"/>
      <c r="C166" s="179"/>
      <c r="D166" s="178"/>
    </row>
    <row r="167" spans="1:4">
      <c r="A167" s="180"/>
      <c r="B167" s="179"/>
      <c r="C167" s="179"/>
      <c r="D167" s="178"/>
    </row>
    <row r="168" spans="1:4">
      <c r="A168" s="180"/>
      <c r="B168" s="179"/>
      <c r="C168" s="179"/>
      <c r="D168" s="178"/>
    </row>
    <row r="169" spans="1:4">
      <c r="A169" s="180"/>
      <c r="B169" s="179"/>
      <c r="C169" s="179"/>
      <c r="D169" s="178"/>
    </row>
    <row r="170" spans="1:4">
      <c r="A170" s="180"/>
      <c r="B170" s="179"/>
      <c r="C170" s="179"/>
      <c r="D170" s="178"/>
    </row>
    <row r="171" spans="1:4">
      <c r="A171" s="180"/>
      <c r="B171" s="179"/>
      <c r="C171" s="179"/>
      <c r="D171" s="178"/>
    </row>
    <row r="172" spans="1:4">
      <c r="A172" s="180"/>
      <c r="B172" s="179"/>
      <c r="C172" s="179"/>
      <c r="D172" s="178"/>
    </row>
    <row r="173" spans="1:4">
      <c r="A173" s="180"/>
      <c r="B173" s="179"/>
      <c r="C173" s="179"/>
      <c r="D173" s="178"/>
    </row>
    <row r="174" spans="1:4">
      <c r="A174" s="180"/>
      <c r="B174" s="179"/>
      <c r="C174" s="179"/>
      <c r="D174" s="178"/>
    </row>
    <row r="175" spans="1:4">
      <c r="A175" s="180"/>
      <c r="B175" s="179"/>
      <c r="C175" s="179"/>
      <c r="D175" s="178"/>
    </row>
    <row r="176" spans="1:4">
      <c r="A176" s="180"/>
      <c r="B176" s="179"/>
      <c r="C176" s="179"/>
      <c r="D176" s="178"/>
    </row>
    <row r="177" spans="1:4">
      <c r="A177" s="180"/>
      <c r="B177" s="179"/>
      <c r="C177" s="179"/>
      <c r="D177" s="178"/>
    </row>
    <row r="178" spans="1:4">
      <c r="A178" s="180"/>
      <c r="B178" s="179"/>
      <c r="C178" s="179"/>
      <c r="D178" s="178"/>
    </row>
    <row r="179" spans="1:4">
      <c r="A179" s="180"/>
      <c r="B179" s="179"/>
      <c r="C179" s="179"/>
      <c r="D179" s="178"/>
    </row>
    <row r="180" spans="1:4">
      <c r="A180" s="180"/>
      <c r="B180" s="179"/>
      <c r="C180" s="179"/>
      <c r="D180" s="178"/>
    </row>
    <row r="181" spans="1:4">
      <c r="A181" s="180"/>
      <c r="B181" s="179"/>
      <c r="C181" s="179"/>
      <c r="D181" s="178"/>
    </row>
    <row r="182" spans="1:4">
      <c r="A182" s="180"/>
      <c r="B182" s="179"/>
      <c r="C182" s="179"/>
      <c r="D182" s="178"/>
    </row>
    <row r="183" spans="1:4">
      <c r="A183" s="180"/>
      <c r="B183" s="179"/>
      <c r="C183" s="179"/>
      <c r="D183" s="178"/>
    </row>
    <row r="184" spans="1:4">
      <c r="A184" s="180"/>
      <c r="B184" s="179"/>
      <c r="C184" s="179"/>
      <c r="D184" s="178"/>
    </row>
    <row r="185" spans="1:4">
      <c r="A185" s="180"/>
      <c r="B185" s="179"/>
      <c r="C185" s="179"/>
      <c r="D185" s="178"/>
    </row>
    <row r="186" spans="1:4">
      <c r="A186" s="180"/>
      <c r="B186" s="179"/>
      <c r="C186" s="179"/>
      <c r="D186" s="178"/>
    </row>
    <row r="187" spans="1:4">
      <c r="A187" s="180"/>
      <c r="B187" s="179"/>
      <c r="C187" s="179"/>
      <c r="D187" s="178"/>
    </row>
    <row r="188" spans="1:4">
      <c r="A188" s="180"/>
      <c r="B188" s="179"/>
      <c r="C188" s="179"/>
      <c r="D188" s="178"/>
    </row>
    <row r="189" spans="1:4">
      <c r="A189" s="180"/>
      <c r="B189" s="179"/>
      <c r="C189" s="179"/>
      <c r="D189" s="178"/>
    </row>
    <row r="190" spans="1:4">
      <c r="A190" s="180"/>
      <c r="B190" s="179"/>
      <c r="C190" s="179"/>
      <c r="D190" s="178"/>
    </row>
    <row r="191" spans="1:4">
      <c r="A191" s="180"/>
      <c r="B191" s="179"/>
      <c r="C191" s="179"/>
      <c r="D191" s="178"/>
    </row>
    <row r="192" spans="1:4">
      <c r="A192" s="180"/>
      <c r="B192" s="179"/>
      <c r="C192" s="179"/>
      <c r="D192" s="178"/>
    </row>
    <row r="193" spans="1:4">
      <c r="A193" s="180"/>
      <c r="B193" s="179"/>
      <c r="C193" s="179"/>
      <c r="D193" s="178"/>
    </row>
    <row r="194" spans="1:4">
      <c r="A194" s="180"/>
      <c r="B194" s="179"/>
      <c r="C194" s="179"/>
      <c r="D194" s="178"/>
    </row>
    <row r="195" spans="1:4">
      <c r="A195" s="180"/>
      <c r="B195" s="179"/>
      <c r="C195" s="179"/>
      <c r="D195" s="178"/>
    </row>
    <row r="196" spans="1:4">
      <c r="A196" s="180"/>
      <c r="B196" s="179"/>
      <c r="C196" s="179"/>
      <c r="D196" s="178"/>
    </row>
    <row r="197" spans="1:4">
      <c r="A197" s="180"/>
      <c r="B197" s="179"/>
      <c r="C197" s="179"/>
      <c r="D197" s="178"/>
    </row>
    <row r="198" spans="1:4">
      <c r="A198" s="180"/>
      <c r="B198" s="179"/>
      <c r="C198" s="179"/>
      <c r="D198" s="178"/>
    </row>
    <row r="199" spans="1:4">
      <c r="A199" s="180"/>
      <c r="B199" s="179"/>
      <c r="C199" s="179"/>
      <c r="D199" s="178"/>
    </row>
    <row r="200" spans="1:4">
      <c r="A200" s="180"/>
      <c r="B200" s="179"/>
      <c r="C200" s="179"/>
      <c r="D200" s="178"/>
    </row>
    <row r="201" spans="1:4">
      <c r="A201" s="180"/>
      <c r="B201" s="179"/>
      <c r="C201" s="179"/>
      <c r="D201" s="178"/>
    </row>
    <row r="202" spans="1:4">
      <c r="A202" s="180"/>
      <c r="B202" s="179"/>
      <c r="C202" s="179"/>
      <c r="D202" s="178"/>
    </row>
    <row r="203" spans="1:4">
      <c r="A203" s="180"/>
      <c r="B203" s="179"/>
      <c r="C203" s="179"/>
      <c r="D203" s="178"/>
    </row>
    <row r="204" spans="1:4">
      <c r="A204" s="180"/>
      <c r="B204" s="179"/>
      <c r="C204" s="179"/>
      <c r="D204" s="178"/>
    </row>
    <row r="205" spans="1:4">
      <c r="A205" s="180"/>
      <c r="B205" s="179"/>
      <c r="C205" s="179"/>
      <c r="D205" s="178"/>
    </row>
    <row r="206" spans="1:4">
      <c r="A206" s="180"/>
      <c r="B206" s="179"/>
      <c r="C206" s="179"/>
      <c r="D206" s="178"/>
    </row>
    <row r="207" spans="1:4">
      <c r="A207" s="180"/>
      <c r="B207" s="179"/>
      <c r="C207" s="179"/>
      <c r="D207" s="178"/>
    </row>
    <row r="208" spans="1:4">
      <c r="A208" s="180"/>
      <c r="B208" s="179"/>
      <c r="C208" s="179"/>
      <c r="D208" s="178"/>
    </row>
    <row r="209" spans="1:4">
      <c r="A209" s="180"/>
      <c r="B209" s="179"/>
      <c r="C209" s="179"/>
      <c r="D209" s="178"/>
    </row>
    <row r="210" spans="1:4">
      <c r="A210" s="180"/>
      <c r="B210" s="179"/>
      <c r="C210" s="179"/>
      <c r="D210" s="178"/>
    </row>
    <row r="211" spans="1:4">
      <c r="A211" s="180"/>
      <c r="B211" s="179"/>
      <c r="C211" s="179"/>
      <c r="D211" s="178"/>
    </row>
    <row r="212" spans="1:4">
      <c r="A212" s="180"/>
      <c r="B212" s="179"/>
      <c r="C212" s="179"/>
      <c r="D212" s="178"/>
    </row>
    <row r="213" spans="1:4">
      <c r="A213" s="180"/>
      <c r="B213" s="179"/>
      <c r="C213" s="179"/>
      <c r="D213" s="178"/>
    </row>
    <row r="214" spans="1:4">
      <c r="A214" s="180"/>
      <c r="B214" s="179"/>
      <c r="C214" s="179"/>
      <c r="D214" s="178"/>
    </row>
    <row r="215" spans="1:4">
      <c r="A215" s="180"/>
      <c r="B215" s="179"/>
      <c r="C215" s="179"/>
      <c r="D215" s="178"/>
    </row>
    <row r="216" spans="1:4">
      <c r="A216" s="180"/>
      <c r="B216" s="179"/>
      <c r="C216" s="179"/>
      <c r="D216" s="178"/>
    </row>
    <row r="217" spans="1:4">
      <c r="A217" s="180"/>
      <c r="B217" s="179"/>
      <c r="C217" s="179"/>
      <c r="D217" s="178"/>
    </row>
  </sheetData>
  <sheetProtection selectLockedCells="1" selectUnlockedCells="1"/>
  <autoFilter ref="A1:E865"/>
  <sortState ref="A2:E217">
    <sortCondition ref="C2:C217"/>
  </sortState>
  <mergeCells count="1">
    <mergeCell ref="F2:H3"/>
  </mergeCells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89" zoomScaleNormal="89" workbookViewId="0">
      <selection activeCell="B3" sqref="B3"/>
    </sheetView>
  </sheetViews>
  <sheetFormatPr baseColWidth="10" defaultColWidth="10.7109375" defaultRowHeight="12.75"/>
  <cols>
    <col min="1" max="1" width="7.42578125" style="121" customWidth="1"/>
    <col min="2" max="2" width="11.7109375" style="121" customWidth="1"/>
    <col min="3" max="3" width="13" style="121" bestFit="1" customWidth="1"/>
    <col min="4" max="4" width="23.85546875" style="110" bestFit="1" customWidth="1"/>
  </cols>
  <sheetData>
    <row r="1" spans="1:4">
      <c r="A1" s="112" t="s">
        <v>127</v>
      </c>
      <c r="B1" s="112" t="s">
        <v>128</v>
      </c>
      <c r="C1" s="112" t="s">
        <v>129</v>
      </c>
      <c r="D1" s="113" t="s">
        <v>130</v>
      </c>
    </row>
    <row r="2" spans="1:4">
      <c r="A2" s="123" t="s">
        <v>217</v>
      </c>
      <c r="B2" s="123" t="s">
        <v>7689</v>
      </c>
      <c r="C2" s="123" t="s">
        <v>218</v>
      </c>
      <c r="D2" s="110" t="s">
        <v>7626</v>
      </c>
    </row>
    <row r="3" spans="1:4">
      <c r="A3" s="121" t="s">
        <v>217</v>
      </c>
      <c r="B3" s="121" t="s">
        <v>7690</v>
      </c>
      <c r="C3" s="121" t="s">
        <v>219</v>
      </c>
      <c r="D3" s="110" t="s">
        <v>7627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D3"/>
  <sheetViews>
    <sheetView zoomScale="95" zoomScaleNormal="95" workbookViewId="0">
      <selection activeCell="C3" sqref="C3"/>
    </sheetView>
  </sheetViews>
  <sheetFormatPr baseColWidth="10" defaultColWidth="12.85546875" defaultRowHeight="12.75"/>
  <cols>
    <col min="1" max="1" width="13.28515625" style="121" customWidth="1"/>
    <col min="2" max="2" width="13.7109375" style="110" customWidth="1"/>
    <col min="3" max="3" width="12.42578125" style="110" customWidth="1"/>
    <col min="4" max="4" width="13" style="110" customWidth="1"/>
  </cols>
  <sheetData>
    <row r="1" spans="1:4">
      <c r="A1" s="112" t="s">
        <v>142</v>
      </c>
      <c r="B1" s="113" t="s">
        <v>143</v>
      </c>
      <c r="C1" s="113" t="s">
        <v>29</v>
      </c>
      <c r="D1" s="113" t="s">
        <v>144</v>
      </c>
    </row>
    <row r="2" spans="1:4">
      <c r="A2" s="123" t="s">
        <v>220</v>
      </c>
      <c r="B2" s="110" t="s">
        <v>220</v>
      </c>
      <c r="C2" s="110" t="s">
        <v>7691</v>
      </c>
    </row>
    <row r="3" spans="1:4">
      <c r="A3" s="130" t="s">
        <v>221</v>
      </c>
      <c r="B3" s="131" t="s">
        <v>222</v>
      </c>
      <c r="D3" s="110" t="s">
        <v>220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CM865"/>
  <sheetViews>
    <sheetView tabSelected="1" zoomScale="95" zoomScaleNormal="95" workbookViewId="0">
      <pane ySplit="1" topLeftCell="A2" activePane="bottomLeft" state="frozen"/>
      <selection pane="bottomLeft" activeCell="A2" sqref="A2"/>
    </sheetView>
  </sheetViews>
  <sheetFormatPr baseColWidth="10" defaultColWidth="11.28515625" defaultRowHeight="12.75"/>
  <cols>
    <col min="1" max="2" width="12.140625" style="148" customWidth="1"/>
    <col min="3" max="3" width="12.85546875" style="110" bestFit="1" customWidth="1"/>
    <col min="4" max="4" width="5.42578125" style="110" customWidth="1"/>
    <col min="5" max="5" width="13.85546875" style="110" bestFit="1" customWidth="1"/>
    <col min="6" max="6" width="7.140625" style="111" bestFit="1" customWidth="1"/>
    <col min="7" max="7" width="7" style="111" bestFit="1" customWidth="1"/>
    <col min="8" max="8" width="10" style="111" bestFit="1" customWidth="1"/>
    <col min="9" max="9" width="23.140625" style="110" bestFit="1" customWidth="1"/>
    <col min="10" max="10" width="22.5703125" style="110" bestFit="1" customWidth="1"/>
    <col min="11" max="11" width="9.28515625" style="132" customWidth="1"/>
    <col min="12" max="13" width="8.7109375" style="147" customWidth="1"/>
    <col min="14" max="14" width="10.28515625" style="147" customWidth="1"/>
    <col min="15" max="15" width="11.7109375" style="132" customWidth="1"/>
    <col min="16" max="16" width="11.140625" style="147" customWidth="1"/>
    <col min="17" max="17" width="13.7109375" style="132" customWidth="1"/>
    <col min="18" max="18" width="11.28515625" style="147"/>
    <col min="19" max="19" width="13.7109375" style="132" customWidth="1"/>
    <col min="20" max="20" width="12.140625" style="147" customWidth="1"/>
    <col min="21" max="21" width="13.7109375" style="132" customWidth="1"/>
    <col min="22" max="22" width="10" style="147" customWidth="1"/>
    <col min="23" max="23" width="14.140625" style="132" customWidth="1"/>
    <col min="24" max="24" width="13.5703125" style="147" customWidth="1"/>
    <col min="25" max="25" width="12.85546875" style="132" customWidth="1"/>
    <col min="26" max="26" width="10.140625" style="147" customWidth="1"/>
    <col min="27" max="27" width="9.140625" style="132" bestFit="1" customWidth="1"/>
    <col min="28" max="28" width="8.7109375" style="147" customWidth="1"/>
    <col min="29" max="29" width="10.140625" style="132" customWidth="1"/>
    <col min="30" max="30" width="10.5703125" style="147" bestFit="1" customWidth="1"/>
    <col min="31" max="31" width="7.85546875" style="132" customWidth="1"/>
    <col min="32" max="32" width="9.7109375" style="147" customWidth="1"/>
    <col min="33" max="33" width="8.85546875" style="147" customWidth="1"/>
    <col min="34" max="34" width="10.85546875" style="147" customWidth="1"/>
    <col min="35" max="35" width="8.7109375" style="147" customWidth="1"/>
    <col min="36" max="36" width="11.28515625" style="147" bestFit="1" customWidth="1"/>
    <col min="37" max="37" width="7.85546875" style="132" customWidth="1"/>
    <col min="38" max="38" width="10.5703125" style="147" customWidth="1"/>
    <col min="39" max="39" width="15.7109375" style="132" customWidth="1"/>
    <col min="40" max="40" width="8.85546875" style="147" customWidth="1"/>
    <col min="41" max="56" width="11.28515625" style="132"/>
    <col min="57" max="57" width="8.140625" style="133" customWidth="1"/>
    <col min="58" max="16384" width="11.28515625" style="133"/>
  </cols>
  <sheetData>
    <row r="1" spans="1:91" s="134" customFormat="1" ht="13.5" thickBot="1">
      <c r="A1" s="149" t="s">
        <v>114</v>
      </c>
      <c r="B1" s="149" t="s">
        <v>114</v>
      </c>
      <c r="C1" s="113" t="s">
        <v>135</v>
      </c>
      <c r="D1" s="113" t="s">
        <v>151</v>
      </c>
      <c r="E1" s="113" t="s">
        <v>223</v>
      </c>
      <c r="F1" s="114" t="s">
        <v>21</v>
      </c>
      <c r="G1" s="114" t="s">
        <v>22</v>
      </c>
      <c r="H1" s="114" t="s">
        <v>157</v>
      </c>
      <c r="I1" s="213" t="s">
        <v>7496</v>
      </c>
      <c r="J1" s="213" t="s">
        <v>7497</v>
      </c>
      <c r="K1" s="209" t="s">
        <v>7498</v>
      </c>
      <c r="L1" s="210" t="s">
        <v>7499</v>
      </c>
      <c r="M1" s="209" t="s">
        <v>7500</v>
      </c>
      <c r="N1" s="210" t="s">
        <v>7501</v>
      </c>
      <c r="O1" s="209" t="s">
        <v>7502</v>
      </c>
      <c r="P1" s="210" t="s">
        <v>7503</v>
      </c>
      <c r="Q1" s="209" t="s">
        <v>7504</v>
      </c>
      <c r="R1" s="210" t="s">
        <v>7505</v>
      </c>
      <c r="S1" s="209" t="s">
        <v>233</v>
      </c>
      <c r="T1" s="210" t="s">
        <v>234</v>
      </c>
      <c r="U1" s="209" t="s">
        <v>7506</v>
      </c>
      <c r="V1" s="210" t="s">
        <v>7507</v>
      </c>
      <c r="W1" s="209" t="s">
        <v>7508</v>
      </c>
      <c r="X1" s="210" t="s">
        <v>7509</v>
      </c>
      <c r="Y1" s="209" t="s">
        <v>231</v>
      </c>
      <c r="Z1" s="210" t="s">
        <v>232</v>
      </c>
      <c r="AA1" s="209" t="s">
        <v>227</v>
      </c>
      <c r="AB1" s="210" t="s">
        <v>228</v>
      </c>
      <c r="AC1" s="209" t="s">
        <v>224</v>
      </c>
      <c r="AD1" s="210" t="s">
        <v>7510</v>
      </c>
      <c r="AE1" s="209" t="s">
        <v>7511</v>
      </c>
      <c r="AF1" s="210" t="s">
        <v>7512</v>
      </c>
      <c r="AG1" s="209" t="s">
        <v>225</v>
      </c>
      <c r="AH1" s="210" t="s">
        <v>226</v>
      </c>
      <c r="AI1" s="209" t="s">
        <v>7513</v>
      </c>
      <c r="AJ1" s="210" t="s">
        <v>7514</v>
      </c>
      <c r="AK1" s="209" t="s">
        <v>7515</v>
      </c>
      <c r="AL1" s="210" t="s">
        <v>7516</v>
      </c>
      <c r="AM1" s="209" t="s">
        <v>7517</v>
      </c>
      <c r="AN1" s="210" t="s">
        <v>7518</v>
      </c>
      <c r="AO1" s="210" t="s">
        <v>7519</v>
      </c>
      <c r="AP1" s="210" t="s">
        <v>7520</v>
      </c>
      <c r="AQ1" s="210" t="s">
        <v>7521</v>
      </c>
      <c r="AR1" s="210" t="s">
        <v>7522</v>
      </c>
      <c r="AS1" s="210" t="s">
        <v>7523</v>
      </c>
      <c r="AT1" s="210" t="s">
        <v>7524</v>
      </c>
      <c r="AU1" s="210" t="s">
        <v>7525</v>
      </c>
      <c r="AV1" s="210" t="s">
        <v>7526</v>
      </c>
      <c r="AW1" s="210" t="s">
        <v>7527</v>
      </c>
      <c r="AX1" s="210" t="s">
        <v>7528</v>
      </c>
      <c r="AY1" s="211" t="s">
        <v>7529</v>
      </c>
      <c r="AZ1" s="211" t="s">
        <v>7530</v>
      </c>
      <c r="BA1" s="211" t="s">
        <v>7531</v>
      </c>
      <c r="BB1" s="211" t="s">
        <v>7532</v>
      </c>
      <c r="BC1" s="211" t="s">
        <v>7533</v>
      </c>
      <c r="BD1" s="212" t="s">
        <v>7534</v>
      </c>
      <c r="BE1" s="134" t="s">
        <v>7535</v>
      </c>
      <c r="BF1" s="134" t="s">
        <v>7536</v>
      </c>
      <c r="BG1" s="134" t="s">
        <v>7537</v>
      </c>
      <c r="BH1" s="134" t="s">
        <v>7538</v>
      </c>
      <c r="BI1" s="134" t="s">
        <v>7539</v>
      </c>
      <c r="BJ1" s="134" t="s">
        <v>7540</v>
      </c>
      <c r="BK1" s="134" t="s">
        <v>7541</v>
      </c>
      <c r="BL1" s="134" t="s">
        <v>7542</v>
      </c>
      <c r="BM1" s="134" t="s">
        <v>7543</v>
      </c>
      <c r="BN1" s="134" t="s">
        <v>7544</v>
      </c>
      <c r="BO1" s="134" t="s">
        <v>7545</v>
      </c>
      <c r="BP1" s="134" t="s">
        <v>7546</v>
      </c>
      <c r="BQ1" s="134" t="s">
        <v>7547</v>
      </c>
      <c r="BR1" s="134" t="s">
        <v>7548</v>
      </c>
      <c r="BS1" s="134" t="s">
        <v>229</v>
      </c>
      <c r="BT1" s="134" t="s">
        <v>230</v>
      </c>
      <c r="BU1" s="134" t="s">
        <v>7549</v>
      </c>
      <c r="BV1" s="134" t="s">
        <v>7550</v>
      </c>
      <c r="BW1" s="134" t="s">
        <v>7551</v>
      </c>
      <c r="BX1" s="134" t="s">
        <v>7552</v>
      </c>
      <c r="BY1" s="134" t="s">
        <v>7553</v>
      </c>
      <c r="BZ1" s="134" t="s">
        <v>7554</v>
      </c>
      <c r="CA1" s="134" t="s">
        <v>7555</v>
      </c>
      <c r="CB1" s="134" t="s">
        <v>7556</v>
      </c>
      <c r="CC1" s="134" t="s">
        <v>7557</v>
      </c>
      <c r="CD1" s="134" t="s">
        <v>7558</v>
      </c>
      <c r="CE1" s="134" t="s">
        <v>7559</v>
      </c>
      <c r="CF1" s="134" t="s">
        <v>7560</v>
      </c>
      <c r="CG1" s="134" t="s">
        <v>7561</v>
      </c>
      <c r="CH1" s="134" t="s">
        <v>7562</v>
      </c>
      <c r="CI1" s="134" t="s">
        <v>7479</v>
      </c>
      <c r="CJ1" s="134" t="s">
        <v>7400</v>
      </c>
      <c r="CK1" s="134" t="s">
        <v>7486</v>
      </c>
      <c r="CL1" s="134" t="s">
        <v>7563</v>
      </c>
      <c r="CM1" s="134" t="s">
        <v>7564</v>
      </c>
    </row>
    <row r="2" spans="1:91" s="242" customFormat="1" ht="12">
      <c r="A2" s="240">
        <v>1</v>
      </c>
      <c r="B2" s="240" t="str">
        <f>VLOOKUP(A2,PlantMaterial!B:C,2,0)</f>
        <v>AVISO</v>
      </c>
      <c r="C2" s="241" t="s">
        <v>7690</v>
      </c>
      <c r="D2" s="240">
        <v>1</v>
      </c>
      <c r="E2" s="241" t="s">
        <v>7936</v>
      </c>
      <c r="F2" s="240">
        <v>1</v>
      </c>
      <c r="G2" s="240">
        <v>1</v>
      </c>
      <c r="H2" s="242">
        <v>10.5</v>
      </c>
      <c r="I2" s="241" t="s">
        <v>7692</v>
      </c>
      <c r="J2" s="243">
        <v>42430</v>
      </c>
      <c r="M2" s="241">
        <v>3.24</v>
      </c>
      <c r="N2" s="243">
        <v>42586</v>
      </c>
      <c r="S2" s="242">
        <v>9.4600000000000009</v>
      </c>
      <c r="T2" s="243">
        <v>42592</v>
      </c>
      <c r="U2" s="242">
        <v>13.5</v>
      </c>
      <c r="V2" s="243">
        <v>42586</v>
      </c>
      <c r="Y2" s="241">
        <v>4.49064</v>
      </c>
      <c r="Z2" s="243">
        <v>42592</v>
      </c>
      <c r="AA2" s="242">
        <v>45</v>
      </c>
      <c r="AB2" s="243">
        <v>42249</v>
      </c>
      <c r="AE2" s="241">
        <v>23.76</v>
      </c>
      <c r="AF2" s="243">
        <v>42586</v>
      </c>
      <c r="AI2" s="240">
        <v>140</v>
      </c>
      <c r="AJ2" s="243">
        <v>42507</v>
      </c>
      <c r="AK2" s="241">
        <v>9.9</v>
      </c>
      <c r="BG2" s="241">
        <v>-7.2</v>
      </c>
      <c r="BH2" s="243">
        <v>42592</v>
      </c>
      <c r="BM2" s="241">
        <v>59.6</v>
      </c>
      <c r="BN2" s="243">
        <v>42592</v>
      </c>
      <c r="BQ2" s="241">
        <v>12.2</v>
      </c>
      <c r="BR2" s="243">
        <v>42592</v>
      </c>
      <c r="BS2" s="241">
        <v>43.73626373626373</v>
      </c>
      <c r="BT2" s="243">
        <v>42592</v>
      </c>
      <c r="BU2" s="241">
        <v>20.769230769230766</v>
      </c>
      <c r="BV2" s="243">
        <v>42592</v>
      </c>
      <c r="BW2" s="241">
        <v>18.35164835164835</v>
      </c>
      <c r="BX2" s="243">
        <v>42592</v>
      </c>
      <c r="BY2" s="241"/>
      <c r="BZ2" s="241"/>
      <c r="CA2" s="241">
        <v>36.799999999999997</v>
      </c>
      <c r="CB2" s="243">
        <v>42592</v>
      </c>
      <c r="CC2" s="241"/>
      <c r="CD2" s="241"/>
      <c r="CF2" s="241"/>
    </row>
    <row r="3" spans="1:91" s="178" customFormat="1" ht="12">
      <c r="A3" s="232">
        <v>2</v>
      </c>
      <c r="B3" s="232" t="str">
        <f>VLOOKUP(A3,PlantMaterial!B:C,2,0)</f>
        <v>A05-AMQ0</v>
      </c>
      <c r="C3" s="238" t="s">
        <v>7690</v>
      </c>
      <c r="D3" s="232">
        <v>1</v>
      </c>
      <c r="E3" s="238" t="s">
        <v>7693</v>
      </c>
      <c r="F3" s="232">
        <v>2</v>
      </c>
      <c r="G3" s="232">
        <v>1</v>
      </c>
      <c r="H3" s="178">
        <v>10.5</v>
      </c>
      <c r="I3" s="238"/>
      <c r="M3" s="238">
        <v>3.37</v>
      </c>
      <c r="N3" s="239">
        <v>42586</v>
      </c>
      <c r="S3" s="178">
        <v>10.41</v>
      </c>
      <c r="T3" s="239">
        <v>42592</v>
      </c>
      <c r="U3" s="178">
        <v>13.5</v>
      </c>
      <c r="V3" s="239">
        <v>42586</v>
      </c>
      <c r="Y3" s="238">
        <v>4.4338299999999995</v>
      </c>
      <c r="Z3" s="239">
        <v>42592</v>
      </c>
      <c r="AA3" s="178">
        <v>45</v>
      </c>
      <c r="AB3" s="239">
        <v>42249</v>
      </c>
      <c r="AE3" s="238">
        <v>24.77</v>
      </c>
      <c r="AF3" s="239">
        <v>42586</v>
      </c>
      <c r="AI3" s="232">
        <v>140</v>
      </c>
      <c r="AJ3" s="239">
        <v>42507</v>
      </c>
      <c r="AK3" s="238">
        <v>9.6999999999999993</v>
      </c>
      <c r="BG3" s="238">
        <v>-8.3000000000000007</v>
      </c>
      <c r="BH3" s="239">
        <v>42592</v>
      </c>
      <c r="BM3" s="238">
        <v>60.6</v>
      </c>
      <c r="BN3" s="239">
        <v>42592</v>
      </c>
      <c r="BQ3" s="238">
        <v>11.3</v>
      </c>
      <c r="BR3" s="239">
        <v>42592</v>
      </c>
      <c r="BS3" s="238">
        <v>46.153846153846153</v>
      </c>
      <c r="BT3" s="239">
        <v>42592</v>
      </c>
      <c r="BU3" s="238">
        <v>19.670329670329668</v>
      </c>
      <c r="BV3" s="239">
        <v>42592</v>
      </c>
      <c r="BW3" s="238">
        <v>15.274725274725274</v>
      </c>
      <c r="BX3" s="239">
        <v>42592</v>
      </c>
      <c r="BY3" s="238"/>
      <c r="BZ3" s="238"/>
      <c r="CA3" s="238">
        <v>36.5</v>
      </c>
      <c r="CB3" s="239">
        <v>42592</v>
      </c>
      <c r="CC3" s="238"/>
      <c r="CD3" s="238"/>
      <c r="CF3" s="238"/>
    </row>
    <row r="4" spans="1:91" s="242" customFormat="1" ht="12">
      <c r="A4" s="240">
        <v>3</v>
      </c>
      <c r="B4" s="240" t="str">
        <f>VLOOKUP(A4,PlantMaterial!B:C,2,0)</f>
        <v>MONTEGO</v>
      </c>
      <c r="C4" s="241" t="s">
        <v>7690</v>
      </c>
      <c r="D4" s="240">
        <v>1</v>
      </c>
      <c r="E4" s="241" t="s">
        <v>7936</v>
      </c>
      <c r="F4" s="240">
        <v>3</v>
      </c>
      <c r="G4" s="240">
        <v>1</v>
      </c>
      <c r="H4" s="242">
        <v>10.5</v>
      </c>
      <c r="I4" s="241"/>
      <c r="M4" s="241">
        <v>2.77</v>
      </c>
      <c r="N4" s="243">
        <v>42586</v>
      </c>
      <c r="S4" s="242">
        <v>8.39</v>
      </c>
      <c r="T4" s="243">
        <v>42592</v>
      </c>
      <c r="U4" s="242">
        <v>13.5</v>
      </c>
      <c r="V4" s="243">
        <v>42586</v>
      </c>
      <c r="Y4" s="241">
        <v>3.79068</v>
      </c>
      <c r="Z4" s="243">
        <v>42592</v>
      </c>
      <c r="AA4" s="242">
        <v>45</v>
      </c>
      <c r="AB4" s="243">
        <v>42249</v>
      </c>
      <c r="AE4" s="241">
        <v>20.38</v>
      </c>
      <c r="AF4" s="243">
        <v>42586</v>
      </c>
      <c r="AI4" s="240">
        <v>130</v>
      </c>
      <c r="AJ4" s="243">
        <v>42507</v>
      </c>
      <c r="AK4" s="241">
        <v>9.6</v>
      </c>
      <c r="BG4" s="241">
        <v>-8.1999999999999993</v>
      </c>
      <c r="BH4" s="243">
        <v>42592</v>
      </c>
      <c r="BM4" s="241">
        <v>61.2</v>
      </c>
      <c r="BN4" s="243">
        <v>42592</v>
      </c>
      <c r="BQ4" s="241">
        <v>11.3</v>
      </c>
      <c r="BR4" s="243">
        <v>42592</v>
      </c>
      <c r="BS4" s="241">
        <v>45.274725274725277</v>
      </c>
      <c r="BT4" s="243">
        <v>42592</v>
      </c>
      <c r="BU4" s="241">
        <v>20.439560439560442</v>
      </c>
      <c r="BV4" s="243">
        <v>42592</v>
      </c>
      <c r="BW4" s="241">
        <v>15.164835164835164</v>
      </c>
      <c r="BX4" s="243">
        <v>42592</v>
      </c>
      <c r="BY4" s="241"/>
      <c r="BZ4" s="241"/>
      <c r="CA4" s="241">
        <v>37.4</v>
      </c>
      <c r="CB4" s="243">
        <v>42592</v>
      </c>
      <c r="CC4" s="241"/>
      <c r="CD4" s="241"/>
      <c r="CF4" s="241"/>
    </row>
    <row r="5" spans="1:91" s="178" customFormat="1" ht="12">
      <c r="A5" s="232">
        <v>4</v>
      </c>
      <c r="B5" s="232" t="str">
        <f>VLOOKUP(A5,PlantMaterial!B:C,2,0)</f>
        <v>A05-AMQ1</v>
      </c>
      <c r="C5" s="238" t="s">
        <v>7690</v>
      </c>
      <c r="D5" s="232">
        <v>1</v>
      </c>
      <c r="E5" s="238" t="s">
        <v>7694</v>
      </c>
      <c r="F5" s="232">
        <v>4</v>
      </c>
      <c r="G5" s="232">
        <v>1</v>
      </c>
      <c r="H5" s="178">
        <v>10.5</v>
      </c>
      <c r="I5" s="238"/>
      <c r="M5" s="238">
        <v>2.77</v>
      </c>
      <c r="N5" s="239">
        <v>42586</v>
      </c>
      <c r="S5" s="178">
        <v>8.3800000000000008</v>
      </c>
      <c r="T5" s="239">
        <v>42592</v>
      </c>
      <c r="U5" s="178">
        <v>13.5</v>
      </c>
      <c r="V5" s="239">
        <v>42586</v>
      </c>
      <c r="Y5" s="238">
        <v>3.8166699999999998</v>
      </c>
      <c r="Z5" s="239">
        <v>42592</v>
      </c>
      <c r="AA5" s="178">
        <v>45</v>
      </c>
      <c r="AB5" s="239">
        <v>42249</v>
      </c>
      <c r="AE5" s="238">
        <v>20.41</v>
      </c>
      <c r="AF5" s="239">
        <v>42586</v>
      </c>
      <c r="AI5" s="232">
        <v>130</v>
      </c>
      <c r="AJ5" s="239">
        <v>42507</v>
      </c>
      <c r="AK5" s="238">
        <v>9.5</v>
      </c>
      <c r="BG5" s="238">
        <v>-9.6</v>
      </c>
      <c r="BH5" s="239">
        <v>42592</v>
      </c>
      <c r="BM5" s="238">
        <v>60</v>
      </c>
      <c r="BN5" s="239">
        <v>42592</v>
      </c>
      <c r="BQ5" s="238">
        <v>11.9</v>
      </c>
      <c r="BR5" s="239">
        <v>42592</v>
      </c>
      <c r="BS5" s="238">
        <v>45.164835164835168</v>
      </c>
      <c r="BT5" s="239">
        <v>42592</v>
      </c>
      <c r="BU5" s="238">
        <v>20.549450549450547</v>
      </c>
      <c r="BV5" s="239">
        <v>42592</v>
      </c>
      <c r="BW5" s="238">
        <v>16.373626373626372</v>
      </c>
      <c r="BX5" s="239">
        <v>42592</v>
      </c>
      <c r="BY5" s="238"/>
      <c r="BZ5" s="238"/>
      <c r="CA5" s="238">
        <v>37.5</v>
      </c>
      <c r="CB5" s="239">
        <v>42592</v>
      </c>
      <c r="CC5" s="238"/>
      <c r="CD5" s="238"/>
      <c r="CF5" s="238"/>
    </row>
    <row r="6" spans="1:91" s="242" customFormat="1" ht="12">
      <c r="A6" s="240">
        <v>5</v>
      </c>
      <c r="B6" s="240" t="str">
        <f>VLOOKUP(A6,PlantMaterial!B:C,2,0)</f>
        <v>TENOR</v>
      </c>
      <c r="C6" s="241" t="s">
        <v>7690</v>
      </c>
      <c r="D6" s="240">
        <v>1</v>
      </c>
      <c r="E6" s="241" t="s">
        <v>7936</v>
      </c>
      <c r="F6" s="240">
        <v>5</v>
      </c>
      <c r="G6" s="240">
        <v>1</v>
      </c>
      <c r="H6" s="242">
        <v>10.5</v>
      </c>
      <c r="I6" s="241"/>
      <c r="M6" s="241">
        <v>3.02</v>
      </c>
      <c r="N6" s="243">
        <v>42586</v>
      </c>
      <c r="S6" s="242">
        <v>9.1199999999999992</v>
      </c>
      <c r="T6" s="243">
        <v>42592</v>
      </c>
      <c r="U6" s="242">
        <v>13.5</v>
      </c>
      <c r="V6" s="243">
        <v>42586</v>
      </c>
      <c r="Y6" s="241">
        <v>4.0680900000000007</v>
      </c>
      <c r="Z6" s="243">
        <v>42592</v>
      </c>
      <c r="AA6" s="242">
        <v>45</v>
      </c>
      <c r="AB6" s="243">
        <v>42249</v>
      </c>
      <c r="AE6" s="241">
        <v>22.23</v>
      </c>
      <c r="AF6" s="243">
        <v>42586</v>
      </c>
      <c r="AI6" s="240">
        <v>130</v>
      </c>
      <c r="AJ6" s="243">
        <v>42507</v>
      </c>
      <c r="AK6" s="241">
        <v>9.6</v>
      </c>
      <c r="BG6" s="241">
        <v>-6.5</v>
      </c>
      <c r="BH6" s="243">
        <v>42592</v>
      </c>
      <c r="BM6" s="241">
        <v>59.4</v>
      </c>
      <c r="BN6" s="243">
        <v>42592</v>
      </c>
      <c r="BQ6" s="241">
        <v>11.8</v>
      </c>
      <c r="BR6" s="243">
        <v>42592</v>
      </c>
      <c r="BS6" s="241">
        <v>45.164835164835168</v>
      </c>
      <c r="BT6" s="243">
        <v>42592</v>
      </c>
      <c r="BU6" s="241">
        <v>20.109890109890109</v>
      </c>
      <c r="BV6" s="243">
        <v>42592</v>
      </c>
      <c r="BW6" s="241">
        <v>16.263736263736263</v>
      </c>
      <c r="BX6" s="243">
        <v>42592</v>
      </c>
      <c r="BY6" s="241"/>
      <c r="BZ6" s="241"/>
      <c r="CA6" s="241">
        <v>36.6</v>
      </c>
      <c r="CB6" s="243">
        <v>42592</v>
      </c>
      <c r="CC6" s="241"/>
      <c r="CD6" s="241"/>
      <c r="CF6" s="241"/>
    </row>
    <row r="7" spans="1:91" s="178" customFormat="1" ht="12">
      <c r="A7" s="232">
        <v>6</v>
      </c>
      <c r="B7" s="232" t="str">
        <f>VLOOKUP(A7,PlantMaterial!B:C,2,0)</f>
        <v>C03-AMQ0</v>
      </c>
      <c r="C7" s="238" t="s">
        <v>7690</v>
      </c>
      <c r="D7" s="232">
        <v>1</v>
      </c>
      <c r="E7" s="238" t="s">
        <v>7695</v>
      </c>
      <c r="F7" s="232">
        <v>6</v>
      </c>
      <c r="G7" s="232">
        <v>1</v>
      </c>
      <c r="H7" s="178">
        <v>10.5</v>
      </c>
      <c r="I7" s="238"/>
      <c r="M7" s="238">
        <v>2.92</v>
      </c>
      <c r="N7" s="239">
        <v>42586</v>
      </c>
      <c r="S7" s="178">
        <v>8.81</v>
      </c>
      <c r="T7" s="239">
        <v>42592</v>
      </c>
      <c r="U7" s="178">
        <v>13.5</v>
      </c>
      <c r="V7" s="239">
        <v>42586</v>
      </c>
      <c r="Y7" s="238">
        <v>3.9111799999999994</v>
      </c>
      <c r="Z7" s="239">
        <v>42592</v>
      </c>
      <c r="AA7" s="178">
        <v>45</v>
      </c>
      <c r="AB7" s="239">
        <v>42249</v>
      </c>
      <c r="AE7" s="238">
        <v>21.49</v>
      </c>
      <c r="AF7" s="239">
        <v>42586</v>
      </c>
      <c r="AI7" s="232">
        <v>130</v>
      </c>
      <c r="AJ7" s="239">
        <v>42507</v>
      </c>
      <c r="AK7" s="238">
        <v>9.6</v>
      </c>
      <c r="BG7" s="238">
        <v>-7.9</v>
      </c>
      <c r="BH7" s="239">
        <v>42592</v>
      </c>
      <c r="BM7" s="238">
        <v>61.6</v>
      </c>
      <c r="BN7" s="239">
        <v>42592</v>
      </c>
      <c r="BQ7" s="238">
        <v>11.7</v>
      </c>
      <c r="BR7" s="239">
        <v>42592</v>
      </c>
      <c r="BS7" s="238">
        <v>45.054945054945051</v>
      </c>
      <c r="BT7" s="239">
        <v>42592</v>
      </c>
      <c r="BU7" s="238">
        <v>20</v>
      </c>
      <c r="BV7" s="239">
        <v>42592</v>
      </c>
      <c r="BW7" s="238">
        <v>14.505494505494504</v>
      </c>
      <c r="BX7" s="239">
        <v>42592</v>
      </c>
      <c r="BY7" s="238"/>
      <c r="BZ7" s="238"/>
      <c r="CA7" s="238">
        <v>36.4</v>
      </c>
      <c r="CB7" s="239">
        <v>42592</v>
      </c>
      <c r="CC7" s="238"/>
      <c r="CD7" s="238"/>
      <c r="CF7" s="238"/>
    </row>
    <row r="8" spans="1:91" s="242" customFormat="1" ht="12">
      <c r="A8" s="240">
        <v>7</v>
      </c>
      <c r="B8" s="240" t="str">
        <f>VLOOKUP(A8,PlantMaterial!B:C,2,0)</f>
        <v>EXPRESS</v>
      </c>
      <c r="C8" s="241" t="s">
        <v>7690</v>
      </c>
      <c r="D8" s="240">
        <v>1</v>
      </c>
      <c r="E8" s="241" t="s">
        <v>7936</v>
      </c>
      <c r="F8" s="240">
        <v>6</v>
      </c>
      <c r="G8" s="240">
        <v>2</v>
      </c>
      <c r="H8" s="242">
        <v>21</v>
      </c>
      <c r="I8" s="241"/>
      <c r="M8" s="241">
        <v>2.0499999999999998</v>
      </c>
      <c r="N8" s="243">
        <v>42586</v>
      </c>
      <c r="S8" s="242">
        <v>6.09</v>
      </c>
      <c r="T8" s="243">
        <v>42592</v>
      </c>
      <c r="U8" s="242">
        <v>13.5</v>
      </c>
      <c r="V8" s="243">
        <v>42586</v>
      </c>
      <c r="Y8" s="241">
        <v>2.85</v>
      </c>
      <c r="Z8" s="243">
        <v>42592</v>
      </c>
      <c r="AA8" s="242">
        <v>45</v>
      </c>
      <c r="AB8" s="243">
        <v>42249</v>
      </c>
      <c r="AE8" s="241">
        <v>15</v>
      </c>
      <c r="AF8" s="243">
        <v>42586</v>
      </c>
      <c r="AI8" s="240">
        <v>125</v>
      </c>
      <c r="AJ8" s="243">
        <v>42507</v>
      </c>
      <c r="AK8" s="241">
        <v>10.1</v>
      </c>
      <c r="BG8" s="241">
        <v>-6.9</v>
      </c>
      <c r="BH8" s="243">
        <v>42592</v>
      </c>
      <c r="BM8" s="241">
        <v>60.5</v>
      </c>
      <c r="BN8" s="243">
        <v>42592</v>
      </c>
      <c r="BQ8" s="241">
        <v>11.1</v>
      </c>
      <c r="BR8" s="243">
        <v>42592</v>
      </c>
      <c r="BS8" s="241">
        <v>44.615384615384613</v>
      </c>
      <c r="BT8" s="243">
        <v>42592</v>
      </c>
      <c r="BU8" s="241">
        <v>20.87912087912088</v>
      </c>
      <c r="BV8" s="243">
        <v>42592</v>
      </c>
      <c r="BW8" s="241">
        <v>17.58241758241758</v>
      </c>
      <c r="BX8" s="243">
        <v>42592</v>
      </c>
      <c r="BY8" s="241"/>
      <c r="BZ8" s="241"/>
      <c r="CA8" s="241">
        <v>37.700000000000003</v>
      </c>
      <c r="CB8" s="243">
        <v>42592</v>
      </c>
      <c r="CC8" s="241"/>
      <c r="CD8" s="241"/>
      <c r="CF8" s="241"/>
    </row>
    <row r="9" spans="1:91" s="178" customFormat="1" ht="12">
      <c r="A9" s="232">
        <v>8</v>
      </c>
      <c r="B9" s="232" t="str">
        <f>VLOOKUP(A9,PlantMaterial!B:C,2,0)</f>
        <v>C03-AMQ1</v>
      </c>
      <c r="C9" s="238" t="s">
        <v>7690</v>
      </c>
      <c r="D9" s="232">
        <v>1</v>
      </c>
      <c r="E9" s="238" t="s">
        <v>7696</v>
      </c>
      <c r="F9" s="232">
        <v>5</v>
      </c>
      <c r="G9" s="232">
        <v>2</v>
      </c>
      <c r="H9" s="178">
        <v>21</v>
      </c>
      <c r="I9" s="238"/>
      <c r="M9" s="238">
        <v>2.78</v>
      </c>
      <c r="N9" s="239">
        <v>42586</v>
      </c>
      <c r="S9" s="178">
        <v>8.5399999999999991</v>
      </c>
      <c r="T9" s="239">
        <v>42592</v>
      </c>
      <c r="U9" s="178">
        <v>13.5</v>
      </c>
      <c r="V9" s="239">
        <v>42586</v>
      </c>
      <c r="Y9" s="238">
        <v>3.7218999999999998</v>
      </c>
      <c r="Z9" s="239">
        <v>42592</v>
      </c>
      <c r="AA9" s="178">
        <v>45</v>
      </c>
      <c r="AB9" s="239">
        <v>42249</v>
      </c>
      <c r="AE9" s="238">
        <v>20.45</v>
      </c>
      <c r="AF9" s="239">
        <v>42586</v>
      </c>
      <c r="AI9" s="232">
        <v>130</v>
      </c>
      <c r="AJ9" s="239">
        <v>42507</v>
      </c>
      <c r="AK9" s="238">
        <v>9.6</v>
      </c>
      <c r="BG9" s="238">
        <v>-8.4</v>
      </c>
      <c r="BH9" s="239">
        <v>42592</v>
      </c>
      <c r="BM9" s="238">
        <v>59.9</v>
      </c>
      <c r="BN9" s="239">
        <v>42592</v>
      </c>
      <c r="BQ9" s="238">
        <v>11.8</v>
      </c>
      <c r="BR9" s="239">
        <v>42592</v>
      </c>
      <c r="BS9" s="238">
        <v>45.934065934065927</v>
      </c>
      <c r="BT9" s="239">
        <v>42592</v>
      </c>
      <c r="BU9" s="238">
        <v>20</v>
      </c>
      <c r="BV9" s="239">
        <v>42592</v>
      </c>
      <c r="BW9" s="238">
        <v>16.043956043956044</v>
      </c>
      <c r="BX9" s="239">
        <v>42592</v>
      </c>
      <c r="BY9" s="238"/>
      <c r="BZ9" s="238"/>
      <c r="CA9" s="238">
        <v>36.9</v>
      </c>
      <c r="CB9" s="239">
        <v>42592</v>
      </c>
      <c r="CC9" s="238"/>
      <c r="CD9" s="238"/>
      <c r="CF9" s="238"/>
    </row>
    <row r="10" spans="1:91" s="178" customFormat="1" ht="12">
      <c r="A10" s="232">
        <v>9</v>
      </c>
      <c r="B10" s="232" t="str">
        <f>VLOOKUP(A10,PlantMaterial!B:C,2,0)</f>
        <v>C04-DKQ0</v>
      </c>
      <c r="C10" s="238" t="s">
        <v>7690</v>
      </c>
      <c r="D10" s="232">
        <v>1</v>
      </c>
      <c r="E10" s="238" t="s">
        <v>7697</v>
      </c>
      <c r="F10" s="232">
        <v>4</v>
      </c>
      <c r="G10" s="232">
        <v>2</v>
      </c>
      <c r="H10" s="178">
        <v>21</v>
      </c>
      <c r="I10" s="238"/>
      <c r="M10" s="238">
        <v>2.61</v>
      </c>
      <c r="N10" s="239">
        <v>42586</v>
      </c>
      <c r="S10" s="178">
        <v>8.01</v>
      </c>
      <c r="T10" s="239">
        <v>42592</v>
      </c>
      <c r="U10" s="178">
        <v>13.5</v>
      </c>
      <c r="V10" s="239">
        <v>42586</v>
      </c>
      <c r="Y10" s="238">
        <v>3.49986</v>
      </c>
      <c r="Z10" s="239">
        <v>42592</v>
      </c>
      <c r="AA10" s="178">
        <v>45</v>
      </c>
      <c r="AB10" s="239">
        <v>42249</v>
      </c>
      <c r="AE10" s="238">
        <v>19.23</v>
      </c>
      <c r="AF10" s="239">
        <v>42586</v>
      </c>
      <c r="AI10" s="232">
        <v>130</v>
      </c>
      <c r="AJ10" s="239">
        <v>42507</v>
      </c>
      <c r="AK10" s="238">
        <v>9.5</v>
      </c>
      <c r="BG10" s="238">
        <v>-8.4</v>
      </c>
      <c r="BH10" s="239">
        <v>42592</v>
      </c>
      <c r="BM10" s="238">
        <v>59.4</v>
      </c>
      <c r="BN10" s="239">
        <v>42592</v>
      </c>
      <c r="BQ10" s="238">
        <v>11.8</v>
      </c>
      <c r="BR10" s="239">
        <v>42592</v>
      </c>
      <c r="BS10" s="238">
        <v>45.824175824175825</v>
      </c>
      <c r="BT10" s="239">
        <v>42592</v>
      </c>
      <c r="BU10" s="238">
        <v>20</v>
      </c>
      <c r="BV10" s="239">
        <v>42592</v>
      </c>
      <c r="BW10" s="238">
        <v>16.923076923076923</v>
      </c>
      <c r="BX10" s="239">
        <v>42592</v>
      </c>
      <c r="BY10" s="238"/>
      <c r="BZ10" s="238"/>
      <c r="CA10" s="238">
        <v>36.799999999999997</v>
      </c>
      <c r="CB10" s="239">
        <v>42592</v>
      </c>
      <c r="CC10" s="238"/>
      <c r="CD10" s="238"/>
      <c r="CF10" s="238"/>
    </row>
    <row r="11" spans="1:91" s="178" customFormat="1" ht="12">
      <c r="A11" s="232">
        <v>10</v>
      </c>
      <c r="B11" s="232" t="str">
        <f>VLOOKUP(A11,PlantMaterial!B:C,2,0)</f>
        <v>C04-DKQ1</v>
      </c>
      <c r="C11" s="238" t="s">
        <v>7690</v>
      </c>
      <c r="D11" s="232">
        <v>1</v>
      </c>
      <c r="E11" s="238" t="s">
        <v>7698</v>
      </c>
      <c r="F11" s="232">
        <v>3</v>
      </c>
      <c r="G11" s="232">
        <v>2</v>
      </c>
      <c r="H11" s="178">
        <v>21</v>
      </c>
      <c r="I11" s="238"/>
      <c r="M11" s="238">
        <v>2.5499999999999998</v>
      </c>
      <c r="N11" s="239">
        <v>42586</v>
      </c>
      <c r="S11" s="178">
        <v>7.9</v>
      </c>
      <c r="T11" s="239">
        <v>42592</v>
      </c>
      <c r="U11" s="178">
        <v>13.5</v>
      </c>
      <c r="V11" s="239">
        <v>42586</v>
      </c>
      <c r="Y11" s="238">
        <v>3.3821999999999997</v>
      </c>
      <c r="Z11" s="239">
        <v>42592</v>
      </c>
      <c r="AA11" s="178">
        <v>45</v>
      </c>
      <c r="AB11" s="239">
        <v>42249</v>
      </c>
      <c r="AE11" s="238">
        <v>18.79</v>
      </c>
      <c r="AF11" s="239">
        <v>42586</v>
      </c>
      <c r="AI11" s="232">
        <v>130</v>
      </c>
      <c r="AJ11" s="239">
        <v>42507</v>
      </c>
      <c r="AK11" s="238">
        <v>9.5</v>
      </c>
      <c r="BG11" s="238">
        <v>-8.4</v>
      </c>
      <c r="BH11" s="239">
        <v>42592</v>
      </c>
      <c r="BM11" s="238">
        <v>61.1</v>
      </c>
      <c r="BN11" s="239">
        <v>42592</v>
      </c>
      <c r="BQ11" s="238">
        <v>10.7</v>
      </c>
      <c r="BR11" s="239">
        <v>42592</v>
      </c>
      <c r="BS11" s="238">
        <v>46.153846153846153</v>
      </c>
      <c r="BT11" s="239">
        <v>42592</v>
      </c>
      <c r="BU11" s="238">
        <v>19.780219780219781</v>
      </c>
      <c r="BV11" s="239">
        <v>42592</v>
      </c>
      <c r="BW11" s="238">
        <v>15.604395604395602</v>
      </c>
      <c r="BX11" s="239">
        <v>42592</v>
      </c>
      <c r="BY11" s="238"/>
      <c r="BZ11" s="238"/>
      <c r="CA11" s="238">
        <v>36.700000000000003</v>
      </c>
      <c r="CB11" s="239">
        <v>42592</v>
      </c>
      <c r="CC11" s="238"/>
      <c r="CD11" s="238"/>
      <c r="CF11" s="238"/>
    </row>
    <row r="12" spans="1:91" s="178" customFormat="1" ht="12">
      <c r="A12" s="232">
        <v>11</v>
      </c>
      <c r="B12" s="232" t="str">
        <f>VLOOKUP(A12,PlantMaterial!B:C,2,0)</f>
        <v>AM087</v>
      </c>
      <c r="C12" s="238" t="s">
        <v>7690</v>
      </c>
      <c r="D12" s="232">
        <v>1</v>
      </c>
      <c r="E12" s="238" t="s">
        <v>7699</v>
      </c>
      <c r="F12" s="232">
        <v>2</v>
      </c>
      <c r="G12" s="232">
        <v>2</v>
      </c>
      <c r="H12" s="178">
        <v>21</v>
      </c>
      <c r="I12" s="238"/>
      <c r="M12" s="238">
        <v>4</v>
      </c>
      <c r="N12" s="239">
        <v>42586</v>
      </c>
      <c r="S12" s="178">
        <v>11.96</v>
      </c>
      <c r="T12" s="239">
        <v>42592</v>
      </c>
      <c r="U12" s="178">
        <v>13.5</v>
      </c>
      <c r="V12" s="239">
        <v>42586</v>
      </c>
      <c r="Y12" s="238">
        <v>5.3637300000000003</v>
      </c>
      <c r="Z12" s="239">
        <v>42592</v>
      </c>
      <c r="AA12" s="178">
        <v>45</v>
      </c>
      <c r="AB12" s="239">
        <v>42249</v>
      </c>
      <c r="AE12" s="238">
        <v>29.31</v>
      </c>
      <c r="AF12" s="239">
        <v>42586</v>
      </c>
      <c r="AI12" s="232">
        <v>130</v>
      </c>
      <c r="AJ12" s="239">
        <v>42507</v>
      </c>
      <c r="AK12" s="238">
        <v>10</v>
      </c>
      <c r="BG12" s="238">
        <v>-9.1999999999999993</v>
      </c>
      <c r="BH12" s="239">
        <v>42592</v>
      </c>
      <c r="BM12" s="238">
        <v>59.8</v>
      </c>
      <c r="BN12" s="239">
        <v>42592</v>
      </c>
      <c r="BQ12" s="238">
        <v>11.2</v>
      </c>
      <c r="BR12" s="239">
        <v>42592</v>
      </c>
      <c r="BS12" s="238">
        <v>44.835164835164832</v>
      </c>
      <c r="BT12" s="239">
        <v>42592</v>
      </c>
      <c r="BU12" s="238">
        <v>20.109890109890109</v>
      </c>
      <c r="BV12" s="239">
        <v>42592</v>
      </c>
      <c r="BW12" s="238">
        <v>16.373626373626372</v>
      </c>
      <c r="BX12" s="239">
        <v>42592</v>
      </c>
      <c r="BY12" s="238"/>
      <c r="BZ12" s="238"/>
      <c r="CA12" s="238">
        <v>36.4</v>
      </c>
      <c r="CB12" s="239">
        <v>42592</v>
      </c>
      <c r="CC12" s="238"/>
      <c r="CD12" s="238"/>
      <c r="CF12" s="238"/>
    </row>
    <row r="13" spans="1:91" s="178" customFormat="1" ht="12">
      <c r="A13" s="232">
        <v>12</v>
      </c>
      <c r="B13" s="232" t="str">
        <f>VLOOKUP(A13,PlantMaterial!B:C,2,0)</f>
        <v>AVISO</v>
      </c>
      <c r="C13" s="238" t="s">
        <v>7690</v>
      </c>
      <c r="D13" s="232">
        <v>1</v>
      </c>
      <c r="E13" s="238" t="s">
        <v>7700</v>
      </c>
      <c r="F13" s="232">
        <v>1</v>
      </c>
      <c r="G13" s="232">
        <v>2</v>
      </c>
      <c r="H13" s="178">
        <v>21</v>
      </c>
      <c r="I13" s="238"/>
      <c r="M13" s="238">
        <v>2.73</v>
      </c>
      <c r="N13" s="239">
        <v>42586</v>
      </c>
      <c r="S13" s="178">
        <v>7.86</v>
      </c>
      <c r="T13" s="239">
        <v>42592</v>
      </c>
      <c r="U13" s="178">
        <v>13.5</v>
      </c>
      <c r="V13" s="239">
        <v>42586</v>
      </c>
      <c r="Y13" s="238">
        <v>3.8638600000000003</v>
      </c>
      <c r="Z13" s="239">
        <v>42592</v>
      </c>
      <c r="AA13" s="178">
        <v>45</v>
      </c>
      <c r="AB13" s="239">
        <v>42249</v>
      </c>
      <c r="AE13" s="238">
        <v>20.02</v>
      </c>
      <c r="AF13" s="239">
        <v>42586</v>
      </c>
      <c r="AI13" s="232">
        <v>140</v>
      </c>
      <c r="AJ13" s="239">
        <v>42507</v>
      </c>
      <c r="AK13" s="238">
        <v>9.9</v>
      </c>
      <c r="BG13" s="238">
        <v>-8.4</v>
      </c>
      <c r="BH13" s="239">
        <v>42592</v>
      </c>
      <c r="BM13" s="238">
        <v>58.8</v>
      </c>
      <c r="BN13" s="239">
        <v>42592</v>
      </c>
      <c r="BQ13" s="238">
        <v>12.5</v>
      </c>
      <c r="BR13" s="239">
        <v>42592</v>
      </c>
      <c r="BS13" s="238">
        <v>43.07692307692308</v>
      </c>
      <c r="BT13" s="239">
        <v>42592</v>
      </c>
      <c r="BU13" s="238">
        <v>21.208791208791208</v>
      </c>
      <c r="BV13" s="239">
        <v>42592</v>
      </c>
      <c r="BW13" s="238">
        <v>17.362637362637361</v>
      </c>
      <c r="BX13" s="239">
        <v>42592</v>
      </c>
      <c r="BY13" s="238"/>
      <c r="BZ13" s="238"/>
      <c r="CA13" s="238">
        <v>37.200000000000003</v>
      </c>
      <c r="CB13" s="239">
        <v>42592</v>
      </c>
      <c r="CC13" s="238"/>
      <c r="CD13" s="238"/>
      <c r="CF13" s="238"/>
    </row>
    <row r="14" spans="1:91" s="178" customFormat="1" ht="12">
      <c r="A14" s="232">
        <v>13</v>
      </c>
      <c r="B14" s="232" t="str">
        <f>VLOOKUP(A14,PlantMaterial!B:C,2,0)</f>
        <v>AM109</v>
      </c>
      <c r="C14" s="238" t="s">
        <v>7690</v>
      </c>
      <c r="D14" s="232">
        <v>1</v>
      </c>
      <c r="E14" s="238" t="s">
        <v>7701</v>
      </c>
      <c r="F14" s="232">
        <v>1</v>
      </c>
      <c r="G14" s="232">
        <v>3</v>
      </c>
      <c r="H14" s="178">
        <v>31.5</v>
      </c>
      <c r="I14" s="238"/>
      <c r="M14" s="238">
        <v>3.7</v>
      </c>
      <c r="N14" s="239">
        <v>42586</v>
      </c>
      <c r="S14" s="178">
        <v>11.54</v>
      </c>
      <c r="T14" s="239">
        <v>42592</v>
      </c>
      <c r="U14" s="178">
        <v>13.5</v>
      </c>
      <c r="V14" s="239">
        <v>42586</v>
      </c>
      <c r="Y14" s="238">
        <v>4.6172000000000004</v>
      </c>
      <c r="Z14" s="239">
        <v>42592</v>
      </c>
      <c r="AA14" s="178">
        <v>45</v>
      </c>
      <c r="AB14" s="239">
        <v>42249</v>
      </c>
      <c r="AE14" s="238">
        <v>27.16</v>
      </c>
      <c r="AF14" s="239">
        <v>42586</v>
      </c>
      <c r="AI14" s="232">
        <v>140</v>
      </c>
      <c r="AJ14" s="239">
        <v>42507</v>
      </c>
      <c r="AK14" s="238">
        <v>9.8000000000000007</v>
      </c>
      <c r="BG14" s="238">
        <v>-8.3000000000000007</v>
      </c>
      <c r="BH14" s="239">
        <v>42592</v>
      </c>
      <c r="BM14" s="238">
        <v>59.2</v>
      </c>
      <c r="BN14" s="239">
        <v>42592</v>
      </c>
      <c r="BQ14" s="238">
        <v>11.6</v>
      </c>
      <c r="BR14" s="239">
        <v>42592</v>
      </c>
      <c r="BS14" s="238">
        <v>46.703296703296701</v>
      </c>
      <c r="BT14" s="239">
        <v>42592</v>
      </c>
      <c r="BU14" s="238">
        <v>18.681318681318682</v>
      </c>
      <c r="BV14" s="239">
        <v>42592</v>
      </c>
      <c r="BW14" s="238">
        <v>12.307692307692307</v>
      </c>
      <c r="BX14" s="239">
        <v>42592</v>
      </c>
      <c r="BY14" s="238"/>
      <c r="BZ14" s="238"/>
      <c r="CA14" s="238">
        <v>35.1</v>
      </c>
      <c r="CB14" s="239">
        <v>42592</v>
      </c>
      <c r="CC14" s="238"/>
      <c r="CD14" s="238"/>
      <c r="CF14" s="238"/>
    </row>
    <row r="15" spans="1:91" s="178" customFormat="1" ht="12">
      <c r="A15" s="232">
        <v>14</v>
      </c>
      <c r="B15" s="232" t="str">
        <f>VLOOKUP(A15,PlantMaterial!B:C,2,0)</f>
        <v>MONTEGO</v>
      </c>
      <c r="C15" s="238" t="s">
        <v>7690</v>
      </c>
      <c r="D15" s="232">
        <v>1</v>
      </c>
      <c r="E15" s="238" t="s">
        <v>7702</v>
      </c>
      <c r="F15" s="232">
        <v>2</v>
      </c>
      <c r="G15" s="232">
        <v>3</v>
      </c>
      <c r="H15" s="178">
        <v>31.5</v>
      </c>
      <c r="I15" s="238" t="s">
        <v>7703</v>
      </c>
      <c r="J15" s="239">
        <v>42430</v>
      </c>
      <c r="M15" s="238">
        <v>2.75</v>
      </c>
      <c r="N15" s="239">
        <v>42586</v>
      </c>
      <c r="S15" s="178">
        <v>8.24</v>
      </c>
      <c r="T15" s="239">
        <v>42592</v>
      </c>
      <c r="U15" s="178">
        <v>13.5</v>
      </c>
      <c r="V15" s="239">
        <v>42586</v>
      </c>
      <c r="Y15" s="238">
        <v>3.8947400000000001</v>
      </c>
      <c r="Z15" s="239">
        <v>42592</v>
      </c>
      <c r="AA15" s="178">
        <v>45</v>
      </c>
      <c r="AB15" s="239">
        <v>42249</v>
      </c>
      <c r="AE15" s="238">
        <v>20.18</v>
      </c>
      <c r="AF15" s="239">
        <v>42586</v>
      </c>
      <c r="AI15" s="232">
        <v>130</v>
      </c>
      <c r="AJ15" s="239">
        <v>42507</v>
      </c>
      <c r="AK15" s="238">
        <v>9.8000000000000007</v>
      </c>
      <c r="BG15" s="238">
        <v>-9.1999999999999993</v>
      </c>
      <c r="BH15" s="239">
        <v>42592</v>
      </c>
      <c r="BM15" s="238">
        <v>60.9</v>
      </c>
      <c r="BN15" s="239">
        <v>42592</v>
      </c>
      <c r="BQ15" s="238">
        <v>11.2</v>
      </c>
      <c r="BR15" s="239">
        <v>42592</v>
      </c>
      <c r="BS15" s="238">
        <v>44.835164835164832</v>
      </c>
      <c r="BT15" s="239">
        <v>42592</v>
      </c>
      <c r="BU15" s="238">
        <v>21.208791208791208</v>
      </c>
      <c r="BV15" s="239">
        <v>42592</v>
      </c>
      <c r="BW15" s="238">
        <v>17.692307692307693</v>
      </c>
      <c r="BX15" s="239">
        <v>42592</v>
      </c>
      <c r="BY15" s="238"/>
      <c r="BZ15" s="238"/>
      <c r="CA15" s="238">
        <v>38.5</v>
      </c>
      <c r="CB15" s="239">
        <v>42592</v>
      </c>
      <c r="CC15" s="238"/>
      <c r="CD15" s="238"/>
      <c r="CF15" s="238"/>
    </row>
    <row r="16" spans="1:91" s="178" customFormat="1" ht="12">
      <c r="A16" s="232">
        <v>15</v>
      </c>
      <c r="B16" s="232" t="str">
        <f>VLOOKUP(A16,PlantMaterial!B:C,2,0)</f>
        <v>DK038</v>
      </c>
      <c r="C16" s="238" t="s">
        <v>7690</v>
      </c>
      <c r="D16" s="232">
        <v>1</v>
      </c>
      <c r="E16" s="238" t="s">
        <v>7704</v>
      </c>
      <c r="F16" s="232">
        <v>3</v>
      </c>
      <c r="G16" s="232">
        <v>3</v>
      </c>
      <c r="H16" s="178">
        <v>31.5</v>
      </c>
      <c r="I16" s="238"/>
      <c r="M16" s="238">
        <v>2.84</v>
      </c>
      <c r="N16" s="239">
        <v>42586</v>
      </c>
      <c r="S16" s="178">
        <v>9.09</v>
      </c>
      <c r="T16" s="239">
        <v>42592</v>
      </c>
      <c r="U16" s="178">
        <v>13.5</v>
      </c>
      <c r="V16" s="239">
        <v>42586</v>
      </c>
      <c r="Y16" s="238">
        <v>3.4600499999999998</v>
      </c>
      <c r="Z16" s="239">
        <v>42592</v>
      </c>
      <c r="AA16" s="178">
        <v>45</v>
      </c>
      <c r="AB16" s="239">
        <v>42249</v>
      </c>
      <c r="AE16" s="238">
        <v>20.97</v>
      </c>
      <c r="AF16" s="239">
        <v>42586</v>
      </c>
      <c r="AI16" s="232">
        <v>140</v>
      </c>
      <c r="AJ16" s="239">
        <v>42507</v>
      </c>
      <c r="AK16" s="238">
        <v>9.3000000000000007</v>
      </c>
      <c r="BG16" s="238">
        <v>-8.1</v>
      </c>
      <c r="BH16" s="239">
        <v>42592</v>
      </c>
      <c r="BM16" s="238">
        <v>61.9</v>
      </c>
      <c r="BN16" s="239">
        <v>42592</v>
      </c>
      <c r="BQ16" s="238">
        <v>10.3</v>
      </c>
      <c r="BR16" s="239">
        <v>42592</v>
      </c>
      <c r="BS16" s="238">
        <v>47.692307692307686</v>
      </c>
      <c r="BT16" s="239">
        <v>42592</v>
      </c>
      <c r="BU16" s="238">
        <v>18.131868131868131</v>
      </c>
      <c r="BV16" s="239">
        <v>42592</v>
      </c>
      <c r="BW16" s="238">
        <v>12.307692307692307</v>
      </c>
      <c r="BX16" s="239">
        <v>42592</v>
      </c>
      <c r="BY16" s="238"/>
      <c r="BZ16" s="238"/>
      <c r="CA16" s="238">
        <v>34.6</v>
      </c>
      <c r="CB16" s="239">
        <v>42592</v>
      </c>
      <c r="CC16" s="238"/>
      <c r="CD16" s="238"/>
      <c r="CF16" s="238"/>
    </row>
    <row r="17" spans="1:84" s="178" customFormat="1" ht="12">
      <c r="A17" s="232">
        <v>16</v>
      </c>
      <c r="B17" s="232" t="str">
        <f>VLOOKUP(A17,PlantMaterial!B:C,2,0)</f>
        <v>TENOR</v>
      </c>
      <c r="C17" s="238" t="s">
        <v>7690</v>
      </c>
      <c r="D17" s="232">
        <v>1</v>
      </c>
      <c r="E17" s="238" t="s">
        <v>7705</v>
      </c>
      <c r="F17" s="232">
        <v>4</v>
      </c>
      <c r="G17" s="232">
        <v>3</v>
      </c>
      <c r="H17" s="178">
        <v>31.5</v>
      </c>
      <c r="I17" s="238" t="s">
        <v>7706</v>
      </c>
      <c r="J17" s="239">
        <v>42430</v>
      </c>
      <c r="M17" s="238">
        <v>2.4900000000000002</v>
      </c>
      <c r="N17" s="239">
        <v>42586</v>
      </c>
      <c r="S17" s="178">
        <v>7.9</v>
      </c>
      <c r="T17" s="239">
        <v>42592</v>
      </c>
      <c r="U17" s="178">
        <v>13.5</v>
      </c>
      <c r="V17" s="239">
        <v>42586</v>
      </c>
      <c r="Y17" s="238">
        <v>3.2164999999999999</v>
      </c>
      <c r="Z17" s="239">
        <v>42592</v>
      </c>
      <c r="AA17" s="178">
        <v>45</v>
      </c>
      <c r="AB17" s="239">
        <v>42249</v>
      </c>
      <c r="AE17" s="238">
        <v>18.38</v>
      </c>
      <c r="AF17" s="239">
        <v>42586</v>
      </c>
      <c r="AI17" s="232">
        <v>145</v>
      </c>
      <c r="AJ17" s="239">
        <v>42507</v>
      </c>
      <c r="AK17" s="238">
        <v>9.3000000000000007</v>
      </c>
      <c r="BG17" s="238">
        <v>-7.4</v>
      </c>
      <c r="BH17" s="239">
        <v>42592</v>
      </c>
      <c r="BM17" s="238">
        <v>58.9</v>
      </c>
      <c r="BN17" s="239">
        <v>42592</v>
      </c>
      <c r="BQ17" s="238">
        <v>11.7</v>
      </c>
      <c r="BR17" s="239">
        <v>42592</v>
      </c>
      <c r="BS17" s="238">
        <v>47.252747252747248</v>
      </c>
      <c r="BT17" s="239">
        <v>42592</v>
      </c>
      <c r="BU17" s="238">
        <v>19.23076923076923</v>
      </c>
      <c r="BV17" s="239">
        <v>42592</v>
      </c>
      <c r="BW17" s="238">
        <v>17.472527472527471</v>
      </c>
      <c r="BX17" s="239">
        <v>42592</v>
      </c>
      <c r="BY17" s="238"/>
      <c r="BZ17" s="238"/>
      <c r="CA17" s="238">
        <v>36.5</v>
      </c>
      <c r="CB17" s="239">
        <v>42592</v>
      </c>
      <c r="CC17" s="238"/>
      <c r="CD17" s="238"/>
      <c r="CF17" s="238"/>
    </row>
    <row r="18" spans="1:84" s="178" customFormat="1" ht="12">
      <c r="A18" s="232">
        <v>17</v>
      </c>
      <c r="B18" s="232" t="str">
        <f>VLOOKUP(A18,PlantMaterial!B:C,2,0)</f>
        <v>EXL4816</v>
      </c>
      <c r="C18" s="238" t="s">
        <v>7690</v>
      </c>
      <c r="D18" s="232">
        <v>1</v>
      </c>
      <c r="E18" s="238" t="s">
        <v>7707</v>
      </c>
      <c r="F18" s="232">
        <v>5</v>
      </c>
      <c r="G18" s="232">
        <v>3</v>
      </c>
      <c r="H18" s="178">
        <v>31.5</v>
      </c>
      <c r="I18" s="238"/>
      <c r="M18" s="238">
        <v>3.81</v>
      </c>
      <c r="N18" s="239">
        <v>42586</v>
      </c>
      <c r="S18" s="178">
        <v>11.44</v>
      </c>
      <c r="T18" s="239">
        <v>42592</v>
      </c>
      <c r="U18" s="178">
        <v>13.5</v>
      </c>
      <c r="V18" s="239">
        <v>42586</v>
      </c>
      <c r="Y18" s="238">
        <v>5.0507999999999997</v>
      </c>
      <c r="Z18" s="239">
        <v>42592</v>
      </c>
      <c r="AA18" s="178">
        <v>45</v>
      </c>
      <c r="AB18" s="239">
        <v>42249</v>
      </c>
      <c r="AE18" s="238">
        <v>28.06</v>
      </c>
      <c r="AF18" s="239">
        <v>42586</v>
      </c>
      <c r="AI18" s="232">
        <v>145</v>
      </c>
      <c r="AJ18" s="239">
        <v>42507</v>
      </c>
      <c r="AK18" s="238">
        <v>9.5</v>
      </c>
      <c r="BG18" s="238">
        <v>-8.8000000000000007</v>
      </c>
      <c r="BH18" s="239">
        <v>42592</v>
      </c>
      <c r="BM18" s="238">
        <v>59.3</v>
      </c>
      <c r="BN18" s="239">
        <v>42592</v>
      </c>
      <c r="BQ18" s="238">
        <v>11.8</v>
      </c>
      <c r="BR18" s="239">
        <v>42592</v>
      </c>
      <c r="BS18" s="238">
        <v>44.835164835164832</v>
      </c>
      <c r="BT18" s="239">
        <v>42592</v>
      </c>
      <c r="BU18" s="238">
        <v>19.780219780219781</v>
      </c>
      <c r="BV18" s="239">
        <v>42592</v>
      </c>
      <c r="BW18" s="238">
        <v>17.142857142857142</v>
      </c>
      <c r="BX18" s="239">
        <v>42592</v>
      </c>
      <c r="BY18" s="238"/>
      <c r="BZ18" s="238"/>
      <c r="CA18" s="238">
        <v>35.9</v>
      </c>
      <c r="CB18" s="239">
        <v>42592</v>
      </c>
      <c r="CC18" s="238"/>
      <c r="CD18" s="238"/>
      <c r="CF18" s="238"/>
    </row>
    <row r="19" spans="1:84" s="178" customFormat="1" ht="12">
      <c r="A19" s="232">
        <v>18</v>
      </c>
      <c r="B19" s="232" t="str">
        <f>VLOOKUP(A19,PlantMaterial!B:C,2,0)</f>
        <v>EXPRESS</v>
      </c>
      <c r="C19" s="238" t="s">
        <v>7690</v>
      </c>
      <c r="D19" s="232">
        <v>1</v>
      </c>
      <c r="E19" s="238" t="s">
        <v>7708</v>
      </c>
      <c r="F19" s="232">
        <v>6</v>
      </c>
      <c r="G19" s="232">
        <v>3</v>
      </c>
      <c r="H19" s="178">
        <v>31.5</v>
      </c>
      <c r="I19" s="238"/>
      <c r="M19" s="238">
        <v>2.5299999999999998</v>
      </c>
      <c r="N19" s="239">
        <v>42586</v>
      </c>
      <c r="S19" s="178">
        <v>7.37</v>
      </c>
      <c r="T19" s="239">
        <v>42592</v>
      </c>
      <c r="U19" s="178">
        <v>13.5</v>
      </c>
      <c r="V19" s="239">
        <v>42586</v>
      </c>
      <c r="Y19" s="238">
        <v>3.6152999999999995</v>
      </c>
      <c r="Z19" s="239">
        <v>42592</v>
      </c>
      <c r="AA19" s="178">
        <v>45</v>
      </c>
      <c r="AB19" s="239">
        <v>42249</v>
      </c>
      <c r="AE19" s="238">
        <v>18.54</v>
      </c>
      <c r="AF19" s="239">
        <v>42586</v>
      </c>
      <c r="AI19" s="232">
        <v>140</v>
      </c>
      <c r="AJ19" s="239">
        <v>42507</v>
      </c>
      <c r="AK19" s="238">
        <v>10</v>
      </c>
      <c r="BG19" s="238">
        <v>-8.4</v>
      </c>
      <c r="BH19" s="239">
        <v>42592</v>
      </c>
      <c r="BM19" s="238">
        <v>61.2</v>
      </c>
      <c r="BN19" s="239">
        <v>42592</v>
      </c>
      <c r="BQ19" s="238">
        <v>11</v>
      </c>
      <c r="BR19" s="239">
        <v>42592</v>
      </c>
      <c r="BS19" s="238">
        <v>43.73626373626373</v>
      </c>
      <c r="BT19" s="239">
        <v>42592</v>
      </c>
      <c r="BU19" s="238">
        <v>21.428571428571427</v>
      </c>
      <c r="BV19" s="239">
        <v>42592</v>
      </c>
      <c r="BW19" s="238">
        <v>20.439560439560442</v>
      </c>
      <c r="BX19" s="239">
        <v>42592</v>
      </c>
      <c r="BY19" s="238"/>
      <c r="BZ19" s="238"/>
      <c r="CA19" s="238">
        <v>38</v>
      </c>
      <c r="CB19" s="239">
        <v>42592</v>
      </c>
      <c r="CC19" s="238"/>
      <c r="CD19" s="238"/>
      <c r="CF19" s="238"/>
    </row>
    <row r="20" spans="1:84" s="178" customFormat="1" ht="12">
      <c r="A20" s="232">
        <v>19</v>
      </c>
      <c r="B20" s="232" t="str">
        <f>VLOOKUP(A20,PlantMaterial!B:C,2,0)</f>
        <v>EXL3155</v>
      </c>
      <c r="C20" s="238" t="s">
        <v>7690</v>
      </c>
      <c r="D20" s="232">
        <v>1</v>
      </c>
      <c r="E20" s="238" t="s">
        <v>7709</v>
      </c>
      <c r="F20" s="232">
        <v>6</v>
      </c>
      <c r="G20" s="232">
        <v>4</v>
      </c>
      <c r="H20" s="178">
        <v>42</v>
      </c>
      <c r="I20" s="238"/>
      <c r="M20" s="238">
        <v>2.76</v>
      </c>
      <c r="N20" s="239">
        <v>42586</v>
      </c>
      <c r="S20" s="178">
        <v>8.2899999999999991</v>
      </c>
      <c r="T20" s="239">
        <v>42592</v>
      </c>
      <c r="U20" s="178">
        <v>13.5</v>
      </c>
      <c r="V20" s="239">
        <v>42586</v>
      </c>
      <c r="Y20" s="238">
        <v>3.7886200000000003</v>
      </c>
      <c r="Z20" s="239">
        <v>42592</v>
      </c>
      <c r="AA20" s="178">
        <v>45</v>
      </c>
      <c r="AB20" s="239">
        <v>42249</v>
      </c>
      <c r="AE20" s="238">
        <v>20.260000000000002</v>
      </c>
      <c r="AF20" s="239">
        <v>42586</v>
      </c>
      <c r="AI20" s="232">
        <v>135</v>
      </c>
      <c r="AJ20" s="239">
        <v>42507</v>
      </c>
      <c r="AK20" s="238">
        <v>9.8000000000000007</v>
      </c>
      <c r="BG20" s="238">
        <v>-8.1999999999999993</v>
      </c>
      <c r="BH20" s="239">
        <v>42592</v>
      </c>
      <c r="BM20" s="238">
        <v>59.3</v>
      </c>
      <c r="BN20" s="239">
        <v>42592</v>
      </c>
      <c r="BQ20" s="238">
        <v>11.3</v>
      </c>
      <c r="BR20" s="239">
        <v>42592</v>
      </c>
      <c r="BS20" s="238">
        <v>44.945054945054942</v>
      </c>
      <c r="BT20" s="239">
        <v>42592</v>
      </c>
      <c r="BU20" s="238">
        <v>20.549450549450547</v>
      </c>
      <c r="BV20" s="239">
        <v>42592</v>
      </c>
      <c r="BW20" s="238">
        <v>18.901098901098898</v>
      </c>
      <c r="BX20" s="239">
        <v>42592</v>
      </c>
      <c r="BY20" s="238"/>
      <c r="BZ20" s="238"/>
      <c r="CA20" s="238">
        <v>37.4</v>
      </c>
      <c r="CB20" s="239">
        <v>42592</v>
      </c>
      <c r="CC20" s="238"/>
      <c r="CD20" s="238"/>
      <c r="CF20" s="238"/>
    </row>
    <row r="21" spans="1:84" s="178" customFormat="1" ht="12">
      <c r="A21" s="232">
        <v>20</v>
      </c>
      <c r="B21" s="232" t="str">
        <f>VLOOKUP(A21,PlantMaterial!B:C,2,0)</f>
        <v>C03-1ESQ0</v>
      </c>
      <c r="C21" s="238" t="s">
        <v>7690</v>
      </c>
      <c r="D21" s="232">
        <v>1</v>
      </c>
      <c r="E21" s="238" t="s">
        <v>7710</v>
      </c>
      <c r="F21" s="232">
        <v>5</v>
      </c>
      <c r="G21" s="232">
        <v>4</v>
      </c>
      <c r="H21" s="178">
        <v>42</v>
      </c>
      <c r="I21" s="238"/>
      <c r="M21" s="238">
        <v>3.91</v>
      </c>
      <c r="N21" s="239">
        <v>42586</v>
      </c>
      <c r="S21" s="178">
        <v>12.14</v>
      </c>
      <c r="T21" s="239">
        <v>42592</v>
      </c>
      <c r="U21" s="178">
        <v>13.5</v>
      </c>
      <c r="V21" s="239">
        <v>42586</v>
      </c>
      <c r="Y21" s="238">
        <v>4.91967</v>
      </c>
      <c r="Z21" s="239">
        <v>42592</v>
      </c>
      <c r="AA21" s="178">
        <v>45</v>
      </c>
      <c r="AB21" s="239">
        <v>42249</v>
      </c>
      <c r="AE21" s="238">
        <v>28.77</v>
      </c>
      <c r="AF21" s="239">
        <v>42586</v>
      </c>
      <c r="AI21" s="232">
        <v>140</v>
      </c>
      <c r="AJ21" s="239">
        <v>42507</v>
      </c>
      <c r="AK21" s="238">
        <v>9.6</v>
      </c>
      <c r="BG21" s="238">
        <v>-8.9</v>
      </c>
      <c r="BH21" s="239">
        <v>42592</v>
      </c>
      <c r="BM21" s="238">
        <v>61.1</v>
      </c>
      <c r="BN21" s="239">
        <v>42592</v>
      </c>
      <c r="BQ21" s="238">
        <v>11.2</v>
      </c>
      <c r="BR21" s="239">
        <v>42592</v>
      </c>
      <c r="BS21" s="238">
        <v>46.373626373626372</v>
      </c>
      <c r="BT21" s="239">
        <v>42592</v>
      </c>
      <c r="BU21" s="238">
        <v>18.791208791208792</v>
      </c>
      <c r="BV21" s="239">
        <v>42592</v>
      </c>
      <c r="BW21" s="238">
        <v>14.285714285714285</v>
      </c>
      <c r="BX21" s="239">
        <v>42592</v>
      </c>
      <c r="BY21" s="238"/>
      <c r="BZ21" s="238"/>
      <c r="CA21" s="238">
        <v>35.1</v>
      </c>
      <c r="CB21" s="239">
        <v>42592</v>
      </c>
      <c r="CC21" s="238"/>
      <c r="CD21" s="238"/>
      <c r="CF21" s="238"/>
    </row>
    <row r="22" spans="1:84" s="178" customFormat="1" ht="12">
      <c r="A22" s="232">
        <v>21</v>
      </c>
      <c r="B22" s="232" t="str">
        <f>VLOOKUP(A22,PlantMaterial!B:C,2,0)</f>
        <v>C03-1ESQ1</v>
      </c>
      <c r="C22" s="238" t="s">
        <v>7690</v>
      </c>
      <c r="D22" s="232">
        <v>1</v>
      </c>
      <c r="E22" s="238" t="s">
        <v>7711</v>
      </c>
      <c r="F22" s="232">
        <v>4</v>
      </c>
      <c r="G22" s="232">
        <v>4</v>
      </c>
      <c r="H22" s="178">
        <v>42</v>
      </c>
      <c r="I22" s="238"/>
      <c r="M22" s="238">
        <v>3.73</v>
      </c>
      <c r="N22" s="239">
        <v>42586</v>
      </c>
      <c r="S22" s="178">
        <v>11.54</v>
      </c>
      <c r="T22" s="239">
        <v>42592</v>
      </c>
      <c r="U22" s="178">
        <v>13.5</v>
      </c>
      <c r="V22" s="239">
        <v>42586</v>
      </c>
      <c r="Y22" s="238">
        <v>4.8515699999999997</v>
      </c>
      <c r="Z22" s="239">
        <v>42592</v>
      </c>
      <c r="AA22" s="178">
        <v>45</v>
      </c>
      <c r="AB22" s="239">
        <v>42249</v>
      </c>
      <c r="AE22" s="238">
        <v>27.41</v>
      </c>
      <c r="AF22" s="239">
        <v>42586</v>
      </c>
      <c r="AI22" s="232">
        <v>140</v>
      </c>
      <c r="AJ22" s="239">
        <v>42507</v>
      </c>
      <c r="AK22" s="238">
        <v>9.6999999999999993</v>
      </c>
      <c r="BG22" s="238">
        <v>-7.7</v>
      </c>
      <c r="BH22" s="239">
        <v>42592</v>
      </c>
      <c r="BM22" s="238">
        <v>59.6</v>
      </c>
      <c r="BN22" s="239">
        <v>42592</v>
      </c>
      <c r="BQ22" s="238">
        <v>11.7</v>
      </c>
      <c r="BR22" s="239">
        <v>42592</v>
      </c>
      <c r="BS22" s="238">
        <v>46.263736263736263</v>
      </c>
      <c r="BT22" s="239">
        <v>42592</v>
      </c>
      <c r="BU22" s="238">
        <v>19.450549450549449</v>
      </c>
      <c r="BV22" s="239">
        <v>42592</v>
      </c>
      <c r="BW22" s="238">
        <v>14.285714285714285</v>
      </c>
      <c r="BX22" s="239">
        <v>42592</v>
      </c>
      <c r="BY22" s="238"/>
      <c r="BZ22" s="238"/>
      <c r="CA22" s="238">
        <v>36.200000000000003</v>
      </c>
      <c r="CB22" s="239">
        <v>42592</v>
      </c>
      <c r="CC22" s="238"/>
      <c r="CD22" s="238"/>
      <c r="CF22" s="238"/>
    </row>
    <row r="23" spans="1:84" s="178" customFormat="1" ht="12">
      <c r="A23" s="232">
        <v>22</v>
      </c>
      <c r="B23" s="232" t="str">
        <f>VLOOKUP(A23,PlantMaterial!B:C,2,0)</f>
        <v>C04-1ESQ0</v>
      </c>
      <c r="C23" s="238" t="s">
        <v>7690</v>
      </c>
      <c r="D23" s="232">
        <v>1</v>
      </c>
      <c r="E23" s="238" t="s">
        <v>7712</v>
      </c>
      <c r="F23" s="232">
        <v>3</v>
      </c>
      <c r="G23" s="232">
        <v>4</v>
      </c>
      <c r="H23" s="178">
        <v>42</v>
      </c>
      <c r="I23" s="238"/>
      <c r="M23" s="238">
        <v>3.33</v>
      </c>
      <c r="N23" s="239">
        <v>42586</v>
      </c>
      <c r="S23" s="178">
        <v>10.45</v>
      </c>
      <c r="T23" s="239">
        <v>42592</v>
      </c>
      <c r="U23" s="178">
        <v>13.5</v>
      </c>
      <c r="V23" s="239">
        <v>42586</v>
      </c>
      <c r="Y23" s="238">
        <v>4.1455699999999993</v>
      </c>
      <c r="Z23" s="239">
        <v>42592</v>
      </c>
      <c r="AA23" s="178">
        <v>45</v>
      </c>
      <c r="AB23" s="239">
        <v>42249</v>
      </c>
      <c r="AE23" s="238">
        <v>24.53</v>
      </c>
      <c r="AF23" s="239">
        <v>42586</v>
      </c>
      <c r="AI23" s="232">
        <v>140</v>
      </c>
      <c r="AJ23" s="239">
        <v>42507</v>
      </c>
      <c r="AK23" s="238">
        <v>9.5</v>
      </c>
      <c r="BG23" s="238">
        <v>-8.8000000000000007</v>
      </c>
      <c r="BH23" s="239">
        <v>42592</v>
      </c>
      <c r="BM23" s="238">
        <v>60.2</v>
      </c>
      <c r="BN23" s="239">
        <v>42592</v>
      </c>
      <c r="BQ23" s="238">
        <v>10.6</v>
      </c>
      <c r="BR23" s="239">
        <v>42592</v>
      </c>
      <c r="BS23" s="238">
        <v>46.81318681318681</v>
      </c>
      <c r="BT23" s="239">
        <v>42592</v>
      </c>
      <c r="BU23" s="238">
        <v>18.571428571428569</v>
      </c>
      <c r="BV23" s="239">
        <v>42592</v>
      </c>
      <c r="BW23" s="238">
        <v>13.626373626373626</v>
      </c>
      <c r="BX23" s="239">
        <v>42592</v>
      </c>
      <c r="BY23" s="238"/>
      <c r="BZ23" s="238"/>
      <c r="CA23" s="238">
        <v>34.9</v>
      </c>
      <c r="CB23" s="239">
        <v>42592</v>
      </c>
      <c r="CC23" s="238"/>
      <c r="CD23" s="238"/>
      <c r="CF23" s="238"/>
    </row>
    <row r="24" spans="1:84" s="178" customFormat="1" ht="12">
      <c r="A24" s="232">
        <v>23</v>
      </c>
      <c r="B24" s="232" t="str">
        <f>VLOOKUP(A24,PlantMaterial!B:C,2,0)</f>
        <v>AVISO</v>
      </c>
      <c r="C24" s="238" t="s">
        <v>7690</v>
      </c>
      <c r="D24" s="232">
        <v>1</v>
      </c>
      <c r="E24" s="238" t="s">
        <v>7713</v>
      </c>
      <c r="F24" s="232">
        <v>2</v>
      </c>
      <c r="G24" s="232">
        <v>4</v>
      </c>
      <c r="H24" s="178">
        <v>42</v>
      </c>
      <c r="I24" s="238"/>
      <c r="M24" s="238">
        <v>3</v>
      </c>
      <c r="N24" s="239">
        <v>42586</v>
      </c>
      <c r="S24" s="178">
        <v>8.8800000000000008</v>
      </c>
      <c r="T24" s="239">
        <v>42592</v>
      </c>
      <c r="U24" s="178">
        <v>13.5</v>
      </c>
      <c r="V24" s="239">
        <v>42586</v>
      </c>
      <c r="Y24" s="238">
        <v>4.0736999999999997</v>
      </c>
      <c r="Z24" s="239">
        <v>42592</v>
      </c>
      <c r="AA24" s="178">
        <v>45</v>
      </c>
      <c r="AB24" s="239">
        <v>42249</v>
      </c>
      <c r="AE24" s="238">
        <v>22.02</v>
      </c>
      <c r="AF24" s="239">
        <v>42586</v>
      </c>
      <c r="AI24" s="232">
        <v>140</v>
      </c>
      <c r="AJ24" s="239">
        <v>42507</v>
      </c>
      <c r="AK24" s="238">
        <v>9.8000000000000007</v>
      </c>
      <c r="BG24" s="238">
        <v>-8.9</v>
      </c>
      <c r="BH24" s="239">
        <v>42592</v>
      </c>
      <c r="BM24" s="238">
        <v>59.5</v>
      </c>
      <c r="BN24" s="239">
        <v>42592</v>
      </c>
      <c r="BQ24" s="238">
        <v>11.6</v>
      </c>
      <c r="BR24" s="239">
        <v>42592</v>
      </c>
      <c r="BS24" s="238">
        <v>44.285714285714278</v>
      </c>
      <c r="BT24" s="239">
        <v>42592</v>
      </c>
      <c r="BU24" s="238">
        <v>20.329670329670328</v>
      </c>
      <c r="BV24" s="239">
        <v>42592</v>
      </c>
      <c r="BW24" s="238">
        <v>15.604395604395602</v>
      </c>
      <c r="BX24" s="239">
        <v>42592</v>
      </c>
      <c r="BY24" s="238"/>
      <c r="BZ24" s="238"/>
      <c r="CA24" s="238">
        <v>36.6</v>
      </c>
      <c r="CB24" s="239">
        <v>42592</v>
      </c>
      <c r="CC24" s="238"/>
      <c r="CD24" s="238"/>
      <c r="CF24" s="238"/>
    </row>
    <row r="25" spans="1:84" s="178" customFormat="1" ht="12">
      <c r="A25" s="232">
        <v>24</v>
      </c>
      <c r="B25" s="232" t="str">
        <f>VLOOKUP(A25,PlantMaterial!B:C,2,0)</f>
        <v>C04-1ESQ1</v>
      </c>
      <c r="C25" s="238" t="s">
        <v>7690</v>
      </c>
      <c r="D25" s="232">
        <v>1</v>
      </c>
      <c r="E25" s="238" t="s">
        <v>7714</v>
      </c>
      <c r="F25" s="232">
        <v>1</v>
      </c>
      <c r="G25" s="232">
        <v>4</v>
      </c>
      <c r="H25" s="178">
        <v>42</v>
      </c>
      <c r="I25" s="238"/>
      <c r="M25" s="238">
        <v>2.4700000000000002</v>
      </c>
      <c r="N25" s="239">
        <v>42586</v>
      </c>
      <c r="S25" s="178">
        <v>7.58</v>
      </c>
      <c r="T25" s="239">
        <v>42592</v>
      </c>
      <c r="U25" s="178">
        <v>13.5</v>
      </c>
      <c r="V25" s="239">
        <v>42586</v>
      </c>
      <c r="Y25" s="238">
        <v>3.1779999999999999</v>
      </c>
      <c r="Z25" s="239">
        <v>42592</v>
      </c>
      <c r="AA25" s="178">
        <v>45</v>
      </c>
      <c r="AB25" s="239">
        <v>42249</v>
      </c>
      <c r="AE25" s="238">
        <v>18.16</v>
      </c>
      <c r="AF25" s="239">
        <v>42586</v>
      </c>
      <c r="AI25" s="232">
        <v>140</v>
      </c>
      <c r="AJ25" s="239">
        <v>42507</v>
      </c>
      <c r="AK25" s="238">
        <v>9.6999999999999993</v>
      </c>
      <c r="BG25" s="238">
        <v>-9.3000000000000007</v>
      </c>
      <c r="BH25" s="239">
        <v>42592</v>
      </c>
      <c r="BM25" s="238">
        <v>59.3</v>
      </c>
      <c r="BN25" s="239">
        <v>42592</v>
      </c>
      <c r="BQ25" s="238">
        <v>11</v>
      </c>
      <c r="BR25" s="239">
        <v>42592</v>
      </c>
      <c r="BS25" s="238">
        <v>45.824175824175825</v>
      </c>
      <c r="BT25" s="239">
        <v>42592</v>
      </c>
      <c r="BU25" s="238">
        <v>19.23076923076923</v>
      </c>
      <c r="BV25" s="239">
        <v>42592</v>
      </c>
      <c r="BW25" s="238">
        <v>13.296703296703296</v>
      </c>
      <c r="BX25" s="239">
        <v>42592</v>
      </c>
      <c r="BY25" s="238"/>
      <c r="BZ25" s="238"/>
      <c r="CA25" s="238">
        <v>35.6</v>
      </c>
      <c r="CB25" s="239">
        <v>42592</v>
      </c>
      <c r="CC25" s="238"/>
      <c r="CD25" s="238"/>
      <c r="CF25" s="238"/>
    </row>
    <row r="26" spans="1:84" s="178" customFormat="1" ht="12">
      <c r="A26" s="232">
        <v>25</v>
      </c>
      <c r="B26" s="232" t="str">
        <f>VLOOKUP(A26,PlantMaterial!B:C,2,0)</f>
        <v>MONTEGO</v>
      </c>
      <c r="C26" s="238" t="s">
        <v>7690</v>
      </c>
      <c r="D26" s="232">
        <v>1</v>
      </c>
      <c r="E26" s="238" t="s">
        <v>7715</v>
      </c>
      <c r="F26" s="232">
        <v>1</v>
      </c>
      <c r="G26" s="232">
        <v>5</v>
      </c>
      <c r="H26" s="178">
        <v>52.5</v>
      </c>
      <c r="I26" s="238"/>
      <c r="M26" s="238">
        <v>2.54</v>
      </c>
      <c r="N26" s="239">
        <v>42586</v>
      </c>
      <c r="S26" s="178">
        <v>7.76</v>
      </c>
      <c r="T26" s="239">
        <v>42592</v>
      </c>
      <c r="U26" s="178">
        <v>13.5</v>
      </c>
      <c r="V26" s="239">
        <v>42586</v>
      </c>
      <c r="Y26" s="238">
        <v>3.5043200000000003</v>
      </c>
      <c r="Z26" s="239">
        <v>42592</v>
      </c>
      <c r="AA26" s="178">
        <v>45</v>
      </c>
      <c r="AB26" s="239">
        <v>42249</v>
      </c>
      <c r="AE26" s="238">
        <v>18.64</v>
      </c>
      <c r="AF26" s="239">
        <v>42586</v>
      </c>
      <c r="AI26" s="232">
        <v>120</v>
      </c>
      <c r="AJ26" s="239">
        <v>42507</v>
      </c>
      <c r="AK26" s="238">
        <v>9.8000000000000007</v>
      </c>
      <c r="BG26" s="238">
        <v>-10</v>
      </c>
      <c r="BH26" s="239">
        <v>42592</v>
      </c>
      <c r="BM26" s="238">
        <v>59.5</v>
      </c>
      <c r="BN26" s="239">
        <v>42592</v>
      </c>
      <c r="BQ26" s="238">
        <v>11.4</v>
      </c>
      <c r="BR26" s="239">
        <v>42592</v>
      </c>
      <c r="BS26" s="238">
        <v>45.714285714285715</v>
      </c>
      <c r="BT26" s="239">
        <v>42592</v>
      </c>
      <c r="BU26" s="238">
        <v>20.659340659340661</v>
      </c>
      <c r="BV26" s="239">
        <v>42592</v>
      </c>
      <c r="BW26" s="238">
        <v>15.274725274725274</v>
      </c>
      <c r="BX26" s="239">
        <v>42592</v>
      </c>
      <c r="BY26" s="238"/>
      <c r="BZ26" s="238"/>
      <c r="CA26" s="238">
        <v>38</v>
      </c>
      <c r="CB26" s="239">
        <v>42592</v>
      </c>
      <c r="CC26" s="238"/>
      <c r="CD26" s="238"/>
      <c r="CF26" s="238"/>
    </row>
    <row r="27" spans="1:84" s="178" customFormat="1" ht="12">
      <c r="A27" s="232">
        <v>26</v>
      </c>
      <c r="B27" s="232" t="str">
        <f>VLOOKUP(A27,PlantMaterial!B:C,2,0)</f>
        <v>RAPSO_304</v>
      </c>
      <c r="C27" s="238" t="s">
        <v>7690</v>
      </c>
      <c r="D27" s="232">
        <v>1</v>
      </c>
      <c r="E27" s="238" t="s">
        <v>7716</v>
      </c>
      <c r="F27" s="232">
        <v>2</v>
      </c>
      <c r="G27" s="232">
        <v>5</v>
      </c>
      <c r="H27" s="178">
        <v>52.5</v>
      </c>
      <c r="I27" s="238"/>
      <c r="M27" s="238">
        <v>3.21</v>
      </c>
      <c r="N27" s="239">
        <v>42586</v>
      </c>
      <c r="S27" s="178">
        <v>9.82</v>
      </c>
      <c r="T27" s="239">
        <v>42592</v>
      </c>
      <c r="U27" s="178">
        <v>13.5</v>
      </c>
      <c r="V27" s="239">
        <v>42586</v>
      </c>
      <c r="Y27" s="238">
        <v>4.2462</v>
      </c>
      <c r="Z27" s="239">
        <v>42592</v>
      </c>
      <c r="AA27" s="178">
        <v>45</v>
      </c>
      <c r="AB27" s="239">
        <v>42249</v>
      </c>
      <c r="AE27" s="238">
        <v>23.59</v>
      </c>
      <c r="AF27" s="239">
        <v>42586</v>
      </c>
      <c r="AI27" s="232">
        <v>135</v>
      </c>
      <c r="AJ27" s="239">
        <v>42507</v>
      </c>
      <c r="AK27" s="238">
        <v>9.6999999999999993</v>
      </c>
      <c r="BG27" s="238">
        <v>-11.1</v>
      </c>
      <c r="BH27" s="239">
        <v>42592</v>
      </c>
      <c r="BM27" s="238">
        <v>60.1</v>
      </c>
      <c r="BN27" s="239">
        <v>42592</v>
      </c>
      <c r="BQ27" s="238">
        <v>12</v>
      </c>
      <c r="BR27" s="239">
        <v>42592</v>
      </c>
      <c r="BS27" s="238">
        <v>45.714285714285715</v>
      </c>
      <c r="BT27" s="239">
        <v>42592</v>
      </c>
      <c r="BU27" s="238">
        <v>19.780219780219781</v>
      </c>
      <c r="BV27" s="239">
        <v>42592</v>
      </c>
      <c r="BW27" s="238">
        <v>14.835164835164834</v>
      </c>
      <c r="BX27" s="239">
        <v>42592</v>
      </c>
      <c r="BY27" s="238"/>
      <c r="BZ27" s="238"/>
      <c r="CA27" s="238">
        <v>36.5</v>
      </c>
      <c r="CB27" s="239">
        <v>42592</v>
      </c>
      <c r="CC27" s="238"/>
      <c r="CD27" s="238"/>
      <c r="CF27" s="238"/>
    </row>
    <row r="28" spans="1:84" s="178" customFormat="1" ht="12">
      <c r="A28" s="232">
        <v>27</v>
      </c>
      <c r="B28" s="232" t="str">
        <f>VLOOKUP(A28,PlantMaterial!B:C,2,0)</f>
        <v>TENOR</v>
      </c>
      <c r="C28" s="238" t="s">
        <v>7690</v>
      </c>
      <c r="D28" s="232">
        <v>1</v>
      </c>
      <c r="E28" s="238" t="s">
        <v>7717</v>
      </c>
      <c r="F28" s="232">
        <v>3</v>
      </c>
      <c r="G28" s="232">
        <v>5</v>
      </c>
      <c r="H28" s="178">
        <v>52.5</v>
      </c>
      <c r="I28" s="238"/>
      <c r="M28" s="238">
        <v>2.56</v>
      </c>
      <c r="N28" s="239">
        <v>42586</v>
      </c>
      <c r="S28" s="178">
        <v>7.93</v>
      </c>
      <c r="T28" s="239">
        <v>42592</v>
      </c>
      <c r="U28" s="178">
        <v>13.5</v>
      </c>
      <c r="V28" s="239">
        <v>42586</v>
      </c>
      <c r="Y28" s="238">
        <v>3.3039999999999998</v>
      </c>
      <c r="Z28" s="239">
        <v>42592</v>
      </c>
      <c r="AA28" s="178">
        <v>45</v>
      </c>
      <c r="AB28" s="239">
        <v>42249</v>
      </c>
      <c r="AE28" s="238">
        <v>18.88</v>
      </c>
      <c r="AF28" s="239">
        <v>42586</v>
      </c>
      <c r="AI28" s="232">
        <v>135</v>
      </c>
      <c r="AJ28" s="239">
        <v>42507</v>
      </c>
      <c r="AK28" s="238">
        <v>9.4</v>
      </c>
      <c r="BG28" s="238">
        <v>-7.7</v>
      </c>
      <c r="BH28" s="239">
        <v>42592</v>
      </c>
      <c r="BM28" s="238">
        <v>59.2</v>
      </c>
      <c r="BN28" s="239">
        <v>42592</v>
      </c>
      <c r="BQ28" s="238">
        <v>11.4</v>
      </c>
      <c r="BR28" s="239">
        <v>42592</v>
      </c>
      <c r="BS28" s="238">
        <v>46.153846153846153</v>
      </c>
      <c r="BT28" s="239">
        <v>42592</v>
      </c>
      <c r="BU28" s="238">
        <v>19.23076923076923</v>
      </c>
      <c r="BV28" s="239">
        <v>42592</v>
      </c>
      <c r="BW28" s="238">
        <v>17.362637362637361</v>
      </c>
      <c r="BX28" s="239">
        <v>42592</v>
      </c>
      <c r="BY28" s="238"/>
      <c r="BZ28" s="238"/>
      <c r="CA28" s="238">
        <v>35.6</v>
      </c>
      <c r="CB28" s="239">
        <v>42592</v>
      </c>
      <c r="CC28" s="238"/>
      <c r="CD28" s="238"/>
      <c r="CF28" s="238"/>
    </row>
    <row r="29" spans="1:84" s="178" customFormat="1" ht="12">
      <c r="A29" s="232">
        <v>28</v>
      </c>
      <c r="B29" s="232" t="str">
        <f>VLOOKUP(A29,PlantMaterial!B:C,2,0)</f>
        <v>LEL17</v>
      </c>
      <c r="C29" s="238" t="s">
        <v>7690</v>
      </c>
      <c r="D29" s="232">
        <v>1</v>
      </c>
      <c r="E29" s="238" t="s">
        <v>7718</v>
      </c>
      <c r="F29" s="232">
        <v>4</v>
      </c>
      <c r="G29" s="232">
        <v>5</v>
      </c>
      <c r="H29" s="178">
        <v>52.5</v>
      </c>
      <c r="I29" s="238"/>
      <c r="M29" s="238">
        <v>4.7</v>
      </c>
      <c r="N29" s="239">
        <v>42586</v>
      </c>
      <c r="S29" s="178">
        <v>14.45</v>
      </c>
      <c r="T29" s="239">
        <v>42592</v>
      </c>
      <c r="U29" s="178">
        <v>13.5</v>
      </c>
      <c r="V29" s="239">
        <v>42586</v>
      </c>
      <c r="Y29" s="238">
        <v>5.9166000000000007</v>
      </c>
      <c r="Z29" s="239">
        <v>42592</v>
      </c>
      <c r="AA29" s="178">
        <v>45</v>
      </c>
      <c r="AB29" s="239">
        <v>42249</v>
      </c>
      <c r="AE29" s="238">
        <v>34.6</v>
      </c>
      <c r="AF29" s="239">
        <v>42586</v>
      </c>
      <c r="AI29" s="232">
        <v>135</v>
      </c>
      <c r="AJ29" s="239">
        <v>42507</v>
      </c>
      <c r="AK29" s="238">
        <v>9.6</v>
      </c>
      <c r="BG29" s="238">
        <v>-9.1</v>
      </c>
      <c r="BH29" s="239">
        <v>42592</v>
      </c>
      <c r="BM29" s="238">
        <v>61.6</v>
      </c>
      <c r="BN29" s="239">
        <v>42592</v>
      </c>
      <c r="BQ29" s="238">
        <v>10.7</v>
      </c>
      <c r="BR29" s="239">
        <v>42592</v>
      </c>
      <c r="BS29" s="238">
        <v>45.934065934065927</v>
      </c>
      <c r="BT29" s="239">
        <v>42592</v>
      </c>
      <c r="BU29" s="238">
        <v>18.791208791208792</v>
      </c>
      <c r="BV29" s="239">
        <v>42592</v>
      </c>
      <c r="BW29" s="238">
        <v>14.285714285714285</v>
      </c>
      <c r="BX29" s="239">
        <v>42592</v>
      </c>
      <c r="BY29" s="238"/>
      <c r="BZ29" s="238"/>
      <c r="CA29" s="238">
        <v>34.700000000000003</v>
      </c>
      <c r="CB29" s="239">
        <v>42592</v>
      </c>
      <c r="CC29" s="238"/>
      <c r="CD29" s="238"/>
      <c r="CF29" s="238"/>
    </row>
    <row r="30" spans="1:84" s="178" customFormat="1" ht="12">
      <c r="A30" s="232">
        <v>29</v>
      </c>
      <c r="B30" s="232" t="str">
        <f>VLOOKUP(A30,PlantMaterial!B:C,2,0)</f>
        <v>EXPRESS</v>
      </c>
      <c r="C30" s="238" t="s">
        <v>7690</v>
      </c>
      <c r="D30" s="232">
        <v>1</v>
      </c>
      <c r="E30" s="238" t="s">
        <v>7719</v>
      </c>
      <c r="F30" s="232">
        <v>5</v>
      </c>
      <c r="G30" s="232">
        <v>5</v>
      </c>
      <c r="H30" s="178">
        <v>52.5</v>
      </c>
      <c r="I30" s="238" t="s">
        <v>7720</v>
      </c>
      <c r="J30" s="239">
        <v>42430</v>
      </c>
      <c r="M30" s="238">
        <v>2.12</v>
      </c>
      <c r="N30" s="239">
        <v>42586</v>
      </c>
      <c r="S30" s="178">
        <v>6.34</v>
      </c>
      <c r="T30" s="239">
        <v>42592</v>
      </c>
      <c r="U30" s="178">
        <v>13.5</v>
      </c>
      <c r="V30" s="239">
        <v>42586</v>
      </c>
      <c r="Y30" s="238">
        <v>2.9153299999999995</v>
      </c>
      <c r="Z30" s="239">
        <v>42592</v>
      </c>
      <c r="AA30" s="178">
        <v>45</v>
      </c>
      <c r="AB30" s="239">
        <v>42249</v>
      </c>
      <c r="AE30" s="238">
        <v>15.59</v>
      </c>
      <c r="AF30" s="239">
        <v>42586</v>
      </c>
      <c r="AI30" s="232">
        <v>125</v>
      </c>
      <c r="AJ30" s="239">
        <v>42507</v>
      </c>
      <c r="AK30" s="238">
        <v>9.6999999999999993</v>
      </c>
      <c r="BG30" s="238">
        <v>-9.1</v>
      </c>
      <c r="BH30" s="239">
        <v>42592</v>
      </c>
      <c r="BM30" s="238">
        <v>61.1</v>
      </c>
      <c r="BN30" s="239">
        <v>42592</v>
      </c>
      <c r="BQ30" s="238">
        <v>10.7</v>
      </c>
      <c r="BR30" s="239">
        <v>42592</v>
      </c>
      <c r="BS30" s="238">
        <v>44.72527472527473</v>
      </c>
      <c r="BT30" s="239">
        <v>42592</v>
      </c>
      <c r="BU30" s="238">
        <v>20.549450549450547</v>
      </c>
      <c r="BV30" s="239">
        <v>42592</v>
      </c>
      <c r="BW30" s="238">
        <v>17.802197802197799</v>
      </c>
      <c r="BX30" s="239">
        <v>42592</v>
      </c>
      <c r="BY30" s="238"/>
      <c r="BZ30" s="238"/>
      <c r="CA30" s="238">
        <v>37</v>
      </c>
      <c r="CB30" s="239">
        <v>42592</v>
      </c>
      <c r="CC30" s="238"/>
      <c r="CD30" s="238"/>
      <c r="CF30" s="238"/>
    </row>
    <row r="31" spans="1:84" s="178" customFormat="1" ht="12">
      <c r="A31" s="232">
        <v>30</v>
      </c>
      <c r="B31" s="232" t="str">
        <f>VLOOKUP(A31,PlantMaterial!B:C,2,0)</f>
        <v>C04-1LEQ0</v>
      </c>
      <c r="C31" s="238" t="s">
        <v>7690</v>
      </c>
      <c r="D31" s="232">
        <v>1</v>
      </c>
      <c r="E31" s="238" t="s">
        <v>7721</v>
      </c>
      <c r="F31" s="232">
        <v>6</v>
      </c>
      <c r="G31" s="232">
        <v>5</v>
      </c>
      <c r="H31" s="178">
        <v>52.5</v>
      </c>
      <c r="I31" s="238"/>
      <c r="M31" s="238">
        <v>3.07</v>
      </c>
      <c r="N31" s="239">
        <v>42586</v>
      </c>
      <c r="S31" s="178">
        <v>9.52</v>
      </c>
      <c r="T31" s="239">
        <v>42592</v>
      </c>
      <c r="U31" s="178">
        <v>13.5</v>
      </c>
      <c r="V31" s="239">
        <v>42586</v>
      </c>
      <c r="Y31" s="238">
        <v>4.0680000000000005</v>
      </c>
      <c r="Z31" s="239">
        <v>42592</v>
      </c>
      <c r="AA31" s="178">
        <v>45</v>
      </c>
      <c r="AB31" s="239">
        <v>42249</v>
      </c>
      <c r="AE31" s="238">
        <v>22.6</v>
      </c>
      <c r="AF31" s="239">
        <v>42586</v>
      </c>
      <c r="AI31" s="232">
        <v>135</v>
      </c>
      <c r="AJ31" s="239">
        <v>42507</v>
      </c>
      <c r="AK31" s="238">
        <v>9.6</v>
      </c>
      <c r="BG31" s="238">
        <v>-10.3</v>
      </c>
      <c r="BH31" s="239">
        <v>42592</v>
      </c>
      <c r="BM31" s="238">
        <v>60.5</v>
      </c>
      <c r="BN31" s="239">
        <v>42592</v>
      </c>
      <c r="BQ31" s="238">
        <v>11</v>
      </c>
      <c r="BR31" s="239">
        <v>42592</v>
      </c>
      <c r="BS31" s="238">
        <v>46.263736263736263</v>
      </c>
      <c r="BT31" s="239">
        <v>42592</v>
      </c>
      <c r="BU31" s="238">
        <v>19.780219780219781</v>
      </c>
      <c r="BV31" s="239">
        <v>42592</v>
      </c>
      <c r="BW31" s="238">
        <v>16.703296703296701</v>
      </c>
      <c r="BX31" s="239">
        <v>42592</v>
      </c>
      <c r="BY31" s="238"/>
      <c r="BZ31" s="238"/>
      <c r="CA31" s="238">
        <v>36.799999999999997</v>
      </c>
      <c r="CB31" s="239">
        <v>42592</v>
      </c>
      <c r="CC31" s="238"/>
      <c r="CD31" s="238"/>
      <c r="CF31" s="238"/>
    </row>
    <row r="32" spans="1:84" s="178" customFormat="1" ht="12">
      <c r="A32" s="232">
        <v>31</v>
      </c>
      <c r="B32" s="232" t="str">
        <f>VLOOKUP(A32,PlantMaterial!B:C,2,0)</f>
        <v>C04-1LEQ1</v>
      </c>
      <c r="C32" s="238" t="s">
        <v>7690</v>
      </c>
      <c r="D32" s="232">
        <v>1</v>
      </c>
      <c r="E32" s="238" t="s">
        <v>7722</v>
      </c>
      <c r="F32" s="232">
        <v>6</v>
      </c>
      <c r="G32" s="232">
        <v>6</v>
      </c>
      <c r="H32" s="178">
        <v>63</v>
      </c>
      <c r="I32" s="238"/>
      <c r="M32" s="238">
        <v>3.18</v>
      </c>
      <c r="N32" s="239">
        <v>42586</v>
      </c>
      <c r="S32" s="178">
        <v>9.8800000000000008</v>
      </c>
      <c r="T32" s="239">
        <v>42592</v>
      </c>
      <c r="U32" s="178">
        <v>13.5</v>
      </c>
      <c r="V32" s="239">
        <v>42586</v>
      </c>
      <c r="Y32" s="238">
        <v>4.0265199999999997</v>
      </c>
      <c r="Z32" s="239">
        <v>42592</v>
      </c>
      <c r="AA32" s="178">
        <v>45</v>
      </c>
      <c r="AB32" s="239">
        <v>42249</v>
      </c>
      <c r="AE32" s="238">
        <v>23.41</v>
      </c>
      <c r="AF32" s="239">
        <v>42586</v>
      </c>
      <c r="AI32" s="232">
        <v>150</v>
      </c>
      <c r="AJ32" s="239">
        <v>42507</v>
      </c>
      <c r="AK32" s="238">
        <v>9.6</v>
      </c>
      <c r="BG32" s="238">
        <v>-11</v>
      </c>
      <c r="BH32" s="239">
        <v>42592</v>
      </c>
      <c r="BM32" s="238">
        <v>61.5</v>
      </c>
      <c r="BN32" s="239">
        <v>42592</v>
      </c>
      <c r="BQ32" s="238">
        <v>10.1</v>
      </c>
      <c r="BR32" s="239">
        <v>42592</v>
      </c>
      <c r="BS32" s="238">
        <v>46.373626373626372</v>
      </c>
      <c r="BT32" s="239">
        <v>42592</v>
      </c>
      <c r="BU32" s="238">
        <v>18.901098901098898</v>
      </c>
      <c r="BV32" s="239">
        <v>42592</v>
      </c>
      <c r="BW32" s="238">
        <v>16.043956043956044</v>
      </c>
      <c r="BX32" s="239">
        <v>42592</v>
      </c>
      <c r="BY32" s="238"/>
      <c r="BZ32" s="238"/>
      <c r="CA32" s="238">
        <v>35.200000000000003</v>
      </c>
      <c r="CB32" s="239">
        <v>42592</v>
      </c>
      <c r="CC32" s="238"/>
      <c r="CD32" s="238"/>
      <c r="CF32" s="238"/>
    </row>
    <row r="33" spans="1:84" s="178" customFormat="1" ht="12">
      <c r="A33" s="232">
        <v>32</v>
      </c>
      <c r="B33" s="232" t="str">
        <f>VLOOKUP(A33,PlantMaterial!B:C,2,0)</f>
        <v>A05-1LEQ0</v>
      </c>
      <c r="C33" s="238" t="s">
        <v>7690</v>
      </c>
      <c r="D33" s="232">
        <v>1</v>
      </c>
      <c r="E33" s="238" t="s">
        <v>7723</v>
      </c>
      <c r="F33" s="232">
        <v>5</v>
      </c>
      <c r="G33" s="232">
        <v>6</v>
      </c>
      <c r="H33" s="178">
        <v>63</v>
      </c>
      <c r="I33" s="238"/>
      <c r="M33" s="238">
        <v>3.37</v>
      </c>
      <c r="N33" s="239">
        <v>42586</v>
      </c>
      <c r="S33" s="178">
        <v>10.02</v>
      </c>
      <c r="T33" s="239">
        <v>42592</v>
      </c>
      <c r="U33" s="178">
        <v>13.5</v>
      </c>
      <c r="V33" s="239">
        <v>42586</v>
      </c>
      <c r="Y33" s="238">
        <v>4.5154199999999998</v>
      </c>
      <c r="Z33" s="239">
        <v>42592</v>
      </c>
      <c r="AA33" s="178">
        <v>45</v>
      </c>
      <c r="AB33" s="239">
        <v>42249</v>
      </c>
      <c r="AE33" s="238">
        <v>24.81</v>
      </c>
      <c r="AF33" s="239">
        <v>42586</v>
      </c>
      <c r="AI33" s="232">
        <v>150</v>
      </c>
      <c r="AJ33" s="239">
        <v>42507</v>
      </c>
      <c r="AK33" s="238">
        <v>9.5</v>
      </c>
      <c r="BG33" s="238">
        <v>-7.8</v>
      </c>
      <c r="BH33" s="239">
        <v>42592</v>
      </c>
      <c r="BM33" s="238">
        <v>61</v>
      </c>
      <c r="BN33" s="239">
        <v>42592</v>
      </c>
      <c r="BQ33" s="238">
        <v>10.3</v>
      </c>
      <c r="BR33" s="239">
        <v>42592</v>
      </c>
      <c r="BS33" s="238">
        <v>44.395604395604394</v>
      </c>
      <c r="BT33" s="239">
        <v>42592</v>
      </c>
      <c r="BU33" s="238">
        <v>20</v>
      </c>
      <c r="BV33" s="239">
        <v>42592</v>
      </c>
      <c r="BW33" s="238">
        <v>18.571428571428569</v>
      </c>
      <c r="BX33" s="239">
        <v>42592</v>
      </c>
      <c r="BY33" s="238"/>
      <c r="BZ33" s="238"/>
      <c r="CA33" s="238">
        <v>35.9</v>
      </c>
      <c r="CB33" s="239">
        <v>42592</v>
      </c>
      <c r="CC33" s="238"/>
      <c r="CD33" s="238"/>
      <c r="CF33" s="238"/>
    </row>
    <row r="34" spans="1:84" s="178" customFormat="1" ht="12">
      <c r="A34" s="232">
        <v>33</v>
      </c>
      <c r="B34" s="232" t="str">
        <f>VLOOKUP(A34,PlantMaterial!B:C,2,0)</f>
        <v>A05-1LEQ1</v>
      </c>
      <c r="C34" s="238" t="s">
        <v>7690</v>
      </c>
      <c r="D34" s="232">
        <v>1</v>
      </c>
      <c r="E34" s="238" t="s">
        <v>7724</v>
      </c>
      <c r="F34" s="232">
        <v>4</v>
      </c>
      <c r="G34" s="232">
        <v>6</v>
      </c>
      <c r="H34" s="178">
        <v>63</v>
      </c>
      <c r="I34" s="238"/>
      <c r="M34" s="238">
        <v>4.26</v>
      </c>
      <c r="N34" s="239">
        <v>42586</v>
      </c>
      <c r="S34" s="178">
        <v>12.83</v>
      </c>
      <c r="T34" s="239">
        <v>42592</v>
      </c>
      <c r="U34" s="178">
        <v>13.5</v>
      </c>
      <c r="V34" s="239">
        <v>42586</v>
      </c>
      <c r="Y34" s="238">
        <v>5.6779700000000002</v>
      </c>
      <c r="Z34" s="239">
        <v>42592</v>
      </c>
      <c r="AA34" s="178">
        <v>45</v>
      </c>
      <c r="AB34" s="239">
        <v>42249</v>
      </c>
      <c r="AE34" s="238">
        <v>31.37</v>
      </c>
      <c r="AF34" s="239">
        <v>42586</v>
      </c>
      <c r="AI34" s="232">
        <v>150</v>
      </c>
      <c r="AJ34" s="239">
        <v>42507</v>
      </c>
      <c r="AK34" s="238">
        <v>9.5</v>
      </c>
      <c r="BG34" s="238">
        <v>-8.1999999999999993</v>
      </c>
      <c r="BH34" s="239">
        <v>42592</v>
      </c>
      <c r="BM34" s="238">
        <v>62.8</v>
      </c>
      <c r="BN34" s="239">
        <v>42592</v>
      </c>
      <c r="BQ34" s="238">
        <v>10</v>
      </c>
      <c r="BR34" s="239">
        <v>42592</v>
      </c>
      <c r="BS34" s="238">
        <v>44.945054945054942</v>
      </c>
      <c r="BT34" s="239">
        <v>42592</v>
      </c>
      <c r="BU34" s="238">
        <v>19.890109890109891</v>
      </c>
      <c r="BV34" s="239">
        <v>42592</v>
      </c>
      <c r="BW34" s="238">
        <v>19.670329670329668</v>
      </c>
      <c r="BX34" s="239">
        <v>42592</v>
      </c>
      <c r="BY34" s="238"/>
      <c r="BZ34" s="238"/>
      <c r="CA34" s="238">
        <v>36.1</v>
      </c>
      <c r="CB34" s="239">
        <v>42592</v>
      </c>
      <c r="CC34" s="238"/>
      <c r="CD34" s="238"/>
      <c r="CF34" s="238"/>
    </row>
    <row r="35" spans="1:84" s="178" customFormat="1" ht="12">
      <c r="A35" s="232">
        <v>34</v>
      </c>
      <c r="B35" s="232" t="str">
        <f>VLOOKUP(A35,PlantMaterial!B:C,2,0)</f>
        <v>RAPSO_4</v>
      </c>
      <c r="C35" s="238" t="s">
        <v>7690</v>
      </c>
      <c r="D35" s="232">
        <v>1</v>
      </c>
      <c r="E35" s="238" t="s">
        <v>7725</v>
      </c>
      <c r="F35" s="232">
        <v>3</v>
      </c>
      <c r="G35" s="232">
        <v>6</v>
      </c>
      <c r="H35" s="178">
        <v>63</v>
      </c>
      <c r="I35" s="238"/>
      <c r="M35" s="238">
        <v>3.17</v>
      </c>
      <c r="N35" s="239">
        <v>42586</v>
      </c>
      <c r="S35" s="178">
        <v>10.07</v>
      </c>
      <c r="T35" s="239">
        <v>42592</v>
      </c>
      <c r="U35" s="178">
        <v>13.5</v>
      </c>
      <c r="V35" s="239">
        <v>42586</v>
      </c>
      <c r="Y35" s="238">
        <v>4.0213599999999996</v>
      </c>
      <c r="Z35" s="239">
        <v>42592</v>
      </c>
      <c r="AA35" s="178">
        <v>45</v>
      </c>
      <c r="AB35" s="239">
        <v>42249</v>
      </c>
      <c r="AE35" s="238">
        <v>23.38</v>
      </c>
      <c r="AF35" s="239">
        <v>42586</v>
      </c>
      <c r="AI35" s="232">
        <v>130</v>
      </c>
      <c r="AJ35" s="239">
        <v>42507</v>
      </c>
      <c r="AK35" s="238">
        <v>9.4</v>
      </c>
      <c r="BG35" s="238">
        <v>-7.8</v>
      </c>
      <c r="BH35" s="239">
        <v>42592</v>
      </c>
      <c r="BM35" s="238">
        <v>62.4</v>
      </c>
      <c r="BN35" s="239">
        <v>42592</v>
      </c>
      <c r="BQ35" s="238">
        <v>10.4</v>
      </c>
      <c r="BR35" s="239">
        <v>42592</v>
      </c>
      <c r="BS35" s="238">
        <v>47.362637362637365</v>
      </c>
      <c r="BT35" s="239">
        <v>42592</v>
      </c>
      <c r="BU35" s="238">
        <v>18.901098901098898</v>
      </c>
      <c r="BV35" s="239">
        <v>42592</v>
      </c>
      <c r="BW35" s="238">
        <v>13.956043956043954</v>
      </c>
      <c r="BX35" s="239">
        <v>42592</v>
      </c>
      <c r="BY35" s="238"/>
      <c r="BZ35" s="238"/>
      <c r="CA35" s="238">
        <v>36</v>
      </c>
      <c r="CB35" s="239">
        <v>42592</v>
      </c>
      <c r="CC35" s="238"/>
      <c r="CD35" s="238"/>
      <c r="CF35" s="238"/>
    </row>
    <row r="36" spans="1:84" s="178" customFormat="1" ht="12">
      <c r="A36" s="232">
        <v>35</v>
      </c>
      <c r="B36" s="232" t="str">
        <f>VLOOKUP(A36,PlantMaterial!B:C,2,0)</f>
        <v>C04-1MASQ0</v>
      </c>
      <c r="C36" s="238" t="s">
        <v>7690</v>
      </c>
      <c r="D36" s="232">
        <v>1</v>
      </c>
      <c r="E36" s="238" t="s">
        <v>7726</v>
      </c>
      <c r="F36" s="232">
        <v>2</v>
      </c>
      <c r="G36" s="232">
        <v>6</v>
      </c>
      <c r="H36" s="178">
        <v>63</v>
      </c>
      <c r="I36" s="238"/>
      <c r="M36" s="238">
        <v>3.16</v>
      </c>
      <c r="N36" s="239">
        <v>42586</v>
      </c>
      <c r="S36" s="178">
        <v>9.9</v>
      </c>
      <c r="T36" s="239">
        <v>42592</v>
      </c>
      <c r="U36" s="178">
        <v>13.5</v>
      </c>
      <c r="V36" s="239">
        <v>42586</v>
      </c>
      <c r="Y36" s="238">
        <v>4.0291700000000006</v>
      </c>
      <c r="Z36" s="239">
        <v>42592</v>
      </c>
      <c r="AA36" s="178">
        <v>45</v>
      </c>
      <c r="AB36" s="239">
        <v>42249</v>
      </c>
      <c r="AE36" s="238">
        <v>23.29</v>
      </c>
      <c r="AF36" s="239">
        <v>42586</v>
      </c>
      <c r="AI36" s="232">
        <v>140</v>
      </c>
      <c r="AJ36" s="239">
        <v>42507</v>
      </c>
      <c r="AK36" s="238">
        <v>9.5</v>
      </c>
      <c r="BG36" s="238">
        <v>-8.8000000000000007</v>
      </c>
      <c r="BH36" s="239">
        <v>42592</v>
      </c>
      <c r="BM36" s="238">
        <v>63.5</v>
      </c>
      <c r="BN36" s="239">
        <v>42592</v>
      </c>
      <c r="BQ36" s="238">
        <v>10.1</v>
      </c>
      <c r="BR36" s="239">
        <v>42592</v>
      </c>
      <c r="BS36" s="238">
        <v>46.703296703296701</v>
      </c>
      <c r="BT36" s="239">
        <v>42592</v>
      </c>
      <c r="BU36" s="238">
        <v>19.010989010989011</v>
      </c>
      <c r="BV36" s="239">
        <v>42592</v>
      </c>
      <c r="BW36" s="238">
        <v>15.274725274725274</v>
      </c>
      <c r="BX36" s="239">
        <v>42592</v>
      </c>
      <c r="BY36" s="238"/>
      <c r="BZ36" s="238"/>
      <c r="CA36" s="238">
        <v>35.700000000000003</v>
      </c>
      <c r="CB36" s="239">
        <v>42592</v>
      </c>
      <c r="CC36" s="238"/>
      <c r="CD36" s="238"/>
      <c r="CF36" s="238"/>
    </row>
    <row r="37" spans="1:84" s="178" customFormat="1" ht="12">
      <c r="A37" s="232">
        <v>36</v>
      </c>
      <c r="B37" s="232" t="str">
        <f>VLOOKUP(A37,PlantMaterial!B:C,2,0)</f>
        <v>C04-1MASQ1</v>
      </c>
      <c r="C37" s="238" t="s">
        <v>7690</v>
      </c>
      <c r="D37" s="232">
        <v>1</v>
      </c>
      <c r="E37" s="238" t="s">
        <v>7727</v>
      </c>
      <c r="F37" s="232">
        <v>1</v>
      </c>
      <c r="G37" s="232">
        <v>6</v>
      </c>
      <c r="H37" s="178">
        <v>63</v>
      </c>
      <c r="I37" s="238"/>
      <c r="M37" s="238">
        <v>2.93</v>
      </c>
      <c r="N37" s="239">
        <v>42586</v>
      </c>
      <c r="S37" s="178">
        <v>8.91</v>
      </c>
      <c r="T37" s="239">
        <v>42592</v>
      </c>
      <c r="U37" s="178">
        <v>13.5</v>
      </c>
      <c r="V37" s="239">
        <v>42586</v>
      </c>
      <c r="Y37" s="238">
        <v>3.98305</v>
      </c>
      <c r="Z37" s="239">
        <v>42592</v>
      </c>
      <c r="AA37" s="178">
        <v>45</v>
      </c>
      <c r="AB37" s="239">
        <v>42249</v>
      </c>
      <c r="AE37" s="238">
        <v>21.53</v>
      </c>
      <c r="AF37" s="239">
        <v>42586</v>
      </c>
      <c r="AI37" s="232">
        <v>140</v>
      </c>
      <c r="AJ37" s="239">
        <v>42507</v>
      </c>
      <c r="AK37" s="238">
        <v>9.6999999999999993</v>
      </c>
      <c r="BG37" s="238">
        <v>-8.6</v>
      </c>
      <c r="BH37" s="239">
        <v>42592</v>
      </c>
      <c r="BM37" s="238">
        <v>61.2</v>
      </c>
      <c r="BN37" s="239">
        <v>42592</v>
      </c>
      <c r="BQ37" s="238">
        <v>10.7</v>
      </c>
      <c r="BR37" s="239">
        <v>42592</v>
      </c>
      <c r="BS37" s="238">
        <v>45.494505494505489</v>
      </c>
      <c r="BT37" s="239">
        <v>42592</v>
      </c>
      <c r="BU37" s="238">
        <v>20.329670329670328</v>
      </c>
      <c r="BV37" s="239">
        <v>42592</v>
      </c>
      <c r="BW37" s="238">
        <v>15.164835164835164</v>
      </c>
      <c r="BX37" s="239">
        <v>42592</v>
      </c>
      <c r="BY37" s="238"/>
      <c r="BZ37" s="238"/>
      <c r="CA37" s="238">
        <v>37.299999999999997</v>
      </c>
      <c r="CB37" s="239">
        <v>42592</v>
      </c>
      <c r="CC37" s="238"/>
      <c r="CD37" s="238"/>
      <c r="CF37" s="238"/>
    </row>
    <row r="38" spans="1:84" s="178" customFormat="1" ht="12">
      <c r="A38" s="232">
        <v>37</v>
      </c>
      <c r="B38" s="232" t="str">
        <f>VLOOKUP(A38,PlantMaterial!B:C,2,0)</f>
        <v>RAPSO_323</v>
      </c>
      <c r="C38" s="238" t="s">
        <v>7690</v>
      </c>
      <c r="D38" s="232">
        <v>1</v>
      </c>
      <c r="E38" s="238" t="s">
        <v>7728</v>
      </c>
      <c r="F38" s="232">
        <v>1</v>
      </c>
      <c r="G38" s="232">
        <v>7</v>
      </c>
      <c r="H38" s="178">
        <v>73.5</v>
      </c>
      <c r="I38" s="238"/>
      <c r="M38" s="238">
        <v>3.53</v>
      </c>
      <c r="N38" s="239">
        <v>42586</v>
      </c>
      <c r="S38" s="178">
        <v>10.81</v>
      </c>
      <c r="T38" s="239">
        <v>42592</v>
      </c>
      <c r="U38" s="178">
        <v>13.5</v>
      </c>
      <c r="V38" s="239">
        <v>42586</v>
      </c>
      <c r="Y38" s="238">
        <v>4.4288999999999996</v>
      </c>
      <c r="Z38" s="239">
        <v>42592</v>
      </c>
      <c r="AA38" s="178">
        <v>45</v>
      </c>
      <c r="AB38" s="239">
        <v>42249</v>
      </c>
      <c r="AE38" s="238">
        <v>25.9</v>
      </c>
      <c r="AF38" s="239">
        <v>42586</v>
      </c>
      <c r="AI38" s="232">
        <v>160</v>
      </c>
      <c r="AJ38" s="239">
        <v>42507</v>
      </c>
      <c r="AK38" s="238">
        <v>9.9</v>
      </c>
      <c r="BG38" s="238">
        <v>-10.199999999999999</v>
      </c>
      <c r="BH38" s="239">
        <v>42592</v>
      </c>
      <c r="BM38" s="238">
        <v>61.9</v>
      </c>
      <c r="BN38" s="239">
        <v>42592</v>
      </c>
      <c r="BQ38" s="238">
        <v>10.4</v>
      </c>
      <c r="BR38" s="239">
        <v>42592</v>
      </c>
      <c r="BS38" s="238">
        <v>45.934065934065927</v>
      </c>
      <c r="BT38" s="239">
        <v>42592</v>
      </c>
      <c r="BU38" s="238">
        <v>18.791208791208792</v>
      </c>
      <c r="BV38" s="239">
        <v>42592</v>
      </c>
      <c r="BW38" s="238">
        <v>13.846153846153845</v>
      </c>
      <c r="BX38" s="239">
        <v>42592</v>
      </c>
      <c r="BY38" s="238"/>
      <c r="BZ38" s="238"/>
      <c r="CA38" s="238">
        <v>34.6</v>
      </c>
      <c r="CB38" s="239">
        <v>42592</v>
      </c>
      <c r="CC38" s="238"/>
      <c r="CD38" s="238"/>
      <c r="CF38" s="238"/>
    </row>
    <row r="39" spans="1:84" s="178" customFormat="1" ht="12">
      <c r="A39" s="232">
        <v>38</v>
      </c>
      <c r="B39" s="232" t="str">
        <f>VLOOKUP(A39,PlantMaterial!B:C,2,0)</f>
        <v>C04-1RAGTQ0</v>
      </c>
      <c r="C39" s="238" t="s">
        <v>7690</v>
      </c>
      <c r="D39" s="232">
        <v>1</v>
      </c>
      <c r="E39" s="238" t="s">
        <v>7729</v>
      </c>
      <c r="F39" s="232">
        <v>2</v>
      </c>
      <c r="G39" s="232">
        <v>7</v>
      </c>
      <c r="H39" s="178">
        <v>73.5</v>
      </c>
      <c r="I39" s="238"/>
      <c r="M39" s="238">
        <v>3.31</v>
      </c>
      <c r="N39" s="239">
        <v>42586</v>
      </c>
      <c r="S39" s="178">
        <v>10.42</v>
      </c>
      <c r="T39" s="239">
        <v>42592</v>
      </c>
      <c r="U39" s="178">
        <v>13.5</v>
      </c>
      <c r="V39" s="239">
        <v>42586</v>
      </c>
      <c r="Y39" s="238">
        <v>4.0404400000000003</v>
      </c>
      <c r="Z39" s="239">
        <v>42592</v>
      </c>
      <c r="AA39" s="178">
        <v>45</v>
      </c>
      <c r="AB39" s="239">
        <v>42249</v>
      </c>
      <c r="AE39" s="238">
        <v>24.34</v>
      </c>
      <c r="AF39" s="239">
        <v>42586</v>
      </c>
      <c r="AI39" s="232">
        <v>155</v>
      </c>
      <c r="AJ39" s="239">
        <v>42507</v>
      </c>
      <c r="AK39" s="238">
        <v>9.6999999999999993</v>
      </c>
      <c r="BG39" s="238">
        <v>-8.3000000000000007</v>
      </c>
      <c r="BH39" s="239">
        <v>42592</v>
      </c>
      <c r="BM39" s="238">
        <v>62.3</v>
      </c>
      <c r="BN39" s="239">
        <v>42592</v>
      </c>
      <c r="BQ39" s="238">
        <v>10</v>
      </c>
      <c r="BR39" s="239">
        <v>42592</v>
      </c>
      <c r="BS39" s="238">
        <v>47.032967032967029</v>
      </c>
      <c r="BT39" s="239">
        <v>42592</v>
      </c>
      <c r="BU39" s="238">
        <v>18.241758241758244</v>
      </c>
      <c r="BV39" s="239">
        <v>42592</v>
      </c>
      <c r="BW39" s="238">
        <v>11.868131868131869</v>
      </c>
      <c r="BX39" s="239">
        <v>42592</v>
      </c>
      <c r="BY39" s="238"/>
      <c r="BZ39" s="238"/>
      <c r="CA39" s="238">
        <v>34.4</v>
      </c>
      <c r="CB39" s="239">
        <v>42592</v>
      </c>
      <c r="CC39" s="238"/>
      <c r="CD39" s="238"/>
      <c r="CF39" s="238"/>
    </row>
    <row r="40" spans="1:84" s="178" customFormat="1" ht="12">
      <c r="A40" s="232">
        <v>39</v>
      </c>
      <c r="B40" s="232" t="str">
        <f>VLOOKUP(A40,PlantMaterial!B:C,2,0)</f>
        <v>C04-1RAGTQ1</v>
      </c>
      <c r="C40" s="238" t="s">
        <v>7690</v>
      </c>
      <c r="D40" s="232">
        <v>1</v>
      </c>
      <c r="E40" s="238" t="s">
        <v>7730</v>
      </c>
      <c r="F40" s="232">
        <v>3</v>
      </c>
      <c r="G40" s="232">
        <v>7</v>
      </c>
      <c r="H40" s="178">
        <v>73.5</v>
      </c>
      <c r="I40" s="238"/>
      <c r="M40" s="238">
        <v>2.95</v>
      </c>
      <c r="N40" s="239">
        <v>42586</v>
      </c>
      <c r="S40" s="178">
        <v>9.25</v>
      </c>
      <c r="T40" s="239">
        <v>42592</v>
      </c>
      <c r="U40" s="178">
        <v>13.5</v>
      </c>
      <c r="V40" s="239">
        <v>42586</v>
      </c>
      <c r="Y40" s="238">
        <v>3.66899</v>
      </c>
      <c r="Z40" s="239">
        <v>42592</v>
      </c>
      <c r="AA40" s="178">
        <v>45</v>
      </c>
      <c r="AB40" s="239">
        <v>42249</v>
      </c>
      <c r="AE40" s="238">
        <v>21.71</v>
      </c>
      <c r="AF40" s="239">
        <v>42586</v>
      </c>
      <c r="AI40" s="232">
        <v>155</v>
      </c>
      <c r="AJ40" s="239">
        <v>42507</v>
      </c>
      <c r="AK40" s="238">
        <v>9.6</v>
      </c>
      <c r="BG40" s="238">
        <v>-8.5</v>
      </c>
      <c r="BH40" s="239">
        <v>42592</v>
      </c>
      <c r="BM40" s="238">
        <v>61.3</v>
      </c>
      <c r="BN40" s="239">
        <v>42592</v>
      </c>
      <c r="BQ40" s="238">
        <v>10.5</v>
      </c>
      <c r="BR40" s="239">
        <v>42592</v>
      </c>
      <c r="BS40" s="238">
        <v>46.81318681318681</v>
      </c>
      <c r="BT40" s="239">
        <v>42592</v>
      </c>
      <c r="BU40" s="238">
        <v>18.571428571428569</v>
      </c>
      <c r="BV40" s="239">
        <v>42592</v>
      </c>
      <c r="BW40" s="238">
        <v>11.978021978021978</v>
      </c>
      <c r="BX40" s="239">
        <v>42592</v>
      </c>
      <c r="BY40" s="238"/>
      <c r="BZ40" s="238"/>
      <c r="CA40" s="238">
        <v>35</v>
      </c>
      <c r="CB40" s="239">
        <v>42592</v>
      </c>
      <c r="CC40" s="238"/>
      <c r="CD40" s="238"/>
      <c r="CF40" s="238"/>
    </row>
    <row r="41" spans="1:84" s="178" customFormat="1" ht="12">
      <c r="A41" s="232">
        <v>40</v>
      </c>
      <c r="B41" s="232" t="str">
        <f>VLOOKUP(A41,PlantMaterial!B:C,2,0)</f>
        <v>RAPSO_325</v>
      </c>
      <c r="C41" s="238" t="s">
        <v>7690</v>
      </c>
      <c r="D41" s="232">
        <v>1</v>
      </c>
      <c r="E41" s="238" t="s">
        <v>7731</v>
      </c>
      <c r="F41" s="232">
        <v>4</v>
      </c>
      <c r="G41" s="232">
        <v>7</v>
      </c>
      <c r="H41" s="178">
        <v>73.5</v>
      </c>
      <c r="I41" s="238"/>
      <c r="M41" s="238">
        <v>4.72</v>
      </c>
      <c r="N41" s="239">
        <v>42586</v>
      </c>
      <c r="S41" s="178">
        <v>14.75</v>
      </c>
      <c r="T41" s="239">
        <v>42592</v>
      </c>
      <c r="U41" s="178">
        <v>13.5</v>
      </c>
      <c r="V41" s="239">
        <v>42586</v>
      </c>
      <c r="Y41" s="238">
        <v>5.7321</v>
      </c>
      <c r="Z41" s="239">
        <v>42592</v>
      </c>
      <c r="AA41" s="178">
        <v>45</v>
      </c>
      <c r="AB41" s="239">
        <v>42249</v>
      </c>
      <c r="AE41" s="238">
        <v>34.74</v>
      </c>
      <c r="AF41" s="239">
        <v>42586</v>
      </c>
      <c r="AI41" s="232">
        <v>155</v>
      </c>
      <c r="AJ41" s="239">
        <v>42507</v>
      </c>
      <c r="AK41" s="238">
        <v>9.6</v>
      </c>
      <c r="BG41" s="238">
        <v>-7.2</v>
      </c>
      <c r="BH41" s="239">
        <v>42592</v>
      </c>
      <c r="BM41" s="238">
        <v>63.3</v>
      </c>
      <c r="BN41" s="239">
        <v>42592</v>
      </c>
      <c r="BQ41" s="238">
        <v>9.9</v>
      </c>
      <c r="BR41" s="239">
        <v>42592</v>
      </c>
      <c r="BS41" s="238">
        <v>46.703296703296701</v>
      </c>
      <c r="BT41" s="239">
        <v>42592</v>
      </c>
      <c r="BU41" s="238">
        <v>18.131868131868131</v>
      </c>
      <c r="BV41" s="239">
        <v>42592</v>
      </c>
      <c r="BW41" s="238">
        <v>17.032967032967033</v>
      </c>
      <c r="BX41" s="239">
        <v>42592</v>
      </c>
      <c r="BY41" s="238"/>
      <c r="BZ41" s="238"/>
      <c r="CA41" s="238">
        <v>33.9</v>
      </c>
      <c r="CB41" s="239">
        <v>42592</v>
      </c>
      <c r="CC41" s="238"/>
      <c r="CD41" s="238"/>
      <c r="CF41" s="238"/>
    </row>
    <row r="42" spans="1:84" s="178" customFormat="1" ht="12">
      <c r="A42" s="232">
        <v>41</v>
      </c>
      <c r="B42" s="232" t="str">
        <f>VLOOKUP(A42,PlantMaterial!B:C,2,0)</f>
        <v>C04-1SYNQ0</v>
      </c>
      <c r="C42" s="238" t="s">
        <v>7690</v>
      </c>
      <c r="D42" s="232">
        <v>1</v>
      </c>
      <c r="E42" s="238" t="s">
        <v>7732</v>
      </c>
      <c r="F42" s="232">
        <v>5</v>
      </c>
      <c r="G42" s="232">
        <v>7</v>
      </c>
      <c r="H42" s="178">
        <v>73.5</v>
      </c>
      <c r="I42" s="238"/>
      <c r="M42" s="238">
        <v>3.23</v>
      </c>
      <c r="N42" s="239">
        <v>42586</v>
      </c>
      <c r="S42" s="178">
        <v>10.1</v>
      </c>
      <c r="T42" s="239">
        <v>42592</v>
      </c>
      <c r="U42" s="178">
        <v>13.5</v>
      </c>
      <c r="V42" s="239">
        <v>42586</v>
      </c>
      <c r="Y42" s="238">
        <v>4.1580000000000004</v>
      </c>
      <c r="Z42" s="239">
        <v>42592</v>
      </c>
      <c r="AA42" s="178">
        <v>45</v>
      </c>
      <c r="AB42" s="239">
        <v>42249</v>
      </c>
      <c r="AE42" s="238">
        <v>23.76</v>
      </c>
      <c r="AF42" s="239">
        <v>42586</v>
      </c>
      <c r="AI42" s="232">
        <v>140</v>
      </c>
      <c r="AJ42" s="239">
        <v>42507</v>
      </c>
      <c r="AK42" s="238">
        <v>9.6</v>
      </c>
      <c r="BG42" s="238">
        <v>-8.6999999999999993</v>
      </c>
      <c r="BH42" s="239">
        <v>42592</v>
      </c>
      <c r="BM42" s="238">
        <v>63.7</v>
      </c>
      <c r="BN42" s="239">
        <v>42592</v>
      </c>
      <c r="BQ42" s="238">
        <v>10.4</v>
      </c>
      <c r="BR42" s="239">
        <v>42592</v>
      </c>
      <c r="BS42" s="238">
        <v>46.703296703296701</v>
      </c>
      <c r="BT42" s="239">
        <v>42592</v>
      </c>
      <c r="BU42" s="238">
        <v>19.23076923076923</v>
      </c>
      <c r="BV42" s="239">
        <v>42592</v>
      </c>
      <c r="BW42" s="238">
        <v>14.285714285714285</v>
      </c>
      <c r="BX42" s="239">
        <v>42592</v>
      </c>
      <c r="BY42" s="238"/>
      <c r="BZ42" s="238"/>
      <c r="CA42" s="238">
        <v>36.1</v>
      </c>
      <c r="CB42" s="239">
        <v>42592</v>
      </c>
      <c r="CC42" s="238"/>
      <c r="CD42" s="238"/>
      <c r="CF42" s="238"/>
    </row>
    <row r="43" spans="1:84" s="178" customFormat="1" ht="12">
      <c r="A43" s="232">
        <v>42</v>
      </c>
      <c r="B43" s="232" t="str">
        <f>VLOOKUP(A43,PlantMaterial!B:C,2,0)</f>
        <v>C04-1SYNQ1</v>
      </c>
      <c r="C43" s="238" t="s">
        <v>7690</v>
      </c>
      <c r="D43" s="232">
        <v>1</v>
      </c>
      <c r="E43" s="238" t="s">
        <v>7733</v>
      </c>
      <c r="F43" s="232">
        <v>6</v>
      </c>
      <c r="G43" s="232">
        <v>7</v>
      </c>
      <c r="H43" s="178">
        <v>73.5</v>
      </c>
      <c r="I43" s="238"/>
      <c r="M43" s="238">
        <v>3.29</v>
      </c>
      <c r="N43" s="239">
        <v>42586</v>
      </c>
      <c r="S43" s="178">
        <v>10.46</v>
      </c>
      <c r="T43" s="239">
        <v>42592</v>
      </c>
      <c r="U43" s="178">
        <v>13.5</v>
      </c>
      <c r="V43" s="239">
        <v>42586</v>
      </c>
      <c r="Y43" s="238">
        <v>4.0571999999999999</v>
      </c>
      <c r="Z43" s="239">
        <v>42592</v>
      </c>
      <c r="AA43" s="178">
        <v>45</v>
      </c>
      <c r="AB43" s="239">
        <v>42249</v>
      </c>
      <c r="AE43" s="238">
        <v>24.15</v>
      </c>
      <c r="AF43" s="239">
        <v>42586</v>
      </c>
      <c r="AI43" s="232">
        <v>140</v>
      </c>
      <c r="AJ43" s="239">
        <v>42507</v>
      </c>
      <c r="AK43" s="238">
        <v>9.8000000000000007</v>
      </c>
      <c r="BG43" s="238">
        <v>-8.8000000000000007</v>
      </c>
      <c r="BH43" s="239">
        <v>42592</v>
      </c>
      <c r="BM43" s="238">
        <v>64</v>
      </c>
      <c r="BN43" s="239">
        <v>42592</v>
      </c>
      <c r="BQ43" s="238">
        <v>10.3</v>
      </c>
      <c r="BR43" s="239">
        <v>42592</v>
      </c>
      <c r="BS43" s="238">
        <v>47.582417582417577</v>
      </c>
      <c r="BT43" s="239">
        <v>42592</v>
      </c>
      <c r="BU43" s="238">
        <v>18.461538461538463</v>
      </c>
      <c r="BV43" s="239">
        <v>42592</v>
      </c>
      <c r="BW43" s="238">
        <v>14.945054945054943</v>
      </c>
      <c r="BX43" s="239">
        <v>42592</v>
      </c>
      <c r="BY43" s="238"/>
      <c r="BZ43" s="238"/>
      <c r="CA43" s="238">
        <v>35.200000000000003</v>
      </c>
      <c r="CB43" s="239">
        <v>42592</v>
      </c>
      <c r="CC43" s="238"/>
      <c r="CD43" s="238"/>
      <c r="CF43" s="238"/>
    </row>
    <row r="44" spans="1:84" s="242" customFormat="1" ht="12">
      <c r="A44" s="240">
        <v>1</v>
      </c>
      <c r="B44" s="240" t="str">
        <f>VLOOKUP(A44,PlantMaterial!B:C,2,0)</f>
        <v>AVISO</v>
      </c>
      <c r="C44" s="241" t="s">
        <v>7690</v>
      </c>
      <c r="D44" s="240">
        <v>2</v>
      </c>
      <c r="E44" s="241" t="s">
        <v>7936</v>
      </c>
      <c r="F44" s="240">
        <v>1</v>
      </c>
      <c r="G44" s="240">
        <v>14</v>
      </c>
      <c r="H44" s="242">
        <v>147</v>
      </c>
      <c r="I44" s="241" t="s">
        <v>7734</v>
      </c>
      <c r="J44" s="243">
        <v>42430</v>
      </c>
      <c r="M44" s="241">
        <v>2.4700000000000002</v>
      </c>
      <c r="N44" s="243">
        <v>42586</v>
      </c>
      <c r="S44" s="242">
        <v>7.44</v>
      </c>
      <c r="T44" s="243">
        <v>42592</v>
      </c>
      <c r="U44" s="242">
        <v>13.5</v>
      </c>
      <c r="V44" s="243">
        <v>42586</v>
      </c>
      <c r="Y44" s="241">
        <v>3.3359199999999993</v>
      </c>
      <c r="Z44" s="243">
        <v>42592</v>
      </c>
      <c r="AA44" s="242">
        <v>45</v>
      </c>
      <c r="AB44" s="243">
        <v>42249</v>
      </c>
      <c r="AE44" s="241">
        <v>18.13</v>
      </c>
      <c r="AF44" s="243">
        <v>42586</v>
      </c>
      <c r="AI44" s="240">
        <v>145</v>
      </c>
      <c r="AJ44" s="243">
        <v>42507</v>
      </c>
      <c r="AK44" s="241">
        <v>9.8000000000000007</v>
      </c>
      <c r="BG44" s="241">
        <v>-10.1</v>
      </c>
      <c r="BH44" s="243">
        <v>42592</v>
      </c>
      <c r="BM44" s="241">
        <v>58.6</v>
      </c>
      <c r="BN44" s="243">
        <v>42592</v>
      </c>
      <c r="BQ44" s="241">
        <v>12.1</v>
      </c>
      <c r="BR44" s="243">
        <v>42592</v>
      </c>
      <c r="BS44" s="241">
        <v>45.054945054945051</v>
      </c>
      <c r="BT44" s="243">
        <v>42592</v>
      </c>
      <c r="BU44" s="241">
        <v>20.219780219780219</v>
      </c>
      <c r="BV44" s="243">
        <v>42592</v>
      </c>
      <c r="BW44" s="241">
        <v>17.362637362637361</v>
      </c>
      <c r="BX44" s="243">
        <v>42592</v>
      </c>
      <c r="BY44" s="241"/>
      <c r="BZ44" s="241"/>
      <c r="CA44" s="241">
        <v>36.9</v>
      </c>
      <c r="CB44" s="243">
        <v>42592</v>
      </c>
      <c r="CC44" s="241"/>
      <c r="CD44" s="241"/>
      <c r="CF44" s="241"/>
    </row>
    <row r="45" spans="1:84" s="178" customFormat="1" ht="12">
      <c r="A45" s="232">
        <v>2</v>
      </c>
      <c r="B45" s="232" t="str">
        <f>VLOOKUP(A45,PlantMaterial!B:C,2,0)</f>
        <v>A05-AMQ0</v>
      </c>
      <c r="C45" s="238" t="s">
        <v>7690</v>
      </c>
      <c r="D45" s="232">
        <v>2</v>
      </c>
      <c r="E45" s="238" t="s">
        <v>7735</v>
      </c>
      <c r="F45" s="232">
        <v>6</v>
      </c>
      <c r="G45" s="232">
        <v>9</v>
      </c>
      <c r="H45" s="178">
        <v>94.5</v>
      </c>
      <c r="I45" s="238"/>
      <c r="M45" s="238">
        <v>2.62</v>
      </c>
      <c r="N45" s="239">
        <v>42586</v>
      </c>
      <c r="S45" s="178">
        <v>8.18</v>
      </c>
      <c r="T45" s="239">
        <v>42592</v>
      </c>
      <c r="U45" s="178">
        <v>13.5</v>
      </c>
      <c r="V45" s="239">
        <v>42586</v>
      </c>
      <c r="Y45" s="238">
        <v>3.4265000000000003</v>
      </c>
      <c r="Z45" s="239">
        <v>42592</v>
      </c>
      <c r="AA45" s="178">
        <v>45</v>
      </c>
      <c r="AB45" s="239">
        <v>42249</v>
      </c>
      <c r="AE45" s="238">
        <v>19.25</v>
      </c>
      <c r="AF45" s="239">
        <v>42586</v>
      </c>
      <c r="AI45" s="232">
        <v>135</v>
      </c>
      <c r="AJ45" s="239">
        <v>42507</v>
      </c>
      <c r="AK45" s="238">
        <v>9.8000000000000007</v>
      </c>
      <c r="BG45" s="238">
        <v>-9.1</v>
      </c>
      <c r="BH45" s="239">
        <v>42592</v>
      </c>
      <c r="BM45" s="238">
        <v>61.6</v>
      </c>
      <c r="BN45" s="239">
        <v>42592</v>
      </c>
      <c r="BQ45" s="238">
        <v>11</v>
      </c>
      <c r="BR45" s="239">
        <v>42592</v>
      </c>
      <c r="BS45" s="238">
        <v>46.703296703296701</v>
      </c>
      <c r="BT45" s="239">
        <v>42592</v>
      </c>
      <c r="BU45" s="238">
        <v>19.560439560439562</v>
      </c>
      <c r="BV45" s="239">
        <v>42592</v>
      </c>
      <c r="BW45" s="238">
        <v>14.065934065934066</v>
      </c>
      <c r="BX45" s="239">
        <v>42592</v>
      </c>
      <c r="BY45" s="238"/>
      <c r="BZ45" s="238"/>
      <c r="CA45" s="238">
        <v>36.799999999999997</v>
      </c>
      <c r="CB45" s="239">
        <v>42592</v>
      </c>
      <c r="CC45" s="238"/>
      <c r="CD45" s="238"/>
      <c r="CF45" s="238"/>
    </row>
    <row r="46" spans="1:84" s="242" customFormat="1" ht="12">
      <c r="A46" s="240">
        <v>3</v>
      </c>
      <c r="B46" s="240" t="str">
        <f>VLOOKUP(A46,PlantMaterial!B:C,2,0)</f>
        <v>MONTEGO</v>
      </c>
      <c r="C46" s="241" t="s">
        <v>7690</v>
      </c>
      <c r="D46" s="240">
        <v>2</v>
      </c>
      <c r="E46" s="241" t="s">
        <v>7936</v>
      </c>
      <c r="F46" s="240">
        <v>2</v>
      </c>
      <c r="G46" s="240">
        <v>13</v>
      </c>
      <c r="H46" s="242">
        <v>136.5</v>
      </c>
      <c r="I46" s="241"/>
      <c r="M46" s="241">
        <v>2.96</v>
      </c>
      <c r="N46" s="243">
        <v>42586</v>
      </c>
      <c r="S46" s="242">
        <v>9.08</v>
      </c>
      <c r="T46" s="243">
        <v>42592</v>
      </c>
      <c r="U46" s="242">
        <v>13.5</v>
      </c>
      <c r="V46" s="243">
        <v>42586</v>
      </c>
      <c r="Y46" s="241">
        <v>4.0852399999999998</v>
      </c>
      <c r="Z46" s="243">
        <v>42592</v>
      </c>
      <c r="AA46" s="242">
        <v>45</v>
      </c>
      <c r="AB46" s="243">
        <v>42249</v>
      </c>
      <c r="AE46" s="241">
        <v>21.73</v>
      </c>
      <c r="AF46" s="243">
        <v>42586</v>
      </c>
      <c r="AI46" s="240">
        <v>135</v>
      </c>
      <c r="AJ46" s="243">
        <v>42507</v>
      </c>
      <c r="AK46" s="241">
        <v>9.8000000000000007</v>
      </c>
      <c r="BG46" s="241">
        <v>-8.6999999999999993</v>
      </c>
      <c r="BH46" s="243">
        <v>42592</v>
      </c>
      <c r="BM46" s="241">
        <v>61.1</v>
      </c>
      <c r="BN46" s="243">
        <v>42592</v>
      </c>
      <c r="BQ46" s="241">
        <v>11.1</v>
      </c>
      <c r="BR46" s="243">
        <v>42592</v>
      </c>
      <c r="BS46" s="241">
        <v>45.934065934065927</v>
      </c>
      <c r="BT46" s="243">
        <v>42592</v>
      </c>
      <c r="BU46" s="241">
        <v>20.659340659340661</v>
      </c>
      <c r="BV46" s="243">
        <v>42592</v>
      </c>
      <c r="BW46" s="241">
        <v>16.593406593406591</v>
      </c>
      <c r="BX46" s="243">
        <v>42592</v>
      </c>
      <c r="BY46" s="241"/>
      <c r="BZ46" s="241"/>
      <c r="CA46" s="241">
        <v>38.200000000000003</v>
      </c>
      <c r="CB46" s="243">
        <v>42592</v>
      </c>
      <c r="CC46" s="241"/>
      <c r="CD46" s="241"/>
      <c r="CF46" s="241"/>
    </row>
    <row r="47" spans="1:84" s="178" customFormat="1" ht="12">
      <c r="A47" s="232">
        <v>4</v>
      </c>
      <c r="B47" s="232" t="str">
        <f>VLOOKUP(A47,PlantMaterial!B:C,2,0)</f>
        <v>A05-AMQ1</v>
      </c>
      <c r="C47" s="238" t="s">
        <v>7690</v>
      </c>
      <c r="D47" s="232">
        <v>2</v>
      </c>
      <c r="E47" s="238" t="s">
        <v>7736</v>
      </c>
      <c r="F47" s="232">
        <v>5</v>
      </c>
      <c r="G47" s="232">
        <v>13</v>
      </c>
      <c r="H47" s="178">
        <v>136.5</v>
      </c>
      <c r="I47" s="238"/>
      <c r="M47" s="238">
        <v>2.66</v>
      </c>
      <c r="N47" s="239">
        <v>42586</v>
      </c>
      <c r="S47" s="178">
        <v>8.1300000000000008</v>
      </c>
      <c r="T47" s="239">
        <v>42592</v>
      </c>
      <c r="U47" s="178">
        <v>13.5</v>
      </c>
      <c r="V47" s="239">
        <v>42586</v>
      </c>
      <c r="Y47" s="238">
        <v>3.6008799999999996</v>
      </c>
      <c r="Z47" s="239">
        <v>42592</v>
      </c>
      <c r="AA47" s="178">
        <v>45</v>
      </c>
      <c r="AB47" s="239">
        <v>42249</v>
      </c>
      <c r="AE47" s="238">
        <v>19.57</v>
      </c>
      <c r="AF47" s="239">
        <v>42586</v>
      </c>
      <c r="AI47" s="232">
        <v>135</v>
      </c>
      <c r="AJ47" s="239">
        <v>42507</v>
      </c>
      <c r="AK47" s="238">
        <v>9.6</v>
      </c>
      <c r="BG47" s="238">
        <v>-8.9</v>
      </c>
      <c r="BH47" s="239">
        <v>42592</v>
      </c>
      <c r="BM47" s="238">
        <v>60.9</v>
      </c>
      <c r="BN47" s="239">
        <v>42592</v>
      </c>
      <c r="BQ47" s="238">
        <v>11.1</v>
      </c>
      <c r="BR47" s="239">
        <v>42592</v>
      </c>
      <c r="BS47" s="238">
        <v>45.714285714285715</v>
      </c>
      <c r="BT47" s="239">
        <v>42592</v>
      </c>
      <c r="BU47" s="238">
        <v>20.219780219780219</v>
      </c>
      <c r="BV47" s="239">
        <v>42592</v>
      </c>
      <c r="BW47" s="238">
        <v>18.571428571428569</v>
      </c>
      <c r="BX47" s="239">
        <v>42592</v>
      </c>
      <c r="BY47" s="238"/>
      <c r="BZ47" s="238"/>
      <c r="CA47" s="238">
        <v>37.299999999999997</v>
      </c>
      <c r="CB47" s="239">
        <v>42592</v>
      </c>
      <c r="CC47" s="238"/>
      <c r="CD47" s="238"/>
      <c r="CF47" s="238"/>
    </row>
    <row r="48" spans="1:84" s="242" customFormat="1" ht="12">
      <c r="A48" s="240">
        <v>5</v>
      </c>
      <c r="B48" s="240" t="str">
        <f>VLOOKUP(A48,PlantMaterial!B:C,2,0)</f>
        <v>TENOR</v>
      </c>
      <c r="C48" s="241" t="s">
        <v>7690</v>
      </c>
      <c r="D48" s="240">
        <v>2</v>
      </c>
      <c r="E48" s="241" t="s">
        <v>7936</v>
      </c>
      <c r="F48" s="240">
        <v>1</v>
      </c>
      <c r="G48" s="240">
        <v>13</v>
      </c>
      <c r="H48" s="242">
        <v>136.5</v>
      </c>
      <c r="I48" s="241"/>
      <c r="M48" s="241">
        <v>2.69</v>
      </c>
      <c r="N48" s="243">
        <v>42586</v>
      </c>
      <c r="S48" s="242">
        <v>8.26</v>
      </c>
      <c r="T48" s="243">
        <v>42592</v>
      </c>
      <c r="U48" s="242">
        <v>13.5</v>
      </c>
      <c r="V48" s="243">
        <v>42586</v>
      </c>
      <c r="Y48" s="241">
        <v>3.5783700000000005</v>
      </c>
      <c r="Z48" s="243">
        <v>42592</v>
      </c>
      <c r="AA48" s="242">
        <v>45</v>
      </c>
      <c r="AB48" s="243">
        <v>42249</v>
      </c>
      <c r="AE48" s="241">
        <v>19.77</v>
      </c>
      <c r="AF48" s="243">
        <v>42586</v>
      </c>
      <c r="AI48" s="240">
        <v>135</v>
      </c>
      <c r="AJ48" s="243">
        <v>42507</v>
      </c>
      <c r="AK48" s="241">
        <v>9.6999999999999993</v>
      </c>
      <c r="BG48" s="241">
        <v>-7.4</v>
      </c>
      <c r="BH48" s="243">
        <v>42592</v>
      </c>
      <c r="BM48" s="241">
        <v>60.4</v>
      </c>
      <c r="BN48" s="243">
        <v>42592</v>
      </c>
      <c r="BQ48" s="241">
        <v>11.5</v>
      </c>
      <c r="BR48" s="243">
        <v>42592</v>
      </c>
      <c r="BS48" s="241">
        <v>45.934065934065927</v>
      </c>
      <c r="BT48" s="243">
        <v>42592</v>
      </c>
      <c r="BU48" s="241">
        <v>19.890109890109891</v>
      </c>
      <c r="BV48" s="243">
        <v>42592</v>
      </c>
      <c r="BW48" s="241">
        <v>16.813186813186814</v>
      </c>
      <c r="BX48" s="243">
        <v>42592</v>
      </c>
      <c r="BY48" s="241"/>
      <c r="BZ48" s="241"/>
      <c r="CA48" s="241">
        <v>36.799999999999997</v>
      </c>
      <c r="CB48" s="243">
        <v>42592</v>
      </c>
      <c r="CC48" s="241"/>
      <c r="CD48" s="241"/>
      <c r="CF48" s="241"/>
    </row>
    <row r="49" spans="1:84" s="178" customFormat="1" ht="12">
      <c r="A49" s="232">
        <v>6</v>
      </c>
      <c r="B49" s="232" t="str">
        <f>VLOOKUP(A49,PlantMaterial!B:C,2,0)</f>
        <v>C03-AMQ0</v>
      </c>
      <c r="C49" s="238" t="s">
        <v>7690</v>
      </c>
      <c r="D49" s="232">
        <v>2</v>
      </c>
      <c r="E49" s="238" t="s">
        <v>7737</v>
      </c>
      <c r="F49" s="232">
        <v>4</v>
      </c>
      <c r="G49" s="232">
        <v>13</v>
      </c>
      <c r="H49" s="178">
        <v>136.5</v>
      </c>
      <c r="I49" s="238"/>
      <c r="M49" s="238">
        <v>2.98</v>
      </c>
      <c r="N49" s="239">
        <v>42586</v>
      </c>
      <c r="S49" s="178">
        <v>9.17</v>
      </c>
      <c r="T49" s="239">
        <v>42592</v>
      </c>
      <c r="U49" s="178">
        <v>13.5</v>
      </c>
      <c r="V49" s="239">
        <v>42586</v>
      </c>
      <c r="Y49" s="238">
        <v>4.0131899999999998</v>
      </c>
      <c r="Z49" s="239">
        <v>42592</v>
      </c>
      <c r="AA49" s="178">
        <v>45</v>
      </c>
      <c r="AB49" s="239">
        <v>42249</v>
      </c>
      <c r="AE49" s="238">
        <v>21.93</v>
      </c>
      <c r="AF49" s="239">
        <v>42586</v>
      </c>
      <c r="AI49" s="232">
        <v>135</v>
      </c>
      <c r="AJ49" s="239">
        <v>42507</v>
      </c>
      <c r="AK49" s="238">
        <v>9.6</v>
      </c>
      <c r="BG49" s="238">
        <v>-7.5</v>
      </c>
      <c r="BH49" s="239">
        <v>42592</v>
      </c>
      <c r="BM49" s="238">
        <v>60.2</v>
      </c>
      <c r="BN49" s="239">
        <v>42592</v>
      </c>
      <c r="BQ49" s="238">
        <v>11.6</v>
      </c>
      <c r="BR49" s="239">
        <v>42592</v>
      </c>
      <c r="BS49" s="238">
        <v>45.934065934065927</v>
      </c>
      <c r="BT49" s="239">
        <v>42592</v>
      </c>
      <c r="BU49" s="238">
        <v>20.109890109890109</v>
      </c>
      <c r="BV49" s="239">
        <v>42592</v>
      </c>
      <c r="BW49" s="238">
        <v>15.274725274725274</v>
      </c>
      <c r="BX49" s="239">
        <v>42592</v>
      </c>
      <c r="BY49" s="238"/>
      <c r="BZ49" s="238"/>
      <c r="CA49" s="238">
        <v>37.200000000000003</v>
      </c>
      <c r="CB49" s="239">
        <v>42592</v>
      </c>
      <c r="CC49" s="238"/>
      <c r="CD49" s="238"/>
      <c r="CF49" s="238"/>
    </row>
    <row r="50" spans="1:84" s="242" customFormat="1" ht="12">
      <c r="A50" s="240">
        <v>7</v>
      </c>
      <c r="B50" s="240" t="str">
        <f>VLOOKUP(A50,PlantMaterial!B:C,2,0)</f>
        <v>EXPRESS</v>
      </c>
      <c r="C50" s="241" t="s">
        <v>7690</v>
      </c>
      <c r="D50" s="240">
        <v>2</v>
      </c>
      <c r="E50" s="241" t="s">
        <v>7936</v>
      </c>
      <c r="F50" s="240">
        <v>4</v>
      </c>
      <c r="G50" s="240">
        <v>11</v>
      </c>
      <c r="H50" s="242">
        <v>115.5</v>
      </c>
      <c r="I50" s="241"/>
      <c r="M50" s="241">
        <v>2.37</v>
      </c>
      <c r="N50" s="243">
        <v>42586</v>
      </c>
      <c r="S50" s="242">
        <v>7.41</v>
      </c>
      <c r="T50" s="243">
        <v>42592</v>
      </c>
      <c r="U50" s="242">
        <v>13.5</v>
      </c>
      <c r="V50" s="243">
        <v>42586</v>
      </c>
      <c r="Y50" s="241">
        <v>3.0485000000000002</v>
      </c>
      <c r="Z50" s="243">
        <v>42592</v>
      </c>
      <c r="AA50" s="242">
        <v>45</v>
      </c>
      <c r="AB50" s="243">
        <v>42249</v>
      </c>
      <c r="AE50" s="241">
        <v>17.420000000000002</v>
      </c>
      <c r="AF50" s="243">
        <v>42586</v>
      </c>
      <c r="AI50" s="240">
        <v>140</v>
      </c>
      <c r="AJ50" s="243">
        <v>42507</v>
      </c>
      <c r="AK50" s="241">
        <v>9.6999999999999993</v>
      </c>
      <c r="BG50" s="241">
        <v>-8.1999999999999993</v>
      </c>
      <c r="BH50" s="243">
        <v>42592</v>
      </c>
      <c r="BM50" s="241">
        <v>61.6</v>
      </c>
      <c r="BN50" s="243">
        <v>42592</v>
      </c>
      <c r="BQ50" s="241">
        <v>10.5</v>
      </c>
      <c r="BR50" s="243">
        <v>42592</v>
      </c>
      <c r="BS50" s="241">
        <v>46.81318681318681</v>
      </c>
      <c r="BT50" s="243">
        <v>42592</v>
      </c>
      <c r="BU50" s="241">
        <v>19.23076923076923</v>
      </c>
      <c r="BV50" s="243">
        <v>42592</v>
      </c>
      <c r="BW50" s="241">
        <v>20.109890109890109</v>
      </c>
      <c r="BX50" s="243">
        <v>42592</v>
      </c>
      <c r="BY50" s="241"/>
      <c r="BZ50" s="241"/>
      <c r="CA50" s="241">
        <v>36.200000000000003</v>
      </c>
      <c r="CB50" s="243">
        <v>42592</v>
      </c>
      <c r="CC50" s="241"/>
      <c r="CD50" s="241"/>
      <c r="CF50" s="241"/>
    </row>
    <row r="51" spans="1:84" s="178" customFormat="1" ht="12">
      <c r="A51" s="232">
        <v>8</v>
      </c>
      <c r="B51" s="232" t="str">
        <f>VLOOKUP(A51,PlantMaterial!B:C,2,0)</f>
        <v>C03-AMQ1</v>
      </c>
      <c r="C51" s="238" t="s">
        <v>7690</v>
      </c>
      <c r="D51" s="232">
        <v>2</v>
      </c>
      <c r="E51" s="238" t="s">
        <v>7738</v>
      </c>
      <c r="F51" s="232">
        <v>3</v>
      </c>
      <c r="G51" s="232">
        <v>12</v>
      </c>
      <c r="H51" s="178">
        <v>126</v>
      </c>
      <c r="I51" s="238"/>
      <c r="M51" s="238">
        <v>2.73</v>
      </c>
      <c r="N51" s="239">
        <v>42586</v>
      </c>
      <c r="S51" s="178">
        <v>8.5299999999999994</v>
      </c>
      <c r="T51" s="239">
        <v>42592</v>
      </c>
      <c r="U51" s="178">
        <v>13.5</v>
      </c>
      <c r="V51" s="239">
        <v>42586</v>
      </c>
      <c r="Y51" s="238">
        <v>3.6180000000000003</v>
      </c>
      <c r="Z51" s="239">
        <v>42592</v>
      </c>
      <c r="AA51" s="178">
        <v>45</v>
      </c>
      <c r="AB51" s="239">
        <v>42249</v>
      </c>
      <c r="AE51" s="238">
        <v>20.100000000000001</v>
      </c>
      <c r="AF51" s="239">
        <v>42586</v>
      </c>
      <c r="AI51" s="232">
        <v>140</v>
      </c>
      <c r="AJ51" s="239">
        <v>42507</v>
      </c>
      <c r="AK51" s="238">
        <v>9.5</v>
      </c>
      <c r="BG51" s="238">
        <v>-6.1</v>
      </c>
      <c r="BH51" s="239">
        <v>42592</v>
      </c>
      <c r="BM51" s="238">
        <v>61.3</v>
      </c>
      <c r="BN51" s="239">
        <v>42592</v>
      </c>
      <c r="BQ51" s="238">
        <v>11.1</v>
      </c>
      <c r="BR51" s="239">
        <v>42592</v>
      </c>
      <c r="BS51" s="238">
        <v>46.593406593406591</v>
      </c>
      <c r="BT51" s="239">
        <v>42592</v>
      </c>
      <c r="BU51" s="238">
        <v>19.780219780219781</v>
      </c>
      <c r="BV51" s="239">
        <v>42592</v>
      </c>
      <c r="BW51" s="238">
        <v>13.846153846153845</v>
      </c>
      <c r="BX51" s="239">
        <v>42592</v>
      </c>
      <c r="BY51" s="238"/>
      <c r="BZ51" s="238"/>
      <c r="CA51" s="238">
        <v>37.1</v>
      </c>
      <c r="CB51" s="239">
        <v>42592</v>
      </c>
      <c r="CC51" s="238"/>
      <c r="CD51" s="238"/>
      <c r="CF51" s="238"/>
    </row>
    <row r="52" spans="1:84" s="178" customFormat="1" ht="12">
      <c r="A52" s="232">
        <v>9</v>
      </c>
      <c r="B52" s="232" t="str">
        <f>VLOOKUP(A52,PlantMaterial!B:C,2,0)</f>
        <v>C04-DKQ0</v>
      </c>
      <c r="C52" s="238" t="s">
        <v>7690</v>
      </c>
      <c r="D52" s="232">
        <v>2</v>
      </c>
      <c r="E52" s="238" t="s">
        <v>7739</v>
      </c>
      <c r="F52" s="232">
        <v>1</v>
      </c>
      <c r="G52" s="232">
        <v>11</v>
      </c>
      <c r="H52" s="178">
        <v>115.5</v>
      </c>
      <c r="I52" s="238"/>
      <c r="M52" s="238">
        <v>2.2400000000000002</v>
      </c>
      <c r="N52" s="239">
        <v>42586</v>
      </c>
      <c r="S52" s="178">
        <v>6.82</v>
      </c>
      <c r="T52" s="239">
        <v>42592</v>
      </c>
      <c r="U52" s="178">
        <v>13.5</v>
      </c>
      <c r="V52" s="239">
        <v>42586</v>
      </c>
      <c r="Y52" s="238">
        <v>2.9810700000000003</v>
      </c>
      <c r="Z52" s="239">
        <v>42592</v>
      </c>
      <c r="AA52" s="178">
        <v>45</v>
      </c>
      <c r="AB52" s="239">
        <v>42249</v>
      </c>
      <c r="AE52" s="238">
        <v>16.47</v>
      </c>
      <c r="AF52" s="239">
        <v>42586</v>
      </c>
      <c r="AI52" s="232">
        <v>140</v>
      </c>
      <c r="AJ52" s="239">
        <v>42507</v>
      </c>
      <c r="AK52" s="238">
        <v>9.6999999999999993</v>
      </c>
      <c r="BG52" s="238">
        <v>-6.9</v>
      </c>
      <c r="BH52" s="239">
        <v>42592</v>
      </c>
      <c r="BM52" s="238">
        <v>58.6</v>
      </c>
      <c r="BN52" s="239">
        <v>42592</v>
      </c>
      <c r="BQ52" s="238">
        <v>11.6</v>
      </c>
      <c r="BR52" s="239">
        <v>42592</v>
      </c>
      <c r="BS52" s="238">
        <v>45.494505494505489</v>
      </c>
      <c r="BT52" s="239">
        <v>42592</v>
      </c>
      <c r="BU52" s="238">
        <v>19.890109890109891</v>
      </c>
      <c r="BV52" s="239">
        <v>42592</v>
      </c>
      <c r="BW52" s="238">
        <v>16.373626373626372</v>
      </c>
      <c r="BX52" s="239">
        <v>42592</v>
      </c>
      <c r="BY52" s="238"/>
      <c r="BZ52" s="238"/>
      <c r="CA52" s="238">
        <v>36.4</v>
      </c>
      <c r="CB52" s="239">
        <v>42592</v>
      </c>
      <c r="CC52" s="238"/>
      <c r="CD52" s="238"/>
      <c r="CF52" s="238"/>
    </row>
    <row r="53" spans="1:84" s="178" customFormat="1" ht="12">
      <c r="A53" s="232">
        <v>10</v>
      </c>
      <c r="B53" s="232" t="str">
        <f>VLOOKUP(A53,PlantMaterial!B:C,2,0)</f>
        <v>C04-DKQ1</v>
      </c>
      <c r="C53" s="238" t="s">
        <v>7690</v>
      </c>
      <c r="D53" s="232">
        <v>2</v>
      </c>
      <c r="E53" s="238" t="s">
        <v>7740</v>
      </c>
      <c r="F53" s="232">
        <v>2</v>
      </c>
      <c r="G53" s="232">
        <v>12</v>
      </c>
      <c r="H53" s="178">
        <v>126</v>
      </c>
      <c r="I53" s="238"/>
      <c r="M53" s="238">
        <v>2.75</v>
      </c>
      <c r="N53" s="239">
        <v>42586</v>
      </c>
      <c r="S53" s="178">
        <v>8.5500000000000007</v>
      </c>
      <c r="T53" s="239">
        <v>42592</v>
      </c>
      <c r="U53" s="178">
        <v>13.5</v>
      </c>
      <c r="V53" s="239">
        <v>42586</v>
      </c>
      <c r="Y53" s="238">
        <v>3.7259999999999995</v>
      </c>
      <c r="Z53" s="239">
        <v>42592</v>
      </c>
      <c r="AA53" s="178">
        <v>45</v>
      </c>
      <c r="AB53" s="239">
        <v>42249</v>
      </c>
      <c r="AE53" s="238">
        <v>20.25</v>
      </c>
      <c r="AF53" s="239">
        <v>42586</v>
      </c>
      <c r="AI53" s="232">
        <v>140</v>
      </c>
      <c r="AJ53" s="239">
        <v>42507</v>
      </c>
      <c r="AK53" s="238">
        <v>9.6</v>
      </c>
      <c r="BG53" s="238">
        <v>-6.9</v>
      </c>
      <c r="BH53" s="239">
        <v>42592</v>
      </c>
      <c r="BM53" s="238">
        <v>60.6</v>
      </c>
      <c r="BN53" s="239">
        <v>42592</v>
      </c>
      <c r="BQ53" s="238">
        <v>11</v>
      </c>
      <c r="BR53" s="239">
        <v>42592</v>
      </c>
      <c r="BS53" s="238">
        <v>46.373626373626372</v>
      </c>
      <c r="BT53" s="239">
        <v>42592</v>
      </c>
      <c r="BU53" s="238">
        <v>20.219780219780219</v>
      </c>
      <c r="BV53" s="239">
        <v>42592</v>
      </c>
      <c r="BW53" s="238">
        <v>16.043956043956044</v>
      </c>
      <c r="BX53" s="239">
        <v>42592</v>
      </c>
      <c r="BY53" s="238"/>
      <c r="BZ53" s="238"/>
      <c r="CA53" s="238">
        <v>37.700000000000003</v>
      </c>
      <c r="CB53" s="239">
        <v>42592</v>
      </c>
      <c r="CC53" s="238"/>
      <c r="CD53" s="238"/>
      <c r="CF53" s="238"/>
    </row>
    <row r="54" spans="1:84" s="178" customFormat="1" ht="12">
      <c r="A54" s="232">
        <v>11</v>
      </c>
      <c r="B54" s="232" t="str">
        <f>VLOOKUP(A54,PlantMaterial!B:C,2,0)</f>
        <v>AM087</v>
      </c>
      <c r="C54" s="238" t="s">
        <v>7690</v>
      </c>
      <c r="D54" s="232">
        <v>2</v>
      </c>
      <c r="E54" s="238" t="s">
        <v>7741</v>
      </c>
      <c r="F54" s="232">
        <v>6</v>
      </c>
      <c r="G54" s="232">
        <v>13</v>
      </c>
      <c r="H54" s="178">
        <v>136.5</v>
      </c>
      <c r="I54" s="238"/>
      <c r="M54" s="238">
        <v>3.41</v>
      </c>
      <c r="N54" s="239">
        <v>42586</v>
      </c>
      <c r="S54" s="178">
        <v>10.74</v>
      </c>
      <c r="T54" s="239">
        <v>42592</v>
      </c>
      <c r="U54" s="178">
        <v>13.5</v>
      </c>
      <c r="V54" s="239">
        <v>42586</v>
      </c>
      <c r="Y54" s="238">
        <v>4.3569599999999999</v>
      </c>
      <c r="Z54" s="239">
        <v>42592</v>
      </c>
      <c r="AA54" s="178">
        <v>45</v>
      </c>
      <c r="AB54" s="239">
        <v>42249</v>
      </c>
      <c r="AE54" s="238">
        <v>25.04</v>
      </c>
      <c r="AF54" s="239">
        <v>42586</v>
      </c>
      <c r="AI54" s="232">
        <v>135</v>
      </c>
      <c r="AJ54" s="239">
        <v>42507</v>
      </c>
      <c r="AK54" s="238">
        <v>9.8000000000000007</v>
      </c>
      <c r="BG54" s="238">
        <v>-6.6</v>
      </c>
      <c r="BH54" s="239">
        <v>42592</v>
      </c>
      <c r="BM54" s="238">
        <v>62.8</v>
      </c>
      <c r="BN54" s="239">
        <v>42592</v>
      </c>
      <c r="BQ54" s="238">
        <v>10.7</v>
      </c>
      <c r="BR54" s="239">
        <v>42592</v>
      </c>
      <c r="BS54" s="238">
        <v>47.142857142857139</v>
      </c>
      <c r="BT54" s="239">
        <v>42592</v>
      </c>
      <c r="BU54" s="238">
        <v>19.120879120879117</v>
      </c>
      <c r="BV54" s="239">
        <v>42592</v>
      </c>
      <c r="BW54" s="238">
        <v>17.58241758241758</v>
      </c>
      <c r="BX54" s="239">
        <v>42592</v>
      </c>
      <c r="BY54" s="238"/>
      <c r="BZ54" s="238"/>
      <c r="CA54" s="238">
        <v>36.200000000000003</v>
      </c>
      <c r="CB54" s="239">
        <v>42592</v>
      </c>
      <c r="CC54" s="238"/>
      <c r="CD54" s="238"/>
      <c r="CF54" s="238"/>
    </row>
    <row r="55" spans="1:84" s="178" customFormat="1" ht="12">
      <c r="A55" s="232">
        <v>12</v>
      </c>
      <c r="B55" s="232" t="str">
        <f>VLOOKUP(A55,PlantMaterial!B:C,2,0)</f>
        <v>AVISO</v>
      </c>
      <c r="C55" s="238" t="s">
        <v>7690</v>
      </c>
      <c r="D55" s="232">
        <v>2</v>
      </c>
      <c r="E55" s="238" t="s">
        <v>7742</v>
      </c>
      <c r="F55" s="232">
        <v>3</v>
      </c>
      <c r="G55" s="232">
        <v>14</v>
      </c>
      <c r="H55" s="178">
        <v>147</v>
      </c>
      <c r="I55" s="238"/>
      <c r="M55" s="238">
        <v>2.85</v>
      </c>
      <c r="N55" s="239">
        <v>42586</v>
      </c>
      <c r="S55" s="178">
        <v>8.84</v>
      </c>
      <c r="T55" s="239">
        <v>42592</v>
      </c>
      <c r="U55" s="178">
        <v>13.5</v>
      </c>
      <c r="V55" s="239">
        <v>42586</v>
      </c>
      <c r="Y55" s="238">
        <v>3.6907200000000002</v>
      </c>
      <c r="Z55" s="239">
        <v>42592</v>
      </c>
      <c r="AA55" s="178">
        <v>45</v>
      </c>
      <c r="AB55" s="239">
        <v>42249</v>
      </c>
      <c r="AE55" s="238">
        <v>20.97</v>
      </c>
      <c r="AF55" s="239">
        <v>42586</v>
      </c>
      <c r="AI55" s="232">
        <v>145</v>
      </c>
      <c r="AJ55" s="239">
        <v>42507</v>
      </c>
      <c r="AK55" s="238">
        <v>9.6</v>
      </c>
      <c r="BG55" s="238">
        <v>-8.3000000000000007</v>
      </c>
      <c r="BH55" s="239">
        <v>42592</v>
      </c>
      <c r="BM55" s="238">
        <v>60.3</v>
      </c>
      <c r="BN55" s="239">
        <v>42592</v>
      </c>
      <c r="BQ55" s="238">
        <v>11.4</v>
      </c>
      <c r="BR55" s="239">
        <v>42592</v>
      </c>
      <c r="BS55" s="238">
        <v>46.373626373626372</v>
      </c>
      <c r="BT55" s="239">
        <v>42592</v>
      </c>
      <c r="BU55" s="238">
        <v>19.340659340659343</v>
      </c>
      <c r="BV55" s="239">
        <v>42592</v>
      </c>
      <c r="BW55" s="238">
        <v>15.604395604395602</v>
      </c>
      <c r="BX55" s="239">
        <v>42592</v>
      </c>
      <c r="BY55" s="238"/>
      <c r="BZ55" s="238"/>
      <c r="CA55" s="238">
        <v>36</v>
      </c>
      <c r="CB55" s="239">
        <v>42592</v>
      </c>
      <c r="CC55" s="238"/>
      <c r="CD55" s="238"/>
      <c r="CF55" s="238"/>
    </row>
    <row r="56" spans="1:84" s="178" customFormat="1" ht="12">
      <c r="A56" s="232">
        <v>13</v>
      </c>
      <c r="B56" s="232" t="str">
        <f>VLOOKUP(A56,PlantMaterial!B:C,2,0)</f>
        <v>AM109</v>
      </c>
      <c r="C56" s="238" t="s">
        <v>7690</v>
      </c>
      <c r="D56" s="232">
        <v>2</v>
      </c>
      <c r="E56" s="238" t="s">
        <v>7743</v>
      </c>
      <c r="F56" s="232">
        <v>2</v>
      </c>
      <c r="G56" s="232">
        <v>8</v>
      </c>
      <c r="H56" s="178">
        <v>84</v>
      </c>
      <c r="I56" s="238"/>
      <c r="M56" s="238">
        <v>3.71</v>
      </c>
      <c r="N56" s="239">
        <v>42586</v>
      </c>
      <c r="S56" s="178">
        <v>11.57</v>
      </c>
      <c r="T56" s="239">
        <v>42592</v>
      </c>
      <c r="U56" s="178">
        <v>13.5</v>
      </c>
      <c r="V56" s="239">
        <v>42586</v>
      </c>
      <c r="Y56" s="238">
        <v>4.8849099999999996</v>
      </c>
      <c r="Z56" s="239">
        <v>42592</v>
      </c>
      <c r="AA56" s="178">
        <v>45</v>
      </c>
      <c r="AB56" s="239">
        <v>42249</v>
      </c>
      <c r="AE56" s="238">
        <v>27.29</v>
      </c>
      <c r="AF56" s="239">
        <v>42586</v>
      </c>
      <c r="AI56" s="232">
        <v>130</v>
      </c>
      <c r="AJ56" s="239">
        <v>42507</v>
      </c>
      <c r="AK56" s="238">
        <v>9.6</v>
      </c>
      <c r="BG56" s="238">
        <v>-8.1999999999999993</v>
      </c>
      <c r="BH56" s="239">
        <v>42592</v>
      </c>
      <c r="BM56" s="238">
        <v>59.2</v>
      </c>
      <c r="BN56" s="239">
        <v>42592</v>
      </c>
      <c r="BQ56" s="238">
        <v>11.9</v>
      </c>
      <c r="BR56" s="239">
        <v>42592</v>
      </c>
      <c r="BS56" s="238">
        <v>46.593406593406591</v>
      </c>
      <c r="BT56" s="239">
        <v>42592</v>
      </c>
      <c r="BU56" s="238">
        <v>19.670329670329668</v>
      </c>
      <c r="BV56" s="239">
        <v>42592</v>
      </c>
      <c r="BW56" s="238">
        <v>11.758241758241757</v>
      </c>
      <c r="BX56" s="239">
        <v>42592</v>
      </c>
      <c r="BY56" s="238"/>
      <c r="BZ56" s="238"/>
      <c r="CA56" s="238">
        <v>36.799999999999997</v>
      </c>
      <c r="CB56" s="239">
        <v>42592</v>
      </c>
      <c r="CC56" s="238"/>
      <c r="CD56" s="238"/>
      <c r="CF56" s="238"/>
    </row>
    <row r="57" spans="1:84" s="178" customFormat="1" ht="12">
      <c r="A57" s="232">
        <v>14</v>
      </c>
      <c r="B57" s="232" t="str">
        <f>VLOOKUP(A57,PlantMaterial!B:C,2,0)</f>
        <v>MONTEGO</v>
      </c>
      <c r="C57" s="238" t="s">
        <v>7690</v>
      </c>
      <c r="D57" s="232">
        <v>2</v>
      </c>
      <c r="E57" s="238" t="s">
        <v>7744</v>
      </c>
      <c r="F57" s="232">
        <v>5</v>
      </c>
      <c r="G57" s="232">
        <v>9</v>
      </c>
      <c r="H57" s="178">
        <v>94.5</v>
      </c>
      <c r="I57" s="238" t="s">
        <v>7720</v>
      </c>
      <c r="J57" s="239">
        <v>42430</v>
      </c>
      <c r="M57" s="238">
        <v>2.98</v>
      </c>
      <c r="N57" s="239">
        <v>42586</v>
      </c>
      <c r="S57" s="178">
        <v>9.08</v>
      </c>
      <c r="T57" s="239">
        <v>42592</v>
      </c>
      <c r="U57" s="178">
        <v>13.5</v>
      </c>
      <c r="V57" s="239">
        <v>42586</v>
      </c>
      <c r="Y57" s="238">
        <v>4.1265999999999998</v>
      </c>
      <c r="Z57" s="239">
        <v>42592</v>
      </c>
      <c r="AA57" s="178">
        <v>45</v>
      </c>
      <c r="AB57" s="239">
        <v>42249</v>
      </c>
      <c r="AE57" s="238">
        <v>21.95</v>
      </c>
      <c r="AF57" s="239">
        <v>42586</v>
      </c>
      <c r="AI57" s="232">
        <v>130</v>
      </c>
      <c r="AJ57" s="239">
        <v>42507</v>
      </c>
      <c r="AK57" s="238">
        <v>9.5</v>
      </c>
      <c r="BG57" s="238">
        <v>-8.1</v>
      </c>
      <c r="BH57" s="239">
        <v>42592</v>
      </c>
      <c r="BM57" s="238">
        <v>60.4</v>
      </c>
      <c r="BN57" s="239">
        <v>42592</v>
      </c>
      <c r="BQ57" s="238">
        <v>11.3</v>
      </c>
      <c r="BR57" s="239">
        <v>42592</v>
      </c>
      <c r="BS57" s="238">
        <v>45.494505494505489</v>
      </c>
      <c r="BT57" s="239">
        <v>42592</v>
      </c>
      <c r="BU57" s="238">
        <v>20.659340659340661</v>
      </c>
      <c r="BV57" s="239">
        <v>42592</v>
      </c>
      <c r="BW57" s="238">
        <v>16.923076923076923</v>
      </c>
      <c r="BX57" s="239">
        <v>42592</v>
      </c>
      <c r="BY57" s="238"/>
      <c r="BZ57" s="238"/>
      <c r="CA57" s="238">
        <v>38</v>
      </c>
      <c r="CB57" s="239">
        <v>42592</v>
      </c>
      <c r="CC57" s="238"/>
      <c r="CD57" s="238"/>
      <c r="CF57" s="238"/>
    </row>
    <row r="58" spans="1:84" s="178" customFormat="1" ht="12">
      <c r="A58" s="232">
        <v>15</v>
      </c>
      <c r="B58" s="232" t="str">
        <f>VLOOKUP(A58,PlantMaterial!B:C,2,0)</f>
        <v>DK038</v>
      </c>
      <c r="C58" s="238" t="s">
        <v>7690</v>
      </c>
      <c r="D58" s="232">
        <v>2</v>
      </c>
      <c r="E58" s="238" t="s">
        <v>7745</v>
      </c>
      <c r="F58" s="232">
        <v>5</v>
      </c>
      <c r="G58" s="232">
        <v>11</v>
      </c>
      <c r="H58" s="178">
        <v>115.5</v>
      </c>
      <c r="I58" s="238"/>
      <c r="M58" s="238">
        <v>2.37</v>
      </c>
      <c r="N58" s="239">
        <v>42586</v>
      </c>
      <c r="S58" s="178">
        <v>7.52</v>
      </c>
      <c r="T58" s="239">
        <v>42592</v>
      </c>
      <c r="U58" s="178">
        <v>13.5</v>
      </c>
      <c r="V58" s="239">
        <v>42586</v>
      </c>
      <c r="Y58" s="238">
        <v>3.0415199999999998</v>
      </c>
      <c r="Z58" s="239">
        <v>42592</v>
      </c>
      <c r="AA58" s="178">
        <v>45</v>
      </c>
      <c r="AB58" s="239">
        <v>42249</v>
      </c>
      <c r="AE58" s="238">
        <v>17.48</v>
      </c>
      <c r="AF58" s="239">
        <v>42586</v>
      </c>
      <c r="AI58" s="232">
        <v>140</v>
      </c>
      <c r="AJ58" s="239">
        <v>42507</v>
      </c>
      <c r="AK58" s="238">
        <v>9.4</v>
      </c>
      <c r="BG58" s="238">
        <v>-7.7</v>
      </c>
      <c r="BH58" s="239">
        <v>42592</v>
      </c>
      <c r="BM58" s="238">
        <v>61.7</v>
      </c>
      <c r="BN58" s="239">
        <v>42592</v>
      </c>
      <c r="BQ58" s="238">
        <v>10.5</v>
      </c>
      <c r="BR58" s="239">
        <v>42592</v>
      </c>
      <c r="BS58" s="238">
        <v>47.252747252747248</v>
      </c>
      <c r="BT58" s="239">
        <v>42592</v>
      </c>
      <c r="BU58" s="238">
        <v>19.120879120879117</v>
      </c>
      <c r="BV58" s="239">
        <v>42592</v>
      </c>
      <c r="BW58" s="238">
        <v>15.494505494505493</v>
      </c>
      <c r="BX58" s="239">
        <v>42592</v>
      </c>
      <c r="BY58" s="238"/>
      <c r="BZ58" s="238"/>
      <c r="CA58" s="238">
        <v>36.200000000000003</v>
      </c>
      <c r="CB58" s="239">
        <v>42592</v>
      </c>
      <c r="CC58" s="238"/>
      <c r="CD58" s="238"/>
      <c r="CF58" s="238"/>
    </row>
    <row r="59" spans="1:84" s="178" customFormat="1" ht="12">
      <c r="A59" s="232">
        <v>16</v>
      </c>
      <c r="B59" s="232" t="str">
        <f>VLOOKUP(A59,PlantMaterial!B:C,2,0)</f>
        <v>TENOR</v>
      </c>
      <c r="C59" s="238" t="s">
        <v>7690</v>
      </c>
      <c r="D59" s="232">
        <v>2</v>
      </c>
      <c r="E59" s="238" t="s">
        <v>7746</v>
      </c>
      <c r="F59" s="232">
        <v>2</v>
      </c>
      <c r="G59" s="232">
        <v>10</v>
      </c>
      <c r="H59" s="178">
        <v>105</v>
      </c>
      <c r="I59" s="238" t="s">
        <v>7734</v>
      </c>
      <c r="J59" s="239">
        <v>42430</v>
      </c>
      <c r="M59" s="238">
        <v>2.59</v>
      </c>
      <c r="N59" s="239">
        <v>42586</v>
      </c>
      <c r="S59" s="178">
        <v>8.33</v>
      </c>
      <c r="T59" s="239">
        <v>42592</v>
      </c>
      <c r="U59" s="178">
        <v>13.5</v>
      </c>
      <c r="V59" s="239">
        <v>42586</v>
      </c>
      <c r="Y59" s="238">
        <v>3.30084</v>
      </c>
      <c r="Z59" s="239">
        <v>42592</v>
      </c>
      <c r="AA59" s="178">
        <v>45</v>
      </c>
      <c r="AB59" s="239">
        <v>42249</v>
      </c>
      <c r="AE59" s="238">
        <v>19.079999999999998</v>
      </c>
      <c r="AF59" s="239">
        <v>42586</v>
      </c>
      <c r="AI59" s="232">
        <v>150</v>
      </c>
      <c r="AJ59" s="239">
        <v>42507</v>
      </c>
      <c r="AK59" s="238">
        <v>9.5</v>
      </c>
      <c r="BG59" s="238">
        <v>-6.3</v>
      </c>
      <c r="BH59" s="239">
        <v>42592</v>
      </c>
      <c r="BM59" s="238">
        <v>60</v>
      </c>
      <c r="BN59" s="239">
        <v>42592</v>
      </c>
      <c r="BQ59" s="238">
        <v>11.7</v>
      </c>
      <c r="BR59" s="239">
        <v>42592</v>
      </c>
      <c r="BS59" s="238">
        <v>48.021978021978022</v>
      </c>
      <c r="BT59" s="239">
        <v>42592</v>
      </c>
      <c r="BU59" s="238">
        <v>19.010989010989011</v>
      </c>
      <c r="BV59" s="239">
        <v>42592</v>
      </c>
      <c r="BW59" s="238">
        <v>18.241758241758244</v>
      </c>
      <c r="BX59" s="239">
        <v>42592</v>
      </c>
      <c r="BY59" s="238"/>
      <c r="BZ59" s="238"/>
      <c r="CA59" s="238">
        <v>36.5</v>
      </c>
      <c r="CB59" s="239">
        <v>42592</v>
      </c>
      <c r="CC59" s="238"/>
      <c r="CD59" s="238"/>
      <c r="CF59" s="238"/>
    </row>
    <row r="60" spans="1:84" s="178" customFormat="1" ht="12">
      <c r="A60" s="232">
        <v>17</v>
      </c>
      <c r="B60" s="232" t="str">
        <f>VLOOKUP(A60,PlantMaterial!B:C,2,0)</f>
        <v>EXL4816</v>
      </c>
      <c r="C60" s="238" t="s">
        <v>7690</v>
      </c>
      <c r="D60" s="232">
        <v>2</v>
      </c>
      <c r="E60" s="238" t="s">
        <v>7747</v>
      </c>
      <c r="F60" s="232">
        <v>6</v>
      </c>
      <c r="G60" s="232">
        <v>10</v>
      </c>
      <c r="H60" s="178">
        <v>105</v>
      </c>
      <c r="I60" s="238"/>
      <c r="M60" s="238">
        <v>4.21</v>
      </c>
      <c r="N60" s="239">
        <v>42586</v>
      </c>
      <c r="S60" s="178">
        <v>13.13</v>
      </c>
      <c r="T60" s="239">
        <v>42592</v>
      </c>
      <c r="U60" s="178">
        <v>13.5</v>
      </c>
      <c r="V60" s="239">
        <v>42586</v>
      </c>
      <c r="Y60" s="238">
        <v>5.3233999999999995</v>
      </c>
      <c r="Z60" s="239">
        <v>42592</v>
      </c>
      <c r="AA60" s="178">
        <v>45</v>
      </c>
      <c r="AB60" s="239">
        <v>42249</v>
      </c>
      <c r="AE60" s="238">
        <v>30.95</v>
      </c>
      <c r="AF60" s="239">
        <v>42586</v>
      </c>
      <c r="AI60" s="232">
        <v>150</v>
      </c>
      <c r="AJ60" s="239">
        <v>42507</v>
      </c>
      <c r="AK60" s="238">
        <v>9.6999999999999993</v>
      </c>
      <c r="BG60" s="238">
        <v>-7.5</v>
      </c>
      <c r="BH60" s="239">
        <v>42592</v>
      </c>
      <c r="BM60" s="238">
        <v>60.1</v>
      </c>
      <c r="BN60" s="239">
        <v>42592</v>
      </c>
      <c r="BQ60" s="238">
        <v>11.4</v>
      </c>
      <c r="BR60" s="239">
        <v>42592</v>
      </c>
      <c r="BS60" s="238">
        <v>46.593406593406591</v>
      </c>
      <c r="BT60" s="239">
        <v>42592</v>
      </c>
      <c r="BU60" s="238">
        <v>18.901098901098898</v>
      </c>
      <c r="BV60" s="239">
        <v>42592</v>
      </c>
      <c r="BW60" s="238">
        <v>14.175824175824175</v>
      </c>
      <c r="BX60" s="239">
        <v>42592</v>
      </c>
      <c r="BY60" s="238"/>
      <c r="BZ60" s="238"/>
      <c r="CA60" s="238">
        <v>35.4</v>
      </c>
      <c r="CB60" s="239">
        <v>42592</v>
      </c>
      <c r="CC60" s="238"/>
      <c r="CD60" s="238"/>
      <c r="CF60" s="238"/>
    </row>
    <row r="61" spans="1:84" s="178" customFormat="1" ht="12">
      <c r="A61" s="232">
        <v>18</v>
      </c>
      <c r="B61" s="232" t="str">
        <f>VLOOKUP(A61,PlantMaterial!B:C,2,0)</f>
        <v>EXPRESS</v>
      </c>
      <c r="C61" s="238" t="s">
        <v>7690</v>
      </c>
      <c r="D61" s="232">
        <v>2</v>
      </c>
      <c r="E61" s="238" t="s">
        <v>7748</v>
      </c>
      <c r="F61" s="232">
        <v>2</v>
      </c>
      <c r="G61" s="232">
        <v>14</v>
      </c>
      <c r="H61" s="178">
        <v>147</v>
      </c>
      <c r="I61" s="238"/>
      <c r="M61" s="238">
        <v>2.4</v>
      </c>
      <c r="N61" s="239">
        <v>42586</v>
      </c>
      <c r="S61" s="178">
        <v>7.28</v>
      </c>
      <c r="T61" s="239">
        <v>42592</v>
      </c>
      <c r="U61" s="178">
        <v>13.5</v>
      </c>
      <c r="V61" s="239">
        <v>42586</v>
      </c>
      <c r="Y61" s="238">
        <v>3.3673299999999999</v>
      </c>
      <c r="Z61" s="239">
        <v>42592</v>
      </c>
      <c r="AA61" s="178">
        <v>45</v>
      </c>
      <c r="AB61" s="239">
        <v>42249</v>
      </c>
      <c r="AE61" s="238">
        <v>17.63</v>
      </c>
      <c r="AF61" s="239">
        <v>42586</v>
      </c>
      <c r="AI61" s="232">
        <v>145</v>
      </c>
      <c r="AJ61" s="239">
        <v>42507</v>
      </c>
      <c r="AK61" s="238">
        <v>9.8000000000000007</v>
      </c>
      <c r="BG61" s="238">
        <v>-7.2</v>
      </c>
      <c r="BH61" s="239">
        <v>42592</v>
      </c>
      <c r="BM61" s="238">
        <v>61.2</v>
      </c>
      <c r="BN61" s="239">
        <v>42592</v>
      </c>
      <c r="BQ61" s="238">
        <v>10.9</v>
      </c>
      <c r="BR61" s="239">
        <v>42592</v>
      </c>
      <c r="BS61" s="238">
        <v>45.38461538461538</v>
      </c>
      <c r="BT61" s="239">
        <v>42592</v>
      </c>
      <c r="BU61" s="238">
        <v>20.989010989010989</v>
      </c>
      <c r="BV61" s="239">
        <v>42592</v>
      </c>
      <c r="BW61" s="238">
        <v>18.571428571428569</v>
      </c>
      <c r="BX61" s="239">
        <v>42592</v>
      </c>
      <c r="BY61" s="238"/>
      <c r="BZ61" s="238"/>
      <c r="CA61" s="238">
        <v>38.5</v>
      </c>
      <c r="CB61" s="239">
        <v>42592</v>
      </c>
      <c r="CC61" s="238"/>
      <c r="CD61" s="238"/>
      <c r="CF61" s="238"/>
    </row>
    <row r="62" spans="1:84" s="178" customFormat="1" ht="12">
      <c r="A62" s="232">
        <v>19</v>
      </c>
      <c r="B62" s="232" t="str">
        <f>VLOOKUP(A62,PlantMaterial!B:C,2,0)</f>
        <v>EXL3155</v>
      </c>
      <c r="C62" s="238" t="s">
        <v>7690</v>
      </c>
      <c r="D62" s="232">
        <v>2</v>
      </c>
      <c r="E62" s="238" t="s">
        <v>7749</v>
      </c>
      <c r="F62" s="232">
        <v>2</v>
      </c>
      <c r="G62" s="232">
        <v>9</v>
      </c>
      <c r="H62" s="178">
        <v>94.5</v>
      </c>
      <c r="I62" s="238"/>
      <c r="M62" s="238">
        <v>3.25</v>
      </c>
      <c r="N62" s="239">
        <v>42586</v>
      </c>
      <c r="S62" s="178">
        <v>10.210000000000001</v>
      </c>
      <c r="T62" s="239">
        <v>42592</v>
      </c>
      <c r="U62" s="178">
        <v>13.5</v>
      </c>
      <c r="V62" s="239">
        <v>42586</v>
      </c>
      <c r="Y62" s="238">
        <v>4.3791900000000004</v>
      </c>
      <c r="Z62" s="239">
        <v>42592</v>
      </c>
      <c r="AA62" s="178">
        <v>45</v>
      </c>
      <c r="AB62" s="239">
        <v>42249</v>
      </c>
      <c r="AE62" s="238">
        <v>23.93</v>
      </c>
      <c r="AF62" s="239">
        <v>42586</v>
      </c>
      <c r="AI62" s="232">
        <v>145</v>
      </c>
      <c r="AJ62" s="239">
        <v>42507</v>
      </c>
      <c r="AK62" s="238">
        <v>9.5</v>
      </c>
      <c r="BG62" s="238">
        <v>-8.5</v>
      </c>
      <c r="BH62" s="239">
        <v>42592</v>
      </c>
      <c r="BM62" s="238">
        <v>59.8</v>
      </c>
      <c r="BN62" s="239">
        <v>42592</v>
      </c>
      <c r="BQ62" s="238">
        <v>12.1</v>
      </c>
      <c r="BR62" s="239">
        <v>42592</v>
      </c>
      <c r="BS62" s="238">
        <v>46.923076923076927</v>
      </c>
      <c r="BT62" s="239">
        <v>42592</v>
      </c>
      <c r="BU62" s="238">
        <v>20.109890109890109</v>
      </c>
      <c r="BV62" s="239">
        <v>42592</v>
      </c>
      <c r="BW62" s="238">
        <v>16.703296703296701</v>
      </c>
      <c r="BX62" s="239">
        <v>42592</v>
      </c>
      <c r="BY62" s="238"/>
      <c r="BZ62" s="238"/>
      <c r="CA62" s="238">
        <v>37.799999999999997</v>
      </c>
      <c r="CB62" s="239">
        <v>42592</v>
      </c>
      <c r="CC62" s="238"/>
      <c r="CD62" s="238"/>
      <c r="CF62" s="238"/>
    </row>
    <row r="63" spans="1:84" s="178" customFormat="1" ht="12">
      <c r="A63" s="232">
        <v>20</v>
      </c>
      <c r="B63" s="232" t="str">
        <f>VLOOKUP(A63,PlantMaterial!B:C,2,0)</f>
        <v>C03-1ESQ0</v>
      </c>
      <c r="C63" s="238" t="s">
        <v>7690</v>
      </c>
      <c r="D63" s="232">
        <v>2</v>
      </c>
      <c r="E63" s="238" t="s">
        <v>7750</v>
      </c>
      <c r="F63" s="232">
        <v>6</v>
      </c>
      <c r="G63" s="232">
        <v>14</v>
      </c>
      <c r="H63" s="178">
        <v>147</v>
      </c>
      <c r="I63" s="238"/>
      <c r="M63" s="238">
        <v>3.8</v>
      </c>
      <c r="N63" s="239">
        <v>42586</v>
      </c>
      <c r="S63" s="178">
        <v>11.93</v>
      </c>
      <c r="T63" s="239">
        <v>42592</v>
      </c>
      <c r="U63" s="178">
        <v>13.5</v>
      </c>
      <c r="V63" s="239">
        <v>42586</v>
      </c>
      <c r="Y63" s="238">
        <v>4.8667799999999994</v>
      </c>
      <c r="Z63" s="239">
        <v>42592</v>
      </c>
      <c r="AA63" s="178">
        <v>45</v>
      </c>
      <c r="AB63" s="239">
        <v>42249</v>
      </c>
      <c r="AE63" s="238">
        <v>27.97</v>
      </c>
      <c r="AF63" s="239">
        <v>42586</v>
      </c>
      <c r="AI63" s="232">
        <v>145</v>
      </c>
      <c r="AJ63" s="239">
        <v>42507</v>
      </c>
      <c r="AK63" s="238">
        <v>9.6</v>
      </c>
      <c r="BG63" s="238">
        <v>-8.6</v>
      </c>
      <c r="BH63" s="239">
        <v>42592</v>
      </c>
      <c r="BM63" s="238">
        <v>62.2</v>
      </c>
      <c r="BN63" s="239">
        <v>42592</v>
      </c>
      <c r="BQ63" s="238">
        <v>10.9</v>
      </c>
      <c r="BR63" s="239">
        <v>42592</v>
      </c>
      <c r="BS63" s="238">
        <v>46.923076923076927</v>
      </c>
      <c r="BT63" s="239">
        <v>42592</v>
      </c>
      <c r="BU63" s="238">
        <v>19.120879120879117</v>
      </c>
      <c r="BV63" s="239">
        <v>42592</v>
      </c>
      <c r="BW63" s="238">
        <v>14.835164835164834</v>
      </c>
      <c r="BX63" s="239">
        <v>42592</v>
      </c>
      <c r="BY63" s="238"/>
      <c r="BZ63" s="238"/>
      <c r="CA63" s="238">
        <v>35.9</v>
      </c>
      <c r="CB63" s="239">
        <v>42592</v>
      </c>
      <c r="CC63" s="238"/>
      <c r="CD63" s="238"/>
      <c r="CF63" s="238"/>
    </row>
    <row r="64" spans="1:84" s="178" customFormat="1" ht="12">
      <c r="A64" s="232">
        <v>21</v>
      </c>
      <c r="B64" s="232" t="str">
        <f>VLOOKUP(A64,PlantMaterial!B:C,2,0)</f>
        <v>C03-1ESQ1</v>
      </c>
      <c r="C64" s="238" t="s">
        <v>7690</v>
      </c>
      <c r="D64" s="232">
        <v>2</v>
      </c>
      <c r="E64" s="238" t="s">
        <v>7751</v>
      </c>
      <c r="F64" s="232">
        <v>1</v>
      </c>
      <c r="G64" s="232">
        <v>12</v>
      </c>
      <c r="H64" s="178">
        <v>126</v>
      </c>
      <c r="I64" s="238"/>
      <c r="M64" s="238">
        <v>3.49</v>
      </c>
      <c r="N64" s="239">
        <v>42586</v>
      </c>
      <c r="S64" s="178">
        <v>10.51</v>
      </c>
      <c r="T64" s="239">
        <v>42592</v>
      </c>
      <c r="U64" s="178">
        <v>13.5</v>
      </c>
      <c r="V64" s="239">
        <v>42586</v>
      </c>
      <c r="Y64" s="238">
        <v>4.7214399999999994</v>
      </c>
      <c r="Z64" s="239">
        <v>42592</v>
      </c>
      <c r="AA64" s="178">
        <v>45</v>
      </c>
      <c r="AB64" s="239">
        <v>42249</v>
      </c>
      <c r="AE64" s="238">
        <v>25.66</v>
      </c>
      <c r="AF64" s="239">
        <v>42586</v>
      </c>
      <c r="AI64" s="232">
        <v>140</v>
      </c>
      <c r="AJ64" s="239">
        <v>42507</v>
      </c>
      <c r="AK64" s="238">
        <v>9.6999999999999993</v>
      </c>
      <c r="BG64" s="238">
        <v>-7</v>
      </c>
      <c r="BH64" s="239">
        <v>42592</v>
      </c>
      <c r="BM64" s="238">
        <v>59.8</v>
      </c>
      <c r="BN64" s="239">
        <v>42592</v>
      </c>
      <c r="BQ64" s="238">
        <v>11.7</v>
      </c>
      <c r="BR64" s="239">
        <v>42592</v>
      </c>
      <c r="BS64" s="238">
        <v>45.054945054945051</v>
      </c>
      <c r="BT64" s="239">
        <v>42592</v>
      </c>
      <c r="BU64" s="238">
        <v>20.219780219780219</v>
      </c>
      <c r="BV64" s="239">
        <v>42592</v>
      </c>
      <c r="BW64" s="238">
        <v>16.263736263736263</v>
      </c>
      <c r="BX64" s="239">
        <v>42592</v>
      </c>
      <c r="BY64" s="238"/>
      <c r="BZ64" s="238"/>
      <c r="CA64" s="238">
        <v>36.700000000000003</v>
      </c>
      <c r="CB64" s="239">
        <v>42592</v>
      </c>
      <c r="CC64" s="238"/>
      <c r="CD64" s="238"/>
      <c r="CF64" s="238"/>
    </row>
    <row r="65" spans="1:84" s="178" customFormat="1" ht="12">
      <c r="A65" s="232">
        <v>22</v>
      </c>
      <c r="B65" s="232" t="str">
        <f>VLOOKUP(A65,PlantMaterial!B:C,2,0)</f>
        <v>C04-1ESQ0</v>
      </c>
      <c r="C65" s="238" t="s">
        <v>7690</v>
      </c>
      <c r="D65" s="232">
        <v>2</v>
      </c>
      <c r="E65" s="238" t="s">
        <v>7752</v>
      </c>
      <c r="F65" s="232">
        <v>4</v>
      </c>
      <c r="G65" s="232">
        <v>12</v>
      </c>
      <c r="H65" s="178">
        <v>126</v>
      </c>
      <c r="I65" s="238"/>
      <c r="M65" s="238">
        <v>2.99</v>
      </c>
      <c r="N65" s="239">
        <v>42586</v>
      </c>
      <c r="S65" s="178">
        <v>9.18</v>
      </c>
      <c r="T65" s="239">
        <v>42592</v>
      </c>
      <c r="U65" s="178">
        <v>13.5</v>
      </c>
      <c r="V65" s="239">
        <v>42586</v>
      </c>
      <c r="Y65" s="238">
        <v>3.9636</v>
      </c>
      <c r="Z65" s="239">
        <v>42592</v>
      </c>
      <c r="AA65" s="178">
        <v>45</v>
      </c>
      <c r="AB65" s="239">
        <v>42249</v>
      </c>
      <c r="AE65" s="238">
        <v>22.02</v>
      </c>
      <c r="AF65" s="239">
        <v>42586</v>
      </c>
      <c r="AI65" s="232">
        <v>140</v>
      </c>
      <c r="AJ65" s="239">
        <v>42507</v>
      </c>
      <c r="AK65" s="238">
        <v>9.5</v>
      </c>
      <c r="BG65" s="238">
        <v>-5.9</v>
      </c>
      <c r="BH65" s="239">
        <v>42592</v>
      </c>
      <c r="BM65" s="238">
        <v>60.5</v>
      </c>
      <c r="BN65" s="239">
        <v>42592</v>
      </c>
      <c r="BQ65" s="238">
        <v>10.8</v>
      </c>
      <c r="BR65" s="239">
        <v>42592</v>
      </c>
      <c r="BS65" s="238">
        <v>45.824175824175825</v>
      </c>
      <c r="BT65" s="239">
        <v>42592</v>
      </c>
      <c r="BU65" s="238">
        <v>19.780219780219781</v>
      </c>
      <c r="BV65" s="239">
        <v>42592</v>
      </c>
      <c r="BW65" s="238">
        <v>16.923076923076923</v>
      </c>
      <c r="BX65" s="239">
        <v>42592</v>
      </c>
      <c r="BY65" s="238"/>
      <c r="BZ65" s="238"/>
      <c r="CA65" s="238">
        <v>36.4</v>
      </c>
      <c r="CB65" s="239">
        <v>42592</v>
      </c>
      <c r="CC65" s="238"/>
      <c r="CD65" s="238"/>
      <c r="CF65" s="238"/>
    </row>
    <row r="66" spans="1:84" s="178" customFormat="1" ht="12">
      <c r="A66" s="232">
        <v>23</v>
      </c>
      <c r="B66" s="232" t="str">
        <f>VLOOKUP(A66,PlantMaterial!B:C,2,0)</f>
        <v>AVISO</v>
      </c>
      <c r="C66" s="238" t="s">
        <v>7690</v>
      </c>
      <c r="D66" s="232">
        <v>2</v>
      </c>
      <c r="E66" s="238" t="s">
        <v>7753</v>
      </c>
      <c r="F66" s="232">
        <v>3</v>
      </c>
      <c r="G66" s="232">
        <v>10</v>
      </c>
      <c r="H66" s="178">
        <v>105</v>
      </c>
      <c r="I66" s="238"/>
      <c r="M66" s="238">
        <v>3.02</v>
      </c>
      <c r="N66" s="239">
        <v>42586</v>
      </c>
      <c r="S66" s="178">
        <v>9.16</v>
      </c>
      <c r="T66" s="239">
        <v>42592</v>
      </c>
      <c r="U66" s="178">
        <v>13.5</v>
      </c>
      <c r="V66" s="239">
        <v>42586</v>
      </c>
      <c r="Y66" s="238">
        <v>3.9995999999999996</v>
      </c>
      <c r="Z66" s="239">
        <v>42592</v>
      </c>
      <c r="AA66" s="178">
        <v>45</v>
      </c>
      <c r="AB66" s="239">
        <v>42249</v>
      </c>
      <c r="AE66" s="238">
        <v>22.22</v>
      </c>
      <c r="AF66" s="239">
        <v>42586</v>
      </c>
      <c r="AI66" s="232">
        <v>150</v>
      </c>
      <c r="AJ66" s="239">
        <v>42507</v>
      </c>
      <c r="AK66" s="238">
        <v>9.6</v>
      </c>
      <c r="BG66" s="238">
        <v>-8.8000000000000007</v>
      </c>
      <c r="BH66" s="239">
        <v>42592</v>
      </c>
      <c r="BM66" s="238">
        <v>60.6</v>
      </c>
      <c r="BN66" s="239">
        <v>42592</v>
      </c>
      <c r="BQ66" s="238">
        <v>11.5</v>
      </c>
      <c r="BR66" s="239">
        <v>42592</v>
      </c>
      <c r="BS66" s="238">
        <v>45.274725274725277</v>
      </c>
      <c r="BT66" s="239">
        <v>42592</v>
      </c>
      <c r="BU66" s="238">
        <v>19.780219780219781</v>
      </c>
      <c r="BV66" s="239">
        <v>42592</v>
      </c>
      <c r="BW66" s="238">
        <v>16.483516483516482</v>
      </c>
      <c r="BX66" s="239">
        <v>42592</v>
      </c>
      <c r="BY66" s="238"/>
      <c r="BZ66" s="238"/>
      <c r="CA66" s="238">
        <v>36.200000000000003</v>
      </c>
      <c r="CB66" s="239">
        <v>42592</v>
      </c>
      <c r="CC66" s="238"/>
      <c r="CD66" s="238"/>
      <c r="CF66" s="238"/>
    </row>
    <row r="67" spans="1:84" s="178" customFormat="1" ht="12">
      <c r="A67" s="232">
        <v>24</v>
      </c>
      <c r="B67" s="232" t="str">
        <f>VLOOKUP(A67,PlantMaterial!B:C,2,0)</f>
        <v>C04-1ESQ1</v>
      </c>
      <c r="C67" s="238" t="s">
        <v>7690</v>
      </c>
      <c r="D67" s="232">
        <v>2</v>
      </c>
      <c r="E67" s="238" t="s">
        <v>7754</v>
      </c>
      <c r="F67" s="232">
        <v>3</v>
      </c>
      <c r="G67" s="232">
        <v>13</v>
      </c>
      <c r="H67" s="178">
        <v>136.5</v>
      </c>
      <c r="I67" s="238"/>
      <c r="M67" s="238">
        <v>3.02</v>
      </c>
      <c r="N67" s="239">
        <v>42586</v>
      </c>
      <c r="S67" s="178">
        <v>9.6300000000000008</v>
      </c>
      <c r="T67" s="239">
        <v>42592</v>
      </c>
      <c r="U67" s="178">
        <v>13.5</v>
      </c>
      <c r="V67" s="239">
        <v>42586</v>
      </c>
      <c r="Y67" s="238">
        <v>3.8749799999999994</v>
      </c>
      <c r="Z67" s="239">
        <v>42592</v>
      </c>
      <c r="AA67" s="178">
        <v>45</v>
      </c>
      <c r="AB67" s="239">
        <v>42249</v>
      </c>
      <c r="AE67" s="238">
        <v>22.27</v>
      </c>
      <c r="AF67" s="239">
        <v>42586</v>
      </c>
      <c r="AI67" s="232">
        <v>135</v>
      </c>
      <c r="AJ67" s="239">
        <v>42507</v>
      </c>
      <c r="AK67" s="238">
        <v>9.4</v>
      </c>
      <c r="BG67" s="238">
        <v>-9.1999999999999993</v>
      </c>
      <c r="BH67" s="239">
        <v>42592</v>
      </c>
      <c r="BM67" s="238">
        <v>60.2</v>
      </c>
      <c r="BN67" s="239">
        <v>42592</v>
      </c>
      <c r="BQ67" s="238">
        <v>11</v>
      </c>
      <c r="BR67" s="239">
        <v>42592</v>
      </c>
      <c r="BS67" s="238">
        <v>47.472527472527474</v>
      </c>
      <c r="BT67" s="239">
        <v>42592</v>
      </c>
      <c r="BU67" s="238">
        <v>19.120879120879117</v>
      </c>
      <c r="BV67" s="239">
        <v>42592</v>
      </c>
      <c r="BW67" s="238">
        <v>13.516483516483516</v>
      </c>
      <c r="BX67" s="239">
        <v>42592</v>
      </c>
      <c r="BY67" s="238"/>
      <c r="BZ67" s="238"/>
      <c r="CA67" s="238">
        <v>36.299999999999997</v>
      </c>
      <c r="CB67" s="239">
        <v>42592</v>
      </c>
      <c r="CC67" s="238"/>
      <c r="CD67" s="238"/>
      <c r="CF67" s="238"/>
    </row>
    <row r="68" spans="1:84" s="178" customFormat="1" ht="12">
      <c r="A68" s="232">
        <v>25</v>
      </c>
      <c r="B68" s="232" t="str">
        <f>VLOOKUP(A68,PlantMaterial!B:C,2,0)</f>
        <v>MONTEGO</v>
      </c>
      <c r="C68" s="238" t="s">
        <v>7690</v>
      </c>
      <c r="D68" s="232">
        <v>2</v>
      </c>
      <c r="E68" s="238" t="s">
        <v>7755</v>
      </c>
      <c r="F68" s="232">
        <v>5</v>
      </c>
      <c r="G68" s="232">
        <v>14</v>
      </c>
      <c r="H68" s="178">
        <v>147</v>
      </c>
      <c r="I68" s="238"/>
      <c r="M68" s="238">
        <v>3.03</v>
      </c>
      <c r="N68" s="239">
        <v>42586</v>
      </c>
      <c r="S68" s="178">
        <v>9.16</v>
      </c>
      <c r="T68" s="239">
        <v>42592</v>
      </c>
      <c r="U68" s="178">
        <v>13.5</v>
      </c>
      <c r="V68" s="239">
        <v>42586</v>
      </c>
      <c r="Y68" s="238">
        <v>4.3281399999999994</v>
      </c>
      <c r="Z68" s="239">
        <v>42592</v>
      </c>
      <c r="AA68" s="178">
        <v>45</v>
      </c>
      <c r="AB68" s="239">
        <v>42249</v>
      </c>
      <c r="AE68" s="238">
        <v>22.31</v>
      </c>
      <c r="AF68" s="239">
        <v>42586</v>
      </c>
      <c r="AI68" s="232">
        <v>135</v>
      </c>
      <c r="AJ68" s="239">
        <v>42507</v>
      </c>
      <c r="AK68" s="238">
        <v>9.5</v>
      </c>
      <c r="BG68" s="238">
        <v>-8.9</v>
      </c>
      <c r="BH68" s="239">
        <v>42592</v>
      </c>
      <c r="BM68" s="238">
        <v>60</v>
      </c>
      <c r="BN68" s="239">
        <v>42592</v>
      </c>
      <c r="BQ68" s="238">
        <v>11.7</v>
      </c>
      <c r="BR68" s="239">
        <v>42592</v>
      </c>
      <c r="BS68" s="238">
        <v>45.054945054945051</v>
      </c>
      <c r="BT68" s="239">
        <v>42592</v>
      </c>
      <c r="BU68" s="238">
        <v>21.318681318681318</v>
      </c>
      <c r="BV68" s="239">
        <v>42592</v>
      </c>
      <c r="BW68" s="238">
        <v>17.58241758241758</v>
      </c>
      <c r="BX68" s="239">
        <v>42592</v>
      </c>
      <c r="BY68" s="238"/>
      <c r="BZ68" s="238"/>
      <c r="CA68" s="238">
        <v>38.799999999999997</v>
      </c>
      <c r="CB68" s="239">
        <v>42592</v>
      </c>
      <c r="CC68" s="238"/>
      <c r="CD68" s="238"/>
      <c r="CF68" s="238"/>
    </row>
    <row r="69" spans="1:84" s="178" customFormat="1" ht="12">
      <c r="A69" s="232">
        <v>26</v>
      </c>
      <c r="B69" s="232" t="str">
        <f>VLOOKUP(A69,PlantMaterial!B:C,2,0)</f>
        <v>RAPSO_304</v>
      </c>
      <c r="C69" s="238" t="s">
        <v>7690</v>
      </c>
      <c r="D69" s="232">
        <v>2</v>
      </c>
      <c r="E69" s="238" t="s">
        <v>7756</v>
      </c>
      <c r="F69" s="232">
        <v>4</v>
      </c>
      <c r="G69" s="232">
        <v>10</v>
      </c>
      <c r="H69" s="178">
        <v>105</v>
      </c>
      <c r="I69" s="238"/>
      <c r="M69" s="238">
        <v>4.0999999999999996</v>
      </c>
      <c r="N69" s="239">
        <v>42586</v>
      </c>
      <c r="S69" s="178">
        <v>13.3</v>
      </c>
      <c r="T69" s="239">
        <v>42592</v>
      </c>
      <c r="U69" s="178">
        <v>13.5</v>
      </c>
      <c r="V69" s="239">
        <v>42586</v>
      </c>
      <c r="Y69" s="238">
        <v>4.8891600000000004</v>
      </c>
      <c r="Z69" s="239">
        <v>42592</v>
      </c>
      <c r="AA69" s="178">
        <v>45</v>
      </c>
      <c r="AB69" s="239">
        <v>42249</v>
      </c>
      <c r="AE69" s="238">
        <v>30.18</v>
      </c>
      <c r="AF69" s="239">
        <v>42586</v>
      </c>
      <c r="AI69" s="232">
        <v>150</v>
      </c>
      <c r="AJ69" s="239">
        <v>42507</v>
      </c>
      <c r="AK69" s="238">
        <v>9.6</v>
      </c>
      <c r="BG69" s="238">
        <v>-11.6</v>
      </c>
      <c r="BH69" s="239">
        <v>42592</v>
      </c>
      <c r="BM69" s="238">
        <v>62.9</v>
      </c>
      <c r="BN69" s="239">
        <v>42592</v>
      </c>
      <c r="BQ69" s="238">
        <v>9.6</v>
      </c>
      <c r="BR69" s="239">
        <v>42592</v>
      </c>
      <c r="BS69" s="238">
        <v>48.46153846153846</v>
      </c>
      <c r="BT69" s="239">
        <v>42592</v>
      </c>
      <c r="BU69" s="238">
        <v>17.802197802197799</v>
      </c>
      <c r="BV69" s="239">
        <v>42592</v>
      </c>
      <c r="BW69" s="238">
        <v>14.065934065934066</v>
      </c>
      <c r="BX69" s="239">
        <v>42592</v>
      </c>
      <c r="BY69" s="238"/>
      <c r="BZ69" s="238"/>
      <c r="CA69" s="238">
        <v>34.4</v>
      </c>
      <c r="CB69" s="239">
        <v>42592</v>
      </c>
      <c r="CC69" s="238"/>
      <c r="CD69" s="238"/>
      <c r="CF69" s="238"/>
    </row>
    <row r="70" spans="1:84" s="178" customFormat="1" ht="12">
      <c r="A70" s="232">
        <v>27</v>
      </c>
      <c r="B70" s="232" t="str">
        <f>VLOOKUP(A70,PlantMaterial!B:C,2,0)</f>
        <v>TENOR</v>
      </c>
      <c r="C70" s="238" t="s">
        <v>7690</v>
      </c>
      <c r="D70" s="232">
        <v>2</v>
      </c>
      <c r="E70" s="238" t="s">
        <v>7757</v>
      </c>
      <c r="F70" s="232">
        <v>5</v>
      </c>
      <c r="G70" s="232">
        <v>10</v>
      </c>
      <c r="H70" s="178">
        <v>105</v>
      </c>
      <c r="I70" s="238"/>
      <c r="M70" s="238">
        <v>2.72</v>
      </c>
      <c r="N70" s="239">
        <v>42586</v>
      </c>
      <c r="S70" s="178">
        <v>8.59</v>
      </c>
      <c r="T70" s="239">
        <v>42592</v>
      </c>
      <c r="U70" s="178">
        <v>13.5</v>
      </c>
      <c r="V70" s="239">
        <v>42586</v>
      </c>
      <c r="Y70" s="238">
        <v>3.6491000000000002</v>
      </c>
      <c r="Z70" s="239">
        <v>42592</v>
      </c>
      <c r="AA70" s="178">
        <v>45</v>
      </c>
      <c r="AB70" s="239">
        <v>42249</v>
      </c>
      <c r="AE70" s="238">
        <v>20.05</v>
      </c>
      <c r="AF70" s="239">
        <v>42586</v>
      </c>
      <c r="AI70" s="232">
        <v>150</v>
      </c>
      <c r="AJ70" s="239">
        <v>42507</v>
      </c>
      <c r="AK70" s="238">
        <v>9.4</v>
      </c>
      <c r="BG70" s="238">
        <v>-9.6</v>
      </c>
      <c r="BH70" s="239">
        <v>42592</v>
      </c>
      <c r="BM70" s="238">
        <v>59.3</v>
      </c>
      <c r="BN70" s="239">
        <v>42592</v>
      </c>
      <c r="BQ70" s="238">
        <v>11.8</v>
      </c>
      <c r="BR70" s="239">
        <v>42592</v>
      </c>
      <c r="BS70" s="238">
        <v>47.032967032967029</v>
      </c>
      <c r="BT70" s="239">
        <v>42592</v>
      </c>
      <c r="BU70" s="238">
        <v>20</v>
      </c>
      <c r="BV70" s="239">
        <v>42592</v>
      </c>
      <c r="BW70" s="238">
        <v>18.35164835164835</v>
      </c>
      <c r="BX70" s="239">
        <v>42592</v>
      </c>
      <c r="BY70" s="238"/>
      <c r="BZ70" s="238"/>
      <c r="CA70" s="238">
        <v>37.700000000000003</v>
      </c>
      <c r="CB70" s="239">
        <v>42592</v>
      </c>
      <c r="CC70" s="238"/>
      <c r="CD70" s="238"/>
      <c r="CF70" s="238"/>
    </row>
    <row r="71" spans="1:84" s="178" customFormat="1" ht="12">
      <c r="A71" s="232">
        <v>28</v>
      </c>
      <c r="B71" s="232" t="str">
        <f>VLOOKUP(A71,PlantMaterial!B:C,2,0)</f>
        <v>LEL17</v>
      </c>
      <c r="C71" s="238" t="s">
        <v>7690</v>
      </c>
      <c r="D71" s="232">
        <v>2</v>
      </c>
      <c r="E71" s="238" t="s">
        <v>7758</v>
      </c>
      <c r="F71" s="232">
        <v>1</v>
      </c>
      <c r="G71" s="232">
        <v>8</v>
      </c>
      <c r="H71" s="178">
        <v>84</v>
      </c>
      <c r="I71" s="238"/>
      <c r="M71" s="238">
        <v>3.81</v>
      </c>
      <c r="N71" s="239">
        <v>42586</v>
      </c>
      <c r="S71" s="178">
        <v>12.09</v>
      </c>
      <c r="T71" s="239">
        <v>42592</v>
      </c>
      <c r="U71" s="178">
        <v>13.5</v>
      </c>
      <c r="V71" s="239">
        <v>42586</v>
      </c>
      <c r="Y71" s="238">
        <v>4.6183499999999995</v>
      </c>
      <c r="Z71" s="239">
        <v>42592</v>
      </c>
      <c r="AA71" s="178">
        <v>45</v>
      </c>
      <c r="AB71" s="239">
        <v>42249</v>
      </c>
      <c r="AE71" s="238">
        <v>27.99</v>
      </c>
      <c r="AF71" s="239">
        <v>42586</v>
      </c>
      <c r="AI71" s="232">
        <v>130</v>
      </c>
      <c r="AJ71" s="239">
        <v>42507</v>
      </c>
      <c r="AK71" s="238">
        <v>9.6999999999999993</v>
      </c>
      <c r="BG71" s="238">
        <v>-10.199999999999999</v>
      </c>
      <c r="BH71" s="239">
        <v>42592</v>
      </c>
      <c r="BM71" s="238">
        <v>62.4</v>
      </c>
      <c r="BN71" s="239">
        <v>42592</v>
      </c>
      <c r="BQ71" s="238">
        <v>10.1</v>
      </c>
      <c r="BR71" s="239">
        <v>42592</v>
      </c>
      <c r="BS71" s="238">
        <v>47.472527472527474</v>
      </c>
      <c r="BT71" s="239">
        <v>42592</v>
      </c>
      <c r="BU71" s="238">
        <v>18.131868131868131</v>
      </c>
      <c r="BV71" s="239">
        <v>42592</v>
      </c>
      <c r="BW71" s="238">
        <v>14.395604395604394</v>
      </c>
      <c r="BX71" s="239">
        <v>42592</v>
      </c>
      <c r="BY71" s="238"/>
      <c r="BZ71" s="238"/>
      <c r="CA71" s="238">
        <v>34.4</v>
      </c>
      <c r="CB71" s="239">
        <v>42592</v>
      </c>
      <c r="CC71" s="238"/>
      <c r="CD71" s="238"/>
      <c r="CF71" s="238"/>
    </row>
    <row r="72" spans="1:84" s="178" customFormat="1" ht="12">
      <c r="A72" s="232">
        <v>29</v>
      </c>
      <c r="B72" s="232" t="str">
        <f>VLOOKUP(A72,PlantMaterial!B:C,2,0)</f>
        <v>EXPRESS</v>
      </c>
      <c r="C72" s="238" t="s">
        <v>7690</v>
      </c>
      <c r="D72" s="232">
        <v>2</v>
      </c>
      <c r="E72" s="238" t="s">
        <v>7759</v>
      </c>
      <c r="F72" s="232">
        <v>6</v>
      </c>
      <c r="G72" s="232">
        <v>11</v>
      </c>
      <c r="H72" s="178">
        <v>115.5</v>
      </c>
      <c r="I72" s="238" t="s">
        <v>7760</v>
      </c>
      <c r="J72" s="239">
        <v>42430</v>
      </c>
      <c r="M72" s="238">
        <v>2.37</v>
      </c>
      <c r="N72" s="239">
        <v>42586</v>
      </c>
      <c r="S72" s="178">
        <v>7.15</v>
      </c>
      <c r="T72" s="239">
        <v>42592</v>
      </c>
      <c r="U72" s="178">
        <v>13.5</v>
      </c>
      <c r="V72" s="239">
        <v>42586</v>
      </c>
      <c r="Y72" s="238">
        <v>3.1878600000000006</v>
      </c>
      <c r="Z72" s="239">
        <v>42592</v>
      </c>
      <c r="AA72" s="178">
        <v>45</v>
      </c>
      <c r="AB72" s="239">
        <v>42249</v>
      </c>
      <c r="AE72" s="238">
        <v>17.420000000000002</v>
      </c>
      <c r="AF72" s="239">
        <v>42586</v>
      </c>
      <c r="AI72" s="232">
        <v>140</v>
      </c>
      <c r="AJ72" s="239">
        <v>42507</v>
      </c>
      <c r="AK72" s="238">
        <v>9.6999999999999993</v>
      </c>
      <c r="BG72" s="238">
        <v>-7.8</v>
      </c>
      <c r="BH72" s="239">
        <v>42592</v>
      </c>
      <c r="BM72" s="238">
        <v>60.1</v>
      </c>
      <c r="BN72" s="239">
        <v>42592</v>
      </c>
      <c r="BQ72" s="238">
        <v>11</v>
      </c>
      <c r="BR72" s="239">
        <v>42592</v>
      </c>
      <c r="BS72" s="238">
        <v>45.054945054945051</v>
      </c>
      <c r="BT72" s="239">
        <v>42592</v>
      </c>
      <c r="BU72" s="238">
        <v>20.109890109890109</v>
      </c>
      <c r="BV72" s="239">
        <v>42592</v>
      </c>
      <c r="BW72" s="238">
        <v>18.791208791208792</v>
      </c>
      <c r="BX72" s="239">
        <v>42592</v>
      </c>
      <c r="BY72" s="238"/>
      <c r="BZ72" s="238"/>
      <c r="CA72" s="238">
        <v>36.6</v>
      </c>
      <c r="CB72" s="239">
        <v>42592</v>
      </c>
      <c r="CC72" s="238"/>
      <c r="CD72" s="238"/>
      <c r="CF72" s="238"/>
    </row>
    <row r="73" spans="1:84" s="178" customFormat="1" ht="12">
      <c r="A73" s="232">
        <v>30</v>
      </c>
      <c r="B73" s="232" t="str">
        <f>VLOOKUP(A73,PlantMaterial!B:C,2,0)</f>
        <v>C04-1LEQ0</v>
      </c>
      <c r="C73" s="238" t="s">
        <v>7690</v>
      </c>
      <c r="D73" s="232">
        <v>2</v>
      </c>
      <c r="E73" s="238" t="s">
        <v>7761</v>
      </c>
      <c r="F73" s="232">
        <v>6</v>
      </c>
      <c r="G73" s="232">
        <v>12</v>
      </c>
      <c r="H73" s="178">
        <v>126</v>
      </c>
      <c r="I73" s="238"/>
      <c r="M73" s="238">
        <v>2.97</v>
      </c>
      <c r="N73" s="239">
        <v>42586</v>
      </c>
      <c r="S73" s="178">
        <v>9.52</v>
      </c>
      <c r="T73" s="239">
        <v>42592</v>
      </c>
      <c r="U73" s="178">
        <v>13.5</v>
      </c>
      <c r="V73" s="239">
        <v>42586</v>
      </c>
      <c r="Y73" s="238">
        <v>3.67584</v>
      </c>
      <c r="Z73" s="239">
        <v>42592</v>
      </c>
      <c r="AA73" s="178">
        <v>45</v>
      </c>
      <c r="AB73" s="239">
        <v>42249</v>
      </c>
      <c r="AE73" s="238">
        <v>21.88</v>
      </c>
      <c r="AF73" s="239">
        <v>42586</v>
      </c>
      <c r="AI73" s="232">
        <v>150</v>
      </c>
      <c r="AJ73" s="239">
        <v>42507</v>
      </c>
      <c r="AK73" s="238">
        <v>9.5</v>
      </c>
      <c r="BG73" s="238">
        <v>-9</v>
      </c>
      <c r="BH73" s="239">
        <v>42592</v>
      </c>
      <c r="BM73" s="238">
        <v>62.5</v>
      </c>
      <c r="BN73" s="239">
        <v>42592</v>
      </c>
      <c r="BQ73" s="238">
        <v>10.199999999999999</v>
      </c>
      <c r="BR73" s="239">
        <v>42592</v>
      </c>
      <c r="BS73" s="238">
        <v>47.802197802197803</v>
      </c>
      <c r="BT73" s="239">
        <v>42592</v>
      </c>
      <c r="BU73" s="238">
        <v>18.461538461538463</v>
      </c>
      <c r="BV73" s="239">
        <v>42592</v>
      </c>
      <c r="BW73" s="238">
        <v>15.714285714285715</v>
      </c>
      <c r="BX73" s="239">
        <v>42592</v>
      </c>
      <c r="BY73" s="238"/>
      <c r="BZ73" s="238"/>
      <c r="CA73" s="238">
        <v>35.4</v>
      </c>
      <c r="CB73" s="239">
        <v>42592</v>
      </c>
      <c r="CC73" s="238"/>
      <c r="CD73" s="238"/>
      <c r="CF73" s="238"/>
    </row>
    <row r="74" spans="1:84" s="178" customFormat="1" ht="12">
      <c r="A74" s="232">
        <v>31</v>
      </c>
      <c r="B74" s="232" t="str">
        <f>VLOOKUP(A74,PlantMaterial!B:C,2,0)</f>
        <v>C04-1LEQ1</v>
      </c>
      <c r="C74" s="238" t="s">
        <v>7690</v>
      </c>
      <c r="D74" s="232">
        <v>2</v>
      </c>
      <c r="E74" s="238" t="s">
        <v>7762</v>
      </c>
      <c r="F74" s="232">
        <v>4</v>
      </c>
      <c r="G74" s="232">
        <v>8</v>
      </c>
      <c r="H74" s="178">
        <v>84</v>
      </c>
      <c r="I74" s="238"/>
      <c r="M74" s="238">
        <v>3.28</v>
      </c>
      <c r="N74" s="239">
        <v>42586</v>
      </c>
      <c r="S74" s="178">
        <v>10.4</v>
      </c>
      <c r="T74" s="239">
        <v>42592</v>
      </c>
      <c r="U74" s="178">
        <v>13.5</v>
      </c>
      <c r="V74" s="239">
        <v>42586</v>
      </c>
      <c r="Y74" s="238">
        <v>4.0138800000000003</v>
      </c>
      <c r="Z74" s="239">
        <v>42592</v>
      </c>
      <c r="AA74" s="178">
        <v>45</v>
      </c>
      <c r="AB74" s="239">
        <v>42249</v>
      </c>
      <c r="AE74" s="238">
        <v>24.18</v>
      </c>
      <c r="AF74" s="239">
        <v>42586</v>
      </c>
      <c r="AI74" s="232">
        <v>130</v>
      </c>
      <c r="AJ74" s="239">
        <v>42507</v>
      </c>
      <c r="AK74" s="238">
        <v>9.4</v>
      </c>
      <c r="BG74" s="238">
        <v>-10</v>
      </c>
      <c r="BH74" s="239">
        <v>42592</v>
      </c>
      <c r="BM74" s="238">
        <v>62.3</v>
      </c>
      <c r="BN74" s="239">
        <v>42592</v>
      </c>
      <c r="BQ74" s="238">
        <v>9.8000000000000007</v>
      </c>
      <c r="BR74" s="239">
        <v>42592</v>
      </c>
      <c r="BS74" s="238">
        <v>47.252747252747248</v>
      </c>
      <c r="BT74" s="239">
        <v>42592</v>
      </c>
      <c r="BU74" s="238">
        <v>18.241758241758244</v>
      </c>
      <c r="BV74" s="239">
        <v>42592</v>
      </c>
      <c r="BW74" s="238">
        <v>13.956043956043954</v>
      </c>
      <c r="BX74" s="239">
        <v>42592</v>
      </c>
      <c r="BY74" s="238"/>
      <c r="BZ74" s="238"/>
      <c r="CA74" s="238">
        <v>34.6</v>
      </c>
      <c r="CB74" s="239">
        <v>42592</v>
      </c>
      <c r="CC74" s="238"/>
      <c r="CD74" s="238"/>
      <c r="CF74" s="238"/>
    </row>
    <row r="75" spans="1:84" s="178" customFormat="1" ht="12">
      <c r="A75" s="232">
        <v>32</v>
      </c>
      <c r="B75" s="232" t="str">
        <f>VLOOKUP(A75,PlantMaterial!B:C,2,0)</f>
        <v>A05-1LEQ0</v>
      </c>
      <c r="C75" s="238" t="s">
        <v>7690</v>
      </c>
      <c r="D75" s="232">
        <v>2</v>
      </c>
      <c r="E75" s="238" t="s">
        <v>7763</v>
      </c>
      <c r="F75" s="232">
        <v>1</v>
      </c>
      <c r="G75" s="232">
        <v>9</v>
      </c>
      <c r="H75" s="178">
        <v>94.5</v>
      </c>
      <c r="I75" s="238"/>
      <c r="M75" s="238">
        <v>3.92</v>
      </c>
      <c r="N75" s="239">
        <v>42586</v>
      </c>
      <c r="S75" s="178">
        <v>12.25</v>
      </c>
      <c r="T75" s="239">
        <v>42592</v>
      </c>
      <c r="U75" s="178">
        <v>13.5</v>
      </c>
      <c r="V75" s="239">
        <v>42586</v>
      </c>
      <c r="Y75" s="238">
        <v>4.8688899999999995</v>
      </c>
      <c r="Z75" s="239">
        <v>42592</v>
      </c>
      <c r="AA75" s="178">
        <v>45</v>
      </c>
      <c r="AB75" s="239">
        <v>42249</v>
      </c>
      <c r="AE75" s="238">
        <v>28.81</v>
      </c>
      <c r="AF75" s="239">
        <v>42586</v>
      </c>
      <c r="AI75" s="232">
        <v>155</v>
      </c>
      <c r="AJ75" s="239">
        <v>42507</v>
      </c>
      <c r="AK75" s="238">
        <v>9.6999999999999993</v>
      </c>
      <c r="BG75" s="238">
        <v>-10.199999999999999</v>
      </c>
      <c r="BH75" s="239">
        <v>42592</v>
      </c>
      <c r="BM75" s="238">
        <v>62.7</v>
      </c>
      <c r="BN75" s="239">
        <v>42592</v>
      </c>
      <c r="BQ75" s="238">
        <v>9.9</v>
      </c>
      <c r="BR75" s="239">
        <v>42592</v>
      </c>
      <c r="BS75" s="238">
        <v>46.703296703296701</v>
      </c>
      <c r="BT75" s="239">
        <v>42592</v>
      </c>
      <c r="BU75" s="238">
        <v>18.571428571428569</v>
      </c>
      <c r="BV75" s="239">
        <v>42592</v>
      </c>
      <c r="BW75" s="238">
        <v>15.714285714285715</v>
      </c>
      <c r="BX75" s="239">
        <v>42592</v>
      </c>
      <c r="BY75" s="238"/>
      <c r="BZ75" s="238"/>
      <c r="CA75" s="238">
        <v>34.9</v>
      </c>
      <c r="CB75" s="239">
        <v>42592</v>
      </c>
      <c r="CC75" s="238"/>
      <c r="CD75" s="238"/>
      <c r="CF75" s="238"/>
    </row>
    <row r="76" spans="1:84" s="178" customFormat="1" ht="12">
      <c r="A76" s="232">
        <v>33</v>
      </c>
      <c r="B76" s="232" t="str">
        <f>VLOOKUP(A76,PlantMaterial!B:C,2,0)</f>
        <v>A05-1LEQ1</v>
      </c>
      <c r="C76" s="238" t="s">
        <v>7690</v>
      </c>
      <c r="D76" s="232">
        <v>2</v>
      </c>
      <c r="E76" s="238" t="s">
        <v>7764</v>
      </c>
      <c r="F76" s="232">
        <v>5</v>
      </c>
      <c r="G76" s="232">
        <v>12</v>
      </c>
      <c r="H76" s="178">
        <v>126</v>
      </c>
      <c r="I76" s="238"/>
      <c r="M76" s="238">
        <v>4.6100000000000003</v>
      </c>
      <c r="N76" s="239">
        <v>42586</v>
      </c>
      <c r="S76" s="178">
        <v>14.6</v>
      </c>
      <c r="T76" s="239">
        <v>42592</v>
      </c>
      <c r="U76" s="178">
        <v>13.5</v>
      </c>
      <c r="V76" s="239">
        <v>42586</v>
      </c>
      <c r="Y76" s="238">
        <v>5.7392399999999997</v>
      </c>
      <c r="Z76" s="239">
        <v>42592</v>
      </c>
      <c r="AA76" s="178">
        <v>45</v>
      </c>
      <c r="AB76" s="239">
        <v>42249</v>
      </c>
      <c r="AE76" s="238">
        <v>33.96</v>
      </c>
      <c r="AF76" s="239">
        <v>42586</v>
      </c>
      <c r="AI76" s="232">
        <v>140</v>
      </c>
      <c r="AJ76" s="239">
        <v>42507</v>
      </c>
      <c r="AK76" s="238">
        <v>9.5</v>
      </c>
      <c r="BG76" s="238">
        <v>-8.1999999999999993</v>
      </c>
      <c r="BH76" s="239">
        <v>42592</v>
      </c>
      <c r="BM76" s="238">
        <v>62.7</v>
      </c>
      <c r="BN76" s="239">
        <v>42592</v>
      </c>
      <c r="BQ76" s="238">
        <v>10.1</v>
      </c>
      <c r="BR76" s="239">
        <v>42592</v>
      </c>
      <c r="BS76" s="238">
        <v>47.252747252747248</v>
      </c>
      <c r="BT76" s="239">
        <v>42592</v>
      </c>
      <c r="BU76" s="238">
        <v>18.571428571428569</v>
      </c>
      <c r="BV76" s="239">
        <v>42592</v>
      </c>
      <c r="BW76" s="238">
        <v>15.714285714285715</v>
      </c>
      <c r="BX76" s="239">
        <v>42592</v>
      </c>
      <c r="BY76" s="238"/>
      <c r="BZ76" s="238"/>
      <c r="CA76" s="238">
        <v>35.200000000000003</v>
      </c>
      <c r="CB76" s="239">
        <v>42592</v>
      </c>
      <c r="CC76" s="238"/>
      <c r="CD76" s="238"/>
      <c r="CF76" s="238"/>
    </row>
    <row r="77" spans="1:84" s="178" customFormat="1" ht="12">
      <c r="A77" s="232">
        <v>34</v>
      </c>
      <c r="B77" s="232" t="str">
        <f>VLOOKUP(A77,PlantMaterial!B:C,2,0)</f>
        <v>RAPSO_4</v>
      </c>
      <c r="C77" s="238" t="s">
        <v>7690</v>
      </c>
      <c r="D77" s="232">
        <v>2</v>
      </c>
      <c r="E77" s="238" t="s">
        <v>7765</v>
      </c>
      <c r="F77" s="232">
        <v>6</v>
      </c>
      <c r="G77" s="232">
        <v>8</v>
      </c>
      <c r="H77" s="178">
        <v>84</v>
      </c>
      <c r="I77" s="238"/>
      <c r="M77" s="238">
        <v>2.99</v>
      </c>
      <c r="N77" s="239">
        <v>42586</v>
      </c>
      <c r="S77" s="178">
        <v>9.5299999999999994</v>
      </c>
      <c r="T77" s="239">
        <v>42592</v>
      </c>
      <c r="U77" s="178">
        <v>13.5</v>
      </c>
      <c r="V77" s="239">
        <v>42586</v>
      </c>
      <c r="Y77" s="238">
        <v>3.6960000000000002</v>
      </c>
      <c r="Z77" s="239">
        <v>42592</v>
      </c>
      <c r="AA77" s="178">
        <v>45</v>
      </c>
      <c r="AB77" s="239">
        <v>42249</v>
      </c>
      <c r="AE77" s="238">
        <v>22</v>
      </c>
      <c r="AF77" s="239">
        <v>42586</v>
      </c>
      <c r="AI77" s="232">
        <v>130</v>
      </c>
      <c r="AJ77" s="239">
        <v>42507</v>
      </c>
      <c r="AK77" s="238">
        <v>9.6</v>
      </c>
      <c r="BG77" s="238">
        <v>-9.1999999999999993</v>
      </c>
      <c r="BH77" s="239">
        <v>42592</v>
      </c>
      <c r="BM77" s="238">
        <v>63.3</v>
      </c>
      <c r="BN77" s="239">
        <v>42592</v>
      </c>
      <c r="BQ77" s="238">
        <v>10.199999999999999</v>
      </c>
      <c r="BR77" s="239">
        <v>42592</v>
      </c>
      <c r="BS77" s="238">
        <v>47.582417582417577</v>
      </c>
      <c r="BT77" s="239">
        <v>42592</v>
      </c>
      <c r="BU77" s="238">
        <v>18.461538461538463</v>
      </c>
      <c r="BV77" s="239">
        <v>42592</v>
      </c>
      <c r="BW77" s="238">
        <v>13.406593406593405</v>
      </c>
      <c r="BX77" s="239">
        <v>42592</v>
      </c>
      <c r="BY77" s="238"/>
      <c r="BZ77" s="238"/>
      <c r="CA77" s="238">
        <v>35.299999999999997</v>
      </c>
      <c r="CB77" s="239">
        <v>42592</v>
      </c>
      <c r="CC77" s="238"/>
      <c r="CD77" s="238"/>
      <c r="CF77" s="238"/>
    </row>
    <row r="78" spans="1:84" s="178" customFormat="1" ht="12">
      <c r="A78" s="232">
        <v>35</v>
      </c>
      <c r="B78" s="232" t="str">
        <f>VLOOKUP(A78,PlantMaterial!B:C,2,0)</f>
        <v>C04-1MASQ0</v>
      </c>
      <c r="C78" s="238" t="s">
        <v>7690</v>
      </c>
      <c r="D78" s="232">
        <v>2</v>
      </c>
      <c r="E78" s="238" t="s">
        <v>7766</v>
      </c>
      <c r="F78" s="232">
        <v>3</v>
      </c>
      <c r="G78" s="232">
        <v>9</v>
      </c>
      <c r="H78" s="178">
        <v>94.5</v>
      </c>
      <c r="I78" s="238"/>
      <c r="M78" s="238">
        <v>3.82</v>
      </c>
      <c r="N78" s="239">
        <v>42586</v>
      </c>
      <c r="S78" s="178">
        <v>12.35</v>
      </c>
      <c r="T78" s="239">
        <v>42592</v>
      </c>
      <c r="U78" s="178">
        <v>13.5</v>
      </c>
      <c r="V78" s="239">
        <v>42586</v>
      </c>
      <c r="Y78" s="238">
        <v>4.7077300000000006</v>
      </c>
      <c r="Z78" s="239">
        <v>42592</v>
      </c>
      <c r="AA78" s="178">
        <v>45</v>
      </c>
      <c r="AB78" s="239">
        <v>42249</v>
      </c>
      <c r="AE78" s="238">
        <v>28.19</v>
      </c>
      <c r="AF78" s="239">
        <v>42586</v>
      </c>
      <c r="AI78" s="232">
        <v>145</v>
      </c>
      <c r="AJ78" s="239">
        <v>42507</v>
      </c>
      <c r="AK78" s="238">
        <v>9.4</v>
      </c>
      <c r="BG78" s="238">
        <v>-8</v>
      </c>
      <c r="BH78" s="239">
        <v>42592</v>
      </c>
      <c r="BM78" s="238">
        <v>64</v>
      </c>
      <c r="BN78" s="239">
        <v>42592</v>
      </c>
      <c r="BQ78" s="238">
        <v>9.8000000000000007</v>
      </c>
      <c r="BR78" s="239">
        <v>42592</v>
      </c>
      <c r="BS78" s="238">
        <v>48.131868131868124</v>
      </c>
      <c r="BT78" s="239">
        <v>42592</v>
      </c>
      <c r="BU78" s="238">
        <v>18.35164835164835</v>
      </c>
      <c r="BV78" s="239">
        <v>42592</v>
      </c>
      <c r="BW78" s="238">
        <v>13.736263736263735</v>
      </c>
      <c r="BX78" s="239">
        <v>42592</v>
      </c>
      <c r="BY78" s="238"/>
      <c r="BZ78" s="238"/>
      <c r="CA78" s="238">
        <v>35.4</v>
      </c>
      <c r="CB78" s="239">
        <v>42592</v>
      </c>
      <c r="CC78" s="238"/>
      <c r="CD78" s="238"/>
      <c r="CF78" s="238"/>
    </row>
    <row r="79" spans="1:84" s="178" customFormat="1" ht="12">
      <c r="A79" s="232">
        <v>36</v>
      </c>
      <c r="B79" s="232" t="str">
        <f>VLOOKUP(A79,PlantMaterial!B:C,2,0)</f>
        <v>C04-1MASQ1</v>
      </c>
      <c r="C79" s="238" t="s">
        <v>7690</v>
      </c>
      <c r="D79" s="232">
        <v>2</v>
      </c>
      <c r="E79" s="238" t="s">
        <v>7767</v>
      </c>
      <c r="F79" s="232">
        <v>3</v>
      </c>
      <c r="G79" s="232">
        <v>11</v>
      </c>
      <c r="H79" s="178">
        <v>115.5</v>
      </c>
      <c r="I79" s="238"/>
      <c r="M79" s="238">
        <v>2.69</v>
      </c>
      <c r="N79" s="239">
        <v>42586</v>
      </c>
      <c r="S79" s="178">
        <v>8.41</v>
      </c>
      <c r="T79" s="239">
        <v>42592</v>
      </c>
      <c r="U79" s="178">
        <v>13.5</v>
      </c>
      <c r="V79" s="239">
        <v>42586</v>
      </c>
      <c r="Y79" s="238">
        <v>3.4288600000000002</v>
      </c>
      <c r="Z79" s="239">
        <v>42592</v>
      </c>
      <c r="AA79" s="178">
        <v>45</v>
      </c>
      <c r="AB79" s="239">
        <v>42249</v>
      </c>
      <c r="AE79" s="238">
        <v>19.82</v>
      </c>
      <c r="AF79" s="239">
        <v>42586</v>
      </c>
      <c r="AI79" s="232">
        <v>140</v>
      </c>
      <c r="AJ79" s="239">
        <v>42507</v>
      </c>
      <c r="AK79" s="238">
        <v>9.5</v>
      </c>
      <c r="BG79" s="238">
        <v>-7.9</v>
      </c>
      <c r="BH79" s="239">
        <v>42592</v>
      </c>
      <c r="BM79" s="238">
        <v>62</v>
      </c>
      <c r="BN79" s="239">
        <v>42592</v>
      </c>
      <c r="BQ79" s="238">
        <v>10.6</v>
      </c>
      <c r="BR79" s="239">
        <v>42592</v>
      </c>
      <c r="BS79" s="238">
        <v>46.593406593406591</v>
      </c>
      <c r="BT79" s="239">
        <v>42592</v>
      </c>
      <c r="BU79" s="238">
        <v>19.010989010989011</v>
      </c>
      <c r="BV79" s="239">
        <v>42592</v>
      </c>
      <c r="BW79" s="238">
        <v>14.285714285714285</v>
      </c>
      <c r="BX79" s="239">
        <v>42592</v>
      </c>
      <c r="BY79" s="238"/>
      <c r="BZ79" s="238"/>
      <c r="CA79" s="238">
        <v>35.6</v>
      </c>
      <c r="CB79" s="239">
        <v>42592</v>
      </c>
      <c r="CC79" s="238"/>
      <c r="CD79" s="238"/>
      <c r="CF79" s="238"/>
    </row>
    <row r="80" spans="1:84" s="178" customFormat="1" ht="12">
      <c r="A80" s="232">
        <v>37</v>
      </c>
      <c r="B80" s="232" t="str">
        <f>VLOOKUP(A80,PlantMaterial!B:C,2,0)</f>
        <v>RAPSO_323</v>
      </c>
      <c r="C80" s="238" t="s">
        <v>7690</v>
      </c>
      <c r="D80" s="232">
        <v>2</v>
      </c>
      <c r="E80" s="238" t="s">
        <v>7768</v>
      </c>
      <c r="F80" s="232">
        <v>5</v>
      </c>
      <c r="G80" s="232">
        <v>8</v>
      </c>
      <c r="H80" s="178">
        <v>84</v>
      </c>
      <c r="I80" s="238"/>
      <c r="M80" s="238">
        <v>3.37</v>
      </c>
      <c r="N80" s="239">
        <v>42586</v>
      </c>
      <c r="S80" s="178">
        <v>10.52</v>
      </c>
      <c r="T80" s="239">
        <v>42592</v>
      </c>
      <c r="U80" s="178">
        <v>13.5</v>
      </c>
      <c r="V80" s="239">
        <v>42586</v>
      </c>
      <c r="Y80" s="238">
        <v>4.2160000000000002</v>
      </c>
      <c r="Z80" s="239">
        <v>42592</v>
      </c>
      <c r="AA80" s="178">
        <v>45</v>
      </c>
      <c r="AB80" s="239">
        <v>42249</v>
      </c>
      <c r="AE80" s="238">
        <v>24.8</v>
      </c>
      <c r="AF80" s="239">
        <v>42586</v>
      </c>
      <c r="AI80" s="232">
        <v>150</v>
      </c>
      <c r="AJ80" s="239">
        <v>42507</v>
      </c>
      <c r="AK80" s="238">
        <v>9.6</v>
      </c>
      <c r="BG80" s="238">
        <v>-11.3</v>
      </c>
      <c r="BH80" s="239">
        <v>42592</v>
      </c>
      <c r="BM80" s="238">
        <v>61.7</v>
      </c>
      <c r="BN80" s="239">
        <v>42592</v>
      </c>
      <c r="BQ80" s="238">
        <v>10.6</v>
      </c>
      <c r="BR80" s="239">
        <v>42592</v>
      </c>
      <c r="BS80" s="238">
        <v>46.593406593406591</v>
      </c>
      <c r="BT80" s="239">
        <v>42592</v>
      </c>
      <c r="BU80" s="238">
        <v>18.681318681318682</v>
      </c>
      <c r="BV80" s="239">
        <v>42592</v>
      </c>
      <c r="BW80" s="238">
        <v>12.857142857142856</v>
      </c>
      <c r="BX80" s="239">
        <v>42592</v>
      </c>
      <c r="BY80" s="238"/>
      <c r="BZ80" s="238"/>
      <c r="CA80" s="238">
        <v>35</v>
      </c>
      <c r="CB80" s="239">
        <v>42592</v>
      </c>
      <c r="CC80" s="238"/>
      <c r="CD80" s="238"/>
      <c r="CF80" s="238"/>
    </row>
    <row r="81" spans="1:84" s="178" customFormat="1" ht="12">
      <c r="A81" s="232">
        <v>38</v>
      </c>
      <c r="B81" s="232" t="str">
        <f>VLOOKUP(A81,PlantMaterial!B:C,2,0)</f>
        <v>C04-1RAGTQ0</v>
      </c>
      <c r="C81" s="238" t="s">
        <v>7690</v>
      </c>
      <c r="D81" s="232">
        <v>2</v>
      </c>
      <c r="E81" s="238" t="s">
        <v>7769</v>
      </c>
      <c r="F81" s="232">
        <v>4</v>
      </c>
      <c r="G81" s="232">
        <v>9</v>
      </c>
      <c r="H81" s="178">
        <v>94.5</v>
      </c>
      <c r="I81" s="238"/>
      <c r="M81" s="238">
        <v>3.18</v>
      </c>
      <c r="N81" s="239">
        <v>42586</v>
      </c>
      <c r="S81" s="178">
        <v>10.220000000000001</v>
      </c>
      <c r="T81" s="239">
        <v>42592</v>
      </c>
      <c r="U81" s="178">
        <v>13.5</v>
      </c>
      <c r="V81" s="239">
        <v>42586</v>
      </c>
      <c r="Y81" s="238">
        <v>3.9144799999999997</v>
      </c>
      <c r="Z81" s="239">
        <v>42592</v>
      </c>
      <c r="AA81" s="178">
        <v>45</v>
      </c>
      <c r="AB81" s="239">
        <v>42249</v>
      </c>
      <c r="AE81" s="238">
        <v>23.44</v>
      </c>
      <c r="AF81" s="239">
        <v>42586</v>
      </c>
      <c r="AI81" s="232">
        <v>155</v>
      </c>
      <c r="AJ81" s="239">
        <v>42507</v>
      </c>
      <c r="AK81" s="238">
        <v>9.5</v>
      </c>
      <c r="BG81" s="238">
        <v>-9.4</v>
      </c>
      <c r="BH81" s="239">
        <v>42592</v>
      </c>
      <c r="BM81" s="238">
        <v>61.7</v>
      </c>
      <c r="BN81" s="239">
        <v>42592</v>
      </c>
      <c r="BQ81" s="238">
        <v>10</v>
      </c>
      <c r="BR81" s="239">
        <v>42592</v>
      </c>
      <c r="BS81" s="238">
        <v>47.912087912087912</v>
      </c>
      <c r="BT81" s="239">
        <v>42592</v>
      </c>
      <c r="BU81" s="238">
        <v>18.35164835164835</v>
      </c>
      <c r="BV81" s="239">
        <v>42592</v>
      </c>
      <c r="BW81" s="238">
        <v>13.516483516483516</v>
      </c>
      <c r="BX81" s="239">
        <v>42592</v>
      </c>
      <c r="BY81" s="238"/>
      <c r="BZ81" s="238"/>
      <c r="CA81" s="238">
        <v>35.200000000000003</v>
      </c>
      <c r="CB81" s="239">
        <v>42592</v>
      </c>
      <c r="CC81" s="238"/>
      <c r="CD81" s="238"/>
      <c r="CF81" s="238"/>
    </row>
    <row r="82" spans="1:84" s="178" customFormat="1" ht="12">
      <c r="A82" s="232">
        <v>39</v>
      </c>
      <c r="B82" s="232" t="str">
        <f>VLOOKUP(A82,PlantMaterial!B:C,2,0)</f>
        <v>C04-1RAGTQ1</v>
      </c>
      <c r="C82" s="238" t="s">
        <v>7690</v>
      </c>
      <c r="D82" s="232">
        <v>2</v>
      </c>
      <c r="E82" s="238" t="s">
        <v>7770</v>
      </c>
      <c r="F82" s="232">
        <v>4</v>
      </c>
      <c r="G82" s="232">
        <v>14</v>
      </c>
      <c r="H82" s="178">
        <v>147</v>
      </c>
      <c r="I82" s="238"/>
      <c r="M82" s="238">
        <v>2.77</v>
      </c>
      <c r="N82" s="239">
        <v>42586</v>
      </c>
      <c r="S82" s="178">
        <v>8.6999999999999993</v>
      </c>
      <c r="T82" s="239">
        <v>42592</v>
      </c>
      <c r="U82" s="178">
        <v>13.5</v>
      </c>
      <c r="V82" s="239">
        <v>42586</v>
      </c>
      <c r="Y82" s="238">
        <v>3.5105199999999996</v>
      </c>
      <c r="Z82" s="239">
        <v>42592</v>
      </c>
      <c r="AA82" s="178">
        <v>45</v>
      </c>
      <c r="AB82" s="239">
        <v>42249</v>
      </c>
      <c r="AE82" s="238">
        <v>20.41</v>
      </c>
      <c r="AF82" s="239">
        <v>42586</v>
      </c>
      <c r="AI82" s="232">
        <v>150</v>
      </c>
      <c r="AJ82" s="239">
        <v>42507</v>
      </c>
      <c r="AK82" s="238">
        <v>9.5</v>
      </c>
      <c r="BG82" s="238">
        <v>-7.1</v>
      </c>
      <c r="BH82" s="239">
        <v>42592</v>
      </c>
      <c r="BM82" s="238">
        <v>61.9</v>
      </c>
      <c r="BN82" s="239">
        <v>42592</v>
      </c>
      <c r="BQ82" s="238">
        <v>10.7</v>
      </c>
      <c r="BR82" s="239">
        <v>42592</v>
      </c>
      <c r="BS82" s="238">
        <v>46.81318681318681</v>
      </c>
      <c r="BT82" s="239">
        <v>42592</v>
      </c>
      <c r="BU82" s="238">
        <v>18.901098901098898</v>
      </c>
      <c r="BV82" s="239">
        <v>42592</v>
      </c>
      <c r="BW82" s="238">
        <v>13.626373626373626</v>
      </c>
      <c r="BX82" s="239">
        <v>42592</v>
      </c>
      <c r="BY82" s="238"/>
      <c r="BZ82" s="238"/>
      <c r="CA82" s="238">
        <v>35.6</v>
      </c>
      <c r="CB82" s="239">
        <v>42592</v>
      </c>
      <c r="CC82" s="238"/>
      <c r="CD82" s="238"/>
      <c r="CF82" s="238"/>
    </row>
    <row r="83" spans="1:84" s="178" customFormat="1" ht="12">
      <c r="A83" s="232">
        <v>40</v>
      </c>
      <c r="B83" s="232" t="str">
        <f>VLOOKUP(A83,PlantMaterial!B:C,2,0)</f>
        <v>RAPSO_325</v>
      </c>
      <c r="C83" s="238" t="s">
        <v>7690</v>
      </c>
      <c r="D83" s="232">
        <v>2</v>
      </c>
      <c r="E83" s="238" t="s">
        <v>7771</v>
      </c>
      <c r="F83" s="232">
        <v>3</v>
      </c>
      <c r="G83" s="232">
        <v>8</v>
      </c>
      <c r="H83" s="178">
        <v>84</v>
      </c>
      <c r="I83" s="238"/>
      <c r="M83" s="238">
        <v>4.71</v>
      </c>
      <c r="N83" s="239">
        <v>42586</v>
      </c>
      <c r="S83" s="178">
        <v>14.97</v>
      </c>
      <c r="T83" s="239">
        <v>42592</v>
      </c>
      <c r="U83" s="178">
        <v>13.5</v>
      </c>
      <c r="V83" s="239">
        <v>42586</v>
      </c>
      <c r="Y83" s="238">
        <v>5.9091999999999993</v>
      </c>
      <c r="Z83" s="239">
        <v>42592</v>
      </c>
      <c r="AA83" s="178">
        <v>45</v>
      </c>
      <c r="AB83" s="239">
        <v>42249</v>
      </c>
      <c r="AE83" s="238">
        <v>34.76</v>
      </c>
      <c r="AF83" s="239">
        <v>42586</v>
      </c>
      <c r="AI83" s="232">
        <v>130</v>
      </c>
      <c r="AJ83" s="239">
        <v>42507</v>
      </c>
      <c r="AK83" s="238">
        <v>9.3000000000000007</v>
      </c>
      <c r="BG83" s="238">
        <v>-7.7</v>
      </c>
      <c r="BH83" s="239">
        <v>42592</v>
      </c>
      <c r="BM83" s="238">
        <v>62.9</v>
      </c>
      <c r="BN83" s="239">
        <v>42592</v>
      </c>
      <c r="BQ83" s="238">
        <v>10.8</v>
      </c>
      <c r="BR83" s="239">
        <v>42592</v>
      </c>
      <c r="BS83" s="238">
        <v>47.362637362637365</v>
      </c>
      <c r="BT83" s="239">
        <v>42592</v>
      </c>
      <c r="BU83" s="238">
        <v>18.681318681318682</v>
      </c>
      <c r="BV83" s="239">
        <v>42592</v>
      </c>
      <c r="BW83" s="238">
        <v>14.945054945054943</v>
      </c>
      <c r="BX83" s="239">
        <v>42592</v>
      </c>
      <c r="BY83" s="238"/>
      <c r="BZ83" s="238"/>
      <c r="CA83" s="238">
        <v>35.4</v>
      </c>
      <c r="CB83" s="239">
        <v>42592</v>
      </c>
      <c r="CC83" s="238"/>
      <c r="CD83" s="238"/>
      <c r="CF83" s="238"/>
    </row>
    <row r="84" spans="1:84" s="178" customFormat="1" ht="12">
      <c r="A84" s="232">
        <v>41</v>
      </c>
      <c r="B84" s="232" t="str">
        <f>VLOOKUP(A84,PlantMaterial!B:C,2,0)</f>
        <v>C04-1SYNQ0</v>
      </c>
      <c r="C84" s="238" t="s">
        <v>7690</v>
      </c>
      <c r="D84" s="232">
        <v>2</v>
      </c>
      <c r="E84" s="238" t="s">
        <v>7772</v>
      </c>
      <c r="F84" s="232">
        <v>1</v>
      </c>
      <c r="G84" s="232">
        <v>10</v>
      </c>
      <c r="H84" s="178">
        <v>105</v>
      </c>
      <c r="I84" s="238"/>
      <c r="M84" s="238">
        <v>3.45</v>
      </c>
      <c r="N84" s="239">
        <v>42586</v>
      </c>
      <c r="S84" s="178">
        <v>11.01</v>
      </c>
      <c r="T84" s="239">
        <v>42592</v>
      </c>
      <c r="U84" s="178">
        <v>13.5</v>
      </c>
      <c r="V84" s="239">
        <v>42586</v>
      </c>
      <c r="Y84" s="238">
        <v>4.1655999999999995</v>
      </c>
      <c r="Z84" s="239">
        <v>42592</v>
      </c>
      <c r="AA84" s="178">
        <v>45</v>
      </c>
      <c r="AB84" s="239">
        <v>42249</v>
      </c>
      <c r="AE84" s="238">
        <v>25.4</v>
      </c>
      <c r="AF84" s="239">
        <v>42586</v>
      </c>
      <c r="AI84" s="232">
        <v>150</v>
      </c>
      <c r="AJ84" s="239">
        <v>42507</v>
      </c>
      <c r="AK84" s="238">
        <v>9.6</v>
      </c>
      <c r="BG84" s="238">
        <v>-8.1999999999999993</v>
      </c>
      <c r="BH84" s="239">
        <v>42592</v>
      </c>
      <c r="BM84" s="238">
        <v>62.8</v>
      </c>
      <c r="BN84" s="239">
        <v>42592</v>
      </c>
      <c r="BQ84" s="238">
        <v>10.1</v>
      </c>
      <c r="BR84" s="239">
        <v>42592</v>
      </c>
      <c r="BS84" s="238">
        <v>47.692307692307686</v>
      </c>
      <c r="BT84" s="239">
        <v>42592</v>
      </c>
      <c r="BU84" s="238">
        <v>18.021978021978018</v>
      </c>
      <c r="BV84" s="239">
        <v>42592</v>
      </c>
      <c r="BW84" s="238">
        <v>14.285714285714285</v>
      </c>
      <c r="BX84" s="239">
        <v>42592</v>
      </c>
      <c r="BY84" s="238"/>
      <c r="BZ84" s="238"/>
      <c r="CA84" s="238">
        <v>34.5</v>
      </c>
      <c r="CB84" s="239">
        <v>42592</v>
      </c>
      <c r="CC84" s="238"/>
      <c r="CD84" s="238"/>
      <c r="CF84" s="238"/>
    </row>
    <row r="85" spans="1:84" s="178" customFormat="1" ht="12">
      <c r="A85" s="232">
        <v>42</v>
      </c>
      <c r="B85" s="232" t="str">
        <f>VLOOKUP(A85,PlantMaterial!B:C,2,0)</f>
        <v>C04-1SYNQ1</v>
      </c>
      <c r="C85" s="238" t="s">
        <v>7690</v>
      </c>
      <c r="D85" s="232">
        <v>2</v>
      </c>
      <c r="E85" s="238" t="s">
        <v>7773</v>
      </c>
      <c r="F85" s="232">
        <v>2</v>
      </c>
      <c r="G85" s="232">
        <v>11</v>
      </c>
      <c r="H85" s="178">
        <v>115.5</v>
      </c>
      <c r="I85" s="238"/>
      <c r="M85" s="238">
        <v>3.77</v>
      </c>
      <c r="N85" s="239">
        <v>42586</v>
      </c>
      <c r="S85" s="178">
        <v>12.08</v>
      </c>
      <c r="T85" s="239">
        <v>42592</v>
      </c>
      <c r="U85" s="178">
        <v>13.5</v>
      </c>
      <c r="V85" s="239">
        <v>42586</v>
      </c>
      <c r="Y85" s="238">
        <v>4.667040000000001</v>
      </c>
      <c r="Z85" s="239">
        <v>42592</v>
      </c>
      <c r="AA85" s="178">
        <v>45</v>
      </c>
      <c r="AB85" s="239">
        <v>42249</v>
      </c>
      <c r="AE85" s="238">
        <v>27.78</v>
      </c>
      <c r="AF85" s="239">
        <v>42586</v>
      </c>
      <c r="AI85" s="232">
        <v>140</v>
      </c>
      <c r="AJ85" s="239">
        <v>42507</v>
      </c>
      <c r="AK85" s="238">
        <v>9.5</v>
      </c>
      <c r="BG85" s="238">
        <v>-8.1999999999999993</v>
      </c>
      <c r="BH85" s="239">
        <v>42592</v>
      </c>
      <c r="BM85" s="238">
        <v>61.4</v>
      </c>
      <c r="BN85" s="239">
        <v>42592</v>
      </c>
      <c r="BQ85" s="238">
        <v>10.8</v>
      </c>
      <c r="BR85" s="239">
        <v>42592</v>
      </c>
      <c r="BS85" s="238">
        <v>47.802197802197803</v>
      </c>
      <c r="BT85" s="239">
        <v>42592</v>
      </c>
      <c r="BU85" s="238">
        <v>18.461538461538463</v>
      </c>
      <c r="BV85" s="239">
        <v>42592</v>
      </c>
      <c r="BW85" s="238">
        <v>17.472527472527471</v>
      </c>
      <c r="BX85" s="239">
        <v>42592</v>
      </c>
      <c r="BY85" s="238"/>
      <c r="BZ85" s="238"/>
      <c r="CA85" s="238">
        <v>35.299999999999997</v>
      </c>
      <c r="CB85" s="239">
        <v>42592</v>
      </c>
      <c r="CC85" s="238"/>
      <c r="CD85" s="238"/>
      <c r="CF85" s="238"/>
    </row>
    <row r="86" spans="1:84" s="242" customFormat="1" ht="12">
      <c r="A86" s="240">
        <v>1</v>
      </c>
      <c r="B86" s="240" t="str">
        <f>VLOOKUP(A86,PlantMaterial!B:C,2,0)</f>
        <v>AVISO</v>
      </c>
      <c r="C86" s="241" t="s">
        <v>7690</v>
      </c>
      <c r="D86" s="240">
        <v>3</v>
      </c>
      <c r="E86" s="241" t="s">
        <v>7936</v>
      </c>
      <c r="F86" s="240">
        <v>5</v>
      </c>
      <c r="G86" s="240">
        <v>21</v>
      </c>
      <c r="H86" s="242">
        <v>220.5</v>
      </c>
      <c r="I86" s="241" t="s">
        <v>7774</v>
      </c>
      <c r="J86" s="243">
        <v>42430</v>
      </c>
      <c r="M86" s="241">
        <v>2.63</v>
      </c>
      <c r="N86" s="243">
        <v>42586</v>
      </c>
      <c r="S86" s="242">
        <v>8.02</v>
      </c>
      <c r="T86" s="243">
        <v>42592</v>
      </c>
      <c r="U86" s="242">
        <v>13.5</v>
      </c>
      <c r="V86" s="243">
        <v>42586</v>
      </c>
      <c r="Y86" s="241">
        <v>3.3003000000000005</v>
      </c>
      <c r="Z86" s="243">
        <v>42592</v>
      </c>
      <c r="AA86" s="242">
        <v>45</v>
      </c>
      <c r="AB86" s="243">
        <v>42249</v>
      </c>
      <c r="AE86" s="241">
        <v>19.3</v>
      </c>
      <c r="AF86" s="243">
        <v>42586</v>
      </c>
      <c r="AI86" s="240">
        <v>150</v>
      </c>
      <c r="AJ86" s="243">
        <v>42507</v>
      </c>
      <c r="AK86" s="241">
        <v>9.8000000000000007</v>
      </c>
      <c r="BG86" s="241">
        <v>-9.5</v>
      </c>
      <c r="BH86" s="243">
        <v>42592</v>
      </c>
      <c r="BM86" s="241">
        <v>59.6</v>
      </c>
      <c r="BN86" s="243">
        <v>42592</v>
      </c>
      <c r="BQ86" s="241">
        <v>11.7</v>
      </c>
      <c r="BR86" s="243">
        <v>42592</v>
      </c>
      <c r="BS86" s="241">
        <v>45.604395604395606</v>
      </c>
      <c r="BT86" s="243">
        <v>42592</v>
      </c>
      <c r="BU86" s="241">
        <v>18.791208791208792</v>
      </c>
      <c r="BV86" s="243">
        <v>42592</v>
      </c>
      <c r="BW86" s="241">
        <v>15.604395604395602</v>
      </c>
      <c r="BX86" s="243">
        <v>42592</v>
      </c>
      <c r="BY86" s="241"/>
      <c r="BZ86" s="241"/>
      <c r="CA86" s="241">
        <v>34.6</v>
      </c>
      <c r="CB86" s="243">
        <v>42592</v>
      </c>
      <c r="CC86" s="241"/>
      <c r="CD86" s="241"/>
      <c r="CF86" s="241"/>
    </row>
    <row r="87" spans="1:84" s="178" customFormat="1" ht="12">
      <c r="A87" s="232">
        <v>2</v>
      </c>
      <c r="B87" s="232" t="str">
        <f>VLOOKUP(A87,PlantMaterial!B:C,2,0)</f>
        <v>A05-AMQ0</v>
      </c>
      <c r="C87" s="238" t="s">
        <v>7690</v>
      </c>
      <c r="D87" s="232">
        <v>3</v>
      </c>
      <c r="E87" s="238" t="s">
        <v>7775</v>
      </c>
      <c r="F87" s="232">
        <v>3</v>
      </c>
      <c r="G87" s="232">
        <v>16</v>
      </c>
      <c r="H87" s="178">
        <v>168</v>
      </c>
      <c r="I87" s="238"/>
      <c r="M87" s="238">
        <v>3.21</v>
      </c>
      <c r="N87" s="239">
        <v>42586</v>
      </c>
      <c r="S87" s="178">
        <v>9.83</v>
      </c>
      <c r="T87" s="239">
        <v>42592</v>
      </c>
      <c r="U87" s="178">
        <v>13.5</v>
      </c>
      <c r="V87" s="239">
        <v>42586</v>
      </c>
      <c r="Y87" s="238">
        <v>4.2970199999999998</v>
      </c>
      <c r="Z87" s="239">
        <v>42592</v>
      </c>
      <c r="AA87" s="178">
        <v>45</v>
      </c>
      <c r="AB87" s="239">
        <v>42249</v>
      </c>
      <c r="AE87" s="238">
        <v>23.61</v>
      </c>
      <c r="AF87" s="239">
        <v>42586</v>
      </c>
      <c r="AI87" s="232">
        <v>140</v>
      </c>
      <c r="AJ87" s="239">
        <v>42507</v>
      </c>
      <c r="AK87" s="238">
        <v>9.6</v>
      </c>
      <c r="BG87" s="238">
        <v>-9.9</v>
      </c>
      <c r="BH87" s="239">
        <v>42592</v>
      </c>
      <c r="BM87" s="238">
        <v>59.5</v>
      </c>
      <c r="BN87" s="239">
        <v>42592</v>
      </c>
      <c r="BQ87" s="238">
        <v>11.8</v>
      </c>
      <c r="BR87" s="239">
        <v>42592</v>
      </c>
      <c r="BS87" s="238">
        <v>45.714285714285715</v>
      </c>
      <c r="BT87" s="239">
        <v>42592</v>
      </c>
      <c r="BU87" s="238">
        <v>20</v>
      </c>
      <c r="BV87" s="239">
        <v>42592</v>
      </c>
      <c r="BW87" s="238">
        <v>14.835164835164834</v>
      </c>
      <c r="BX87" s="239">
        <v>42592</v>
      </c>
      <c r="BY87" s="238"/>
      <c r="BZ87" s="238"/>
      <c r="CA87" s="238">
        <v>36.799999999999997</v>
      </c>
      <c r="CB87" s="239">
        <v>42592</v>
      </c>
      <c r="CC87" s="238"/>
      <c r="CD87" s="238"/>
      <c r="CF87" s="238"/>
    </row>
    <row r="88" spans="1:84" s="242" customFormat="1" ht="12">
      <c r="A88" s="240">
        <v>3</v>
      </c>
      <c r="B88" s="240" t="str">
        <f>VLOOKUP(A88,PlantMaterial!B:C,2,0)</f>
        <v>MONTEGO</v>
      </c>
      <c r="C88" s="241" t="s">
        <v>7690</v>
      </c>
      <c r="D88" s="240">
        <v>3</v>
      </c>
      <c r="E88" s="241" t="s">
        <v>7936</v>
      </c>
      <c r="F88" s="240">
        <v>3</v>
      </c>
      <c r="G88" s="240">
        <v>21</v>
      </c>
      <c r="H88" s="242">
        <v>220.5</v>
      </c>
      <c r="I88" s="241"/>
      <c r="M88" s="241">
        <v>2.77</v>
      </c>
      <c r="N88" s="243">
        <v>42586</v>
      </c>
      <c r="S88" s="242">
        <v>8.49</v>
      </c>
      <c r="T88" s="243">
        <v>42592</v>
      </c>
      <c r="U88" s="242">
        <v>13.5</v>
      </c>
      <c r="V88" s="243">
        <v>42586</v>
      </c>
      <c r="Y88" s="241">
        <v>3.5552000000000006</v>
      </c>
      <c r="Z88" s="243">
        <v>42592</v>
      </c>
      <c r="AA88" s="242">
        <v>45</v>
      </c>
      <c r="AB88" s="243">
        <v>42249</v>
      </c>
      <c r="AE88" s="241">
        <v>20.2</v>
      </c>
      <c r="AF88" s="243">
        <v>42586</v>
      </c>
      <c r="AI88" s="240">
        <v>140</v>
      </c>
      <c r="AJ88" s="243">
        <v>42507</v>
      </c>
      <c r="AK88" s="241">
        <v>10.4</v>
      </c>
      <c r="BG88" s="241">
        <v>-8.4</v>
      </c>
      <c r="BH88" s="243">
        <v>42592</v>
      </c>
      <c r="BM88" s="241">
        <v>61.1</v>
      </c>
      <c r="BN88" s="243">
        <v>42592</v>
      </c>
      <c r="BQ88" s="241">
        <v>10.6</v>
      </c>
      <c r="BR88" s="243">
        <v>42592</v>
      </c>
      <c r="BS88" s="241">
        <v>46.153846153846153</v>
      </c>
      <c r="BT88" s="243">
        <v>42592</v>
      </c>
      <c r="BU88" s="241">
        <v>19.340659340659343</v>
      </c>
      <c r="BV88" s="243">
        <v>42592</v>
      </c>
      <c r="BW88" s="241">
        <v>15.164835164835164</v>
      </c>
      <c r="BX88" s="243">
        <v>42592</v>
      </c>
      <c r="BY88" s="241"/>
      <c r="BZ88" s="241"/>
      <c r="CA88" s="241">
        <v>36</v>
      </c>
      <c r="CB88" s="243">
        <v>42592</v>
      </c>
      <c r="CC88" s="241"/>
      <c r="CD88" s="241"/>
      <c r="CF88" s="241"/>
    </row>
    <row r="89" spans="1:84" s="178" customFormat="1" ht="12">
      <c r="A89" s="232">
        <v>4</v>
      </c>
      <c r="B89" s="232" t="str">
        <f>VLOOKUP(A89,PlantMaterial!B:C,2,0)</f>
        <v>A05-AMQ1</v>
      </c>
      <c r="C89" s="238" t="s">
        <v>7690</v>
      </c>
      <c r="D89" s="232">
        <v>3</v>
      </c>
      <c r="E89" s="238" t="s">
        <v>7776</v>
      </c>
      <c r="F89" s="232">
        <v>4</v>
      </c>
      <c r="G89" s="232">
        <v>16</v>
      </c>
      <c r="H89" s="178">
        <v>168</v>
      </c>
      <c r="I89" s="238"/>
      <c r="M89" s="238">
        <v>3.4</v>
      </c>
      <c r="N89" s="239">
        <v>42586</v>
      </c>
      <c r="S89" s="178">
        <v>10.44</v>
      </c>
      <c r="T89" s="239">
        <v>42592</v>
      </c>
      <c r="U89" s="178">
        <v>13.5</v>
      </c>
      <c r="V89" s="239">
        <v>42586</v>
      </c>
      <c r="Y89" s="238">
        <v>4.5304300000000008</v>
      </c>
      <c r="Z89" s="239">
        <v>42592</v>
      </c>
      <c r="AA89" s="178">
        <v>45</v>
      </c>
      <c r="AB89" s="239">
        <v>42249</v>
      </c>
      <c r="AE89" s="238">
        <v>25.03</v>
      </c>
      <c r="AF89" s="239">
        <v>42586</v>
      </c>
      <c r="AI89" s="232">
        <v>140</v>
      </c>
      <c r="AJ89" s="239">
        <v>42507</v>
      </c>
      <c r="AK89" s="238">
        <v>9.6</v>
      </c>
      <c r="BG89" s="238">
        <v>-8.6999999999999993</v>
      </c>
      <c r="BH89" s="239">
        <v>42592</v>
      </c>
      <c r="BM89" s="238">
        <v>59.9</v>
      </c>
      <c r="BN89" s="239">
        <v>42592</v>
      </c>
      <c r="BQ89" s="238">
        <v>11.5</v>
      </c>
      <c r="BR89" s="239">
        <v>42592</v>
      </c>
      <c r="BS89" s="238">
        <v>45.824175824175825</v>
      </c>
      <c r="BT89" s="239">
        <v>42592</v>
      </c>
      <c r="BU89" s="238">
        <v>19.890109890109891</v>
      </c>
      <c r="BV89" s="239">
        <v>42592</v>
      </c>
      <c r="BW89" s="238">
        <v>18.241758241758244</v>
      </c>
      <c r="BX89" s="239">
        <v>42592</v>
      </c>
      <c r="BY89" s="238"/>
      <c r="BZ89" s="238"/>
      <c r="CA89" s="238">
        <v>36.700000000000003</v>
      </c>
      <c r="CB89" s="239">
        <v>42592</v>
      </c>
      <c r="CC89" s="238"/>
      <c r="CD89" s="238"/>
      <c r="CF89" s="238"/>
    </row>
    <row r="90" spans="1:84" s="242" customFormat="1" ht="12">
      <c r="A90" s="240">
        <v>5</v>
      </c>
      <c r="B90" s="240" t="str">
        <f>VLOOKUP(A90,PlantMaterial!B:C,2,0)</f>
        <v>TENOR</v>
      </c>
      <c r="C90" s="241" t="s">
        <v>7690</v>
      </c>
      <c r="D90" s="240">
        <v>3</v>
      </c>
      <c r="E90" s="241" t="s">
        <v>7936</v>
      </c>
      <c r="F90" s="240">
        <v>2</v>
      </c>
      <c r="G90" s="240">
        <v>17</v>
      </c>
      <c r="H90" s="242">
        <v>178.5</v>
      </c>
      <c r="I90" s="241"/>
      <c r="M90" s="241">
        <v>1.97</v>
      </c>
      <c r="N90" s="243">
        <v>42586</v>
      </c>
      <c r="S90" s="242">
        <v>6.16</v>
      </c>
      <c r="T90" s="243">
        <v>42592</v>
      </c>
      <c r="U90" s="242">
        <v>13.5</v>
      </c>
      <c r="V90" s="243">
        <v>42586</v>
      </c>
      <c r="Y90" s="241">
        <v>2.6516700000000002</v>
      </c>
      <c r="Z90" s="243">
        <v>42592</v>
      </c>
      <c r="AA90" s="242">
        <v>45</v>
      </c>
      <c r="AB90" s="243">
        <v>42249</v>
      </c>
      <c r="AE90" s="241">
        <v>14.49</v>
      </c>
      <c r="AF90" s="243">
        <v>42586</v>
      </c>
      <c r="AI90" s="240">
        <v>145</v>
      </c>
      <c r="AJ90" s="243">
        <v>42507</v>
      </c>
      <c r="AK90" s="241">
        <v>9.6</v>
      </c>
      <c r="BG90" s="241">
        <v>-10.5</v>
      </c>
      <c r="BH90" s="243">
        <v>42592</v>
      </c>
      <c r="BM90" s="241">
        <v>60</v>
      </c>
      <c r="BN90" s="243">
        <v>42592</v>
      </c>
      <c r="BQ90" s="241">
        <v>11.3</v>
      </c>
      <c r="BR90" s="243">
        <v>42592</v>
      </c>
      <c r="BS90" s="241">
        <v>46.703296703296701</v>
      </c>
      <c r="BT90" s="243">
        <v>42592</v>
      </c>
      <c r="BU90" s="241">
        <v>20.109890109890109</v>
      </c>
      <c r="BV90" s="243">
        <v>42592</v>
      </c>
      <c r="BW90" s="241">
        <v>19.780219780219781</v>
      </c>
      <c r="BX90" s="243">
        <v>42592</v>
      </c>
      <c r="BY90" s="241"/>
      <c r="BZ90" s="241"/>
      <c r="CA90" s="241">
        <v>37.6</v>
      </c>
      <c r="CB90" s="243">
        <v>42592</v>
      </c>
      <c r="CC90" s="241"/>
      <c r="CD90" s="241"/>
      <c r="CF90" s="241"/>
    </row>
    <row r="91" spans="1:84" s="178" customFormat="1" ht="12">
      <c r="A91" s="232">
        <v>6</v>
      </c>
      <c r="B91" s="232" t="str">
        <f>VLOOKUP(A91,PlantMaterial!B:C,2,0)</f>
        <v>C03-AMQ0</v>
      </c>
      <c r="C91" s="238" t="s">
        <v>7690</v>
      </c>
      <c r="D91" s="232">
        <v>3</v>
      </c>
      <c r="E91" s="238" t="s">
        <v>7777</v>
      </c>
      <c r="F91" s="232">
        <v>1</v>
      </c>
      <c r="G91" s="232">
        <v>20</v>
      </c>
      <c r="H91" s="178">
        <v>210</v>
      </c>
      <c r="I91" s="238"/>
      <c r="M91" s="238">
        <v>2.74</v>
      </c>
      <c r="N91" s="239">
        <v>42586</v>
      </c>
      <c r="S91" s="178">
        <v>8.3699999999999992</v>
      </c>
      <c r="T91" s="239">
        <v>42592</v>
      </c>
      <c r="U91" s="178">
        <v>13.5</v>
      </c>
      <c r="V91" s="239">
        <v>42586</v>
      </c>
      <c r="Y91" s="238">
        <v>3.78444</v>
      </c>
      <c r="Z91" s="239">
        <v>42592</v>
      </c>
      <c r="AA91" s="178">
        <v>45</v>
      </c>
      <c r="AB91" s="239">
        <v>42249</v>
      </c>
      <c r="AE91" s="238">
        <v>20.13</v>
      </c>
      <c r="AF91" s="239">
        <v>42586</v>
      </c>
      <c r="AI91" s="232">
        <v>140</v>
      </c>
      <c r="AJ91" s="239">
        <v>42507</v>
      </c>
      <c r="AK91" s="238">
        <v>9.6999999999999993</v>
      </c>
      <c r="BG91" s="238">
        <v>-8.6</v>
      </c>
      <c r="BH91" s="239">
        <v>42592</v>
      </c>
      <c r="BM91" s="238">
        <v>59.6</v>
      </c>
      <c r="BN91" s="239">
        <v>42592</v>
      </c>
      <c r="BQ91" s="238">
        <v>11.8</v>
      </c>
      <c r="BR91" s="239">
        <v>42592</v>
      </c>
      <c r="BS91" s="238">
        <v>45.714285714285715</v>
      </c>
      <c r="BT91" s="239">
        <v>42592</v>
      </c>
      <c r="BU91" s="238">
        <v>20.659340659340661</v>
      </c>
      <c r="BV91" s="239">
        <v>42592</v>
      </c>
      <c r="BW91" s="238">
        <v>16.593406593406591</v>
      </c>
      <c r="BX91" s="239">
        <v>42592</v>
      </c>
      <c r="BY91" s="238"/>
      <c r="BZ91" s="238"/>
      <c r="CA91" s="238">
        <v>38</v>
      </c>
      <c r="CB91" s="239">
        <v>42592</v>
      </c>
      <c r="CC91" s="238"/>
      <c r="CD91" s="238"/>
      <c r="CF91" s="238"/>
    </row>
    <row r="92" spans="1:84" s="242" customFormat="1" ht="12">
      <c r="A92" s="240">
        <v>7</v>
      </c>
      <c r="B92" s="240" t="str">
        <f>VLOOKUP(A92,PlantMaterial!B:C,2,0)</f>
        <v>EXPRESS</v>
      </c>
      <c r="C92" s="241" t="s">
        <v>7690</v>
      </c>
      <c r="D92" s="240">
        <v>3</v>
      </c>
      <c r="E92" s="241" t="s">
        <v>7936</v>
      </c>
      <c r="F92" s="240">
        <v>1</v>
      </c>
      <c r="G92" s="240">
        <v>16</v>
      </c>
      <c r="H92" s="242">
        <v>168</v>
      </c>
      <c r="I92" s="241"/>
      <c r="M92" s="241">
        <v>2.2999999999999998</v>
      </c>
      <c r="N92" s="243">
        <v>42586</v>
      </c>
      <c r="S92" s="242">
        <v>7.08</v>
      </c>
      <c r="T92" s="243">
        <v>42592</v>
      </c>
      <c r="U92" s="242">
        <v>13.5</v>
      </c>
      <c r="V92" s="243">
        <v>42586</v>
      </c>
      <c r="Y92" s="241">
        <v>2.9673599999999998</v>
      </c>
      <c r="Z92" s="243">
        <v>42592</v>
      </c>
      <c r="AA92" s="242">
        <v>45</v>
      </c>
      <c r="AB92" s="243">
        <v>42249</v>
      </c>
      <c r="AE92" s="241">
        <v>16.86</v>
      </c>
      <c r="AF92" s="243">
        <v>42586</v>
      </c>
      <c r="AI92" s="240">
        <v>140</v>
      </c>
      <c r="AJ92" s="243">
        <v>42507</v>
      </c>
      <c r="AK92" s="241">
        <v>9.9</v>
      </c>
      <c r="BG92" s="241">
        <v>-7.5</v>
      </c>
      <c r="BH92" s="243">
        <v>42592</v>
      </c>
      <c r="BM92" s="241">
        <v>62.7</v>
      </c>
      <c r="BN92" s="243">
        <v>42592</v>
      </c>
      <c r="BQ92" s="241">
        <v>10.199999999999999</v>
      </c>
      <c r="BR92" s="243">
        <v>42592</v>
      </c>
      <c r="BS92" s="241">
        <v>46.153846153846153</v>
      </c>
      <c r="BT92" s="243">
        <v>42592</v>
      </c>
      <c r="BU92" s="241">
        <v>19.340659340659343</v>
      </c>
      <c r="BV92" s="243">
        <v>42592</v>
      </c>
      <c r="BW92" s="241">
        <v>16.483516483516482</v>
      </c>
      <c r="BX92" s="243">
        <v>42592</v>
      </c>
      <c r="BY92" s="241"/>
      <c r="BZ92" s="241"/>
      <c r="CA92" s="241">
        <v>36</v>
      </c>
      <c r="CB92" s="243">
        <v>42592</v>
      </c>
      <c r="CC92" s="241"/>
      <c r="CD92" s="241"/>
      <c r="CF92" s="241"/>
    </row>
    <row r="93" spans="1:84" s="178" customFormat="1" ht="12">
      <c r="A93" s="232">
        <v>8</v>
      </c>
      <c r="B93" s="232" t="str">
        <f>VLOOKUP(A93,PlantMaterial!B:C,2,0)</f>
        <v>C03-AMQ1</v>
      </c>
      <c r="C93" s="238" t="s">
        <v>7690</v>
      </c>
      <c r="D93" s="232">
        <v>3</v>
      </c>
      <c r="E93" s="238" t="s">
        <v>7778</v>
      </c>
      <c r="F93" s="232">
        <v>5</v>
      </c>
      <c r="G93" s="232">
        <v>17</v>
      </c>
      <c r="H93" s="178">
        <v>178.5</v>
      </c>
      <c r="I93" s="238"/>
      <c r="M93" s="238">
        <v>3.68</v>
      </c>
      <c r="N93" s="239">
        <v>42586</v>
      </c>
      <c r="S93" s="178">
        <v>11.36</v>
      </c>
      <c r="T93" s="239">
        <v>42592</v>
      </c>
      <c r="U93" s="178">
        <v>13.5</v>
      </c>
      <c r="V93" s="239">
        <v>42586</v>
      </c>
      <c r="Y93" s="238">
        <v>4.9051000000000009</v>
      </c>
      <c r="Z93" s="239">
        <v>42592</v>
      </c>
      <c r="AA93" s="178">
        <v>45</v>
      </c>
      <c r="AB93" s="239">
        <v>42249</v>
      </c>
      <c r="AE93" s="238">
        <v>27.1</v>
      </c>
      <c r="AF93" s="239">
        <v>42586</v>
      </c>
      <c r="AI93" s="232">
        <v>150</v>
      </c>
      <c r="AJ93" s="239">
        <v>42507</v>
      </c>
      <c r="AK93" s="238">
        <v>9.5</v>
      </c>
      <c r="BG93" s="238">
        <v>-10.1</v>
      </c>
      <c r="BH93" s="239">
        <v>42592</v>
      </c>
      <c r="BM93" s="238">
        <v>59.4</v>
      </c>
      <c r="BN93" s="239">
        <v>42592</v>
      </c>
      <c r="BQ93" s="238">
        <v>11.7</v>
      </c>
      <c r="BR93" s="239">
        <v>42592</v>
      </c>
      <c r="BS93" s="238">
        <v>46.043956043956044</v>
      </c>
      <c r="BT93" s="239">
        <v>42592</v>
      </c>
      <c r="BU93" s="238">
        <v>19.890109890109891</v>
      </c>
      <c r="BV93" s="239">
        <v>42592</v>
      </c>
      <c r="BW93" s="238">
        <v>15.164835164835164</v>
      </c>
      <c r="BX93" s="239">
        <v>42592</v>
      </c>
      <c r="BY93" s="238"/>
      <c r="BZ93" s="238"/>
      <c r="CA93" s="238">
        <v>36.799999999999997</v>
      </c>
      <c r="CB93" s="239">
        <v>42592</v>
      </c>
      <c r="CC93" s="238"/>
      <c r="CD93" s="238"/>
      <c r="CF93" s="238"/>
    </row>
    <row r="94" spans="1:84" s="178" customFormat="1" ht="12">
      <c r="A94" s="232">
        <v>9</v>
      </c>
      <c r="B94" s="232" t="str">
        <f>VLOOKUP(A94,PlantMaterial!B:C,2,0)</f>
        <v>C04-DKQ0</v>
      </c>
      <c r="C94" s="238" t="s">
        <v>7690</v>
      </c>
      <c r="D94" s="232">
        <v>3</v>
      </c>
      <c r="E94" s="238" t="s">
        <v>7779</v>
      </c>
      <c r="F94" s="232">
        <v>1</v>
      </c>
      <c r="G94" s="232">
        <v>21</v>
      </c>
      <c r="H94" s="178">
        <v>220.5</v>
      </c>
      <c r="I94" s="238"/>
      <c r="M94" s="238">
        <v>2.63</v>
      </c>
      <c r="N94" s="239">
        <v>42586</v>
      </c>
      <c r="S94" s="178">
        <v>8.0299999999999994</v>
      </c>
      <c r="T94" s="239">
        <v>42592</v>
      </c>
      <c r="U94" s="178">
        <v>13.5</v>
      </c>
      <c r="V94" s="239">
        <v>42586</v>
      </c>
      <c r="Y94" s="238">
        <v>3.5392200000000003</v>
      </c>
      <c r="Z94" s="239">
        <v>42592</v>
      </c>
      <c r="AA94" s="178">
        <v>45</v>
      </c>
      <c r="AB94" s="239">
        <v>42249</v>
      </c>
      <c r="AE94" s="238">
        <v>19.34</v>
      </c>
      <c r="AF94" s="239">
        <v>42586</v>
      </c>
      <c r="AI94" s="232">
        <v>140</v>
      </c>
      <c r="AJ94" s="239">
        <v>42507</v>
      </c>
      <c r="AK94" s="238">
        <v>9.6999999999999993</v>
      </c>
      <c r="BG94" s="238">
        <v>-8.6999999999999993</v>
      </c>
      <c r="BH94" s="239">
        <v>42592</v>
      </c>
      <c r="BM94" s="238">
        <v>60.1</v>
      </c>
      <c r="BN94" s="239">
        <v>42592</v>
      </c>
      <c r="BQ94" s="238">
        <v>11.6</v>
      </c>
      <c r="BR94" s="239">
        <v>42592</v>
      </c>
      <c r="BS94" s="238">
        <v>45.604395604395606</v>
      </c>
      <c r="BT94" s="239">
        <v>42592</v>
      </c>
      <c r="BU94" s="238">
        <v>20.109890109890109</v>
      </c>
      <c r="BV94" s="239">
        <v>42592</v>
      </c>
      <c r="BW94" s="238">
        <v>16.703296703296701</v>
      </c>
      <c r="BX94" s="239">
        <v>42592</v>
      </c>
      <c r="BY94" s="238"/>
      <c r="BZ94" s="238"/>
      <c r="CA94" s="238">
        <v>37</v>
      </c>
      <c r="CB94" s="239">
        <v>42592</v>
      </c>
      <c r="CC94" s="238"/>
      <c r="CD94" s="238"/>
      <c r="CF94" s="238"/>
    </row>
    <row r="95" spans="1:84" s="178" customFormat="1" ht="12">
      <c r="A95" s="232">
        <v>10</v>
      </c>
      <c r="B95" s="232" t="str">
        <f>VLOOKUP(A95,PlantMaterial!B:C,2,0)</f>
        <v>C04-DKQ1</v>
      </c>
      <c r="C95" s="238" t="s">
        <v>7690</v>
      </c>
      <c r="D95" s="232">
        <v>3</v>
      </c>
      <c r="E95" s="238" t="s">
        <v>7780</v>
      </c>
      <c r="F95" s="232">
        <v>2</v>
      </c>
      <c r="G95" s="232">
        <v>15</v>
      </c>
      <c r="H95" s="178">
        <v>157.5</v>
      </c>
      <c r="I95" s="238"/>
      <c r="M95" s="238">
        <v>2.89</v>
      </c>
      <c r="N95" s="239">
        <v>42586</v>
      </c>
      <c r="S95" s="178">
        <v>9</v>
      </c>
      <c r="T95" s="239">
        <v>42592</v>
      </c>
      <c r="U95" s="178">
        <v>13.5</v>
      </c>
      <c r="V95" s="239">
        <v>42586</v>
      </c>
      <c r="Y95" s="238">
        <v>3.8516800000000004</v>
      </c>
      <c r="Z95" s="239">
        <v>42592</v>
      </c>
      <c r="AA95" s="178">
        <v>45</v>
      </c>
      <c r="AB95" s="239">
        <v>42249</v>
      </c>
      <c r="AE95" s="238">
        <v>21.28</v>
      </c>
      <c r="AF95" s="239">
        <v>42586</v>
      </c>
      <c r="AI95" s="232">
        <v>150</v>
      </c>
      <c r="AJ95" s="239">
        <v>42507</v>
      </c>
      <c r="AK95" s="238">
        <v>9.6</v>
      </c>
      <c r="BG95" s="238">
        <v>-6.3</v>
      </c>
      <c r="BH95" s="239">
        <v>42592</v>
      </c>
      <c r="BM95" s="238">
        <v>61.6</v>
      </c>
      <c r="BN95" s="239">
        <v>42592</v>
      </c>
      <c r="BQ95" s="238">
        <v>10.7</v>
      </c>
      <c r="BR95" s="239">
        <v>42592</v>
      </c>
      <c r="BS95" s="238">
        <v>46.483516483516482</v>
      </c>
      <c r="BT95" s="239">
        <v>42592</v>
      </c>
      <c r="BU95" s="238">
        <v>19.890109890109891</v>
      </c>
      <c r="BV95" s="239">
        <v>42592</v>
      </c>
      <c r="BW95" s="238">
        <v>17.58241758241758</v>
      </c>
      <c r="BX95" s="239">
        <v>42592</v>
      </c>
      <c r="BY95" s="238"/>
      <c r="BZ95" s="238"/>
      <c r="CA95" s="238">
        <v>37.1</v>
      </c>
      <c r="CB95" s="239">
        <v>42592</v>
      </c>
      <c r="CC95" s="238"/>
      <c r="CD95" s="238"/>
      <c r="CF95" s="238"/>
    </row>
    <row r="96" spans="1:84" s="178" customFormat="1" ht="12">
      <c r="A96" s="232">
        <v>11</v>
      </c>
      <c r="B96" s="232" t="str">
        <f>VLOOKUP(A96,PlantMaterial!B:C,2,0)</f>
        <v>AM087</v>
      </c>
      <c r="C96" s="238" t="s">
        <v>7690</v>
      </c>
      <c r="D96" s="232">
        <v>3</v>
      </c>
      <c r="E96" s="238" t="s">
        <v>7781</v>
      </c>
      <c r="F96" s="232">
        <v>2</v>
      </c>
      <c r="G96" s="232">
        <v>19</v>
      </c>
      <c r="H96" s="178">
        <v>199.5</v>
      </c>
      <c r="I96" s="238"/>
      <c r="M96" s="238">
        <v>4.05</v>
      </c>
      <c r="N96" s="239">
        <v>42586</v>
      </c>
      <c r="S96" s="178">
        <v>12.83</v>
      </c>
      <c r="T96" s="239">
        <v>42592</v>
      </c>
      <c r="U96" s="178">
        <v>13.5</v>
      </c>
      <c r="V96" s="239">
        <v>42586</v>
      </c>
      <c r="Y96" s="238">
        <v>5.1450199999999997</v>
      </c>
      <c r="Z96" s="239">
        <v>42592</v>
      </c>
      <c r="AA96" s="178">
        <v>45</v>
      </c>
      <c r="AB96" s="239">
        <v>42249</v>
      </c>
      <c r="AE96" s="238">
        <v>29.74</v>
      </c>
      <c r="AF96" s="239">
        <v>42586</v>
      </c>
      <c r="AI96" s="232">
        <v>155</v>
      </c>
      <c r="AJ96" s="239">
        <v>42507</v>
      </c>
      <c r="AK96" s="238">
        <v>9.8000000000000007</v>
      </c>
      <c r="BG96" s="238">
        <v>-9.1999999999999993</v>
      </c>
      <c r="BH96" s="239">
        <v>42592</v>
      </c>
      <c r="BM96" s="238">
        <v>60.9</v>
      </c>
      <c r="BN96" s="239">
        <v>42592</v>
      </c>
      <c r="BQ96" s="238">
        <v>11.4</v>
      </c>
      <c r="BR96" s="239">
        <v>42592</v>
      </c>
      <c r="BS96" s="238">
        <v>47.362637362637365</v>
      </c>
      <c r="BT96" s="239">
        <v>42592</v>
      </c>
      <c r="BU96" s="238">
        <v>19.010989010989011</v>
      </c>
      <c r="BV96" s="239">
        <v>42592</v>
      </c>
      <c r="BW96" s="238">
        <v>19.010989010989011</v>
      </c>
      <c r="BX96" s="239">
        <v>42592</v>
      </c>
      <c r="BY96" s="238"/>
      <c r="BZ96" s="238"/>
      <c r="CA96" s="238">
        <v>36</v>
      </c>
      <c r="CB96" s="239">
        <v>42592</v>
      </c>
      <c r="CC96" s="238"/>
      <c r="CD96" s="238"/>
      <c r="CF96" s="238"/>
    </row>
    <row r="97" spans="1:84" s="178" customFormat="1" ht="12">
      <c r="A97" s="232">
        <v>12</v>
      </c>
      <c r="B97" s="232" t="str">
        <f>VLOOKUP(A97,PlantMaterial!B:C,2,0)</f>
        <v>AVISO</v>
      </c>
      <c r="C97" s="238" t="s">
        <v>7690</v>
      </c>
      <c r="D97" s="232">
        <v>3</v>
      </c>
      <c r="E97" s="238" t="s">
        <v>7782</v>
      </c>
      <c r="F97" s="232">
        <v>6</v>
      </c>
      <c r="G97" s="232">
        <v>18</v>
      </c>
      <c r="H97" s="178">
        <v>189</v>
      </c>
      <c r="I97" s="238"/>
      <c r="M97" s="238">
        <v>2.86</v>
      </c>
      <c r="N97" s="239">
        <v>42586</v>
      </c>
      <c r="S97" s="178">
        <v>8.91</v>
      </c>
      <c r="T97" s="239">
        <v>42592</v>
      </c>
      <c r="U97" s="178">
        <v>13.5</v>
      </c>
      <c r="V97" s="239">
        <v>42586</v>
      </c>
      <c r="Y97" s="238">
        <v>3.6626999999999996</v>
      </c>
      <c r="Z97" s="239">
        <v>42592</v>
      </c>
      <c r="AA97" s="178">
        <v>45</v>
      </c>
      <c r="AB97" s="239">
        <v>42249</v>
      </c>
      <c r="AE97" s="238">
        <v>21.05</v>
      </c>
      <c r="AF97" s="239">
        <v>42586</v>
      </c>
      <c r="AI97" s="232">
        <v>135</v>
      </c>
      <c r="AJ97" s="239">
        <v>42507</v>
      </c>
      <c r="AK97" s="238">
        <v>9.6</v>
      </c>
      <c r="BG97" s="238">
        <v>-9</v>
      </c>
      <c r="BH97" s="239">
        <v>42592</v>
      </c>
      <c r="BM97" s="238">
        <v>59.5</v>
      </c>
      <c r="BN97" s="239">
        <v>42592</v>
      </c>
      <c r="BQ97" s="238">
        <v>11.8</v>
      </c>
      <c r="BR97" s="239">
        <v>42592</v>
      </c>
      <c r="BS97" s="238">
        <v>46.483516483516482</v>
      </c>
      <c r="BT97" s="239">
        <v>42592</v>
      </c>
      <c r="BU97" s="238">
        <v>19.120879120879117</v>
      </c>
      <c r="BV97" s="239">
        <v>42592</v>
      </c>
      <c r="BW97" s="238">
        <v>17.912087912087912</v>
      </c>
      <c r="BX97" s="239">
        <v>42592</v>
      </c>
      <c r="BY97" s="238"/>
      <c r="BZ97" s="238"/>
      <c r="CA97" s="238">
        <v>35.799999999999997</v>
      </c>
      <c r="CB97" s="239">
        <v>42592</v>
      </c>
      <c r="CC97" s="238"/>
      <c r="CD97" s="238"/>
      <c r="CF97" s="238"/>
    </row>
    <row r="98" spans="1:84" s="178" customFormat="1" ht="12">
      <c r="A98" s="232">
        <v>13</v>
      </c>
      <c r="B98" s="232" t="str">
        <f>VLOOKUP(A98,PlantMaterial!B:C,2,0)</f>
        <v>AM109</v>
      </c>
      <c r="C98" s="238" t="s">
        <v>7690</v>
      </c>
      <c r="D98" s="232">
        <v>3</v>
      </c>
      <c r="E98" s="238" t="s">
        <v>7783</v>
      </c>
      <c r="F98" s="232">
        <v>6</v>
      </c>
      <c r="G98" s="232">
        <v>21</v>
      </c>
      <c r="H98" s="178">
        <v>220.5</v>
      </c>
      <c r="I98" s="238"/>
      <c r="M98" s="238">
        <v>4.09</v>
      </c>
      <c r="N98" s="239">
        <v>42586</v>
      </c>
      <c r="S98" s="178">
        <v>12.75</v>
      </c>
      <c r="T98" s="239">
        <v>42592</v>
      </c>
      <c r="U98" s="178">
        <v>13.5</v>
      </c>
      <c r="V98" s="239">
        <v>42586</v>
      </c>
      <c r="Y98" s="238">
        <v>5.20038</v>
      </c>
      <c r="Z98" s="239">
        <v>42592</v>
      </c>
      <c r="AA98" s="178">
        <v>45</v>
      </c>
      <c r="AB98" s="239">
        <v>42249</v>
      </c>
      <c r="AE98" s="238">
        <v>30.06</v>
      </c>
      <c r="AF98" s="239">
        <v>42586</v>
      </c>
      <c r="AI98" s="232">
        <v>150</v>
      </c>
      <c r="AJ98" s="239">
        <v>42507</v>
      </c>
      <c r="AK98" s="238">
        <v>9.6999999999999993</v>
      </c>
      <c r="BG98" s="238">
        <v>-8.6</v>
      </c>
      <c r="BH98" s="239">
        <v>42592</v>
      </c>
      <c r="BM98" s="238">
        <v>59.7</v>
      </c>
      <c r="BN98" s="239">
        <v>42592</v>
      </c>
      <c r="BQ98" s="238">
        <v>11.6</v>
      </c>
      <c r="BR98" s="239">
        <v>42592</v>
      </c>
      <c r="BS98" s="238">
        <v>46.593406593406591</v>
      </c>
      <c r="BT98" s="239">
        <v>42592</v>
      </c>
      <c r="BU98" s="238">
        <v>19.010989010989011</v>
      </c>
      <c r="BV98" s="239">
        <v>42592</v>
      </c>
      <c r="BW98" s="238">
        <v>13.626373626373626</v>
      </c>
      <c r="BX98" s="239">
        <v>42592</v>
      </c>
      <c r="BY98" s="238"/>
      <c r="BZ98" s="238"/>
      <c r="CA98" s="238">
        <v>35.5</v>
      </c>
      <c r="CB98" s="239">
        <v>42592</v>
      </c>
      <c r="CC98" s="238"/>
      <c r="CD98" s="238"/>
      <c r="CF98" s="238"/>
    </row>
    <row r="99" spans="1:84" s="178" customFormat="1" ht="12">
      <c r="A99" s="232">
        <v>14</v>
      </c>
      <c r="B99" s="232" t="str">
        <f>VLOOKUP(A99,PlantMaterial!B:C,2,0)</f>
        <v>MONTEGO</v>
      </c>
      <c r="C99" s="238" t="s">
        <v>7690</v>
      </c>
      <c r="D99" s="232">
        <v>3</v>
      </c>
      <c r="E99" s="238" t="s">
        <v>7784</v>
      </c>
      <c r="F99" s="232">
        <v>1</v>
      </c>
      <c r="G99" s="232">
        <v>18</v>
      </c>
      <c r="H99" s="178">
        <v>189</v>
      </c>
      <c r="I99" s="238" t="s">
        <v>7785</v>
      </c>
      <c r="J99" s="239">
        <v>42430</v>
      </c>
      <c r="M99" s="238">
        <v>2.88</v>
      </c>
      <c r="N99" s="239">
        <v>42586</v>
      </c>
      <c r="S99" s="178">
        <v>9.08</v>
      </c>
      <c r="T99" s="239">
        <v>42592</v>
      </c>
      <c r="U99" s="178">
        <v>13.5</v>
      </c>
      <c r="V99" s="239">
        <v>42586</v>
      </c>
      <c r="Y99" s="238">
        <v>3.8547600000000002</v>
      </c>
      <c r="Z99" s="239">
        <v>42592</v>
      </c>
      <c r="AA99" s="178">
        <v>45</v>
      </c>
      <c r="AB99" s="239">
        <v>42249</v>
      </c>
      <c r="AE99" s="238">
        <v>21.18</v>
      </c>
      <c r="AF99" s="239">
        <v>42586</v>
      </c>
      <c r="AI99" s="232">
        <v>155</v>
      </c>
      <c r="AJ99" s="239">
        <v>42507</v>
      </c>
      <c r="AK99" s="238">
        <v>9.6999999999999993</v>
      </c>
      <c r="BG99" s="238">
        <v>-7.2</v>
      </c>
      <c r="BH99" s="239">
        <v>42592</v>
      </c>
      <c r="BM99" s="238">
        <v>60.8</v>
      </c>
      <c r="BN99" s="239">
        <v>42592</v>
      </c>
      <c r="BQ99" s="238">
        <v>10.5</v>
      </c>
      <c r="BR99" s="239">
        <v>42592</v>
      </c>
      <c r="BS99" s="238">
        <v>47.142857142857139</v>
      </c>
      <c r="BT99" s="239">
        <v>42592</v>
      </c>
      <c r="BU99" s="238">
        <v>20</v>
      </c>
      <c r="BV99" s="239">
        <v>42592</v>
      </c>
      <c r="BW99" s="238">
        <v>14.945054945054943</v>
      </c>
      <c r="BX99" s="239">
        <v>42592</v>
      </c>
      <c r="BY99" s="238"/>
      <c r="BZ99" s="238"/>
      <c r="CA99" s="238">
        <v>37.700000000000003</v>
      </c>
      <c r="CB99" s="239">
        <v>42592</v>
      </c>
      <c r="CC99" s="238"/>
      <c r="CD99" s="238"/>
      <c r="CF99" s="238"/>
    </row>
    <row r="100" spans="1:84" s="178" customFormat="1" ht="12">
      <c r="A100" s="232">
        <v>15</v>
      </c>
      <c r="B100" s="232" t="str">
        <f>VLOOKUP(A100,PlantMaterial!B:C,2,0)</f>
        <v>DK038</v>
      </c>
      <c r="C100" s="238" t="s">
        <v>7690</v>
      </c>
      <c r="D100" s="232">
        <v>3</v>
      </c>
      <c r="E100" s="238" t="s">
        <v>7786</v>
      </c>
      <c r="F100" s="232">
        <v>4</v>
      </c>
      <c r="G100" s="232">
        <v>21</v>
      </c>
      <c r="H100" s="178">
        <v>220.5</v>
      </c>
      <c r="I100" s="238"/>
      <c r="M100" s="238">
        <v>2.93</v>
      </c>
      <c r="N100" s="239">
        <v>42586</v>
      </c>
      <c r="S100" s="178">
        <v>9.27</v>
      </c>
      <c r="T100" s="239">
        <v>42592</v>
      </c>
      <c r="U100" s="178">
        <v>13.5</v>
      </c>
      <c r="V100" s="239">
        <v>42586</v>
      </c>
      <c r="Y100" s="238">
        <v>3.7350699999999999</v>
      </c>
      <c r="Z100" s="239">
        <v>42592</v>
      </c>
      <c r="AA100" s="178">
        <v>45</v>
      </c>
      <c r="AB100" s="239">
        <v>42249</v>
      </c>
      <c r="AE100" s="238">
        <v>21.59</v>
      </c>
      <c r="AF100" s="239">
        <v>42586</v>
      </c>
      <c r="AI100" s="232">
        <v>140</v>
      </c>
      <c r="AJ100" s="239">
        <v>42507</v>
      </c>
      <c r="AK100" s="238">
        <v>9.5</v>
      </c>
      <c r="BG100" s="238">
        <v>-6.8</v>
      </c>
      <c r="BH100" s="239">
        <v>42592</v>
      </c>
      <c r="BM100" s="238">
        <v>61.3</v>
      </c>
      <c r="BN100" s="239">
        <v>42592</v>
      </c>
      <c r="BQ100" s="238">
        <v>10.4</v>
      </c>
      <c r="BR100" s="239">
        <v>42592</v>
      </c>
      <c r="BS100" s="238">
        <v>47.142857142857139</v>
      </c>
      <c r="BT100" s="239">
        <v>42592</v>
      </c>
      <c r="BU100" s="238">
        <v>19.010989010989011</v>
      </c>
      <c r="BV100" s="239">
        <v>42592</v>
      </c>
      <c r="BW100" s="238">
        <v>14.175824175824175</v>
      </c>
      <c r="BX100" s="239">
        <v>42592</v>
      </c>
      <c r="BY100" s="238"/>
      <c r="BZ100" s="238"/>
      <c r="CA100" s="238">
        <v>36</v>
      </c>
      <c r="CB100" s="239">
        <v>42592</v>
      </c>
      <c r="CC100" s="238"/>
      <c r="CD100" s="238"/>
      <c r="CF100" s="238"/>
    </row>
    <row r="101" spans="1:84" s="178" customFormat="1" ht="12">
      <c r="A101" s="232">
        <v>16</v>
      </c>
      <c r="B101" s="232" t="str">
        <f>VLOOKUP(A101,PlantMaterial!B:C,2,0)</f>
        <v>TENOR</v>
      </c>
      <c r="C101" s="238" t="s">
        <v>7690</v>
      </c>
      <c r="D101" s="232">
        <v>3</v>
      </c>
      <c r="E101" s="238" t="s">
        <v>7787</v>
      </c>
      <c r="F101" s="232">
        <v>4</v>
      </c>
      <c r="G101" s="232">
        <v>17</v>
      </c>
      <c r="H101" s="178">
        <v>178.5</v>
      </c>
      <c r="I101" s="238" t="s">
        <v>7703</v>
      </c>
      <c r="J101" s="239">
        <v>42430</v>
      </c>
      <c r="M101" s="238">
        <v>2.11</v>
      </c>
      <c r="N101" s="239">
        <v>42586</v>
      </c>
      <c r="S101" s="178">
        <v>6.42</v>
      </c>
      <c r="T101" s="239">
        <v>42592</v>
      </c>
      <c r="U101" s="178">
        <v>13.5</v>
      </c>
      <c r="V101" s="239">
        <v>42586</v>
      </c>
      <c r="Y101" s="238">
        <v>2.8960200000000005</v>
      </c>
      <c r="Z101" s="239">
        <v>42592</v>
      </c>
      <c r="AA101" s="178">
        <v>45</v>
      </c>
      <c r="AB101" s="239">
        <v>42249</v>
      </c>
      <c r="AE101" s="238">
        <v>15.57</v>
      </c>
      <c r="AF101" s="239">
        <v>42586</v>
      </c>
      <c r="AI101" s="232">
        <v>130</v>
      </c>
      <c r="AJ101" s="239">
        <v>42507</v>
      </c>
      <c r="AK101" s="238">
        <v>9.4</v>
      </c>
      <c r="BG101" s="238">
        <v>-7.6</v>
      </c>
      <c r="BH101" s="239">
        <v>42592</v>
      </c>
      <c r="BM101" s="238">
        <v>58.6</v>
      </c>
      <c r="BN101" s="239">
        <v>42592</v>
      </c>
      <c r="BQ101" s="238">
        <v>11.7</v>
      </c>
      <c r="BR101" s="239">
        <v>42592</v>
      </c>
      <c r="BS101" s="238">
        <v>45.274725274725277</v>
      </c>
      <c r="BT101" s="239">
        <v>42592</v>
      </c>
      <c r="BU101" s="238">
        <v>20.439560439560442</v>
      </c>
      <c r="BV101" s="239">
        <v>42592</v>
      </c>
      <c r="BW101" s="238">
        <v>20</v>
      </c>
      <c r="BX101" s="239">
        <v>42592</v>
      </c>
      <c r="BY101" s="238"/>
      <c r="BZ101" s="238"/>
      <c r="CA101" s="238">
        <v>37.299999999999997</v>
      </c>
      <c r="CB101" s="239">
        <v>42592</v>
      </c>
      <c r="CC101" s="238"/>
      <c r="CD101" s="238"/>
      <c r="CF101" s="238"/>
    </row>
    <row r="102" spans="1:84" s="178" customFormat="1" ht="12">
      <c r="A102" s="232">
        <v>17</v>
      </c>
      <c r="B102" s="232" t="str">
        <f>VLOOKUP(A102,PlantMaterial!B:C,2,0)</f>
        <v>EXL4816</v>
      </c>
      <c r="C102" s="238" t="s">
        <v>7690</v>
      </c>
      <c r="D102" s="232">
        <v>3</v>
      </c>
      <c r="E102" s="238" t="s">
        <v>7788</v>
      </c>
      <c r="F102" s="232">
        <v>5</v>
      </c>
      <c r="G102" s="232">
        <v>20</v>
      </c>
      <c r="H102" s="178">
        <v>210</v>
      </c>
      <c r="I102" s="238"/>
      <c r="M102" s="238">
        <v>3.8</v>
      </c>
      <c r="N102" s="239">
        <v>42586</v>
      </c>
      <c r="S102" s="178">
        <v>11.94</v>
      </c>
      <c r="T102" s="239">
        <v>42592</v>
      </c>
      <c r="U102" s="178">
        <v>13.5</v>
      </c>
      <c r="V102" s="239">
        <v>42586</v>
      </c>
      <c r="Y102" s="238">
        <v>4.7862900000000002</v>
      </c>
      <c r="Z102" s="239">
        <v>42592</v>
      </c>
      <c r="AA102" s="178">
        <v>45</v>
      </c>
      <c r="AB102" s="239">
        <v>42249</v>
      </c>
      <c r="AE102" s="238">
        <v>27.99</v>
      </c>
      <c r="AF102" s="239">
        <v>42586</v>
      </c>
      <c r="AI102" s="232">
        <v>145</v>
      </c>
      <c r="AJ102" s="239">
        <v>42507</v>
      </c>
      <c r="AK102" s="238">
        <v>9.5</v>
      </c>
      <c r="BG102" s="238">
        <v>-6.4</v>
      </c>
      <c r="BH102" s="239">
        <v>42592</v>
      </c>
      <c r="BM102" s="238">
        <v>61.3</v>
      </c>
      <c r="BN102" s="239">
        <v>42592</v>
      </c>
      <c r="BQ102" s="238">
        <v>11</v>
      </c>
      <c r="BR102" s="239">
        <v>42592</v>
      </c>
      <c r="BS102" s="238">
        <v>46.923076923076927</v>
      </c>
      <c r="BT102" s="239">
        <v>42592</v>
      </c>
      <c r="BU102" s="238">
        <v>18.791208791208792</v>
      </c>
      <c r="BV102" s="239">
        <v>42592</v>
      </c>
      <c r="BW102" s="238">
        <v>16.373626373626372</v>
      </c>
      <c r="BX102" s="239">
        <v>42592</v>
      </c>
      <c r="BY102" s="238"/>
      <c r="BZ102" s="238"/>
      <c r="CA102" s="238">
        <v>35.4</v>
      </c>
      <c r="CB102" s="239">
        <v>42592</v>
      </c>
      <c r="CC102" s="238"/>
      <c r="CD102" s="238"/>
      <c r="CF102" s="238"/>
    </row>
    <row r="103" spans="1:84" s="178" customFormat="1" ht="12">
      <c r="A103" s="232">
        <v>18</v>
      </c>
      <c r="B103" s="232" t="str">
        <f>VLOOKUP(A103,PlantMaterial!B:C,2,0)</f>
        <v>EXPRESS</v>
      </c>
      <c r="C103" s="238" t="s">
        <v>7690</v>
      </c>
      <c r="D103" s="232">
        <v>3</v>
      </c>
      <c r="E103" s="238" t="s">
        <v>7789</v>
      </c>
      <c r="F103" s="232">
        <v>3</v>
      </c>
      <c r="G103" s="232">
        <v>18</v>
      </c>
      <c r="H103" s="178">
        <v>189</v>
      </c>
      <c r="I103" s="238"/>
      <c r="M103" s="238">
        <v>2.68</v>
      </c>
      <c r="N103" s="239">
        <v>42586</v>
      </c>
      <c r="S103" s="178">
        <v>8.24</v>
      </c>
      <c r="T103" s="239">
        <v>42592</v>
      </c>
      <c r="U103" s="178">
        <v>13.5</v>
      </c>
      <c r="V103" s="239">
        <v>42586</v>
      </c>
      <c r="Y103" s="238">
        <v>3.4724800000000005</v>
      </c>
      <c r="Z103" s="239">
        <v>42592</v>
      </c>
      <c r="AA103" s="178">
        <v>45</v>
      </c>
      <c r="AB103" s="239">
        <v>42249</v>
      </c>
      <c r="AE103" s="238">
        <v>19.73</v>
      </c>
      <c r="AF103" s="239">
        <v>42586</v>
      </c>
      <c r="AI103" s="232">
        <v>135</v>
      </c>
      <c r="AJ103" s="239">
        <v>42507</v>
      </c>
      <c r="AK103" s="238">
        <v>9.6</v>
      </c>
      <c r="BG103" s="238">
        <v>-6.1</v>
      </c>
      <c r="BH103" s="239">
        <v>42592</v>
      </c>
      <c r="BM103" s="238">
        <v>62</v>
      </c>
      <c r="BN103" s="239">
        <v>42592</v>
      </c>
      <c r="BQ103" s="238">
        <v>10.4</v>
      </c>
      <c r="BR103" s="239">
        <v>42592</v>
      </c>
      <c r="BS103" s="238">
        <v>45.934065934065927</v>
      </c>
      <c r="BT103" s="239">
        <v>42592</v>
      </c>
      <c r="BU103" s="238">
        <v>19.340659340659343</v>
      </c>
      <c r="BV103" s="239">
        <v>42592</v>
      </c>
      <c r="BW103" s="238">
        <v>18.35164835164835</v>
      </c>
      <c r="BX103" s="239">
        <v>42592</v>
      </c>
      <c r="BY103" s="238"/>
      <c r="BZ103" s="238"/>
      <c r="CA103" s="238">
        <v>35.799999999999997</v>
      </c>
      <c r="CB103" s="239">
        <v>42592</v>
      </c>
      <c r="CC103" s="238"/>
      <c r="CD103" s="238"/>
      <c r="CF103" s="238"/>
    </row>
    <row r="104" spans="1:84" s="178" customFormat="1" ht="12">
      <c r="A104" s="232">
        <v>19</v>
      </c>
      <c r="B104" s="232" t="str">
        <f>VLOOKUP(A104,PlantMaterial!B:C,2,0)</f>
        <v>EXL3155</v>
      </c>
      <c r="C104" s="238" t="s">
        <v>7690</v>
      </c>
      <c r="D104" s="232">
        <v>3</v>
      </c>
      <c r="E104" s="238" t="s">
        <v>7790</v>
      </c>
      <c r="F104" s="232">
        <v>2</v>
      </c>
      <c r="G104" s="232">
        <v>18</v>
      </c>
      <c r="H104" s="178">
        <v>189</v>
      </c>
      <c r="I104" s="238"/>
      <c r="M104" s="238">
        <v>3.31</v>
      </c>
      <c r="N104" s="239">
        <v>42586</v>
      </c>
      <c r="S104" s="178">
        <v>10.32</v>
      </c>
      <c r="T104" s="239">
        <v>42592</v>
      </c>
      <c r="U104" s="178">
        <v>13.5</v>
      </c>
      <c r="V104" s="239">
        <v>42586</v>
      </c>
      <c r="Y104" s="238">
        <v>4.4877599999999997</v>
      </c>
      <c r="Z104" s="239">
        <v>42592</v>
      </c>
      <c r="AA104" s="178">
        <v>45</v>
      </c>
      <c r="AB104" s="239">
        <v>42249</v>
      </c>
      <c r="AE104" s="238">
        <v>24.39</v>
      </c>
      <c r="AF104" s="239">
        <v>42586</v>
      </c>
      <c r="AI104" s="232">
        <v>155</v>
      </c>
      <c r="AJ104" s="239">
        <v>42507</v>
      </c>
      <c r="AK104" s="238">
        <v>9.5</v>
      </c>
      <c r="BG104" s="238">
        <v>-8.5</v>
      </c>
      <c r="BH104" s="239">
        <v>42592</v>
      </c>
      <c r="BM104" s="238">
        <v>59.6</v>
      </c>
      <c r="BN104" s="239">
        <v>42592</v>
      </c>
      <c r="BQ104" s="238">
        <v>11.9</v>
      </c>
      <c r="BR104" s="239">
        <v>42592</v>
      </c>
      <c r="BS104" s="238">
        <v>46.483516483516482</v>
      </c>
      <c r="BT104" s="239">
        <v>42592</v>
      </c>
      <c r="BU104" s="238">
        <v>20.219780219780219</v>
      </c>
      <c r="BV104" s="239">
        <v>42592</v>
      </c>
      <c r="BW104" s="238">
        <v>21.53846153846154</v>
      </c>
      <c r="BX104" s="239">
        <v>42592</v>
      </c>
      <c r="BY104" s="238"/>
      <c r="BZ104" s="238"/>
      <c r="CA104" s="238">
        <v>37.700000000000003</v>
      </c>
      <c r="CB104" s="239">
        <v>42592</v>
      </c>
      <c r="CC104" s="238"/>
      <c r="CD104" s="238"/>
      <c r="CF104" s="238"/>
    </row>
    <row r="105" spans="1:84" s="178" customFormat="1" ht="12">
      <c r="A105" s="232">
        <v>20</v>
      </c>
      <c r="B105" s="232" t="str">
        <f>VLOOKUP(A105,PlantMaterial!B:C,2,0)</f>
        <v>C03-1ESQ0</v>
      </c>
      <c r="C105" s="238" t="s">
        <v>7690</v>
      </c>
      <c r="D105" s="232">
        <v>3</v>
      </c>
      <c r="E105" s="238" t="s">
        <v>7791</v>
      </c>
      <c r="F105" s="232">
        <v>3</v>
      </c>
      <c r="G105" s="232">
        <v>15</v>
      </c>
      <c r="H105" s="178">
        <v>157.5</v>
      </c>
      <c r="I105" s="238"/>
      <c r="M105" s="238">
        <v>4</v>
      </c>
      <c r="N105" s="239">
        <v>42586</v>
      </c>
      <c r="S105" s="178">
        <v>12.53</v>
      </c>
      <c r="T105" s="239">
        <v>42592</v>
      </c>
      <c r="U105" s="178">
        <v>13.5</v>
      </c>
      <c r="V105" s="239">
        <v>42586</v>
      </c>
      <c r="Y105" s="238">
        <v>5.2144200000000005</v>
      </c>
      <c r="Z105" s="239">
        <v>42592</v>
      </c>
      <c r="AA105" s="178">
        <v>45</v>
      </c>
      <c r="AB105" s="239">
        <v>42249</v>
      </c>
      <c r="AE105" s="238">
        <v>29.46</v>
      </c>
      <c r="AF105" s="239">
        <v>42586</v>
      </c>
      <c r="AI105" s="232">
        <v>150</v>
      </c>
      <c r="AJ105" s="239">
        <v>42507</v>
      </c>
      <c r="AK105" s="238">
        <v>9.5</v>
      </c>
      <c r="BG105" s="238">
        <v>-7.2</v>
      </c>
      <c r="BH105" s="239">
        <v>42592</v>
      </c>
      <c r="BM105" s="238">
        <v>60.5</v>
      </c>
      <c r="BN105" s="239">
        <v>42592</v>
      </c>
      <c r="BQ105" s="238">
        <v>11.7</v>
      </c>
      <c r="BR105" s="239">
        <v>42592</v>
      </c>
      <c r="BS105" s="238">
        <v>46.703296703296701</v>
      </c>
      <c r="BT105" s="239">
        <v>42592</v>
      </c>
      <c r="BU105" s="238">
        <v>19.450549450549449</v>
      </c>
      <c r="BV105" s="239">
        <v>42592</v>
      </c>
      <c r="BW105" s="238">
        <v>12.967032967032967</v>
      </c>
      <c r="BX105" s="239">
        <v>42592</v>
      </c>
      <c r="BY105" s="238"/>
      <c r="BZ105" s="238"/>
      <c r="CA105" s="238">
        <v>36.5</v>
      </c>
      <c r="CB105" s="239">
        <v>42592</v>
      </c>
      <c r="CC105" s="238"/>
      <c r="CD105" s="238"/>
      <c r="CF105" s="238"/>
    </row>
    <row r="106" spans="1:84" s="178" customFormat="1" ht="12">
      <c r="A106" s="232">
        <v>21</v>
      </c>
      <c r="B106" s="232" t="str">
        <f>VLOOKUP(A106,PlantMaterial!B:C,2,0)</f>
        <v>C03-1ESQ1</v>
      </c>
      <c r="C106" s="238" t="s">
        <v>7690</v>
      </c>
      <c r="D106" s="232">
        <v>3</v>
      </c>
      <c r="E106" s="238" t="s">
        <v>7792</v>
      </c>
      <c r="F106" s="232">
        <v>4</v>
      </c>
      <c r="G106" s="232">
        <v>19</v>
      </c>
      <c r="H106" s="178">
        <v>199.5</v>
      </c>
      <c r="I106" s="238"/>
      <c r="M106" s="238">
        <v>3.75</v>
      </c>
      <c r="N106" s="239">
        <v>42586</v>
      </c>
      <c r="S106" s="178">
        <v>11.79</v>
      </c>
      <c r="T106" s="239">
        <v>42592</v>
      </c>
      <c r="U106" s="178">
        <v>13.5</v>
      </c>
      <c r="V106" s="239">
        <v>42586</v>
      </c>
      <c r="Y106" s="238">
        <v>4.8006599999999997</v>
      </c>
      <c r="Z106" s="239">
        <v>42592</v>
      </c>
      <c r="AA106" s="178">
        <v>45</v>
      </c>
      <c r="AB106" s="239">
        <v>42249</v>
      </c>
      <c r="AE106" s="238">
        <v>27.59</v>
      </c>
      <c r="AF106" s="239">
        <v>42586</v>
      </c>
      <c r="AI106" s="232">
        <v>155</v>
      </c>
      <c r="AJ106" s="239">
        <v>42507</v>
      </c>
      <c r="AK106" s="238">
        <v>9.6</v>
      </c>
      <c r="BG106" s="238">
        <v>-6.3</v>
      </c>
      <c r="BH106" s="239">
        <v>42592</v>
      </c>
      <c r="BM106" s="238">
        <v>60.9</v>
      </c>
      <c r="BN106" s="239">
        <v>42592</v>
      </c>
      <c r="BQ106" s="238">
        <v>10.9</v>
      </c>
      <c r="BR106" s="239">
        <v>42592</v>
      </c>
      <c r="BS106" s="238">
        <v>46.923076923076927</v>
      </c>
      <c r="BT106" s="239">
        <v>42592</v>
      </c>
      <c r="BU106" s="238">
        <v>19.120879120879117</v>
      </c>
      <c r="BV106" s="239">
        <v>42592</v>
      </c>
      <c r="BW106" s="238">
        <v>12.307692307692307</v>
      </c>
      <c r="BX106" s="239">
        <v>42592</v>
      </c>
      <c r="BY106" s="238"/>
      <c r="BZ106" s="238"/>
      <c r="CA106" s="238">
        <v>35.9</v>
      </c>
      <c r="CB106" s="239">
        <v>42592</v>
      </c>
      <c r="CC106" s="238"/>
      <c r="CD106" s="238"/>
      <c r="CF106" s="238"/>
    </row>
    <row r="107" spans="1:84" s="178" customFormat="1" ht="12">
      <c r="A107" s="232">
        <v>22</v>
      </c>
      <c r="B107" s="232" t="str">
        <f>VLOOKUP(A107,PlantMaterial!B:C,2,0)</f>
        <v>C04-1ESQ0</v>
      </c>
      <c r="C107" s="238" t="s">
        <v>7690</v>
      </c>
      <c r="D107" s="232">
        <v>3</v>
      </c>
      <c r="E107" s="238" t="s">
        <v>7793</v>
      </c>
      <c r="F107" s="232">
        <v>6</v>
      </c>
      <c r="G107" s="232">
        <v>20</v>
      </c>
      <c r="H107" s="178">
        <v>210</v>
      </c>
      <c r="I107" s="238"/>
      <c r="M107" s="238">
        <v>3.21</v>
      </c>
      <c r="N107" s="239">
        <v>42586</v>
      </c>
      <c r="S107" s="178">
        <v>10.31</v>
      </c>
      <c r="T107" s="239">
        <v>42592</v>
      </c>
      <c r="U107" s="178">
        <v>13.5</v>
      </c>
      <c r="V107" s="239">
        <v>42586</v>
      </c>
      <c r="Y107" s="238">
        <v>3.8549500000000001</v>
      </c>
      <c r="Z107" s="239">
        <v>42592</v>
      </c>
      <c r="AA107" s="178">
        <v>45</v>
      </c>
      <c r="AB107" s="239">
        <v>42249</v>
      </c>
      <c r="AE107" s="238">
        <v>23.65</v>
      </c>
      <c r="AF107" s="239">
        <v>42586</v>
      </c>
      <c r="AI107" s="232">
        <v>145</v>
      </c>
      <c r="AJ107" s="239">
        <v>42507</v>
      </c>
      <c r="AK107" s="238">
        <v>9.5</v>
      </c>
      <c r="BG107" s="238">
        <v>-8.3000000000000007</v>
      </c>
      <c r="BH107" s="239">
        <v>42592</v>
      </c>
      <c r="BM107" s="238">
        <v>62.2</v>
      </c>
      <c r="BN107" s="239">
        <v>42592</v>
      </c>
      <c r="BQ107" s="238">
        <v>10.4</v>
      </c>
      <c r="BR107" s="239">
        <v>42592</v>
      </c>
      <c r="BS107" s="238">
        <v>47.912087912087912</v>
      </c>
      <c r="BT107" s="239">
        <v>42592</v>
      </c>
      <c r="BU107" s="238">
        <v>17.912087912087912</v>
      </c>
      <c r="BV107" s="239">
        <v>42592</v>
      </c>
      <c r="BW107" s="238">
        <v>15.824175824175825</v>
      </c>
      <c r="BX107" s="239">
        <v>42592</v>
      </c>
      <c r="BY107" s="238"/>
      <c r="BZ107" s="238"/>
      <c r="CA107" s="238">
        <v>34.4</v>
      </c>
      <c r="CB107" s="239">
        <v>42592</v>
      </c>
      <c r="CC107" s="238"/>
      <c r="CD107" s="238"/>
      <c r="CF107" s="238"/>
    </row>
    <row r="108" spans="1:84" s="178" customFormat="1" ht="12">
      <c r="A108" s="232">
        <v>23</v>
      </c>
      <c r="B108" s="232" t="str">
        <f>VLOOKUP(A108,PlantMaterial!B:C,2,0)</f>
        <v>AVISO</v>
      </c>
      <c r="C108" s="238" t="s">
        <v>7690</v>
      </c>
      <c r="D108" s="232">
        <v>3</v>
      </c>
      <c r="E108" s="238" t="s">
        <v>7794</v>
      </c>
      <c r="F108" s="232">
        <v>6</v>
      </c>
      <c r="G108" s="232">
        <v>16</v>
      </c>
      <c r="H108" s="178">
        <v>168</v>
      </c>
      <c r="I108" s="238"/>
      <c r="M108" s="238">
        <v>2.85</v>
      </c>
      <c r="N108" s="239">
        <v>42586</v>
      </c>
      <c r="S108" s="178">
        <v>8.59</v>
      </c>
      <c r="T108" s="239">
        <v>42592</v>
      </c>
      <c r="U108" s="178">
        <v>13.5</v>
      </c>
      <c r="V108" s="239">
        <v>42586</v>
      </c>
      <c r="Y108" s="238">
        <v>3.8128999999999995</v>
      </c>
      <c r="Z108" s="239">
        <v>42592</v>
      </c>
      <c r="AA108" s="178">
        <v>45</v>
      </c>
      <c r="AB108" s="239">
        <v>42249</v>
      </c>
      <c r="AE108" s="238">
        <v>20.95</v>
      </c>
      <c r="AF108" s="239">
        <v>42586</v>
      </c>
      <c r="AI108" s="232">
        <v>155</v>
      </c>
      <c r="AJ108" s="239">
        <v>42507</v>
      </c>
      <c r="AK108" s="238">
        <v>9.6999999999999993</v>
      </c>
      <c r="BG108" s="238">
        <v>-7.1</v>
      </c>
      <c r="BH108" s="239">
        <v>42592</v>
      </c>
      <c r="BM108" s="238">
        <v>60.2</v>
      </c>
      <c r="BN108" s="239">
        <v>42592</v>
      </c>
      <c r="BQ108" s="238">
        <v>11.1</v>
      </c>
      <c r="BR108" s="239">
        <v>42592</v>
      </c>
      <c r="BS108" s="238">
        <v>45.054945054945051</v>
      </c>
      <c r="BT108" s="239">
        <v>42592</v>
      </c>
      <c r="BU108" s="238">
        <v>20</v>
      </c>
      <c r="BV108" s="239">
        <v>42592</v>
      </c>
      <c r="BW108" s="238">
        <v>17.472527472527471</v>
      </c>
      <c r="BX108" s="239">
        <v>42592</v>
      </c>
      <c r="BY108" s="238"/>
      <c r="BZ108" s="238"/>
      <c r="CA108" s="238">
        <v>36.299999999999997</v>
      </c>
      <c r="CB108" s="239">
        <v>42592</v>
      </c>
      <c r="CC108" s="238"/>
      <c r="CD108" s="238"/>
      <c r="CF108" s="238"/>
    </row>
    <row r="109" spans="1:84" s="178" customFormat="1" ht="12">
      <c r="A109" s="232">
        <v>24</v>
      </c>
      <c r="B109" s="232" t="str">
        <f>VLOOKUP(A109,PlantMaterial!B:C,2,0)</f>
        <v>C04-1ESQ1</v>
      </c>
      <c r="C109" s="238" t="s">
        <v>7690</v>
      </c>
      <c r="D109" s="232">
        <v>3</v>
      </c>
      <c r="E109" s="238" t="s">
        <v>7795</v>
      </c>
      <c r="F109" s="232">
        <v>1</v>
      </c>
      <c r="G109" s="232">
        <v>19</v>
      </c>
      <c r="H109" s="178">
        <v>199.5</v>
      </c>
      <c r="I109" s="238"/>
      <c r="M109" s="238">
        <v>2.86</v>
      </c>
      <c r="N109" s="239">
        <v>42586</v>
      </c>
      <c r="S109" s="178">
        <v>8.8000000000000007</v>
      </c>
      <c r="T109" s="239">
        <v>42592</v>
      </c>
      <c r="U109" s="178">
        <v>13.5</v>
      </c>
      <c r="V109" s="239">
        <v>42586</v>
      </c>
      <c r="Y109" s="238">
        <v>3.8046200000000003</v>
      </c>
      <c r="Z109" s="239">
        <v>42592</v>
      </c>
      <c r="AA109" s="178">
        <v>45</v>
      </c>
      <c r="AB109" s="239">
        <v>42249</v>
      </c>
      <c r="AE109" s="238">
        <v>21.02</v>
      </c>
      <c r="AF109" s="239">
        <v>42586</v>
      </c>
      <c r="AI109" s="232">
        <v>155</v>
      </c>
      <c r="AJ109" s="239">
        <v>42507</v>
      </c>
      <c r="AK109" s="238">
        <v>9.6999999999999993</v>
      </c>
      <c r="BG109" s="238">
        <v>-7.7</v>
      </c>
      <c r="BH109" s="239">
        <v>42592</v>
      </c>
      <c r="BM109" s="238">
        <v>59.8</v>
      </c>
      <c r="BN109" s="239">
        <v>42592</v>
      </c>
      <c r="BQ109" s="238">
        <v>10.8</v>
      </c>
      <c r="BR109" s="239">
        <v>42592</v>
      </c>
      <c r="BS109" s="238">
        <v>45.934065934065927</v>
      </c>
      <c r="BT109" s="239">
        <v>42592</v>
      </c>
      <c r="BU109" s="238">
        <v>19.890109890109891</v>
      </c>
      <c r="BV109" s="239">
        <v>42592</v>
      </c>
      <c r="BW109" s="238">
        <v>15.494505494505493</v>
      </c>
      <c r="BX109" s="239">
        <v>42592</v>
      </c>
      <c r="BY109" s="238"/>
      <c r="BZ109" s="238"/>
      <c r="CA109" s="238">
        <v>36.9</v>
      </c>
      <c r="CB109" s="239">
        <v>42592</v>
      </c>
      <c r="CC109" s="238"/>
      <c r="CD109" s="238"/>
      <c r="CF109" s="238"/>
    </row>
    <row r="110" spans="1:84" s="178" customFormat="1" ht="12">
      <c r="A110" s="232">
        <v>25</v>
      </c>
      <c r="B110" s="232" t="str">
        <f>VLOOKUP(A110,PlantMaterial!B:C,2,0)</f>
        <v>MONTEGO</v>
      </c>
      <c r="C110" s="238" t="s">
        <v>7690</v>
      </c>
      <c r="D110" s="232">
        <v>3</v>
      </c>
      <c r="E110" s="238" t="s">
        <v>7796</v>
      </c>
      <c r="F110" s="232">
        <v>4</v>
      </c>
      <c r="G110" s="232">
        <v>20</v>
      </c>
      <c r="H110" s="178">
        <v>210</v>
      </c>
      <c r="I110" s="238"/>
      <c r="M110" s="238">
        <v>2.59</v>
      </c>
      <c r="N110" s="239">
        <v>42586</v>
      </c>
      <c r="S110" s="178">
        <v>7.93</v>
      </c>
      <c r="T110" s="239">
        <v>42592</v>
      </c>
      <c r="U110" s="178">
        <v>13.5</v>
      </c>
      <c r="V110" s="239">
        <v>42586</v>
      </c>
      <c r="Y110" s="238">
        <v>3.5623500000000003</v>
      </c>
      <c r="Z110" s="239">
        <v>42592</v>
      </c>
      <c r="AA110" s="178">
        <v>45</v>
      </c>
      <c r="AB110" s="239">
        <v>42249</v>
      </c>
      <c r="AE110" s="238">
        <v>19.05</v>
      </c>
      <c r="AF110" s="239">
        <v>42586</v>
      </c>
      <c r="AI110" s="232">
        <v>130</v>
      </c>
      <c r="AJ110" s="239">
        <v>42507</v>
      </c>
      <c r="AK110" s="238">
        <v>9.6</v>
      </c>
      <c r="BG110" s="238">
        <v>-10</v>
      </c>
      <c r="BH110" s="239">
        <v>42592</v>
      </c>
      <c r="BM110" s="238">
        <v>59.6</v>
      </c>
      <c r="BN110" s="239">
        <v>42592</v>
      </c>
      <c r="BQ110" s="238">
        <v>11.2</v>
      </c>
      <c r="BR110" s="239">
        <v>42592</v>
      </c>
      <c r="BS110" s="238">
        <v>45.714285714285715</v>
      </c>
      <c r="BT110" s="239">
        <v>42592</v>
      </c>
      <c r="BU110" s="238">
        <v>20.549450549450547</v>
      </c>
      <c r="BV110" s="239">
        <v>42592</v>
      </c>
      <c r="BW110" s="238">
        <v>16.263736263736263</v>
      </c>
      <c r="BX110" s="239">
        <v>42592</v>
      </c>
      <c r="BY110" s="238"/>
      <c r="BZ110" s="238"/>
      <c r="CA110" s="238">
        <v>37.799999999999997</v>
      </c>
      <c r="CB110" s="239">
        <v>42592</v>
      </c>
      <c r="CC110" s="238"/>
      <c r="CD110" s="238"/>
      <c r="CF110" s="238"/>
    </row>
    <row r="111" spans="1:84" s="178" customFormat="1" ht="12">
      <c r="A111" s="232">
        <v>26</v>
      </c>
      <c r="B111" s="232" t="str">
        <f>VLOOKUP(A111,PlantMaterial!B:C,2,0)</f>
        <v>RAPSO_304</v>
      </c>
      <c r="C111" s="238" t="s">
        <v>7690</v>
      </c>
      <c r="D111" s="232">
        <v>3</v>
      </c>
      <c r="E111" s="238" t="s">
        <v>7797</v>
      </c>
      <c r="F111" s="232">
        <v>2</v>
      </c>
      <c r="G111" s="232">
        <v>16</v>
      </c>
      <c r="H111" s="178">
        <v>168</v>
      </c>
      <c r="I111" s="238"/>
      <c r="M111" s="238">
        <v>3.57</v>
      </c>
      <c r="N111" s="239">
        <v>42586</v>
      </c>
      <c r="S111" s="178">
        <v>11.43</v>
      </c>
      <c r="T111" s="239">
        <v>42592</v>
      </c>
      <c r="U111" s="178">
        <v>13.5</v>
      </c>
      <c r="V111" s="239">
        <v>42586</v>
      </c>
      <c r="Y111" s="238">
        <v>4.5429800000000009</v>
      </c>
      <c r="Z111" s="239">
        <v>42592</v>
      </c>
      <c r="AA111" s="178">
        <v>45</v>
      </c>
      <c r="AB111" s="239">
        <v>42249</v>
      </c>
      <c r="AE111" s="238">
        <v>26.26</v>
      </c>
      <c r="AF111" s="239">
        <v>42586</v>
      </c>
      <c r="AI111" s="232">
        <v>140</v>
      </c>
      <c r="AJ111" s="239">
        <v>42507</v>
      </c>
      <c r="AK111" s="238">
        <v>9.6</v>
      </c>
      <c r="BG111" s="238">
        <v>-10.4</v>
      </c>
      <c r="BH111" s="239">
        <v>42592</v>
      </c>
      <c r="BM111" s="238">
        <v>61.8</v>
      </c>
      <c r="BN111" s="239">
        <v>42592</v>
      </c>
      <c r="BQ111" s="238">
        <v>10.4</v>
      </c>
      <c r="BR111" s="239">
        <v>42592</v>
      </c>
      <c r="BS111" s="238">
        <v>47.802197802197803</v>
      </c>
      <c r="BT111" s="239">
        <v>42592</v>
      </c>
      <c r="BU111" s="238">
        <v>19.010989010989011</v>
      </c>
      <c r="BV111" s="239">
        <v>42592</v>
      </c>
      <c r="BW111" s="238">
        <v>18.35164835164835</v>
      </c>
      <c r="BX111" s="239">
        <v>42592</v>
      </c>
      <c r="BY111" s="238"/>
      <c r="BZ111" s="238"/>
      <c r="CA111" s="238">
        <v>36.4</v>
      </c>
      <c r="CB111" s="239">
        <v>42592</v>
      </c>
      <c r="CC111" s="238"/>
      <c r="CD111" s="238"/>
      <c r="CF111" s="238"/>
    </row>
    <row r="112" spans="1:84" s="178" customFormat="1" ht="12">
      <c r="A112" s="232">
        <v>27</v>
      </c>
      <c r="B112" s="232" t="str">
        <f>VLOOKUP(A112,PlantMaterial!B:C,2,0)</f>
        <v>TENOR</v>
      </c>
      <c r="C112" s="238" t="s">
        <v>7690</v>
      </c>
      <c r="D112" s="232">
        <v>3</v>
      </c>
      <c r="E112" s="238" t="s">
        <v>7798</v>
      </c>
      <c r="F112" s="232">
        <v>6</v>
      </c>
      <c r="G112" s="232">
        <v>17</v>
      </c>
      <c r="H112" s="178">
        <v>178.5</v>
      </c>
      <c r="I112" s="238"/>
      <c r="M112" s="238">
        <v>2.56</v>
      </c>
      <c r="N112" s="239">
        <v>42586</v>
      </c>
      <c r="S112" s="178">
        <v>7.77</v>
      </c>
      <c r="T112" s="239">
        <v>42592</v>
      </c>
      <c r="U112" s="178">
        <v>13.5</v>
      </c>
      <c r="V112" s="239">
        <v>42586</v>
      </c>
      <c r="Y112" s="238">
        <v>3.4720799999999996</v>
      </c>
      <c r="Z112" s="239">
        <v>42592</v>
      </c>
      <c r="AA112" s="178">
        <v>45</v>
      </c>
      <c r="AB112" s="239">
        <v>42249</v>
      </c>
      <c r="AE112" s="238">
        <v>18.87</v>
      </c>
      <c r="AF112" s="239">
        <v>42586</v>
      </c>
      <c r="AI112" s="232">
        <v>140</v>
      </c>
      <c r="AJ112" s="239">
        <v>42507</v>
      </c>
      <c r="AK112" s="238">
        <v>9.5</v>
      </c>
      <c r="BG112" s="238">
        <v>-8.6</v>
      </c>
      <c r="BH112" s="239">
        <v>42592</v>
      </c>
      <c r="BM112" s="238">
        <v>58.5</v>
      </c>
      <c r="BN112" s="239">
        <v>42592</v>
      </c>
      <c r="BQ112" s="238">
        <v>11.8</v>
      </c>
      <c r="BR112" s="239">
        <v>42592</v>
      </c>
      <c r="BS112" s="238">
        <v>45.274725274725277</v>
      </c>
      <c r="BT112" s="239">
        <v>42592</v>
      </c>
      <c r="BU112" s="238">
        <v>20.219780219780219</v>
      </c>
      <c r="BV112" s="239">
        <v>42592</v>
      </c>
      <c r="BW112" s="238">
        <v>21.428571428571427</v>
      </c>
      <c r="BX112" s="239">
        <v>42592</v>
      </c>
      <c r="BY112" s="238"/>
      <c r="BZ112" s="238"/>
      <c r="CA112" s="238">
        <v>36.9</v>
      </c>
      <c r="CB112" s="239">
        <v>42592</v>
      </c>
      <c r="CC112" s="238"/>
      <c r="CD112" s="238"/>
      <c r="CF112" s="238"/>
    </row>
    <row r="113" spans="1:84" s="178" customFormat="1" ht="12">
      <c r="A113" s="232">
        <v>28</v>
      </c>
      <c r="B113" s="232" t="str">
        <f>VLOOKUP(A113,PlantMaterial!B:C,2,0)</f>
        <v>LEL17</v>
      </c>
      <c r="C113" s="238" t="s">
        <v>7690</v>
      </c>
      <c r="D113" s="232">
        <v>3</v>
      </c>
      <c r="E113" s="238" t="s">
        <v>7799</v>
      </c>
      <c r="F113" s="232">
        <v>2</v>
      </c>
      <c r="G113" s="232">
        <v>21</v>
      </c>
      <c r="H113" s="178">
        <v>220.5</v>
      </c>
      <c r="I113" s="238"/>
      <c r="M113" s="238">
        <v>4.4400000000000004</v>
      </c>
      <c r="N113" s="239">
        <v>42586</v>
      </c>
      <c r="S113" s="178">
        <v>13.82</v>
      </c>
      <c r="T113" s="239">
        <v>42592</v>
      </c>
      <c r="U113" s="178">
        <v>13.5</v>
      </c>
      <c r="V113" s="239">
        <v>42586</v>
      </c>
      <c r="Y113" s="238">
        <v>5.4508799999999997</v>
      </c>
      <c r="Z113" s="239">
        <v>42592</v>
      </c>
      <c r="AA113" s="178">
        <v>45</v>
      </c>
      <c r="AB113" s="239">
        <v>42249</v>
      </c>
      <c r="AE113" s="238">
        <v>32.64</v>
      </c>
      <c r="AF113" s="239">
        <v>42586</v>
      </c>
      <c r="AI113" s="232">
        <v>140</v>
      </c>
      <c r="AJ113" s="239">
        <v>42507</v>
      </c>
      <c r="AK113" s="238">
        <v>9.6999999999999993</v>
      </c>
      <c r="BG113" s="238">
        <v>-8.5</v>
      </c>
      <c r="BH113" s="239">
        <v>42592</v>
      </c>
      <c r="BM113" s="238">
        <v>63.1</v>
      </c>
      <c r="BN113" s="239">
        <v>42592</v>
      </c>
      <c r="BQ113" s="238">
        <v>10.8</v>
      </c>
      <c r="BR113" s="239">
        <v>42592</v>
      </c>
      <c r="BS113" s="238">
        <v>46.593406593406591</v>
      </c>
      <c r="BT113" s="239">
        <v>42592</v>
      </c>
      <c r="BU113" s="238">
        <v>18.35164835164835</v>
      </c>
      <c r="BV113" s="239">
        <v>42592</v>
      </c>
      <c r="BW113" s="238">
        <v>17.472527472527471</v>
      </c>
      <c r="BX113" s="239">
        <v>42592</v>
      </c>
      <c r="BY113" s="238"/>
      <c r="BZ113" s="238"/>
      <c r="CA113" s="238">
        <v>34.299999999999997</v>
      </c>
      <c r="CB113" s="239">
        <v>42592</v>
      </c>
      <c r="CC113" s="238"/>
      <c r="CD113" s="238"/>
      <c r="CF113" s="238"/>
    </row>
    <row r="114" spans="1:84" s="178" customFormat="1" ht="12">
      <c r="A114" s="232">
        <v>29</v>
      </c>
      <c r="B114" s="232" t="str">
        <f>VLOOKUP(A114,PlantMaterial!B:C,2,0)</f>
        <v>EXPRESS</v>
      </c>
      <c r="C114" s="238" t="s">
        <v>7690</v>
      </c>
      <c r="D114" s="232">
        <v>3</v>
      </c>
      <c r="E114" s="238" t="s">
        <v>7800</v>
      </c>
      <c r="F114" s="232">
        <v>2</v>
      </c>
      <c r="G114" s="232">
        <v>20</v>
      </c>
      <c r="H114" s="178">
        <v>210</v>
      </c>
      <c r="I114" s="238" t="s">
        <v>7801</v>
      </c>
      <c r="J114" s="239">
        <v>42430</v>
      </c>
      <c r="M114" s="238">
        <v>2.5099999999999998</v>
      </c>
      <c r="N114" s="239">
        <v>42586</v>
      </c>
      <c r="S114" s="178">
        <v>7.65</v>
      </c>
      <c r="T114" s="239">
        <v>42592</v>
      </c>
      <c r="U114" s="178">
        <v>13.5</v>
      </c>
      <c r="V114" s="239">
        <v>42586</v>
      </c>
      <c r="Y114" s="238">
        <v>3.3966399999999997</v>
      </c>
      <c r="Z114" s="239">
        <v>42592</v>
      </c>
      <c r="AA114" s="178">
        <v>45</v>
      </c>
      <c r="AB114" s="239">
        <v>42249</v>
      </c>
      <c r="AE114" s="238">
        <v>18.46</v>
      </c>
      <c r="AF114" s="239">
        <v>42586</v>
      </c>
      <c r="AI114" s="232">
        <v>140</v>
      </c>
      <c r="AJ114" s="239">
        <v>42507</v>
      </c>
      <c r="AK114" s="238">
        <v>9.6</v>
      </c>
      <c r="BG114" s="238">
        <v>-6.5</v>
      </c>
      <c r="BH114" s="239">
        <v>42592</v>
      </c>
      <c r="BM114" s="238">
        <v>61.1</v>
      </c>
      <c r="BN114" s="239">
        <v>42592</v>
      </c>
      <c r="BQ114" s="238">
        <v>10.9</v>
      </c>
      <c r="BR114" s="239">
        <v>42592</v>
      </c>
      <c r="BS114" s="238">
        <v>45.494505494505489</v>
      </c>
      <c r="BT114" s="239">
        <v>42592</v>
      </c>
      <c r="BU114" s="238">
        <v>20.219780219780219</v>
      </c>
      <c r="BV114" s="239">
        <v>42592</v>
      </c>
      <c r="BW114" s="238">
        <v>21.868131868131865</v>
      </c>
      <c r="BX114" s="239">
        <v>42592</v>
      </c>
      <c r="BY114" s="238"/>
      <c r="BZ114" s="238"/>
      <c r="CA114" s="238">
        <v>37.1</v>
      </c>
      <c r="CB114" s="239">
        <v>42592</v>
      </c>
      <c r="CC114" s="238"/>
      <c r="CD114" s="238"/>
      <c r="CF114" s="238"/>
    </row>
    <row r="115" spans="1:84" s="178" customFormat="1" ht="12">
      <c r="A115" s="232">
        <v>30</v>
      </c>
      <c r="B115" s="232" t="str">
        <f>VLOOKUP(A115,PlantMaterial!B:C,2,0)</f>
        <v>C04-1LEQ0</v>
      </c>
      <c r="C115" s="238" t="s">
        <v>7690</v>
      </c>
      <c r="D115" s="232">
        <v>3</v>
      </c>
      <c r="E115" s="238" t="s">
        <v>7802</v>
      </c>
      <c r="F115" s="232">
        <v>5</v>
      </c>
      <c r="G115" s="232">
        <v>18</v>
      </c>
      <c r="H115" s="178">
        <v>189</v>
      </c>
      <c r="I115" s="238"/>
      <c r="M115" s="238">
        <v>3.31</v>
      </c>
      <c r="N115" s="239">
        <v>42586</v>
      </c>
      <c r="S115" s="178">
        <v>10.61</v>
      </c>
      <c r="T115" s="239">
        <v>42592</v>
      </c>
      <c r="U115" s="178">
        <v>13.5</v>
      </c>
      <c r="V115" s="239">
        <v>42586</v>
      </c>
      <c r="Y115" s="238">
        <v>4.0293000000000001</v>
      </c>
      <c r="Z115" s="239">
        <v>42592</v>
      </c>
      <c r="AA115" s="178">
        <v>45</v>
      </c>
      <c r="AB115" s="239">
        <v>42249</v>
      </c>
      <c r="AE115" s="238">
        <v>24.42</v>
      </c>
      <c r="AF115" s="239">
        <v>42586</v>
      </c>
      <c r="AI115" s="232">
        <v>135</v>
      </c>
      <c r="AJ115" s="239">
        <v>42507</v>
      </c>
      <c r="AK115" s="238">
        <v>9.4</v>
      </c>
      <c r="BG115" s="238">
        <v>-9.3000000000000007</v>
      </c>
      <c r="BH115" s="239">
        <v>42592</v>
      </c>
      <c r="BM115" s="238">
        <v>61.9</v>
      </c>
      <c r="BN115" s="239">
        <v>42592</v>
      </c>
      <c r="BQ115" s="238">
        <v>10.3</v>
      </c>
      <c r="BR115" s="239">
        <v>42592</v>
      </c>
      <c r="BS115" s="238">
        <v>47.802197802197803</v>
      </c>
      <c r="BT115" s="239">
        <v>42592</v>
      </c>
      <c r="BU115" s="238">
        <v>18.131868131868131</v>
      </c>
      <c r="BV115" s="239">
        <v>42592</v>
      </c>
      <c r="BW115" s="238">
        <v>15.054945054945053</v>
      </c>
      <c r="BX115" s="239">
        <v>42592</v>
      </c>
      <c r="BY115" s="238"/>
      <c r="BZ115" s="238"/>
      <c r="CA115" s="238">
        <v>34.799999999999997</v>
      </c>
      <c r="CB115" s="239">
        <v>42592</v>
      </c>
      <c r="CC115" s="238"/>
      <c r="CD115" s="238"/>
      <c r="CF115" s="238"/>
    </row>
    <row r="116" spans="1:84" s="178" customFormat="1" ht="12">
      <c r="A116" s="232">
        <v>31</v>
      </c>
      <c r="B116" s="232" t="str">
        <f>VLOOKUP(A116,PlantMaterial!B:C,2,0)</f>
        <v>C04-1LEQ1</v>
      </c>
      <c r="C116" s="238" t="s">
        <v>7690</v>
      </c>
      <c r="D116" s="232">
        <v>3</v>
      </c>
      <c r="E116" s="238" t="s">
        <v>7803</v>
      </c>
      <c r="F116" s="232">
        <v>3</v>
      </c>
      <c r="G116" s="232">
        <v>19</v>
      </c>
      <c r="H116" s="178">
        <v>199.5</v>
      </c>
      <c r="I116" s="238"/>
      <c r="M116" s="238">
        <v>3.46</v>
      </c>
      <c r="N116" s="239">
        <v>42586</v>
      </c>
      <c r="S116" s="178">
        <v>10.78</v>
      </c>
      <c r="T116" s="239">
        <v>42592</v>
      </c>
      <c r="U116" s="178">
        <v>13.5</v>
      </c>
      <c r="V116" s="239">
        <v>42586</v>
      </c>
      <c r="Y116" s="238">
        <v>4.46075</v>
      </c>
      <c r="Z116" s="239">
        <v>42592</v>
      </c>
      <c r="AA116" s="178">
        <v>45</v>
      </c>
      <c r="AB116" s="239">
        <v>42249</v>
      </c>
      <c r="AE116" s="238">
        <v>25.49</v>
      </c>
      <c r="AF116" s="239">
        <v>42586</v>
      </c>
      <c r="AI116" s="232">
        <v>155</v>
      </c>
      <c r="AJ116" s="239">
        <v>42507</v>
      </c>
      <c r="AK116" s="238">
        <v>9.5</v>
      </c>
      <c r="BG116" s="238">
        <v>-8</v>
      </c>
      <c r="BH116" s="239">
        <v>42592</v>
      </c>
      <c r="BM116" s="238">
        <v>61.8</v>
      </c>
      <c r="BN116" s="239">
        <v>42592</v>
      </c>
      <c r="BQ116" s="238">
        <v>10.3</v>
      </c>
      <c r="BR116" s="239">
        <v>42592</v>
      </c>
      <c r="BS116" s="238">
        <v>46.483516483516482</v>
      </c>
      <c r="BT116" s="239">
        <v>42592</v>
      </c>
      <c r="BU116" s="238">
        <v>19.23076923076923</v>
      </c>
      <c r="BV116" s="239">
        <v>42592</v>
      </c>
      <c r="BW116" s="238">
        <v>18.681318681318682</v>
      </c>
      <c r="BX116" s="239">
        <v>42592</v>
      </c>
      <c r="BY116" s="238"/>
      <c r="BZ116" s="238"/>
      <c r="CA116" s="238">
        <v>35.9</v>
      </c>
      <c r="CB116" s="239">
        <v>42592</v>
      </c>
      <c r="CC116" s="238"/>
      <c r="CD116" s="238"/>
      <c r="CF116" s="238"/>
    </row>
    <row r="117" spans="1:84" s="178" customFormat="1" ht="12">
      <c r="A117" s="232">
        <v>32</v>
      </c>
      <c r="B117" s="232" t="str">
        <f>VLOOKUP(A117,PlantMaterial!B:C,2,0)</f>
        <v>A05-1LEQ0</v>
      </c>
      <c r="C117" s="238" t="s">
        <v>7690</v>
      </c>
      <c r="D117" s="232">
        <v>3</v>
      </c>
      <c r="E117" s="238" t="s">
        <v>7804</v>
      </c>
      <c r="F117" s="232">
        <v>6</v>
      </c>
      <c r="G117" s="232">
        <v>15</v>
      </c>
      <c r="H117" s="178">
        <v>157.5</v>
      </c>
      <c r="I117" s="238"/>
      <c r="M117" s="238">
        <v>3.91</v>
      </c>
      <c r="N117" s="239">
        <v>42586</v>
      </c>
      <c r="S117" s="178">
        <v>12.39</v>
      </c>
      <c r="T117" s="239">
        <v>42592</v>
      </c>
      <c r="U117" s="178">
        <v>13.5</v>
      </c>
      <c r="V117" s="239">
        <v>42586</v>
      </c>
      <c r="Y117" s="238">
        <v>4.8045899999999993</v>
      </c>
      <c r="Z117" s="239">
        <v>42592</v>
      </c>
      <c r="AA117" s="178">
        <v>45</v>
      </c>
      <c r="AB117" s="239">
        <v>42249</v>
      </c>
      <c r="AE117" s="238">
        <v>28.77</v>
      </c>
      <c r="AF117" s="239">
        <v>42586</v>
      </c>
      <c r="AI117" s="232">
        <v>150</v>
      </c>
      <c r="AJ117" s="239">
        <v>42507</v>
      </c>
      <c r="AK117" s="238">
        <v>9.6</v>
      </c>
      <c r="BG117" s="238">
        <v>-9.1</v>
      </c>
      <c r="BH117" s="239">
        <v>42592</v>
      </c>
      <c r="BM117" s="238">
        <v>61.9</v>
      </c>
      <c r="BN117" s="239">
        <v>42592</v>
      </c>
      <c r="BQ117" s="238">
        <v>10.6</v>
      </c>
      <c r="BR117" s="239">
        <v>42592</v>
      </c>
      <c r="BS117" s="238">
        <v>47.362637362637365</v>
      </c>
      <c r="BT117" s="239">
        <v>42592</v>
      </c>
      <c r="BU117" s="238">
        <v>18.35164835164835</v>
      </c>
      <c r="BV117" s="239">
        <v>42592</v>
      </c>
      <c r="BW117" s="238">
        <v>13.736263736263735</v>
      </c>
      <c r="BX117" s="239">
        <v>42592</v>
      </c>
      <c r="BY117" s="238"/>
      <c r="BZ117" s="238"/>
      <c r="CA117" s="238">
        <v>34.9</v>
      </c>
      <c r="CB117" s="239">
        <v>42592</v>
      </c>
      <c r="CC117" s="238"/>
      <c r="CD117" s="238"/>
      <c r="CF117" s="238"/>
    </row>
    <row r="118" spans="1:84" s="178" customFormat="1" ht="12">
      <c r="A118" s="232">
        <v>33</v>
      </c>
      <c r="B118" s="232" t="str">
        <f>VLOOKUP(A118,PlantMaterial!B:C,2,0)</f>
        <v>A05-1LEQ1</v>
      </c>
      <c r="C118" s="238" t="s">
        <v>7690</v>
      </c>
      <c r="D118" s="232">
        <v>3</v>
      </c>
      <c r="E118" s="238" t="s">
        <v>7805</v>
      </c>
      <c r="F118" s="232">
        <v>4</v>
      </c>
      <c r="G118" s="232">
        <v>15</v>
      </c>
      <c r="H118" s="178">
        <v>157.5</v>
      </c>
      <c r="I118" s="238"/>
      <c r="M118" s="238">
        <v>4.51</v>
      </c>
      <c r="N118" s="239">
        <v>42586</v>
      </c>
      <c r="S118" s="178">
        <v>14.56</v>
      </c>
      <c r="T118" s="239">
        <v>42592</v>
      </c>
      <c r="U118" s="178">
        <v>13.5</v>
      </c>
      <c r="V118" s="239">
        <v>42586</v>
      </c>
      <c r="Y118" s="238">
        <v>5.4132300000000013</v>
      </c>
      <c r="Z118" s="239">
        <v>42592</v>
      </c>
      <c r="AA118" s="178">
        <v>45</v>
      </c>
      <c r="AB118" s="239">
        <v>42249</v>
      </c>
      <c r="AE118" s="238">
        <v>33.21</v>
      </c>
      <c r="AF118" s="239">
        <v>42586</v>
      </c>
      <c r="AI118" s="232">
        <v>150</v>
      </c>
      <c r="AJ118" s="239">
        <v>42507</v>
      </c>
      <c r="AK118" s="238">
        <v>9.5</v>
      </c>
      <c r="BG118" s="238">
        <v>-7.8</v>
      </c>
      <c r="BH118" s="239">
        <v>42592</v>
      </c>
      <c r="BM118" s="238">
        <v>63.6</v>
      </c>
      <c r="BN118" s="239">
        <v>42592</v>
      </c>
      <c r="BQ118" s="238">
        <v>9.6</v>
      </c>
      <c r="BR118" s="239">
        <v>42592</v>
      </c>
      <c r="BS118" s="238">
        <v>48.131868131868124</v>
      </c>
      <c r="BT118" s="239">
        <v>42592</v>
      </c>
      <c r="BU118" s="238">
        <v>17.912087912087912</v>
      </c>
      <c r="BV118" s="239">
        <v>42592</v>
      </c>
      <c r="BW118" s="238">
        <v>16.153846153846153</v>
      </c>
      <c r="BX118" s="239">
        <v>42592</v>
      </c>
      <c r="BY118" s="238"/>
      <c r="BZ118" s="238"/>
      <c r="CA118" s="238">
        <v>34.6</v>
      </c>
      <c r="CB118" s="239">
        <v>42592</v>
      </c>
      <c r="CC118" s="238"/>
      <c r="CD118" s="238"/>
      <c r="CF118" s="238"/>
    </row>
    <row r="119" spans="1:84" s="178" customFormat="1" ht="12">
      <c r="A119" s="232">
        <v>34</v>
      </c>
      <c r="B119" s="232" t="str">
        <f>VLOOKUP(A119,PlantMaterial!B:C,2,0)</f>
        <v>RAPSO_4</v>
      </c>
      <c r="C119" s="238" t="s">
        <v>7690</v>
      </c>
      <c r="D119" s="232">
        <v>3</v>
      </c>
      <c r="E119" s="238" t="s">
        <v>7806</v>
      </c>
      <c r="F119" s="232">
        <v>4</v>
      </c>
      <c r="G119" s="232">
        <v>18</v>
      </c>
      <c r="H119" s="178">
        <v>189</v>
      </c>
      <c r="I119" s="238"/>
      <c r="M119" s="238">
        <v>3.45</v>
      </c>
      <c r="N119" s="239">
        <v>42586</v>
      </c>
      <c r="S119" s="178">
        <v>11.19</v>
      </c>
      <c r="T119" s="239">
        <v>42592</v>
      </c>
      <c r="U119" s="178">
        <v>13.5</v>
      </c>
      <c r="V119" s="239">
        <v>42586</v>
      </c>
      <c r="Y119" s="238">
        <v>4.2009000000000007</v>
      </c>
      <c r="Z119" s="239">
        <v>42592</v>
      </c>
      <c r="AA119" s="178">
        <v>45</v>
      </c>
      <c r="AB119" s="239">
        <v>42249</v>
      </c>
      <c r="AE119" s="238">
        <v>25.46</v>
      </c>
      <c r="AF119" s="239">
        <v>42586</v>
      </c>
      <c r="AI119" s="232">
        <v>135</v>
      </c>
      <c r="AJ119" s="239">
        <v>42507</v>
      </c>
      <c r="AK119" s="238">
        <v>9.3000000000000007</v>
      </c>
      <c r="BG119" s="238">
        <v>-5.9</v>
      </c>
      <c r="BH119" s="239">
        <v>42592</v>
      </c>
      <c r="BM119" s="238">
        <v>61.7</v>
      </c>
      <c r="BN119" s="239">
        <v>42592</v>
      </c>
      <c r="BQ119" s="238">
        <v>10.199999999999999</v>
      </c>
      <c r="BR119" s="239">
        <v>42592</v>
      </c>
      <c r="BS119" s="238">
        <v>48.241758241758241</v>
      </c>
      <c r="BT119" s="239">
        <v>42592</v>
      </c>
      <c r="BU119" s="238">
        <v>18.131868131868131</v>
      </c>
      <c r="BV119" s="239">
        <v>42592</v>
      </c>
      <c r="BW119" s="238">
        <v>14.615384615384615</v>
      </c>
      <c r="BX119" s="239">
        <v>42592</v>
      </c>
      <c r="BY119" s="238"/>
      <c r="BZ119" s="238"/>
      <c r="CA119" s="238">
        <v>35.1</v>
      </c>
      <c r="CB119" s="239">
        <v>42592</v>
      </c>
      <c r="CC119" s="238"/>
      <c r="CD119" s="238"/>
      <c r="CF119" s="238"/>
    </row>
    <row r="120" spans="1:84" s="178" customFormat="1" ht="12">
      <c r="A120" s="232">
        <v>35</v>
      </c>
      <c r="B120" s="232" t="str">
        <f>VLOOKUP(A120,PlantMaterial!B:C,2,0)</f>
        <v>C04-1MASQ0</v>
      </c>
      <c r="C120" s="238" t="s">
        <v>7690</v>
      </c>
      <c r="D120" s="232">
        <v>3</v>
      </c>
      <c r="E120" s="238" t="s">
        <v>7807</v>
      </c>
      <c r="F120" s="232">
        <v>5</v>
      </c>
      <c r="G120" s="232">
        <v>15</v>
      </c>
      <c r="H120" s="178">
        <v>157.5</v>
      </c>
      <c r="I120" s="238"/>
      <c r="M120" s="238">
        <v>3.41</v>
      </c>
      <c r="N120" s="239">
        <v>42586</v>
      </c>
      <c r="S120" s="178">
        <v>10.56</v>
      </c>
      <c r="T120" s="239">
        <v>42592</v>
      </c>
      <c r="U120" s="178">
        <v>13.5</v>
      </c>
      <c r="V120" s="239">
        <v>42586</v>
      </c>
      <c r="Y120" s="238">
        <v>4.444469999999999</v>
      </c>
      <c r="Z120" s="239">
        <v>42592</v>
      </c>
      <c r="AA120" s="178">
        <v>45</v>
      </c>
      <c r="AB120" s="239">
        <v>42249</v>
      </c>
      <c r="AE120" s="238">
        <v>25.11</v>
      </c>
      <c r="AF120" s="239">
        <v>42586</v>
      </c>
      <c r="AI120" s="232">
        <v>150</v>
      </c>
      <c r="AJ120" s="239">
        <v>42507</v>
      </c>
      <c r="AK120" s="238">
        <v>9.5</v>
      </c>
      <c r="BG120" s="238">
        <v>-7.3</v>
      </c>
      <c r="BH120" s="239">
        <v>42592</v>
      </c>
      <c r="BM120" s="238">
        <v>61.8</v>
      </c>
      <c r="BN120" s="239">
        <v>42592</v>
      </c>
      <c r="BQ120" s="238">
        <v>10.199999999999999</v>
      </c>
      <c r="BR120" s="239">
        <v>42592</v>
      </c>
      <c r="BS120" s="238">
        <v>46.263736263736263</v>
      </c>
      <c r="BT120" s="239">
        <v>42592</v>
      </c>
      <c r="BU120" s="238">
        <v>19.450549450549449</v>
      </c>
      <c r="BV120" s="239">
        <v>42592</v>
      </c>
      <c r="BW120" s="238">
        <v>15.604395604395602</v>
      </c>
      <c r="BX120" s="239">
        <v>42592</v>
      </c>
      <c r="BY120" s="238"/>
      <c r="BZ120" s="238"/>
      <c r="CA120" s="238">
        <v>36.1</v>
      </c>
      <c r="CB120" s="239">
        <v>42592</v>
      </c>
      <c r="CC120" s="238"/>
      <c r="CD120" s="238"/>
      <c r="CF120" s="238"/>
    </row>
    <row r="121" spans="1:84" s="178" customFormat="1" ht="12">
      <c r="A121" s="232">
        <v>36</v>
      </c>
      <c r="B121" s="232" t="str">
        <f>VLOOKUP(A121,PlantMaterial!B:C,2,0)</f>
        <v>C04-1MASQ1</v>
      </c>
      <c r="C121" s="238" t="s">
        <v>7690</v>
      </c>
      <c r="D121" s="232">
        <v>3</v>
      </c>
      <c r="E121" s="238" t="s">
        <v>7808</v>
      </c>
      <c r="F121" s="232">
        <v>1</v>
      </c>
      <c r="G121" s="232">
        <v>15</v>
      </c>
      <c r="H121" s="178">
        <v>157.5</v>
      </c>
      <c r="I121" s="238"/>
      <c r="M121" s="238">
        <v>2.82</v>
      </c>
      <c r="N121" s="239">
        <v>42586</v>
      </c>
      <c r="S121" s="178">
        <v>8.8699999999999992</v>
      </c>
      <c r="T121" s="239">
        <v>42592</v>
      </c>
      <c r="U121" s="178">
        <v>13.5</v>
      </c>
      <c r="V121" s="239">
        <v>42586</v>
      </c>
      <c r="Y121" s="238">
        <v>3.5707200000000001</v>
      </c>
      <c r="Z121" s="239">
        <v>42592</v>
      </c>
      <c r="AA121" s="178">
        <v>45</v>
      </c>
      <c r="AB121" s="239">
        <v>42249</v>
      </c>
      <c r="AE121" s="238">
        <v>20.76</v>
      </c>
      <c r="AF121" s="239">
        <v>42586</v>
      </c>
      <c r="AI121" s="232">
        <v>150</v>
      </c>
      <c r="AJ121" s="239">
        <v>42507</v>
      </c>
      <c r="AK121" s="238">
        <v>9.6</v>
      </c>
      <c r="BG121" s="238">
        <v>-5.5</v>
      </c>
      <c r="BH121" s="239">
        <v>42592</v>
      </c>
      <c r="BM121" s="238">
        <v>61.8</v>
      </c>
      <c r="BN121" s="239">
        <v>42592</v>
      </c>
      <c r="BQ121" s="238">
        <v>10.7</v>
      </c>
      <c r="BR121" s="239">
        <v>42592</v>
      </c>
      <c r="BS121" s="238">
        <v>46.923076923076927</v>
      </c>
      <c r="BT121" s="239">
        <v>42592</v>
      </c>
      <c r="BU121" s="238">
        <v>18.901098901098898</v>
      </c>
      <c r="BV121" s="239">
        <v>42592</v>
      </c>
      <c r="BW121" s="238">
        <v>15.054945054945053</v>
      </c>
      <c r="BX121" s="239">
        <v>42592</v>
      </c>
      <c r="BY121" s="238"/>
      <c r="BZ121" s="238"/>
      <c r="CA121" s="238">
        <v>35.6</v>
      </c>
      <c r="CB121" s="239">
        <v>42592</v>
      </c>
      <c r="CC121" s="238"/>
      <c r="CD121" s="238"/>
      <c r="CF121" s="238"/>
    </row>
    <row r="122" spans="1:84" s="178" customFormat="1" ht="12">
      <c r="A122" s="232">
        <v>37</v>
      </c>
      <c r="B122" s="232" t="str">
        <f>VLOOKUP(A122,PlantMaterial!B:C,2,0)</f>
        <v>RAPSO_323</v>
      </c>
      <c r="C122" s="238" t="s">
        <v>7690</v>
      </c>
      <c r="D122" s="232">
        <v>3</v>
      </c>
      <c r="E122" s="238" t="s">
        <v>7809</v>
      </c>
      <c r="F122" s="232">
        <v>3</v>
      </c>
      <c r="G122" s="232">
        <v>17</v>
      </c>
      <c r="H122" s="178">
        <v>178.5</v>
      </c>
      <c r="I122" s="238"/>
      <c r="M122" s="238">
        <v>3.23</v>
      </c>
      <c r="N122" s="239">
        <v>42586</v>
      </c>
      <c r="S122" s="178">
        <v>9.75</v>
      </c>
      <c r="T122" s="239">
        <v>42592</v>
      </c>
      <c r="U122" s="178">
        <v>13.5</v>
      </c>
      <c r="V122" s="239">
        <v>42586</v>
      </c>
      <c r="Y122" s="238">
        <v>4.3261399999999997</v>
      </c>
      <c r="Z122" s="239">
        <v>42592</v>
      </c>
      <c r="AA122" s="178">
        <v>45</v>
      </c>
      <c r="AB122" s="239">
        <v>42249</v>
      </c>
      <c r="AE122" s="238">
        <v>23.77</v>
      </c>
      <c r="AF122" s="239">
        <v>42586</v>
      </c>
      <c r="AI122" s="232">
        <v>160</v>
      </c>
      <c r="AJ122" s="239">
        <v>42507</v>
      </c>
      <c r="AK122" s="238">
        <v>9.6</v>
      </c>
      <c r="BG122" s="238">
        <v>-9.6</v>
      </c>
      <c r="BH122" s="239">
        <v>42592</v>
      </c>
      <c r="BM122" s="238">
        <v>59.9</v>
      </c>
      <c r="BN122" s="239">
        <v>42592</v>
      </c>
      <c r="BQ122" s="238">
        <v>11.5</v>
      </c>
      <c r="BR122" s="239">
        <v>42592</v>
      </c>
      <c r="BS122" s="238">
        <v>45.054945054945051</v>
      </c>
      <c r="BT122" s="239">
        <v>42592</v>
      </c>
      <c r="BU122" s="238">
        <v>20</v>
      </c>
      <c r="BV122" s="239">
        <v>42592</v>
      </c>
      <c r="BW122" s="238">
        <v>14.945054945054943</v>
      </c>
      <c r="BX122" s="239">
        <v>42592</v>
      </c>
      <c r="BY122" s="238"/>
      <c r="BZ122" s="238"/>
      <c r="CA122" s="238">
        <v>36.299999999999997</v>
      </c>
      <c r="CB122" s="239">
        <v>42592</v>
      </c>
      <c r="CC122" s="238"/>
      <c r="CD122" s="238"/>
      <c r="CF122" s="238"/>
    </row>
    <row r="123" spans="1:84" s="178" customFormat="1" ht="12">
      <c r="A123" s="232">
        <v>38</v>
      </c>
      <c r="B123" s="232" t="str">
        <f>VLOOKUP(A123,PlantMaterial!B:C,2,0)</f>
        <v>C04-1RAGTQ0</v>
      </c>
      <c r="C123" s="238" t="s">
        <v>7690</v>
      </c>
      <c r="D123" s="232">
        <v>3</v>
      </c>
      <c r="E123" s="238" t="s">
        <v>7810</v>
      </c>
      <c r="F123" s="232">
        <v>3</v>
      </c>
      <c r="G123" s="232">
        <v>20</v>
      </c>
      <c r="H123" s="178">
        <v>210</v>
      </c>
      <c r="I123" s="238"/>
      <c r="M123" s="238">
        <v>3.34</v>
      </c>
      <c r="N123" s="239">
        <v>42586</v>
      </c>
      <c r="S123" s="178">
        <v>10.74</v>
      </c>
      <c r="T123" s="239">
        <v>42592</v>
      </c>
      <c r="U123" s="178">
        <v>13.5</v>
      </c>
      <c r="V123" s="239">
        <v>42586</v>
      </c>
      <c r="Y123" s="238">
        <v>4.036039999999999</v>
      </c>
      <c r="Z123" s="239">
        <v>42592</v>
      </c>
      <c r="AA123" s="178">
        <v>45</v>
      </c>
      <c r="AB123" s="239">
        <v>42249</v>
      </c>
      <c r="AE123" s="238">
        <v>24.61</v>
      </c>
      <c r="AF123" s="239">
        <v>42586</v>
      </c>
      <c r="AI123" s="232">
        <v>160</v>
      </c>
      <c r="AJ123" s="239">
        <v>42507</v>
      </c>
      <c r="AK123" s="238">
        <v>9.5</v>
      </c>
      <c r="BG123" s="238">
        <v>-7.7</v>
      </c>
      <c r="BH123" s="239">
        <v>42592</v>
      </c>
      <c r="BM123" s="238">
        <v>62.1</v>
      </c>
      <c r="BN123" s="239">
        <v>42592</v>
      </c>
      <c r="BQ123" s="238">
        <v>10</v>
      </c>
      <c r="BR123" s="239">
        <v>42592</v>
      </c>
      <c r="BS123" s="238">
        <v>48.021978021978022</v>
      </c>
      <c r="BT123" s="239">
        <v>42592</v>
      </c>
      <c r="BU123" s="238">
        <v>18.021978021978018</v>
      </c>
      <c r="BV123" s="239">
        <v>42592</v>
      </c>
      <c r="BW123" s="238">
        <v>12.967032967032967</v>
      </c>
      <c r="BX123" s="239">
        <v>42592</v>
      </c>
      <c r="BY123" s="238"/>
      <c r="BZ123" s="238"/>
      <c r="CA123" s="238">
        <v>34.700000000000003</v>
      </c>
      <c r="CB123" s="239">
        <v>42592</v>
      </c>
      <c r="CC123" s="238"/>
      <c r="CD123" s="238"/>
      <c r="CF123" s="238"/>
    </row>
    <row r="124" spans="1:84" s="178" customFormat="1" ht="12">
      <c r="A124" s="232">
        <v>39</v>
      </c>
      <c r="B124" s="232" t="str">
        <f>VLOOKUP(A124,PlantMaterial!B:C,2,0)</f>
        <v>C04-1RAGTQ1</v>
      </c>
      <c r="C124" s="238" t="s">
        <v>7690</v>
      </c>
      <c r="D124" s="232">
        <v>3</v>
      </c>
      <c r="E124" s="238" t="s">
        <v>7811</v>
      </c>
      <c r="F124" s="232">
        <v>5</v>
      </c>
      <c r="G124" s="232">
        <v>16</v>
      </c>
      <c r="H124" s="178">
        <v>168</v>
      </c>
      <c r="I124" s="238"/>
      <c r="M124" s="238">
        <v>3.28</v>
      </c>
      <c r="N124" s="239">
        <v>42586</v>
      </c>
      <c r="S124" s="178">
        <v>10.38</v>
      </c>
      <c r="T124" s="239">
        <v>42592</v>
      </c>
      <c r="U124" s="178">
        <v>13.5</v>
      </c>
      <c r="V124" s="239">
        <v>42586</v>
      </c>
      <c r="Y124" s="238">
        <v>3.9880499999999999</v>
      </c>
      <c r="Z124" s="239">
        <v>42592</v>
      </c>
      <c r="AA124" s="178">
        <v>45</v>
      </c>
      <c r="AB124" s="239">
        <v>42249</v>
      </c>
      <c r="AE124" s="238">
        <v>24.17</v>
      </c>
      <c r="AF124" s="239">
        <v>42586</v>
      </c>
      <c r="AI124" s="232">
        <v>155</v>
      </c>
      <c r="AJ124" s="239">
        <v>42507</v>
      </c>
      <c r="AK124" s="238">
        <v>9.5</v>
      </c>
      <c r="BG124" s="238">
        <v>-8.4</v>
      </c>
      <c r="BH124" s="239">
        <v>42592</v>
      </c>
      <c r="BM124" s="238">
        <v>62.7</v>
      </c>
      <c r="BN124" s="239">
        <v>42592</v>
      </c>
      <c r="BQ124" s="238">
        <v>9.9</v>
      </c>
      <c r="BR124" s="239">
        <v>42592</v>
      </c>
      <c r="BS124" s="238">
        <v>47.252747252747248</v>
      </c>
      <c r="BT124" s="239">
        <v>42592</v>
      </c>
      <c r="BU124" s="238">
        <v>18.131868131868131</v>
      </c>
      <c r="BV124" s="239">
        <v>42592</v>
      </c>
      <c r="BW124" s="238">
        <v>12.637362637362637</v>
      </c>
      <c r="BX124" s="239">
        <v>42592</v>
      </c>
      <c r="BY124" s="238"/>
      <c r="BZ124" s="238"/>
      <c r="CA124" s="238">
        <v>34.299999999999997</v>
      </c>
      <c r="CB124" s="239">
        <v>42592</v>
      </c>
      <c r="CC124" s="238"/>
      <c r="CD124" s="238"/>
      <c r="CF124" s="238"/>
    </row>
    <row r="125" spans="1:84" s="178" customFormat="1" ht="12">
      <c r="A125" s="232">
        <v>40</v>
      </c>
      <c r="B125" s="232" t="str">
        <f>VLOOKUP(A125,PlantMaterial!B:C,2,0)</f>
        <v>RAPSO_325</v>
      </c>
      <c r="C125" s="238" t="s">
        <v>7690</v>
      </c>
      <c r="D125" s="232">
        <v>3</v>
      </c>
      <c r="E125" s="238" t="s">
        <v>7812</v>
      </c>
      <c r="F125" s="232">
        <v>6</v>
      </c>
      <c r="G125" s="232">
        <v>19</v>
      </c>
      <c r="H125" s="178">
        <v>199.5</v>
      </c>
      <c r="I125" s="238"/>
      <c r="M125" s="238">
        <v>5.14</v>
      </c>
      <c r="N125" s="239">
        <v>42586</v>
      </c>
      <c r="S125" s="178">
        <v>16.72</v>
      </c>
      <c r="T125" s="239">
        <v>42592</v>
      </c>
      <c r="U125" s="178">
        <v>13.5</v>
      </c>
      <c r="V125" s="239">
        <v>42586</v>
      </c>
      <c r="Y125" s="238">
        <v>6.0527999999999995</v>
      </c>
      <c r="Z125" s="239">
        <v>42592</v>
      </c>
      <c r="AA125" s="178">
        <v>45</v>
      </c>
      <c r="AB125" s="239">
        <v>42249</v>
      </c>
      <c r="AE125" s="238">
        <v>37.83</v>
      </c>
      <c r="AF125" s="239">
        <v>42586</v>
      </c>
      <c r="AI125" s="232">
        <v>155</v>
      </c>
      <c r="AJ125" s="239">
        <v>42507</v>
      </c>
      <c r="AK125" s="238">
        <v>9.6</v>
      </c>
      <c r="BG125" s="238">
        <v>-8.1999999999999993</v>
      </c>
      <c r="BH125" s="239">
        <v>42592</v>
      </c>
      <c r="BM125" s="238">
        <v>63</v>
      </c>
      <c r="BN125" s="239">
        <v>42592</v>
      </c>
      <c r="BQ125" s="238">
        <v>10</v>
      </c>
      <c r="BR125" s="239">
        <v>42592</v>
      </c>
      <c r="BS125" s="238">
        <v>48.571428571428569</v>
      </c>
      <c r="BT125" s="239">
        <v>42592</v>
      </c>
      <c r="BU125" s="238">
        <v>17.58241758241758</v>
      </c>
      <c r="BV125" s="239">
        <v>42592</v>
      </c>
      <c r="BW125" s="238">
        <v>16.373626373626372</v>
      </c>
      <c r="BX125" s="239">
        <v>42592</v>
      </c>
      <c r="BY125" s="238"/>
      <c r="BZ125" s="238"/>
      <c r="CA125" s="238">
        <v>34.200000000000003</v>
      </c>
      <c r="CB125" s="239">
        <v>42592</v>
      </c>
      <c r="CC125" s="238"/>
      <c r="CD125" s="238"/>
      <c r="CF125" s="238"/>
    </row>
    <row r="126" spans="1:84" s="178" customFormat="1" ht="12">
      <c r="A126" s="232">
        <v>41</v>
      </c>
      <c r="B126" s="232" t="str">
        <f>VLOOKUP(A126,PlantMaterial!B:C,2,0)</f>
        <v>C04-1SYNQ0</v>
      </c>
      <c r="C126" s="238" t="s">
        <v>7690</v>
      </c>
      <c r="D126" s="232">
        <v>3</v>
      </c>
      <c r="E126" s="238" t="s">
        <v>7813</v>
      </c>
      <c r="F126" s="232">
        <v>1</v>
      </c>
      <c r="G126" s="232">
        <v>17</v>
      </c>
      <c r="H126" s="178">
        <v>178.5</v>
      </c>
      <c r="I126" s="238"/>
      <c r="M126" s="238">
        <v>2.88</v>
      </c>
      <c r="N126" s="239">
        <v>42586</v>
      </c>
      <c r="S126" s="178">
        <v>9.02</v>
      </c>
      <c r="T126" s="239">
        <v>42592</v>
      </c>
      <c r="U126" s="178">
        <v>13.5</v>
      </c>
      <c r="V126" s="239">
        <v>42586</v>
      </c>
      <c r="Y126" s="238">
        <v>3.64812</v>
      </c>
      <c r="Z126" s="239">
        <v>42592</v>
      </c>
      <c r="AA126" s="178">
        <v>45</v>
      </c>
      <c r="AB126" s="239">
        <v>42249</v>
      </c>
      <c r="AE126" s="238">
        <v>21.21</v>
      </c>
      <c r="AF126" s="239">
        <v>42586</v>
      </c>
      <c r="AI126" s="232">
        <v>145</v>
      </c>
      <c r="AJ126" s="239">
        <v>42507</v>
      </c>
      <c r="AK126" s="238">
        <v>9.5</v>
      </c>
      <c r="BG126" s="238">
        <v>-7.5</v>
      </c>
      <c r="BH126" s="239">
        <v>42592</v>
      </c>
      <c r="BM126" s="238">
        <v>61.3</v>
      </c>
      <c r="BN126" s="239">
        <v>42592</v>
      </c>
      <c r="BQ126" s="238">
        <v>10.1</v>
      </c>
      <c r="BR126" s="239">
        <v>42592</v>
      </c>
      <c r="BS126" s="238">
        <v>46.703296703296701</v>
      </c>
      <c r="BT126" s="239">
        <v>42592</v>
      </c>
      <c r="BU126" s="238">
        <v>18.901098901098898</v>
      </c>
      <c r="BV126" s="239">
        <v>42592</v>
      </c>
      <c r="BW126" s="238">
        <v>14.725274725274724</v>
      </c>
      <c r="BX126" s="239">
        <v>42592</v>
      </c>
      <c r="BY126" s="238"/>
      <c r="BZ126" s="238"/>
      <c r="CA126" s="238">
        <v>35.5</v>
      </c>
      <c r="CB126" s="239">
        <v>42592</v>
      </c>
      <c r="CC126" s="238"/>
      <c r="CD126" s="238"/>
      <c r="CF126" s="238"/>
    </row>
    <row r="127" spans="1:84" s="178" customFormat="1" ht="12">
      <c r="A127" s="232">
        <v>42</v>
      </c>
      <c r="B127" s="232" t="str">
        <f>VLOOKUP(A127,PlantMaterial!B:C,2,0)</f>
        <v>C04-1SYNQ1</v>
      </c>
      <c r="C127" s="238" t="s">
        <v>7690</v>
      </c>
      <c r="D127" s="232">
        <v>3</v>
      </c>
      <c r="E127" s="238" t="s">
        <v>7814</v>
      </c>
      <c r="F127" s="232">
        <v>5</v>
      </c>
      <c r="G127" s="232">
        <v>19</v>
      </c>
      <c r="H127" s="178">
        <v>199.5</v>
      </c>
      <c r="I127" s="238"/>
      <c r="M127" s="238">
        <v>3.65</v>
      </c>
      <c r="N127" s="239">
        <v>42586</v>
      </c>
      <c r="S127" s="178">
        <v>11.84</v>
      </c>
      <c r="T127" s="239">
        <v>42592</v>
      </c>
      <c r="U127" s="178">
        <v>13.5</v>
      </c>
      <c r="V127" s="239">
        <v>42586</v>
      </c>
      <c r="Y127" s="238">
        <v>4.3056000000000001</v>
      </c>
      <c r="Z127" s="239">
        <v>42592</v>
      </c>
      <c r="AA127" s="178">
        <v>45</v>
      </c>
      <c r="AB127" s="239">
        <v>42249</v>
      </c>
      <c r="AE127" s="238">
        <v>26.91</v>
      </c>
      <c r="AF127" s="239">
        <v>42586</v>
      </c>
      <c r="AI127" s="232">
        <v>155</v>
      </c>
      <c r="AJ127" s="239">
        <v>42507</v>
      </c>
      <c r="AK127" s="238">
        <v>9.4</v>
      </c>
      <c r="BG127" s="238">
        <v>-10.199999999999999</v>
      </c>
      <c r="BH127" s="239">
        <v>42592</v>
      </c>
      <c r="BM127" s="238">
        <v>62.1</v>
      </c>
      <c r="BN127" s="239">
        <v>42592</v>
      </c>
      <c r="BQ127" s="238">
        <v>10.4</v>
      </c>
      <c r="BR127" s="239">
        <v>42592</v>
      </c>
      <c r="BS127" s="238">
        <v>48.35164835164835</v>
      </c>
      <c r="BT127" s="239">
        <v>42592</v>
      </c>
      <c r="BU127" s="238">
        <v>17.58241758241758</v>
      </c>
      <c r="BV127" s="239">
        <v>42592</v>
      </c>
      <c r="BW127" s="238">
        <v>15.604395604395602</v>
      </c>
      <c r="BX127" s="239">
        <v>42592</v>
      </c>
      <c r="BY127" s="238"/>
      <c r="BZ127" s="238"/>
      <c r="CA127" s="238">
        <v>34.1</v>
      </c>
      <c r="CB127" s="239">
        <v>42592</v>
      </c>
      <c r="CC127" s="238"/>
      <c r="CD127" s="238"/>
      <c r="CF127" s="238"/>
    </row>
    <row r="128" spans="1:84" s="242" customFormat="1" ht="12">
      <c r="A128" s="240">
        <v>1</v>
      </c>
      <c r="B128" s="240" t="str">
        <f>VLOOKUP(A128,PlantMaterial!B:C,2,0)</f>
        <v>AVISO</v>
      </c>
      <c r="C128" s="241" t="s">
        <v>7689</v>
      </c>
      <c r="D128" s="240">
        <v>4</v>
      </c>
      <c r="E128" s="241" t="s">
        <v>7936</v>
      </c>
      <c r="F128" s="240">
        <v>10</v>
      </c>
      <c r="G128" s="240">
        <v>15</v>
      </c>
      <c r="H128" s="242">
        <v>157.5</v>
      </c>
      <c r="I128" s="241" t="s">
        <v>7774</v>
      </c>
      <c r="J128" s="243">
        <v>42430</v>
      </c>
      <c r="M128" s="241">
        <v>2.69</v>
      </c>
      <c r="N128" s="243">
        <v>42586</v>
      </c>
      <c r="S128" s="242">
        <v>7.98</v>
      </c>
      <c r="T128" s="243">
        <v>42592</v>
      </c>
      <c r="U128" s="242">
        <v>13.5</v>
      </c>
      <c r="V128" s="243">
        <v>42586</v>
      </c>
      <c r="Y128" s="241">
        <v>3.5747500000000003</v>
      </c>
      <c r="Z128" s="243">
        <v>42592</v>
      </c>
      <c r="AA128" s="242">
        <v>45</v>
      </c>
      <c r="AB128" s="243">
        <v>42249</v>
      </c>
      <c r="AE128" s="241">
        <v>19.75</v>
      </c>
      <c r="AF128" s="243">
        <v>42586</v>
      </c>
      <c r="AI128" s="240">
        <v>150</v>
      </c>
      <c r="AJ128" s="243">
        <v>42507</v>
      </c>
      <c r="AK128" s="241">
        <v>9.8000000000000007</v>
      </c>
      <c r="BG128" s="241">
        <v>-9.3000000000000007</v>
      </c>
      <c r="BH128" s="243">
        <v>42592</v>
      </c>
      <c r="BM128" s="241">
        <v>58.6</v>
      </c>
      <c r="BN128" s="243">
        <v>42592</v>
      </c>
      <c r="BQ128" s="241">
        <v>12.1</v>
      </c>
      <c r="BR128" s="243">
        <v>42592</v>
      </c>
      <c r="BS128" s="241">
        <v>44.395604395604394</v>
      </c>
      <c r="BT128" s="243">
        <v>42592</v>
      </c>
      <c r="BU128" s="241">
        <v>19.890109890109891</v>
      </c>
      <c r="BV128" s="243">
        <v>42592</v>
      </c>
      <c r="BW128" s="241">
        <v>15.714285714285715</v>
      </c>
      <c r="BX128" s="243">
        <v>42592</v>
      </c>
      <c r="BY128" s="241"/>
      <c r="BZ128" s="241"/>
      <c r="CA128" s="241">
        <v>35.700000000000003</v>
      </c>
      <c r="CB128" s="243">
        <v>42592</v>
      </c>
      <c r="CC128" s="241"/>
      <c r="CD128" s="241"/>
      <c r="CF128" s="241"/>
    </row>
    <row r="129" spans="1:84" s="178" customFormat="1" ht="12">
      <c r="A129" s="232">
        <v>2</v>
      </c>
      <c r="B129" s="232" t="str">
        <f>VLOOKUP(A129,PlantMaterial!B:C,2,0)</f>
        <v>A05-AMQ0</v>
      </c>
      <c r="C129" s="238" t="s">
        <v>7689</v>
      </c>
      <c r="D129" s="232">
        <v>4</v>
      </c>
      <c r="E129" s="238" t="s">
        <v>7815</v>
      </c>
      <c r="F129" s="232">
        <v>11</v>
      </c>
      <c r="G129" s="232">
        <v>15</v>
      </c>
      <c r="H129" s="178">
        <v>157.5</v>
      </c>
      <c r="I129" s="238"/>
      <c r="M129" s="238">
        <v>3.38</v>
      </c>
      <c r="N129" s="239">
        <v>42586</v>
      </c>
      <c r="S129" s="178">
        <v>10.43</v>
      </c>
      <c r="T129" s="239">
        <v>42592</v>
      </c>
      <c r="U129" s="178">
        <v>13.5</v>
      </c>
      <c r="V129" s="239">
        <v>42586</v>
      </c>
      <c r="Y129" s="238">
        <v>4.5512100000000002</v>
      </c>
      <c r="Z129" s="239">
        <v>42592</v>
      </c>
      <c r="AA129" s="178">
        <v>45</v>
      </c>
      <c r="AB129" s="239">
        <v>42249</v>
      </c>
      <c r="AE129" s="238">
        <v>24.87</v>
      </c>
      <c r="AF129" s="239">
        <v>42586</v>
      </c>
      <c r="AI129" s="232">
        <v>150</v>
      </c>
      <c r="AJ129" s="239">
        <v>42507</v>
      </c>
      <c r="AK129" s="238">
        <v>9.6</v>
      </c>
      <c r="BG129" s="238">
        <v>-7.8</v>
      </c>
      <c r="BH129" s="239">
        <v>42592</v>
      </c>
      <c r="BM129" s="238">
        <v>60.8</v>
      </c>
      <c r="BN129" s="239">
        <v>42592</v>
      </c>
      <c r="BQ129" s="238">
        <v>11.8</v>
      </c>
      <c r="BR129" s="239">
        <v>42592</v>
      </c>
      <c r="BS129" s="238">
        <v>46.043956043956044</v>
      </c>
      <c r="BT129" s="239">
        <v>42592</v>
      </c>
      <c r="BU129" s="238">
        <v>20.109890109890109</v>
      </c>
      <c r="BV129" s="239">
        <v>42592</v>
      </c>
      <c r="BW129" s="238">
        <v>14.065934065934066</v>
      </c>
      <c r="BX129" s="239">
        <v>42592</v>
      </c>
      <c r="BY129" s="238"/>
      <c r="BZ129" s="238"/>
      <c r="CA129" s="238">
        <v>37.200000000000003</v>
      </c>
      <c r="CB129" s="239">
        <v>42592</v>
      </c>
      <c r="CC129" s="238"/>
      <c r="CD129" s="238"/>
      <c r="CF129" s="238"/>
    </row>
    <row r="130" spans="1:84" s="242" customFormat="1" ht="12">
      <c r="A130" s="240">
        <v>3</v>
      </c>
      <c r="B130" s="240" t="str">
        <f>VLOOKUP(A130,PlantMaterial!B:C,2,0)</f>
        <v>MONTEGO</v>
      </c>
      <c r="C130" s="241" t="s">
        <v>7689</v>
      </c>
      <c r="D130" s="240">
        <v>4</v>
      </c>
      <c r="E130" s="241" t="s">
        <v>7936</v>
      </c>
      <c r="F130" s="240">
        <v>12</v>
      </c>
      <c r="G130" s="240">
        <v>15</v>
      </c>
      <c r="H130" s="242">
        <v>157.5</v>
      </c>
      <c r="I130" s="241"/>
      <c r="M130" s="241">
        <v>3.04</v>
      </c>
      <c r="N130" s="243">
        <v>42586</v>
      </c>
      <c r="S130" s="242">
        <v>9.5</v>
      </c>
      <c r="T130" s="243">
        <v>42592</v>
      </c>
      <c r="U130" s="242">
        <v>13.5</v>
      </c>
      <c r="V130" s="243">
        <v>42586</v>
      </c>
      <c r="Y130" s="241">
        <v>4.1980399999999998</v>
      </c>
      <c r="Z130" s="243">
        <v>42592</v>
      </c>
      <c r="AA130" s="242">
        <v>45</v>
      </c>
      <c r="AB130" s="243">
        <v>42249</v>
      </c>
      <c r="AE130" s="241">
        <v>22.33</v>
      </c>
      <c r="AF130" s="243">
        <v>42586</v>
      </c>
      <c r="AI130" s="240">
        <v>135</v>
      </c>
      <c r="AJ130" s="243">
        <v>42507</v>
      </c>
      <c r="AK130" s="241">
        <v>9.8000000000000007</v>
      </c>
      <c r="BG130" s="241">
        <v>-8.9</v>
      </c>
      <c r="BH130" s="243">
        <v>42592</v>
      </c>
      <c r="BM130" s="241">
        <v>61.1</v>
      </c>
      <c r="BN130" s="243">
        <v>42592</v>
      </c>
      <c r="BQ130" s="241">
        <v>11</v>
      </c>
      <c r="BR130" s="243">
        <v>42592</v>
      </c>
      <c r="BS130" s="241">
        <v>46.703296703296701</v>
      </c>
      <c r="BT130" s="243">
        <v>42592</v>
      </c>
      <c r="BU130" s="241">
        <v>20.659340659340661</v>
      </c>
      <c r="BV130" s="243">
        <v>42592</v>
      </c>
      <c r="BW130" s="241">
        <v>17.362637362637361</v>
      </c>
      <c r="BX130" s="243">
        <v>42592</v>
      </c>
      <c r="BY130" s="241"/>
      <c r="BZ130" s="241"/>
      <c r="CA130" s="241">
        <v>38.700000000000003</v>
      </c>
      <c r="CB130" s="243">
        <v>42592</v>
      </c>
      <c r="CC130" s="241"/>
      <c r="CD130" s="241"/>
      <c r="CF130" s="241"/>
    </row>
    <row r="131" spans="1:84" s="178" customFormat="1" ht="12">
      <c r="A131" s="232">
        <v>4</v>
      </c>
      <c r="B131" s="232" t="str">
        <f>VLOOKUP(A131,PlantMaterial!B:C,2,0)</f>
        <v>A05-AMQ1</v>
      </c>
      <c r="C131" s="238" t="s">
        <v>7689</v>
      </c>
      <c r="D131" s="232">
        <v>4</v>
      </c>
      <c r="E131" s="238" t="s">
        <v>7816</v>
      </c>
      <c r="F131" s="232">
        <v>13</v>
      </c>
      <c r="G131" s="232">
        <v>15</v>
      </c>
      <c r="H131" s="178">
        <v>157.5</v>
      </c>
      <c r="I131" s="238"/>
      <c r="M131" s="238">
        <v>3.05</v>
      </c>
      <c r="N131" s="239">
        <v>42586</v>
      </c>
      <c r="S131" s="178">
        <v>9.4600000000000009</v>
      </c>
      <c r="T131" s="239">
        <v>42592</v>
      </c>
      <c r="U131" s="178">
        <v>13.5</v>
      </c>
      <c r="V131" s="239">
        <v>42586</v>
      </c>
      <c r="Y131" s="238">
        <v>4.0616400000000006</v>
      </c>
      <c r="Z131" s="239">
        <v>42592</v>
      </c>
      <c r="AA131" s="178">
        <v>45</v>
      </c>
      <c r="AB131" s="239">
        <v>42249</v>
      </c>
      <c r="AE131" s="238">
        <v>22.44</v>
      </c>
      <c r="AF131" s="239">
        <v>42586</v>
      </c>
      <c r="AI131" s="232">
        <v>150</v>
      </c>
      <c r="AJ131" s="239">
        <v>42507</v>
      </c>
      <c r="AK131" s="238">
        <v>9.6</v>
      </c>
      <c r="BG131" s="238">
        <v>-9.3000000000000007</v>
      </c>
      <c r="BH131" s="239">
        <v>42592</v>
      </c>
      <c r="BM131" s="238">
        <v>59.1</v>
      </c>
      <c r="BN131" s="239">
        <v>42592</v>
      </c>
      <c r="BQ131" s="238">
        <v>11.9</v>
      </c>
      <c r="BR131" s="239">
        <v>42592</v>
      </c>
      <c r="BS131" s="238">
        <v>46.263736263736263</v>
      </c>
      <c r="BT131" s="239">
        <v>42592</v>
      </c>
      <c r="BU131" s="238">
        <v>19.890109890109891</v>
      </c>
      <c r="BV131" s="239">
        <v>42592</v>
      </c>
      <c r="BW131" s="238">
        <v>18.131868131868131</v>
      </c>
      <c r="BX131" s="239">
        <v>42592</v>
      </c>
      <c r="BY131" s="238"/>
      <c r="BZ131" s="238"/>
      <c r="CA131" s="238">
        <v>37</v>
      </c>
      <c r="CB131" s="239">
        <v>42592</v>
      </c>
      <c r="CC131" s="238"/>
      <c r="CD131" s="238"/>
      <c r="CF131" s="238"/>
    </row>
    <row r="132" spans="1:84" s="242" customFormat="1" ht="12">
      <c r="A132" s="240">
        <v>5</v>
      </c>
      <c r="B132" s="240" t="str">
        <f>VLOOKUP(A132,PlantMaterial!B:C,2,0)</f>
        <v>TENOR</v>
      </c>
      <c r="C132" s="241" t="s">
        <v>7689</v>
      </c>
      <c r="D132" s="240">
        <v>4</v>
      </c>
      <c r="E132" s="241" t="s">
        <v>7936</v>
      </c>
      <c r="F132" s="240">
        <v>14</v>
      </c>
      <c r="G132" s="240">
        <v>15</v>
      </c>
      <c r="H132" s="242">
        <v>157.5</v>
      </c>
      <c r="I132" s="241"/>
      <c r="M132" s="241">
        <v>3</v>
      </c>
      <c r="N132" s="243">
        <v>42586</v>
      </c>
      <c r="S132" s="242">
        <v>9.5</v>
      </c>
      <c r="T132" s="243">
        <v>42592</v>
      </c>
      <c r="U132" s="242">
        <v>13.5</v>
      </c>
      <c r="V132" s="243">
        <v>42586</v>
      </c>
      <c r="Y132" s="241">
        <v>3.9266800000000002</v>
      </c>
      <c r="Z132" s="243">
        <v>42592</v>
      </c>
      <c r="AA132" s="242">
        <v>45</v>
      </c>
      <c r="AB132" s="243">
        <v>42249</v>
      </c>
      <c r="AE132" s="241">
        <v>22.06</v>
      </c>
      <c r="AF132" s="243">
        <v>42586</v>
      </c>
      <c r="AI132" s="240">
        <v>140</v>
      </c>
      <c r="AJ132" s="243">
        <v>42507</v>
      </c>
      <c r="AK132" s="241">
        <v>9.6999999999999993</v>
      </c>
      <c r="BG132" s="241">
        <v>-8.6</v>
      </c>
      <c r="BH132" s="243">
        <v>42592</v>
      </c>
      <c r="BM132" s="241">
        <v>60.5</v>
      </c>
      <c r="BN132" s="243">
        <v>42592</v>
      </c>
      <c r="BQ132" s="241">
        <v>11.7</v>
      </c>
      <c r="BR132" s="243">
        <v>42592</v>
      </c>
      <c r="BS132" s="241">
        <v>47.362637362637365</v>
      </c>
      <c r="BT132" s="243">
        <v>42592</v>
      </c>
      <c r="BU132" s="241">
        <v>19.560439560439562</v>
      </c>
      <c r="BV132" s="243">
        <v>42592</v>
      </c>
      <c r="BW132" s="241">
        <v>17.362637362637361</v>
      </c>
      <c r="BX132" s="243">
        <v>42592</v>
      </c>
      <c r="BY132" s="241"/>
      <c r="BZ132" s="241"/>
      <c r="CA132" s="241">
        <v>37</v>
      </c>
      <c r="CB132" s="243">
        <v>42592</v>
      </c>
      <c r="CC132" s="241"/>
      <c r="CD132" s="241"/>
      <c r="CF132" s="241"/>
    </row>
    <row r="133" spans="1:84" s="178" customFormat="1" ht="12">
      <c r="A133" s="232">
        <v>6</v>
      </c>
      <c r="B133" s="232" t="str">
        <f>VLOOKUP(A133,PlantMaterial!B:C,2,0)</f>
        <v>C03-AMQ0</v>
      </c>
      <c r="C133" s="238" t="s">
        <v>7689</v>
      </c>
      <c r="D133" s="232">
        <v>4</v>
      </c>
      <c r="E133" s="238" t="s">
        <v>7817</v>
      </c>
      <c r="F133" s="232">
        <v>15</v>
      </c>
      <c r="G133" s="232">
        <v>15</v>
      </c>
      <c r="H133" s="178">
        <v>157.5</v>
      </c>
      <c r="I133" s="238"/>
      <c r="M133" s="238">
        <v>3.03</v>
      </c>
      <c r="N133" s="239">
        <v>42586</v>
      </c>
      <c r="S133" s="178">
        <v>9.16</v>
      </c>
      <c r="T133" s="239">
        <v>42592</v>
      </c>
      <c r="U133" s="178">
        <v>13.5</v>
      </c>
      <c r="V133" s="239">
        <v>42586</v>
      </c>
      <c r="Y133" s="238">
        <v>4.1626200000000004</v>
      </c>
      <c r="Z133" s="239">
        <v>42592</v>
      </c>
      <c r="AA133" s="178">
        <v>45</v>
      </c>
      <c r="AB133" s="239">
        <v>42249</v>
      </c>
      <c r="AE133" s="238">
        <v>22.26</v>
      </c>
      <c r="AF133" s="239">
        <v>42586</v>
      </c>
      <c r="AI133" s="232">
        <v>140</v>
      </c>
      <c r="AJ133" s="239">
        <v>42507</v>
      </c>
      <c r="AK133" s="238">
        <v>9.8000000000000007</v>
      </c>
      <c r="BG133" s="238">
        <v>-8.1999999999999993</v>
      </c>
      <c r="BH133" s="239">
        <v>42592</v>
      </c>
      <c r="BM133" s="238">
        <v>59.5</v>
      </c>
      <c r="BN133" s="239">
        <v>42592</v>
      </c>
      <c r="BQ133" s="238">
        <v>11.6</v>
      </c>
      <c r="BR133" s="239">
        <v>42592</v>
      </c>
      <c r="BS133" s="238">
        <v>45.274725274725277</v>
      </c>
      <c r="BT133" s="239">
        <v>42592</v>
      </c>
      <c r="BU133" s="238">
        <v>20.549450549450547</v>
      </c>
      <c r="BV133" s="239">
        <v>42592</v>
      </c>
      <c r="BW133" s="238">
        <v>19.450549450549449</v>
      </c>
      <c r="BX133" s="239">
        <v>42592</v>
      </c>
      <c r="BY133" s="238"/>
      <c r="BZ133" s="238"/>
      <c r="CA133" s="238">
        <v>37.6</v>
      </c>
      <c r="CB133" s="239">
        <v>42592</v>
      </c>
      <c r="CC133" s="238"/>
      <c r="CD133" s="238"/>
      <c r="CF133" s="238"/>
    </row>
    <row r="134" spans="1:84" s="242" customFormat="1" ht="12">
      <c r="A134" s="240">
        <v>7</v>
      </c>
      <c r="B134" s="240" t="str">
        <f>VLOOKUP(A134,PlantMaterial!B:C,2,0)</f>
        <v>EXPRESS</v>
      </c>
      <c r="C134" s="241" t="s">
        <v>7689</v>
      </c>
      <c r="D134" s="240">
        <v>4</v>
      </c>
      <c r="E134" s="241" t="s">
        <v>7936</v>
      </c>
      <c r="F134" s="240">
        <v>15</v>
      </c>
      <c r="G134" s="240">
        <v>16</v>
      </c>
      <c r="H134" s="242">
        <v>168</v>
      </c>
      <c r="I134" s="241"/>
      <c r="M134" s="241">
        <v>2.35</v>
      </c>
      <c r="N134" s="243">
        <v>42586</v>
      </c>
      <c r="S134" s="242">
        <v>7.27</v>
      </c>
      <c r="T134" s="243">
        <v>42592</v>
      </c>
      <c r="U134" s="242">
        <v>13.5</v>
      </c>
      <c r="V134" s="243">
        <v>42586</v>
      </c>
      <c r="Y134" s="241">
        <v>3.0342399999999996</v>
      </c>
      <c r="Z134" s="243">
        <v>42592</v>
      </c>
      <c r="AA134" s="242">
        <v>45</v>
      </c>
      <c r="AB134" s="243">
        <v>42249</v>
      </c>
      <c r="AE134" s="241">
        <v>17.239999999999998</v>
      </c>
      <c r="AF134" s="243">
        <v>42586</v>
      </c>
      <c r="AI134" s="240">
        <v>140</v>
      </c>
      <c r="AJ134" s="243">
        <v>42507</v>
      </c>
      <c r="AK134" s="241">
        <v>9.9</v>
      </c>
      <c r="BG134" s="241">
        <v>-6.4</v>
      </c>
      <c r="BH134" s="243">
        <v>42592</v>
      </c>
      <c r="BM134" s="241">
        <v>62</v>
      </c>
      <c r="BN134" s="243">
        <v>42592</v>
      </c>
      <c r="BQ134" s="241">
        <v>10.199999999999999</v>
      </c>
      <c r="BR134" s="243">
        <v>42592</v>
      </c>
      <c r="BS134" s="241">
        <v>46.373626373626372</v>
      </c>
      <c r="BT134" s="243">
        <v>42592</v>
      </c>
      <c r="BU134" s="241">
        <v>19.340659340659343</v>
      </c>
      <c r="BV134" s="243">
        <v>42592</v>
      </c>
      <c r="BW134" s="241">
        <v>20.219780219780219</v>
      </c>
      <c r="BX134" s="243">
        <v>42592</v>
      </c>
      <c r="BY134" s="241"/>
      <c r="BZ134" s="241"/>
      <c r="CA134" s="241">
        <v>36</v>
      </c>
      <c r="CB134" s="243">
        <v>42592</v>
      </c>
      <c r="CC134" s="241"/>
      <c r="CD134" s="241"/>
      <c r="CF134" s="241"/>
    </row>
    <row r="135" spans="1:84" s="178" customFormat="1" ht="12">
      <c r="A135" s="232">
        <v>8</v>
      </c>
      <c r="B135" s="232" t="str">
        <f>VLOOKUP(A135,PlantMaterial!B:C,2,0)</f>
        <v>C03-AMQ1</v>
      </c>
      <c r="C135" s="238" t="s">
        <v>7689</v>
      </c>
      <c r="D135" s="232">
        <v>4</v>
      </c>
      <c r="E135" s="238" t="s">
        <v>7818</v>
      </c>
      <c r="F135" s="232">
        <v>14</v>
      </c>
      <c r="G135" s="232">
        <v>16</v>
      </c>
      <c r="H135" s="178">
        <v>168</v>
      </c>
      <c r="I135" s="238"/>
      <c r="M135" s="238">
        <v>3.76</v>
      </c>
      <c r="N135" s="239">
        <v>42586</v>
      </c>
      <c r="S135" s="178">
        <v>11.59</v>
      </c>
      <c r="T135" s="239">
        <v>42592</v>
      </c>
      <c r="U135" s="178">
        <v>13.5</v>
      </c>
      <c r="V135" s="239">
        <v>42586</v>
      </c>
      <c r="Y135" s="238">
        <v>5.0359400000000001</v>
      </c>
      <c r="Z135" s="239">
        <v>42592</v>
      </c>
      <c r="AA135" s="178">
        <v>45</v>
      </c>
      <c r="AB135" s="239">
        <v>42249</v>
      </c>
      <c r="AE135" s="238">
        <v>27.67</v>
      </c>
      <c r="AF135" s="239">
        <v>42586</v>
      </c>
      <c r="AI135" s="232">
        <v>150</v>
      </c>
      <c r="AJ135" s="239">
        <v>42507</v>
      </c>
      <c r="AK135" s="238">
        <v>9.6</v>
      </c>
      <c r="BG135" s="238">
        <v>-8.1999999999999993</v>
      </c>
      <c r="BH135" s="239">
        <v>42592</v>
      </c>
      <c r="BM135" s="238">
        <v>59.7</v>
      </c>
      <c r="BN135" s="239">
        <v>42592</v>
      </c>
      <c r="BQ135" s="238">
        <v>11.7</v>
      </c>
      <c r="BR135" s="239">
        <v>42592</v>
      </c>
      <c r="BS135" s="238">
        <v>46.043956043956044</v>
      </c>
      <c r="BT135" s="239">
        <v>42592</v>
      </c>
      <c r="BU135" s="238">
        <v>20</v>
      </c>
      <c r="BV135" s="239">
        <v>42592</v>
      </c>
      <c r="BW135" s="238">
        <v>15.934065934065934</v>
      </c>
      <c r="BX135" s="239">
        <v>42592</v>
      </c>
      <c r="BY135" s="238"/>
      <c r="BZ135" s="238"/>
      <c r="CA135" s="238">
        <v>37</v>
      </c>
      <c r="CB135" s="239">
        <v>42592</v>
      </c>
      <c r="CC135" s="238"/>
      <c r="CD135" s="238"/>
      <c r="CF135" s="238"/>
    </row>
    <row r="136" spans="1:84" s="178" customFormat="1" ht="12">
      <c r="A136" s="232">
        <v>9</v>
      </c>
      <c r="B136" s="232" t="str">
        <f>VLOOKUP(A136,PlantMaterial!B:C,2,0)</f>
        <v>C04-DKQ0</v>
      </c>
      <c r="C136" s="238" t="s">
        <v>7689</v>
      </c>
      <c r="D136" s="232">
        <v>4</v>
      </c>
      <c r="E136" s="238" t="s">
        <v>7819</v>
      </c>
      <c r="F136" s="232">
        <v>13</v>
      </c>
      <c r="G136" s="232">
        <v>16</v>
      </c>
      <c r="H136" s="178">
        <v>168</v>
      </c>
      <c r="I136" s="238"/>
      <c r="M136" s="238">
        <v>2.6</v>
      </c>
      <c r="N136" s="239">
        <v>42586</v>
      </c>
      <c r="S136" s="178">
        <v>8.0299999999999994</v>
      </c>
      <c r="T136" s="239">
        <v>42592</v>
      </c>
      <c r="U136" s="178">
        <v>13.5</v>
      </c>
      <c r="V136" s="239">
        <v>42586</v>
      </c>
      <c r="Y136" s="238">
        <v>3.4087000000000001</v>
      </c>
      <c r="Z136" s="239">
        <v>42592</v>
      </c>
      <c r="AA136" s="178">
        <v>45</v>
      </c>
      <c r="AB136" s="239">
        <v>42249</v>
      </c>
      <c r="AE136" s="238">
        <v>19.149999999999999</v>
      </c>
      <c r="AF136" s="239">
        <v>42586</v>
      </c>
      <c r="AI136" s="232">
        <v>140</v>
      </c>
      <c r="AJ136" s="239">
        <v>42507</v>
      </c>
      <c r="AK136" s="238">
        <v>9.5</v>
      </c>
      <c r="BG136" s="238">
        <v>-7.6</v>
      </c>
      <c r="BH136" s="239">
        <v>42592</v>
      </c>
      <c r="BM136" s="238">
        <v>59.2</v>
      </c>
      <c r="BN136" s="239">
        <v>42592</v>
      </c>
      <c r="BQ136" s="238">
        <v>11.8</v>
      </c>
      <c r="BR136" s="239">
        <v>42592</v>
      </c>
      <c r="BS136" s="238">
        <v>46.043956043956044</v>
      </c>
      <c r="BT136" s="239">
        <v>42592</v>
      </c>
      <c r="BU136" s="238">
        <v>19.560439560439562</v>
      </c>
      <c r="BV136" s="239">
        <v>42592</v>
      </c>
      <c r="BW136" s="238">
        <v>20.329670329670328</v>
      </c>
      <c r="BX136" s="239">
        <v>42592</v>
      </c>
      <c r="BY136" s="238"/>
      <c r="BZ136" s="238"/>
      <c r="CA136" s="238">
        <v>36.200000000000003</v>
      </c>
      <c r="CB136" s="239">
        <v>42592</v>
      </c>
      <c r="CC136" s="238"/>
      <c r="CD136" s="238"/>
      <c r="CF136" s="238"/>
    </row>
    <row r="137" spans="1:84" s="178" customFormat="1" ht="12">
      <c r="A137" s="232">
        <v>10</v>
      </c>
      <c r="B137" s="232" t="str">
        <f>VLOOKUP(A137,PlantMaterial!B:C,2,0)</f>
        <v>C04-DKQ1</v>
      </c>
      <c r="C137" s="238" t="s">
        <v>7689</v>
      </c>
      <c r="D137" s="232">
        <v>4</v>
      </c>
      <c r="E137" s="238" t="s">
        <v>7820</v>
      </c>
      <c r="F137" s="232">
        <v>12</v>
      </c>
      <c r="G137" s="232">
        <v>16</v>
      </c>
      <c r="H137" s="178">
        <v>168</v>
      </c>
      <c r="I137" s="238"/>
      <c r="M137" s="238">
        <v>2.85</v>
      </c>
      <c r="N137" s="239">
        <v>42586</v>
      </c>
      <c r="S137" s="178">
        <v>9.0299999999999994</v>
      </c>
      <c r="T137" s="239">
        <v>42592</v>
      </c>
      <c r="U137" s="178">
        <v>13.5</v>
      </c>
      <c r="V137" s="239">
        <v>42586</v>
      </c>
      <c r="Y137" s="238">
        <v>3.5717000000000003</v>
      </c>
      <c r="Z137" s="239">
        <v>42592</v>
      </c>
      <c r="AA137" s="178">
        <v>45</v>
      </c>
      <c r="AB137" s="239">
        <v>42249</v>
      </c>
      <c r="AE137" s="238">
        <v>21.01</v>
      </c>
      <c r="AF137" s="239">
        <v>42586</v>
      </c>
      <c r="AI137" s="232">
        <v>150</v>
      </c>
      <c r="AJ137" s="239">
        <v>42507</v>
      </c>
      <c r="AK137" s="238">
        <v>9.4</v>
      </c>
      <c r="BG137" s="238">
        <v>-6</v>
      </c>
      <c r="BH137" s="239">
        <v>42592</v>
      </c>
      <c r="BM137" s="238">
        <v>61.7</v>
      </c>
      <c r="BN137" s="239">
        <v>42592</v>
      </c>
      <c r="BQ137" s="238">
        <v>10.199999999999999</v>
      </c>
      <c r="BR137" s="239">
        <v>42592</v>
      </c>
      <c r="BS137" s="238">
        <v>47.252747252747248</v>
      </c>
      <c r="BT137" s="239">
        <v>42592</v>
      </c>
      <c r="BU137" s="238">
        <v>18.681318681318682</v>
      </c>
      <c r="BV137" s="239">
        <v>42592</v>
      </c>
      <c r="BW137" s="238">
        <v>15.714285714285715</v>
      </c>
      <c r="BX137" s="239">
        <v>42592</v>
      </c>
      <c r="BY137" s="238"/>
      <c r="BZ137" s="238"/>
      <c r="CA137" s="238">
        <v>35.299999999999997</v>
      </c>
      <c r="CB137" s="239">
        <v>42592</v>
      </c>
      <c r="CC137" s="238"/>
      <c r="CD137" s="238"/>
      <c r="CF137" s="238"/>
    </row>
    <row r="138" spans="1:84" s="178" customFormat="1" ht="12">
      <c r="A138" s="232">
        <v>11</v>
      </c>
      <c r="B138" s="232" t="str">
        <f>VLOOKUP(A138,PlantMaterial!B:C,2,0)</f>
        <v>AM087</v>
      </c>
      <c r="C138" s="238" t="s">
        <v>7689</v>
      </c>
      <c r="D138" s="232">
        <v>4</v>
      </c>
      <c r="E138" s="238" t="s">
        <v>7821</v>
      </c>
      <c r="F138" s="232">
        <v>11</v>
      </c>
      <c r="G138" s="232">
        <v>16</v>
      </c>
      <c r="H138" s="178">
        <v>168</v>
      </c>
      <c r="I138" s="238"/>
      <c r="M138" s="238">
        <v>4.58</v>
      </c>
      <c r="N138" s="239">
        <v>42586</v>
      </c>
      <c r="S138" s="178">
        <v>14.22</v>
      </c>
      <c r="T138" s="239">
        <v>42592</v>
      </c>
      <c r="U138" s="178">
        <v>13.5</v>
      </c>
      <c r="V138" s="239">
        <v>42586</v>
      </c>
      <c r="Y138" s="238">
        <v>6.1087499999999997</v>
      </c>
      <c r="Z138" s="239">
        <v>42592</v>
      </c>
      <c r="AA138" s="178">
        <v>45</v>
      </c>
      <c r="AB138" s="239">
        <v>42249</v>
      </c>
      <c r="AE138" s="238">
        <v>33.75</v>
      </c>
      <c r="AF138" s="239">
        <v>42586</v>
      </c>
      <c r="AI138" s="232">
        <v>150</v>
      </c>
      <c r="AJ138" s="239">
        <v>42507</v>
      </c>
      <c r="AK138" s="238">
        <v>9.5</v>
      </c>
      <c r="BG138" s="238">
        <v>-8.3000000000000007</v>
      </c>
      <c r="BH138" s="239">
        <v>42592</v>
      </c>
      <c r="BM138" s="238">
        <v>61.1</v>
      </c>
      <c r="BN138" s="239">
        <v>42592</v>
      </c>
      <c r="BQ138" s="238">
        <v>11</v>
      </c>
      <c r="BR138" s="239">
        <v>42592</v>
      </c>
      <c r="BS138" s="238">
        <v>46.263736263736263</v>
      </c>
      <c r="BT138" s="239">
        <v>42592</v>
      </c>
      <c r="BU138" s="238">
        <v>19.890109890109891</v>
      </c>
      <c r="BV138" s="239">
        <v>42592</v>
      </c>
      <c r="BW138" s="238">
        <v>16.923076923076923</v>
      </c>
      <c r="BX138" s="239">
        <v>42592</v>
      </c>
      <c r="BY138" s="238"/>
      <c r="BZ138" s="238"/>
      <c r="CA138" s="238">
        <v>37.1</v>
      </c>
      <c r="CB138" s="239">
        <v>42592</v>
      </c>
      <c r="CC138" s="238"/>
      <c r="CD138" s="238"/>
      <c r="CF138" s="238"/>
    </row>
    <row r="139" spans="1:84" s="178" customFormat="1" ht="12">
      <c r="A139" s="232">
        <v>12</v>
      </c>
      <c r="B139" s="232" t="str">
        <f>VLOOKUP(A139,PlantMaterial!B:C,2,0)</f>
        <v>AVISO</v>
      </c>
      <c r="C139" s="238" t="s">
        <v>7689</v>
      </c>
      <c r="D139" s="232">
        <v>4</v>
      </c>
      <c r="E139" s="238" t="s">
        <v>7822</v>
      </c>
      <c r="F139" s="232">
        <v>10</v>
      </c>
      <c r="G139" s="232">
        <v>16</v>
      </c>
      <c r="H139" s="178">
        <v>168</v>
      </c>
      <c r="I139" s="238"/>
      <c r="M139" s="238">
        <v>2.78</v>
      </c>
      <c r="N139" s="239">
        <v>42586</v>
      </c>
      <c r="S139" s="178">
        <v>8.56</v>
      </c>
      <c r="T139" s="239">
        <v>42592</v>
      </c>
      <c r="U139" s="178">
        <v>13.5</v>
      </c>
      <c r="V139" s="239">
        <v>42586</v>
      </c>
      <c r="Y139" s="238">
        <v>3.6400999999999999</v>
      </c>
      <c r="Z139" s="239">
        <v>42592</v>
      </c>
      <c r="AA139" s="178">
        <v>45</v>
      </c>
      <c r="AB139" s="239">
        <v>42249</v>
      </c>
      <c r="AE139" s="238">
        <v>20.45</v>
      </c>
      <c r="AF139" s="239">
        <v>42586</v>
      </c>
      <c r="AI139" s="232">
        <v>150</v>
      </c>
      <c r="AJ139" s="239">
        <v>42507</v>
      </c>
      <c r="AK139" s="238">
        <v>9.6</v>
      </c>
      <c r="BG139" s="238">
        <v>-7.9</v>
      </c>
      <c r="BH139" s="239">
        <v>42592</v>
      </c>
      <c r="BM139" s="238">
        <v>59.1</v>
      </c>
      <c r="BN139" s="239">
        <v>42592</v>
      </c>
      <c r="BQ139" s="238">
        <v>12.2</v>
      </c>
      <c r="BR139" s="239">
        <v>42592</v>
      </c>
      <c r="BS139" s="238">
        <v>46.043956043956044</v>
      </c>
      <c r="BT139" s="239">
        <v>42592</v>
      </c>
      <c r="BU139" s="238">
        <v>19.560439560439562</v>
      </c>
      <c r="BV139" s="239">
        <v>42592</v>
      </c>
      <c r="BW139" s="238">
        <v>14.505494505494504</v>
      </c>
      <c r="BX139" s="239">
        <v>42592</v>
      </c>
      <c r="BY139" s="238"/>
      <c r="BZ139" s="238"/>
      <c r="CA139" s="238">
        <v>36.200000000000003</v>
      </c>
      <c r="CB139" s="239">
        <v>42592</v>
      </c>
      <c r="CC139" s="238"/>
      <c r="CD139" s="238"/>
      <c r="CF139" s="238"/>
    </row>
    <row r="140" spans="1:84" s="178" customFormat="1" ht="12">
      <c r="A140" s="232">
        <v>13</v>
      </c>
      <c r="B140" s="232" t="str">
        <f>VLOOKUP(A140,PlantMaterial!B:C,2,0)</f>
        <v>AM109</v>
      </c>
      <c r="C140" s="238" t="s">
        <v>7689</v>
      </c>
      <c r="D140" s="232">
        <v>4</v>
      </c>
      <c r="E140" s="238" t="s">
        <v>7823</v>
      </c>
      <c r="F140" s="232">
        <v>10</v>
      </c>
      <c r="G140" s="232">
        <v>17</v>
      </c>
      <c r="H140" s="178">
        <v>178.5</v>
      </c>
      <c r="I140" s="238"/>
      <c r="M140" s="238">
        <v>3.5</v>
      </c>
      <c r="N140" s="239">
        <v>42586</v>
      </c>
      <c r="S140" s="178">
        <v>11.38</v>
      </c>
      <c r="T140" s="239">
        <v>42592</v>
      </c>
      <c r="U140" s="178">
        <v>13.5</v>
      </c>
      <c r="V140" s="239">
        <v>42586</v>
      </c>
      <c r="Y140" s="238">
        <v>4.0974300000000001</v>
      </c>
      <c r="Z140" s="239">
        <v>42592</v>
      </c>
      <c r="AA140" s="178">
        <v>45</v>
      </c>
      <c r="AB140" s="239">
        <v>42249</v>
      </c>
      <c r="AE140" s="238">
        <v>25.77</v>
      </c>
      <c r="AF140" s="239">
        <v>42586</v>
      </c>
      <c r="AI140" s="232">
        <v>145</v>
      </c>
      <c r="AJ140" s="239">
        <v>42507</v>
      </c>
      <c r="AK140" s="238">
        <v>9.6</v>
      </c>
      <c r="BG140" s="238">
        <v>-8.3000000000000007</v>
      </c>
      <c r="BH140" s="239">
        <v>42592</v>
      </c>
      <c r="BM140" s="238">
        <v>60.6</v>
      </c>
      <c r="BN140" s="239">
        <v>42592</v>
      </c>
      <c r="BQ140" s="238">
        <v>11.3</v>
      </c>
      <c r="BR140" s="239">
        <v>42592</v>
      </c>
      <c r="BS140" s="238">
        <v>48.571428571428569</v>
      </c>
      <c r="BT140" s="239">
        <v>42592</v>
      </c>
      <c r="BU140" s="238">
        <v>17.472527472527471</v>
      </c>
      <c r="BV140" s="239">
        <v>42592</v>
      </c>
      <c r="BW140" s="238">
        <v>11.098901098901099</v>
      </c>
      <c r="BX140" s="239">
        <v>42592</v>
      </c>
      <c r="BY140" s="238"/>
      <c r="BZ140" s="238"/>
      <c r="CA140" s="238">
        <v>34</v>
      </c>
      <c r="CB140" s="239">
        <v>42592</v>
      </c>
      <c r="CC140" s="238"/>
      <c r="CD140" s="238"/>
      <c r="CF140" s="238"/>
    </row>
    <row r="141" spans="1:84" s="178" customFormat="1" ht="12">
      <c r="A141" s="232">
        <v>14</v>
      </c>
      <c r="B141" s="232" t="str">
        <f>VLOOKUP(A141,PlantMaterial!B:C,2,0)</f>
        <v>MONTEGO</v>
      </c>
      <c r="C141" s="238" t="s">
        <v>7689</v>
      </c>
      <c r="D141" s="232">
        <v>4</v>
      </c>
      <c r="E141" s="238" t="s">
        <v>7824</v>
      </c>
      <c r="F141" s="232">
        <v>11</v>
      </c>
      <c r="G141" s="232">
        <v>17</v>
      </c>
      <c r="H141" s="178">
        <v>178.5</v>
      </c>
      <c r="I141" s="238" t="s">
        <v>7825</v>
      </c>
      <c r="J141" s="239">
        <v>42430</v>
      </c>
      <c r="M141" s="238">
        <v>3.23</v>
      </c>
      <c r="N141" s="239">
        <v>42586</v>
      </c>
      <c r="S141" s="178">
        <v>9.84</v>
      </c>
      <c r="T141" s="239">
        <v>42592</v>
      </c>
      <c r="U141" s="178">
        <v>13.5</v>
      </c>
      <c r="V141" s="239">
        <v>42586</v>
      </c>
      <c r="Y141" s="238">
        <v>4.3773599999999995</v>
      </c>
      <c r="Z141" s="239">
        <v>42592</v>
      </c>
      <c r="AA141" s="178">
        <v>45</v>
      </c>
      <c r="AB141" s="239">
        <v>42249</v>
      </c>
      <c r="AE141" s="238">
        <v>23.79</v>
      </c>
      <c r="AF141" s="239">
        <v>42586</v>
      </c>
      <c r="AI141" s="232">
        <v>125</v>
      </c>
      <c r="AJ141" s="239">
        <v>42507</v>
      </c>
      <c r="AK141" s="238">
        <v>9.5</v>
      </c>
      <c r="BG141" s="238">
        <v>-8.1</v>
      </c>
      <c r="BH141" s="239">
        <v>42592</v>
      </c>
      <c r="BM141" s="238">
        <v>58.9</v>
      </c>
      <c r="BN141" s="239">
        <v>42592</v>
      </c>
      <c r="BQ141" s="238">
        <v>11.8</v>
      </c>
      <c r="BR141" s="239">
        <v>42592</v>
      </c>
      <c r="BS141" s="238">
        <v>45.494505494505489</v>
      </c>
      <c r="BT141" s="239">
        <v>42592</v>
      </c>
      <c r="BU141" s="238">
        <v>20.219780219780219</v>
      </c>
      <c r="BV141" s="239">
        <v>42592</v>
      </c>
      <c r="BW141" s="238">
        <v>16.923076923076923</v>
      </c>
      <c r="BX141" s="239">
        <v>42592</v>
      </c>
      <c r="BY141" s="238"/>
      <c r="BZ141" s="238"/>
      <c r="CA141" s="238">
        <v>37.1</v>
      </c>
      <c r="CB141" s="239">
        <v>42592</v>
      </c>
      <c r="CC141" s="238"/>
      <c r="CD141" s="238"/>
      <c r="CF141" s="238"/>
    </row>
    <row r="142" spans="1:84" s="178" customFormat="1" ht="12">
      <c r="A142" s="232">
        <v>15</v>
      </c>
      <c r="B142" s="232" t="str">
        <f>VLOOKUP(A142,PlantMaterial!B:C,2,0)</f>
        <v>DK038</v>
      </c>
      <c r="C142" s="238" t="s">
        <v>7689</v>
      </c>
      <c r="D142" s="232">
        <v>4</v>
      </c>
      <c r="E142" s="238" t="s">
        <v>7826</v>
      </c>
      <c r="F142" s="232">
        <v>12</v>
      </c>
      <c r="G142" s="232">
        <v>17</v>
      </c>
      <c r="H142" s="178">
        <v>178.5</v>
      </c>
      <c r="I142" s="238"/>
      <c r="M142" s="238">
        <v>2.7</v>
      </c>
      <c r="N142" s="239">
        <v>42586</v>
      </c>
      <c r="S142" s="178">
        <v>8.74</v>
      </c>
      <c r="T142" s="239">
        <v>42592</v>
      </c>
      <c r="U142" s="178">
        <v>13.5</v>
      </c>
      <c r="V142" s="239">
        <v>42586</v>
      </c>
      <c r="Y142" s="238">
        <v>3.2319</v>
      </c>
      <c r="Z142" s="239">
        <v>42592</v>
      </c>
      <c r="AA142" s="178">
        <v>45</v>
      </c>
      <c r="AB142" s="239">
        <v>42249</v>
      </c>
      <c r="AE142" s="238">
        <v>19.95</v>
      </c>
      <c r="AF142" s="239">
        <v>42586</v>
      </c>
      <c r="AI142" s="232">
        <v>135</v>
      </c>
      <c r="AJ142" s="239">
        <v>42507</v>
      </c>
      <c r="AK142" s="238">
        <v>9.1999999999999993</v>
      </c>
      <c r="BG142" s="238">
        <v>-5.7</v>
      </c>
      <c r="BH142" s="239">
        <v>42592</v>
      </c>
      <c r="BM142" s="238">
        <v>62</v>
      </c>
      <c r="BN142" s="239">
        <v>42592</v>
      </c>
      <c r="BQ142" s="238">
        <v>9.9</v>
      </c>
      <c r="BR142" s="239">
        <v>42592</v>
      </c>
      <c r="BS142" s="238">
        <v>48.131868131868124</v>
      </c>
      <c r="BT142" s="239">
        <v>42592</v>
      </c>
      <c r="BU142" s="238">
        <v>17.802197802197799</v>
      </c>
      <c r="BV142" s="239">
        <v>42592</v>
      </c>
      <c r="BW142" s="238">
        <v>13.186813186813186</v>
      </c>
      <c r="BX142" s="239">
        <v>42592</v>
      </c>
      <c r="BY142" s="238"/>
      <c r="BZ142" s="238"/>
      <c r="CA142" s="238">
        <v>34.4</v>
      </c>
      <c r="CB142" s="239">
        <v>42592</v>
      </c>
      <c r="CC142" s="238"/>
      <c r="CD142" s="238"/>
      <c r="CF142" s="238"/>
    </row>
    <row r="143" spans="1:84" s="178" customFormat="1" ht="12">
      <c r="A143" s="232">
        <v>16</v>
      </c>
      <c r="B143" s="232" t="str">
        <f>VLOOKUP(A143,PlantMaterial!B:C,2,0)</f>
        <v>TENOR</v>
      </c>
      <c r="C143" s="238" t="s">
        <v>7689</v>
      </c>
      <c r="D143" s="232">
        <v>4</v>
      </c>
      <c r="E143" s="238" t="s">
        <v>7827</v>
      </c>
      <c r="F143" s="232">
        <v>13</v>
      </c>
      <c r="G143" s="232">
        <v>17</v>
      </c>
      <c r="H143" s="178">
        <v>178.5</v>
      </c>
      <c r="I143" s="238" t="s">
        <v>7828</v>
      </c>
      <c r="J143" s="239">
        <v>42430</v>
      </c>
      <c r="M143" s="238">
        <v>2.4500000000000002</v>
      </c>
      <c r="N143" s="239">
        <v>42586</v>
      </c>
      <c r="S143" s="178">
        <v>8</v>
      </c>
      <c r="T143" s="239">
        <v>42592</v>
      </c>
      <c r="U143" s="178">
        <v>13.5</v>
      </c>
      <c r="V143" s="239">
        <v>42586</v>
      </c>
      <c r="Y143" s="238">
        <v>2.9716800000000001</v>
      </c>
      <c r="Z143" s="239">
        <v>42592</v>
      </c>
      <c r="AA143" s="178">
        <v>45</v>
      </c>
      <c r="AB143" s="239">
        <v>42249</v>
      </c>
      <c r="AE143" s="238">
        <v>18.12</v>
      </c>
      <c r="AF143" s="239">
        <v>42586</v>
      </c>
      <c r="AI143" s="232">
        <v>145</v>
      </c>
      <c r="AJ143" s="239">
        <v>42507</v>
      </c>
      <c r="AK143" s="238">
        <v>9.1999999999999993</v>
      </c>
      <c r="BG143" s="238">
        <v>-7.1</v>
      </c>
      <c r="BH143" s="239">
        <v>42592</v>
      </c>
      <c r="BM143" s="238">
        <v>61.6</v>
      </c>
      <c r="BN143" s="239">
        <v>42592</v>
      </c>
      <c r="BQ143" s="238">
        <v>10.5</v>
      </c>
      <c r="BR143" s="239">
        <v>42592</v>
      </c>
      <c r="BS143" s="238">
        <v>48.46153846153846</v>
      </c>
      <c r="BT143" s="239">
        <v>42592</v>
      </c>
      <c r="BU143" s="238">
        <v>18.021978021978018</v>
      </c>
      <c r="BV143" s="239">
        <v>42592</v>
      </c>
      <c r="BW143" s="238">
        <v>17.032967032967033</v>
      </c>
      <c r="BX143" s="239">
        <v>42592</v>
      </c>
      <c r="BY143" s="238"/>
      <c r="BZ143" s="238"/>
      <c r="CA143" s="238">
        <v>34.9</v>
      </c>
      <c r="CB143" s="239">
        <v>42592</v>
      </c>
      <c r="CC143" s="238"/>
      <c r="CD143" s="238"/>
      <c r="CF143" s="238"/>
    </row>
    <row r="144" spans="1:84" s="178" customFormat="1" ht="12">
      <c r="A144" s="232">
        <v>17</v>
      </c>
      <c r="B144" s="232" t="str">
        <f>VLOOKUP(A144,PlantMaterial!B:C,2,0)</f>
        <v>EXL4816</v>
      </c>
      <c r="C144" s="238" t="s">
        <v>7689</v>
      </c>
      <c r="D144" s="232">
        <v>4</v>
      </c>
      <c r="E144" s="238" t="s">
        <v>7829</v>
      </c>
      <c r="F144" s="232">
        <v>14</v>
      </c>
      <c r="G144" s="232">
        <v>17</v>
      </c>
      <c r="H144" s="178">
        <v>178.5</v>
      </c>
      <c r="I144" s="238"/>
      <c r="M144" s="238">
        <v>4.03</v>
      </c>
      <c r="N144" s="239">
        <v>42586</v>
      </c>
      <c r="S144" s="178">
        <v>12.6</v>
      </c>
      <c r="T144" s="239">
        <v>42592</v>
      </c>
      <c r="U144" s="178">
        <v>13.5</v>
      </c>
      <c r="V144" s="239">
        <v>42586</v>
      </c>
      <c r="Y144" s="238">
        <v>5.073570000000001</v>
      </c>
      <c r="Z144" s="239">
        <v>42592</v>
      </c>
      <c r="AA144" s="178">
        <v>45</v>
      </c>
      <c r="AB144" s="239">
        <v>42249</v>
      </c>
      <c r="AE144" s="238">
        <v>29.67</v>
      </c>
      <c r="AF144" s="239">
        <v>42586</v>
      </c>
      <c r="AI144" s="232">
        <v>145</v>
      </c>
      <c r="AJ144" s="239">
        <v>42507</v>
      </c>
      <c r="AK144" s="238">
        <v>9.6</v>
      </c>
      <c r="BG144" s="238">
        <v>-7.7</v>
      </c>
      <c r="BH144" s="239">
        <v>42592</v>
      </c>
      <c r="BM144" s="238">
        <v>60.5</v>
      </c>
      <c r="BN144" s="239">
        <v>42592</v>
      </c>
      <c r="BQ144" s="238">
        <v>11.4</v>
      </c>
      <c r="BR144" s="239">
        <v>42592</v>
      </c>
      <c r="BS144" s="238">
        <v>46.703296703296701</v>
      </c>
      <c r="BT144" s="239">
        <v>42592</v>
      </c>
      <c r="BU144" s="238">
        <v>18.791208791208792</v>
      </c>
      <c r="BV144" s="239">
        <v>42592</v>
      </c>
      <c r="BW144" s="238">
        <v>15.934065934065934</v>
      </c>
      <c r="BX144" s="239">
        <v>42592</v>
      </c>
      <c r="BY144" s="238"/>
      <c r="BZ144" s="238"/>
      <c r="CA144" s="238">
        <v>35.299999999999997</v>
      </c>
      <c r="CB144" s="239">
        <v>42592</v>
      </c>
      <c r="CC144" s="238"/>
      <c r="CD144" s="238"/>
      <c r="CF144" s="238"/>
    </row>
    <row r="145" spans="1:84" s="178" customFormat="1" ht="12">
      <c r="A145" s="232">
        <v>18</v>
      </c>
      <c r="B145" s="232" t="str">
        <f>VLOOKUP(A145,PlantMaterial!B:C,2,0)</f>
        <v>EXPRESS</v>
      </c>
      <c r="C145" s="238" t="s">
        <v>7689</v>
      </c>
      <c r="D145" s="232">
        <v>4</v>
      </c>
      <c r="E145" s="238" t="s">
        <v>7830</v>
      </c>
      <c r="F145" s="232">
        <v>15</v>
      </c>
      <c r="G145" s="232">
        <v>17</v>
      </c>
      <c r="H145" s="178">
        <v>178.5</v>
      </c>
      <c r="I145" s="238"/>
      <c r="M145" s="238">
        <v>2.3199999999999998</v>
      </c>
      <c r="N145" s="239">
        <v>42586</v>
      </c>
      <c r="S145" s="178">
        <v>7.24</v>
      </c>
      <c r="T145" s="239">
        <v>42592</v>
      </c>
      <c r="U145" s="178">
        <v>13.5</v>
      </c>
      <c r="V145" s="239">
        <v>42586</v>
      </c>
      <c r="Y145" s="238">
        <v>3.0213900000000002</v>
      </c>
      <c r="Z145" s="239">
        <v>42592</v>
      </c>
      <c r="AA145" s="178">
        <v>45</v>
      </c>
      <c r="AB145" s="239">
        <v>42249</v>
      </c>
      <c r="AE145" s="238">
        <v>17.07</v>
      </c>
      <c r="AF145" s="239">
        <v>42586</v>
      </c>
      <c r="AI145" s="232">
        <v>135</v>
      </c>
      <c r="AJ145" s="239">
        <v>42507</v>
      </c>
      <c r="AK145" s="238">
        <v>9.6</v>
      </c>
      <c r="BG145" s="238">
        <v>-8.1</v>
      </c>
      <c r="BH145" s="239">
        <v>42592</v>
      </c>
      <c r="BM145" s="238">
        <v>61.1</v>
      </c>
      <c r="BN145" s="239">
        <v>42592</v>
      </c>
      <c r="BQ145" s="238">
        <v>10.5</v>
      </c>
      <c r="BR145" s="239">
        <v>42592</v>
      </c>
      <c r="BS145" s="238">
        <v>46.593406593406591</v>
      </c>
      <c r="BT145" s="239">
        <v>42592</v>
      </c>
      <c r="BU145" s="238">
        <v>19.450549450549449</v>
      </c>
      <c r="BV145" s="239">
        <v>42592</v>
      </c>
      <c r="BW145" s="238">
        <v>20</v>
      </c>
      <c r="BX145" s="239">
        <v>42592</v>
      </c>
      <c r="BY145" s="238"/>
      <c r="BZ145" s="238"/>
      <c r="CA145" s="238">
        <v>36.4</v>
      </c>
      <c r="CB145" s="239">
        <v>42592</v>
      </c>
      <c r="CC145" s="238"/>
      <c r="CD145" s="238"/>
      <c r="CF145" s="238"/>
    </row>
    <row r="146" spans="1:84" s="178" customFormat="1" ht="12">
      <c r="A146" s="232">
        <v>19</v>
      </c>
      <c r="B146" s="232" t="str">
        <f>VLOOKUP(A146,PlantMaterial!B:C,2,0)</f>
        <v>EXL3155</v>
      </c>
      <c r="C146" s="238" t="s">
        <v>7689</v>
      </c>
      <c r="D146" s="232">
        <v>4</v>
      </c>
      <c r="E146" s="238" t="s">
        <v>7831</v>
      </c>
      <c r="F146" s="232">
        <v>15</v>
      </c>
      <c r="G146" s="232">
        <v>18</v>
      </c>
      <c r="H146" s="178">
        <v>189</v>
      </c>
      <c r="I146" s="238"/>
      <c r="M146" s="238">
        <v>2.93</v>
      </c>
      <c r="N146" s="239">
        <v>42586</v>
      </c>
      <c r="S146" s="178">
        <v>9.42</v>
      </c>
      <c r="T146" s="239">
        <v>42592</v>
      </c>
      <c r="U146" s="178">
        <v>13.5</v>
      </c>
      <c r="V146" s="239">
        <v>42586</v>
      </c>
      <c r="Y146" s="238">
        <v>3.6254399999999998</v>
      </c>
      <c r="Z146" s="239">
        <v>42592</v>
      </c>
      <c r="AA146" s="178">
        <v>45</v>
      </c>
      <c r="AB146" s="239">
        <v>42249</v>
      </c>
      <c r="AE146" s="238">
        <v>21.58</v>
      </c>
      <c r="AF146" s="239">
        <v>42586</v>
      </c>
      <c r="AI146" s="232">
        <v>145</v>
      </c>
      <c r="AJ146" s="239">
        <v>42507</v>
      </c>
      <c r="AK146" s="238">
        <v>9.5</v>
      </c>
      <c r="BG146" s="238">
        <v>-10.199999999999999</v>
      </c>
      <c r="BH146" s="239">
        <v>42592</v>
      </c>
      <c r="BM146" s="238">
        <v>60</v>
      </c>
      <c r="BN146" s="239">
        <v>42592</v>
      </c>
      <c r="BQ146" s="238">
        <v>10.8</v>
      </c>
      <c r="BR146" s="239">
        <v>42592</v>
      </c>
      <c r="BS146" s="238">
        <v>48.021978021978022</v>
      </c>
      <c r="BT146" s="239">
        <v>42592</v>
      </c>
      <c r="BU146" s="238">
        <v>18.461538461538463</v>
      </c>
      <c r="BV146" s="239">
        <v>42592</v>
      </c>
      <c r="BW146" s="238">
        <v>15.934065934065934</v>
      </c>
      <c r="BX146" s="239">
        <v>42592</v>
      </c>
      <c r="BY146" s="238"/>
      <c r="BZ146" s="238"/>
      <c r="CA146" s="238">
        <v>35.5</v>
      </c>
      <c r="CB146" s="239">
        <v>42592</v>
      </c>
      <c r="CC146" s="238"/>
      <c r="CD146" s="238"/>
      <c r="CF146" s="238"/>
    </row>
    <row r="147" spans="1:84" s="178" customFormat="1" ht="12">
      <c r="A147" s="232">
        <v>20</v>
      </c>
      <c r="B147" s="232" t="str">
        <f>VLOOKUP(A147,PlantMaterial!B:C,2,0)</f>
        <v>C03-1ESQ0</v>
      </c>
      <c r="C147" s="238" t="s">
        <v>7689</v>
      </c>
      <c r="D147" s="232">
        <v>4</v>
      </c>
      <c r="E147" s="238" t="s">
        <v>7832</v>
      </c>
      <c r="F147" s="232">
        <v>14</v>
      </c>
      <c r="G147" s="232">
        <v>18</v>
      </c>
      <c r="H147" s="178">
        <v>189</v>
      </c>
      <c r="I147" s="238"/>
      <c r="M147" s="238">
        <v>4.04</v>
      </c>
      <c r="N147" s="239">
        <v>42586</v>
      </c>
      <c r="S147" s="178">
        <v>12.7</v>
      </c>
      <c r="T147" s="239">
        <v>42592</v>
      </c>
      <c r="U147" s="178">
        <v>13.5</v>
      </c>
      <c r="V147" s="239">
        <v>42586</v>
      </c>
      <c r="Y147" s="238">
        <v>5.2360000000000007</v>
      </c>
      <c r="Z147" s="239">
        <v>42592</v>
      </c>
      <c r="AA147" s="178">
        <v>45</v>
      </c>
      <c r="AB147" s="239">
        <v>42249</v>
      </c>
      <c r="AE147" s="238">
        <v>29.75</v>
      </c>
      <c r="AF147" s="239">
        <v>42586</v>
      </c>
      <c r="AI147" s="232">
        <v>145</v>
      </c>
      <c r="AJ147" s="239">
        <v>42507</v>
      </c>
      <c r="AK147" s="238">
        <v>9.5</v>
      </c>
      <c r="BG147" s="238">
        <v>-7.7</v>
      </c>
      <c r="BH147" s="239">
        <v>42592</v>
      </c>
      <c r="BM147" s="238">
        <v>62.1</v>
      </c>
      <c r="BN147" s="239">
        <v>42592</v>
      </c>
      <c r="BQ147" s="238">
        <v>10.6</v>
      </c>
      <c r="BR147" s="239">
        <v>42592</v>
      </c>
      <c r="BS147" s="238">
        <v>46.923076923076927</v>
      </c>
      <c r="BT147" s="239">
        <v>42592</v>
      </c>
      <c r="BU147" s="238">
        <v>19.340659340659343</v>
      </c>
      <c r="BV147" s="239">
        <v>42592</v>
      </c>
      <c r="BW147" s="238">
        <v>16.923076923076923</v>
      </c>
      <c r="BX147" s="239">
        <v>42592</v>
      </c>
      <c r="BY147" s="238"/>
      <c r="BZ147" s="238"/>
      <c r="CA147" s="238">
        <v>36.299999999999997</v>
      </c>
      <c r="CB147" s="239">
        <v>42592</v>
      </c>
      <c r="CC147" s="238"/>
      <c r="CD147" s="238"/>
      <c r="CF147" s="238"/>
    </row>
    <row r="148" spans="1:84" s="178" customFormat="1" ht="12">
      <c r="A148" s="232">
        <v>21</v>
      </c>
      <c r="B148" s="232" t="str">
        <f>VLOOKUP(A148,PlantMaterial!B:C,2,0)</f>
        <v>C03-1ESQ1</v>
      </c>
      <c r="C148" s="238" t="s">
        <v>7689</v>
      </c>
      <c r="D148" s="232">
        <v>4</v>
      </c>
      <c r="E148" s="238" t="s">
        <v>7833</v>
      </c>
      <c r="F148" s="232">
        <v>13</v>
      </c>
      <c r="G148" s="232">
        <v>18</v>
      </c>
      <c r="H148" s="178">
        <v>189</v>
      </c>
      <c r="I148" s="238"/>
      <c r="M148" s="238">
        <v>3.7</v>
      </c>
      <c r="N148" s="239">
        <v>42586</v>
      </c>
      <c r="S148" s="178">
        <v>12</v>
      </c>
      <c r="T148" s="239">
        <v>42592</v>
      </c>
      <c r="U148" s="178">
        <v>13.5</v>
      </c>
      <c r="V148" s="239">
        <v>42586</v>
      </c>
      <c r="Y148" s="238">
        <v>4.3343400000000001</v>
      </c>
      <c r="Z148" s="239">
        <v>42592</v>
      </c>
      <c r="AA148" s="178">
        <v>45</v>
      </c>
      <c r="AB148" s="239">
        <v>42249</v>
      </c>
      <c r="AE148" s="238">
        <v>27.26</v>
      </c>
      <c r="AF148" s="239">
        <v>42586</v>
      </c>
      <c r="AI148" s="232">
        <v>145</v>
      </c>
      <c r="AJ148" s="239">
        <v>42507</v>
      </c>
      <c r="AK148" s="238">
        <v>9.5</v>
      </c>
      <c r="BG148" s="238">
        <v>-8.5</v>
      </c>
      <c r="BH148" s="239">
        <v>42592</v>
      </c>
      <c r="BM148" s="238">
        <v>62.2</v>
      </c>
      <c r="BN148" s="239">
        <v>42592</v>
      </c>
      <c r="BQ148" s="238">
        <v>10.199999999999999</v>
      </c>
      <c r="BR148" s="239">
        <v>42592</v>
      </c>
      <c r="BS148" s="238">
        <v>48.35164835164835</v>
      </c>
      <c r="BT148" s="239">
        <v>42592</v>
      </c>
      <c r="BU148" s="238">
        <v>17.472527472527471</v>
      </c>
      <c r="BV148" s="239">
        <v>42592</v>
      </c>
      <c r="BW148" s="238">
        <v>14.615384615384615</v>
      </c>
      <c r="BX148" s="239">
        <v>42592</v>
      </c>
      <c r="BY148" s="238"/>
      <c r="BZ148" s="238"/>
      <c r="CA148" s="238">
        <v>33.799999999999997</v>
      </c>
      <c r="CB148" s="239">
        <v>42592</v>
      </c>
      <c r="CC148" s="238"/>
      <c r="CD148" s="238"/>
      <c r="CF148" s="238"/>
    </row>
    <row r="149" spans="1:84" s="178" customFormat="1" ht="12">
      <c r="A149" s="232">
        <v>22</v>
      </c>
      <c r="B149" s="232" t="str">
        <f>VLOOKUP(A149,PlantMaterial!B:C,2,0)</f>
        <v>C04-1ESQ0</v>
      </c>
      <c r="C149" s="238" t="s">
        <v>7689</v>
      </c>
      <c r="D149" s="232">
        <v>4</v>
      </c>
      <c r="E149" s="238" t="s">
        <v>7834</v>
      </c>
      <c r="F149" s="232">
        <v>12</v>
      </c>
      <c r="G149" s="232">
        <v>18</v>
      </c>
      <c r="H149" s="178">
        <v>189</v>
      </c>
      <c r="I149" s="238"/>
      <c r="M149" s="238">
        <v>3.15</v>
      </c>
      <c r="N149" s="239">
        <v>42586</v>
      </c>
      <c r="S149" s="178">
        <v>10.11</v>
      </c>
      <c r="T149" s="239">
        <v>42592</v>
      </c>
      <c r="U149" s="178">
        <v>13.5</v>
      </c>
      <c r="V149" s="239">
        <v>42586</v>
      </c>
      <c r="Y149" s="238">
        <v>3.7848600000000001</v>
      </c>
      <c r="Z149" s="239">
        <v>42592</v>
      </c>
      <c r="AA149" s="178">
        <v>45</v>
      </c>
      <c r="AB149" s="239">
        <v>42249</v>
      </c>
      <c r="AE149" s="238">
        <v>23.22</v>
      </c>
      <c r="AF149" s="239">
        <v>42586</v>
      </c>
      <c r="AI149" s="232">
        <v>145</v>
      </c>
      <c r="AJ149" s="239">
        <v>42507</v>
      </c>
      <c r="AK149" s="238">
        <v>9.4</v>
      </c>
      <c r="BG149" s="238">
        <v>-6.4</v>
      </c>
      <c r="BH149" s="239">
        <v>42592</v>
      </c>
      <c r="BM149" s="238">
        <v>61.4</v>
      </c>
      <c r="BN149" s="239">
        <v>42592</v>
      </c>
      <c r="BQ149" s="238">
        <v>10.7</v>
      </c>
      <c r="BR149" s="239">
        <v>42592</v>
      </c>
      <c r="BS149" s="238">
        <v>47.802197802197803</v>
      </c>
      <c r="BT149" s="239">
        <v>42592</v>
      </c>
      <c r="BU149" s="238">
        <v>17.912087912087912</v>
      </c>
      <c r="BV149" s="239">
        <v>42592</v>
      </c>
      <c r="BW149" s="238">
        <v>14.285714285714285</v>
      </c>
      <c r="BX149" s="239">
        <v>42592</v>
      </c>
      <c r="BY149" s="238"/>
      <c r="BZ149" s="238"/>
      <c r="CA149" s="238">
        <v>34.4</v>
      </c>
      <c r="CB149" s="239">
        <v>42592</v>
      </c>
      <c r="CC149" s="238"/>
      <c r="CD149" s="238"/>
      <c r="CF149" s="238"/>
    </row>
    <row r="150" spans="1:84" s="178" customFormat="1" ht="12">
      <c r="A150" s="232">
        <v>23</v>
      </c>
      <c r="B150" s="232" t="str">
        <f>VLOOKUP(A150,PlantMaterial!B:C,2,0)</f>
        <v>AVISO</v>
      </c>
      <c r="C150" s="238" t="s">
        <v>7689</v>
      </c>
      <c r="D150" s="232">
        <v>4</v>
      </c>
      <c r="E150" s="238" t="s">
        <v>7835</v>
      </c>
      <c r="F150" s="232">
        <v>11</v>
      </c>
      <c r="G150" s="232">
        <v>18</v>
      </c>
      <c r="H150" s="178">
        <v>189</v>
      </c>
      <c r="I150" s="238"/>
      <c r="M150" s="238">
        <v>3.24</v>
      </c>
      <c r="N150" s="239">
        <v>42586</v>
      </c>
      <c r="S150" s="178">
        <v>10.029999999999999</v>
      </c>
      <c r="T150" s="239">
        <v>42592</v>
      </c>
      <c r="U150" s="178">
        <v>13.5</v>
      </c>
      <c r="V150" s="239">
        <v>42586</v>
      </c>
      <c r="Y150" s="238">
        <v>4.2232199999999995</v>
      </c>
      <c r="Z150" s="239">
        <v>42592</v>
      </c>
      <c r="AA150" s="178">
        <v>45</v>
      </c>
      <c r="AB150" s="239">
        <v>42249</v>
      </c>
      <c r="AE150" s="238">
        <v>23.86</v>
      </c>
      <c r="AF150" s="239">
        <v>42586</v>
      </c>
      <c r="AI150" s="232">
        <v>145</v>
      </c>
      <c r="AJ150" s="239">
        <v>42507</v>
      </c>
      <c r="AK150" s="238">
        <v>9.5</v>
      </c>
      <c r="BG150" s="238">
        <v>-11.2</v>
      </c>
      <c r="BH150" s="239">
        <v>42592</v>
      </c>
      <c r="BM150" s="238">
        <v>60.1</v>
      </c>
      <c r="BN150" s="239">
        <v>42592</v>
      </c>
      <c r="BQ150" s="238">
        <v>11.1</v>
      </c>
      <c r="BR150" s="239">
        <v>42592</v>
      </c>
      <c r="BS150" s="238">
        <v>46.153846153846153</v>
      </c>
      <c r="BT150" s="239">
        <v>42592</v>
      </c>
      <c r="BU150" s="238">
        <v>19.450549450549449</v>
      </c>
      <c r="BV150" s="239">
        <v>42592</v>
      </c>
      <c r="BW150" s="238">
        <v>16.923076923076923</v>
      </c>
      <c r="BX150" s="239">
        <v>42592</v>
      </c>
      <c r="BY150" s="238"/>
      <c r="BZ150" s="238"/>
      <c r="CA150" s="238">
        <v>36.200000000000003</v>
      </c>
      <c r="CB150" s="239">
        <v>42592</v>
      </c>
      <c r="CC150" s="238"/>
      <c r="CD150" s="238"/>
      <c r="CF150" s="238"/>
    </row>
    <row r="151" spans="1:84" s="178" customFormat="1" ht="12">
      <c r="A151" s="232">
        <v>24</v>
      </c>
      <c r="B151" s="232" t="str">
        <f>VLOOKUP(A151,PlantMaterial!B:C,2,0)</f>
        <v>C04-1ESQ1</v>
      </c>
      <c r="C151" s="238" t="s">
        <v>7689</v>
      </c>
      <c r="D151" s="232">
        <v>4</v>
      </c>
      <c r="E151" s="238" t="s">
        <v>7836</v>
      </c>
      <c r="F151" s="232">
        <v>10</v>
      </c>
      <c r="G151" s="232">
        <v>18</v>
      </c>
      <c r="H151" s="178">
        <v>189</v>
      </c>
      <c r="I151" s="238"/>
      <c r="M151" s="238">
        <v>2.77</v>
      </c>
      <c r="N151" s="239">
        <v>42586</v>
      </c>
      <c r="S151" s="178">
        <v>8.7799999999999994</v>
      </c>
      <c r="T151" s="239">
        <v>42592</v>
      </c>
      <c r="U151" s="178">
        <v>13.5</v>
      </c>
      <c r="V151" s="239">
        <v>42586</v>
      </c>
      <c r="Y151" s="238">
        <v>3.5292000000000003</v>
      </c>
      <c r="Z151" s="239">
        <v>42592</v>
      </c>
      <c r="AA151" s="178">
        <v>45</v>
      </c>
      <c r="AB151" s="239">
        <v>42249</v>
      </c>
      <c r="AE151" s="238">
        <v>20.399999999999999</v>
      </c>
      <c r="AF151" s="239">
        <v>42586</v>
      </c>
      <c r="AI151" s="232">
        <v>140</v>
      </c>
      <c r="AJ151" s="239">
        <v>42507</v>
      </c>
      <c r="AK151" s="238">
        <v>9.5</v>
      </c>
      <c r="BG151" s="238">
        <v>-7.9</v>
      </c>
      <c r="BH151" s="239">
        <v>42592</v>
      </c>
      <c r="BM151" s="238">
        <v>59.7</v>
      </c>
      <c r="BN151" s="239">
        <v>42592</v>
      </c>
      <c r="BQ151" s="238">
        <v>11</v>
      </c>
      <c r="BR151" s="239">
        <v>42592</v>
      </c>
      <c r="BS151" s="238">
        <v>47.252747252747248</v>
      </c>
      <c r="BT151" s="239">
        <v>42592</v>
      </c>
      <c r="BU151" s="238">
        <v>19.010989010989011</v>
      </c>
      <c r="BV151" s="239">
        <v>42592</v>
      </c>
      <c r="BW151" s="238">
        <v>16.043956043956044</v>
      </c>
      <c r="BX151" s="239">
        <v>42592</v>
      </c>
      <c r="BY151" s="238"/>
      <c r="BZ151" s="238"/>
      <c r="CA151" s="238">
        <v>36</v>
      </c>
      <c r="CB151" s="239">
        <v>42592</v>
      </c>
      <c r="CC151" s="238"/>
      <c r="CD151" s="238"/>
      <c r="CF151" s="238"/>
    </row>
    <row r="152" spans="1:84" s="178" customFormat="1" ht="12">
      <c r="A152" s="232">
        <v>25</v>
      </c>
      <c r="B152" s="232" t="str">
        <f>VLOOKUP(A152,PlantMaterial!B:C,2,0)</f>
        <v>MONTEGO</v>
      </c>
      <c r="C152" s="238" t="s">
        <v>7689</v>
      </c>
      <c r="D152" s="232">
        <v>4</v>
      </c>
      <c r="E152" s="238" t="s">
        <v>7837</v>
      </c>
      <c r="F152" s="232">
        <v>10</v>
      </c>
      <c r="G152" s="232">
        <v>19</v>
      </c>
      <c r="H152" s="178">
        <v>199.5</v>
      </c>
      <c r="I152" s="238"/>
      <c r="M152" s="238">
        <v>2.93</v>
      </c>
      <c r="N152" s="239">
        <v>42586</v>
      </c>
      <c r="S152" s="178">
        <v>9.2200000000000006</v>
      </c>
      <c r="T152" s="239">
        <v>42592</v>
      </c>
      <c r="U152" s="178">
        <v>13.5</v>
      </c>
      <c r="V152" s="239">
        <v>42586</v>
      </c>
      <c r="Y152" s="238">
        <v>3.7928000000000002</v>
      </c>
      <c r="Z152" s="239">
        <v>42592</v>
      </c>
      <c r="AA152" s="178">
        <v>45</v>
      </c>
      <c r="AB152" s="239">
        <v>42249</v>
      </c>
      <c r="AE152" s="238">
        <v>21.55</v>
      </c>
      <c r="AF152" s="239">
        <v>42586</v>
      </c>
      <c r="AI152" s="232">
        <v>135</v>
      </c>
      <c r="AJ152" s="239">
        <v>42507</v>
      </c>
      <c r="AK152" s="238">
        <v>9.6999999999999993</v>
      </c>
      <c r="BG152" s="238">
        <v>-7.5</v>
      </c>
      <c r="BH152" s="239">
        <v>42592</v>
      </c>
      <c r="BM152" s="238">
        <v>61.7</v>
      </c>
      <c r="BN152" s="239">
        <v>42592</v>
      </c>
      <c r="BQ152" s="238">
        <v>10.5</v>
      </c>
      <c r="BR152" s="239">
        <v>42592</v>
      </c>
      <c r="BS152" s="238">
        <v>47.032967032967029</v>
      </c>
      <c r="BT152" s="239">
        <v>42592</v>
      </c>
      <c r="BU152" s="238">
        <v>19.340659340659343</v>
      </c>
      <c r="BV152" s="239">
        <v>42592</v>
      </c>
      <c r="BW152" s="238">
        <v>14.835164835164834</v>
      </c>
      <c r="BX152" s="239">
        <v>42592</v>
      </c>
      <c r="BY152" s="238"/>
      <c r="BZ152" s="238"/>
      <c r="CA152" s="238">
        <v>36.6</v>
      </c>
      <c r="CB152" s="239">
        <v>42592</v>
      </c>
      <c r="CC152" s="238"/>
      <c r="CD152" s="238"/>
      <c r="CF152" s="238"/>
    </row>
    <row r="153" spans="1:84" s="178" customFormat="1" ht="12">
      <c r="A153" s="232">
        <v>26</v>
      </c>
      <c r="B153" s="232" t="str">
        <f>VLOOKUP(A153,PlantMaterial!B:C,2,0)</f>
        <v>RAPSO_304</v>
      </c>
      <c r="C153" s="238" t="s">
        <v>7689</v>
      </c>
      <c r="D153" s="232">
        <v>4</v>
      </c>
      <c r="E153" s="238" t="s">
        <v>7838</v>
      </c>
      <c r="F153" s="232">
        <v>11</v>
      </c>
      <c r="G153" s="232">
        <v>19</v>
      </c>
      <c r="H153" s="178">
        <v>199.5</v>
      </c>
      <c r="I153" s="238"/>
      <c r="M153" s="238">
        <v>4.09</v>
      </c>
      <c r="N153" s="239">
        <v>42586</v>
      </c>
      <c r="S153" s="178">
        <v>13.62</v>
      </c>
      <c r="T153" s="239">
        <v>42592</v>
      </c>
      <c r="U153" s="178">
        <v>13.5</v>
      </c>
      <c r="V153" s="239">
        <v>42586</v>
      </c>
      <c r="Y153" s="238">
        <v>4.6400199999999998</v>
      </c>
      <c r="Z153" s="239">
        <v>42592</v>
      </c>
      <c r="AA153" s="178">
        <v>45</v>
      </c>
      <c r="AB153" s="239">
        <v>42249</v>
      </c>
      <c r="AE153" s="238">
        <v>30.13</v>
      </c>
      <c r="AF153" s="239">
        <v>42586</v>
      </c>
      <c r="AI153" s="232">
        <v>145</v>
      </c>
      <c r="AJ153" s="239">
        <v>42507</v>
      </c>
      <c r="AK153" s="238">
        <v>9.5</v>
      </c>
      <c r="BG153" s="238">
        <v>-9.4</v>
      </c>
      <c r="BH153" s="239">
        <v>42592</v>
      </c>
      <c r="BM153" s="238">
        <v>64.5</v>
      </c>
      <c r="BN153" s="239">
        <v>42592</v>
      </c>
      <c r="BQ153" s="238">
        <v>9.4</v>
      </c>
      <c r="BR153" s="239">
        <v>42592</v>
      </c>
      <c r="BS153" s="238">
        <v>49.670329670329672</v>
      </c>
      <c r="BT153" s="239">
        <v>42592</v>
      </c>
      <c r="BU153" s="238">
        <v>16.923076923076923</v>
      </c>
      <c r="BV153" s="239">
        <v>42592</v>
      </c>
      <c r="BW153" s="238">
        <v>13.736263736263735</v>
      </c>
      <c r="BX153" s="239">
        <v>42592</v>
      </c>
      <c r="BY153" s="238"/>
      <c r="BZ153" s="238"/>
      <c r="CA153" s="238">
        <v>33.6</v>
      </c>
      <c r="CB153" s="239">
        <v>42592</v>
      </c>
      <c r="CC153" s="238"/>
      <c r="CD153" s="238"/>
      <c r="CF153" s="238"/>
    </row>
    <row r="154" spans="1:84" s="178" customFormat="1" ht="12">
      <c r="A154" s="232">
        <v>27</v>
      </c>
      <c r="B154" s="232" t="str">
        <f>VLOOKUP(A154,PlantMaterial!B:C,2,0)</f>
        <v>TENOR</v>
      </c>
      <c r="C154" s="238" t="s">
        <v>7689</v>
      </c>
      <c r="D154" s="232">
        <v>4</v>
      </c>
      <c r="E154" s="238" t="s">
        <v>7839</v>
      </c>
      <c r="F154" s="232">
        <v>12</v>
      </c>
      <c r="G154" s="232">
        <v>19</v>
      </c>
      <c r="H154" s="178">
        <v>199.5</v>
      </c>
      <c r="I154" s="238"/>
      <c r="M154" s="238">
        <v>2.9</v>
      </c>
      <c r="N154" s="239">
        <v>42586</v>
      </c>
      <c r="S154" s="178">
        <v>9.2799999999999994</v>
      </c>
      <c r="T154" s="239">
        <v>42592</v>
      </c>
      <c r="U154" s="178">
        <v>13.5</v>
      </c>
      <c r="V154" s="239">
        <v>42586</v>
      </c>
      <c r="Y154" s="238">
        <v>3.7183799999999998</v>
      </c>
      <c r="Z154" s="239">
        <v>42592</v>
      </c>
      <c r="AA154" s="178">
        <v>45</v>
      </c>
      <c r="AB154" s="239">
        <v>42249</v>
      </c>
      <c r="AE154" s="238">
        <v>21.37</v>
      </c>
      <c r="AF154" s="239">
        <v>42586</v>
      </c>
      <c r="AI154" s="232">
        <v>145</v>
      </c>
      <c r="AJ154" s="239">
        <v>42507</v>
      </c>
      <c r="AK154" s="238">
        <v>9.5</v>
      </c>
      <c r="BG154" s="238">
        <v>-5.5</v>
      </c>
      <c r="BH154" s="239">
        <v>42592</v>
      </c>
      <c r="BM154" s="238">
        <v>61.4</v>
      </c>
      <c r="BN154" s="239">
        <v>42592</v>
      </c>
      <c r="BQ154" s="238">
        <v>10.8</v>
      </c>
      <c r="BR154" s="239">
        <v>42592</v>
      </c>
      <c r="BS154" s="238">
        <v>47.692307692307686</v>
      </c>
      <c r="BT154" s="239">
        <v>42592</v>
      </c>
      <c r="BU154" s="238">
        <v>19.120879120879117</v>
      </c>
      <c r="BV154" s="239">
        <v>42592</v>
      </c>
      <c r="BW154" s="238">
        <v>16.813186813186814</v>
      </c>
      <c r="BX154" s="239">
        <v>42592</v>
      </c>
      <c r="BY154" s="238"/>
      <c r="BZ154" s="238"/>
      <c r="CA154" s="238">
        <v>36.6</v>
      </c>
      <c r="CB154" s="239">
        <v>42592</v>
      </c>
      <c r="CC154" s="238"/>
      <c r="CD154" s="238"/>
      <c r="CF154" s="238"/>
    </row>
    <row r="155" spans="1:84" s="178" customFormat="1" ht="12">
      <c r="A155" s="232">
        <v>28</v>
      </c>
      <c r="B155" s="232" t="str">
        <f>VLOOKUP(A155,PlantMaterial!B:C,2,0)</f>
        <v>LEL17</v>
      </c>
      <c r="C155" s="238" t="s">
        <v>7689</v>
      </c>
      <c r="D155" s="232">
        <v>4</v>
      </c>
      <c r="E155" s="238" t="s">
        <v>7840</v>
      </c>
      <c r="F155" s="232">
        <v>13</v>
      </c>
      <c r="G155" s="232">
        <v>19</v>
      </c>
      <c r="H155" s="178">
        <v>199.5</v>
      </c>
      <c r="I155" s="238"/>
      <c r="M155" s="238">
        <v>4.38</v>
      </c>
      <c r="N155" s="239">
        <v>42586</v>
      </c>
      <c r="S155" s="178">
        <v>14.13</v>
      </c>
      <c r="T155" s="239">
        <v>42592</v>
      </c>
      <c r="U155" s="178">
        <v>13.5</v>
      </c>
      <c r="V155" s="239">
        <v>42586</v>
      </c>
      <c r="Y155" s="238">
        <v>5.1245700000000003</v>
      </c>
      <c r="Z155" s="239">
        <v>42592</v>
      </c>
      <c r="AA155" s="178">
        <v>45</v>
      </c>
      <c r="AB155" s="239">
        <v>42249</v>
      </c>
      <c r="AE155" s="238">
        <v>32.229999999999997</v>
      </c>
      <c r="AF155" s="239">
        <v>42586</v>
      </c>
      <c r="AI155" s="232">
        <v>146</v>
      </c>
      <c r="AJ155" s="239">
        <v>42507</v>
      </c>
      <c r="AK155" s="238">
        <v>9.6</v>
      </c>
      <c r="BG155" s="238">
        <v>-10.4</v>
      </c>
      <c r="BH155" s="239">
        <v>42592</v>
      </c>
      <c r="BM155" s="238">
        <v>63.3</v>
      </c>
      <c r="BN155" s="239">
        <v>42592</v>
      </c>
      <c r="BQ155" s="238">
        <v>9.6999999999999993</v>
      </c>
      <c r="BR155" s="239">
        <v>42592</v>
      </c>
      <c r="BS155" s="238">
        <v>48.131868131868124</v>
      </c>
      <c r="BT155" s="239">
        <v>42592</v>
      </c>
      <c r="BU155" s="238">
        <v>17.472527472527471</v>
      </c>
      <c r="BV155" s="239">
        <v>42592</v>
      </c>
      <c r="BW155" s="238">
        <v>15.934065934065934</v>
      </c>
      <c r="BX155" s="239">
        <v>42592</v>
      </c>
      <c r="BY155" s="238"/>
      <c r="BZ155" s="238"/>
      <c r="CA155" s="238">
        <v>33.700000000000003</v>
      </c>
      <c r="CB155" s="239">
        <v>42592</v>
      </c>
      <c r="CC155" s="238"/>
      <c r="CD155" s="238"/>
      <c r="CF155" s="238"/>
    </row>
    <row r="156" spans="1:84" s="178" customFormat="1" ht="12">
      <c r="A156" s="232">
        <v>29</v>
      </c>
      <c r="B156" s="232" t="str">
        <f>VLOOKUP(A156,PlantMaterial!B:C,2,0)</f>
        <v>EXPRESS</v>
      </c>
      <c r="C156" s="238" t="s">
        <v>7689</v>
      </c>
      <c r="D156" s="232">
        <v>4</v>
      </c>
      <c r="E156" s="238" t="s">
        <v>7841</v>
      </c>
      <c r="F156" s="232">
        <v>14</v>
      </c>
      <c r="G156" s="232">
        <v>19</v>
      </c>
      <c r="H156" s="178">
        <v>199.5</v>
      </c>
      <c r="I156" s="238" t="s">
        <v>7720</v>
      </c>
      <c r="J156" s="239">
        <v>42430</v>
      </c>
      <c r="M156" s="238">
        <v>2.4500000000000002</v>
      </c>
      <c r="N156" s="239">
        <v>42586</v>
      </c>
      <c r="S156" s="178">
        <v>7.42</v>
      </c>
      <c r="T156" s="239">
        <v>42592</v>
      </c>
      <c r="U156" s="178">
        <v>13.5</v>
      </c>
      <c r="V156" s="239">
        <v>42586</v>
      </c>
      <c r="Y156" s="238">
        <v>3.33</v>
      </c>
      <c r="Z156" s="239">
        <v>42592</v>
      </c>
      <c r="AA156" s="178">
        <v>45</v>
      </c>
      <c r="AB156" s="239">
        <v>42249</v>
      </c>
      <c r="AE156" s="238">
        <v>18</v>
      </c>
      <c r="AF156" s="239">
        <v>42586</v>
      </c>
      <c r="AI156" s="232">
        <v>135</v>
      </c>
      <c r="AJ156" s="239">
        <v>42507</v>
      </c>
      <c r="AK156" s="238">
        <v>9.6999999999999993</v>
      </c>
      <c r="BG156" s="238">
        <v>-5.3</v>
      </c>
      <c r="BH156" s="239">
        <v>42592</v>
      </c>
      <c r="BM156" s="238">
        <v>61.6</v>
      </c>
      <c r="BN156" s="239">
        <v>42592</v>
      </c>
      <c r="BQ156" s="238">
        <v>10.199999999999999</v>
      </c>
      <c r="BR156" s="239">
        <v>42592</v>
      </c>
      <c r="BS156" s="238">
        <v>45.274725274725277</v>
      </c>
      <c r="BT156" s="239">
        <v>42592</v>
      </c>
      <c r="BU156" s="238">
        <v>20.329670329670328</v>
      </c>
      <c r="BV156" s="239">
        <v>42592</v>
      </c>
      <c r="BW156" s="238">
        <v>20.439560439560442</v>
      </c>
      <c r="BX156" s="239">
        <v>42592</v>
      </c>
      <c r="BY156" s="238"/>
      <c r="BZ156" s="238"/>
      <c r="CA156" s="238">
        <v>37.1</v>
      </c>
      <c r="CB156" s="239">
        <v>42592</v>
      </c>
      <c r="CC156" s="238"/>
      <c r="CD156" s="238"/>
      <c r="CF156" s="238"/>
    </row>
    <row r="157" spans="1:84" s="178" customFormat="1" ht="12">
      <c r="A157" s="232">
        <v>30</v>
      </c>
      <c r="B157" s="232" t="str">
        <f>VLOOKUP(A157,PlantMaterial!B:C,2,0)</f>
        <v>C04-1LEQ0</v>
      </c>
      <c r="C157" s="238" t="s">
        <v>7689</v>
      </c>
      <c r="D157" s="232">
        <v>4</v>
      </c>
      <c r="E157" s="238" t="s">
        <v>7842</v>
      </c>
      <c r="F157" s="232">
        <v>15</v>
      </c>
      <c r="G157" s="232">
        <v>19</v>
      </c>
      <c r="H157" s="178">
        <v>199.5</v>
      </c>
      <c r="I157" s="238"/>
      <c r="M157" s="238">
        <v>3.41</v>
      </c>
      <c r="N157" s="239">
        <v>42586</v>
      </c>
      <c r="S157" s="178">
        <v>11.15</v>
      </c>
      <c r="T157" s="239">
        <v>42592</v>
      </c>
      <c r="U157" s="178">
        <v>13.5</v>
      </c>
      <c r="V157" s="239">
        <v>42586</v>
      </c>
      <c r="Y157" s="238">
        <v>4.0896700000000008</v>
      </c>
      <c r="Z157" s="239">
        <v>42592</v>
      </c>
      <c r="AA157" s="178">
        <v>45</v>
      </c>
      <c r="AB157" s="239">
        <v>42249</v>
      </c>
      <c r="AE157" s="238">
        <v>25.09</v>
      </c>
      <c r="AF157" s="239">
        <v>42586</v>
      </c>
      <c r="AI157" s="232">
        <v>145</v>
      </c>
      <c r="AJ157" s="239">
        <v>42507</v>
      </c>
      <c r="AK157" s="238">
        <v>9.6</v>
      </c>
      <c r="BG157" s="238">
        <v>-10</v>
      </c>
      <c r="BH157" s="239">
        <v>42592</v>
      </c>
      <c r="BM157" s="238">
        <v>62.8</v>
      </c>
      <c r="BN157" s="239">
        <v>42592</v>
      </c>
      <c r="BQ157" s="238">
        <v>9.6999999999999993</v>
      </c>
      <c r="BR157" s="239">
        <v>42592</v>
      </c>
      <c r="BS157" s="238">
        <v>48.791208791208788</v>
      </c>
      <c r="BT157" s="239">
        <v>42592</v>
      </c>
      <c r="BU157" s="238">
        <v>17.912087912087912</v>
      </c>
      <c r="BV157" s="239">
        <v>42592</v>
      </c>
      <c r="BW157" s="238">
        <v>13.956043956043954</v>
      </c>
      <c r="BX157" s="239">
        <v>42592</v>
      </c>
      <c r="BY157" s="238"/>
      <c r="BZ157" s="238"/>
      <c r="CA157" s="238">
        <v>34.9</v>
      </c>
      <c r="CB157" s="239">
        <v>42592</v>
      </c>
      <c r="CC157" s="238"/>
      <c r="CD157" s="238"/>
      <c r="CF157" s="238"/>
    </row>
    <row r="158" spans="1:84" s="178" customFormat="1" ht="12">
      <c r="A158" s="232">
        <v>31</v>
      </c>
      <c r="B158" s="232" t="str">
        <f>VLOOKUP(A158,PlantMaterial!B:C,2,0)</f>
        <v>C04-1LEQ1</v>
      </c>
      <c r="C158" s="238" t="s">
        <v>7689</v>
      </c>
      <c r="D158" s="232">
        <v>4</v>
      </c>
      <c r="E158" s="238" t="s">
        <v>7843</v>
      </c>
      <c r="F158" s="232">
        <v>15</v>
      </c>
      <c r="G158" s="232">
        <v>20</v>
      </c>
      <c r="H158" s="178">
        <v>210</v>
      </c>
      <c r="I158" s="238"/>
      <c r="M158" s="238">
        <v>3.06</v>
      </c>
      <c r="N158" s="239">
        <v>42586</v>
      </c>
      <c r="S158" s="178">
        <v>9.74</v>
      </c>
      <c r="T158" s="239">
        <v>42592</v>
      </c>
      <c r="U158" s="178">
        <v>13.5</v>
      </c>
      <c r="V158" s="239">
        <v>42586</v>
      </c>
      <c r="Y158" s="238">
        <v>3.8250000000000002</v>
      </c>
      <c r="Z158" s="239">
        <v>42592</v>
      </c>
      <c r="AA158" s="178">
        <v>45</v>
      </c>
      <c r="AB158" s="239">
        <v>42249</v>
      </c>
      <c r="AE158" s="238">
        <v>22.5</v>
      </c>
      <c r="AF158" s="239">
        <v>42586</v>
      </c>
      <c r="AI158" s="232">
        <v>150</v>
      </c>
      <c r="AJ158" s="239">
        <v>42507</v>
      </c>
      <c r="AK158" s="238">
        <v>9.6999999999999993</v>
      </c>
      <c r="BG158" s="238">
        <v>-8.8000000000000007</v>
      </c>
      <c r="BH158" s="239">
        <v>42592</v>
      </c>
      <c r="BM158" s="238">
        <v>61.5</v>
      </c>
      <c r="BN158" s="239">
        <v>42592</v>
      </c>
      <c r="BQ158" s="238">
        <v>10.5</v>
      </c>
      <c r="BR158" s="239">
        <v>42592</v>
      </c>
      <c r="BS158" s="238">
        <v>47.582417582417577</v>
      </c>
      <c r="BT158" s="239">
        <v>42592</v>
      </c>
      <c r="BU158" s="238">
        <v>18.681318681318682</v>
      </c>
      <c r="BV158" s="239">
        <v>42592</v>
      </c>
      <c r="BW158" s="238">
        <v>15.054945054945053</v>
      </c>
      <c r="BX158" s="239">
        <v>42592</v>
      </c>
      <c r="BY158" s="238"/>
      <c r="BZ158" s="238"/>
      <c r="CA158" s="238">
        <v>35.700000000000003</v>
      </c>
      <c r="CB158" s="239">
        <v>42592</v>
      </c>
      <c r="CC158" s="238"/>
      <c r="CD158" s="238"/>
      <c r="CF158" s="238"/>
    </row>
    <row r="159" spans="1:84" s="178" customFormat="1" ht="12">
      <c r="A159" s="232">
        <v>32</v>
      </c>
      <c r="B159" s="232" t="str">
        <f>VLOOKUP(A159,PlantMaterial!B:C,2,0)</f>
        <v>A05-1LEQ0</v>
      </c>
      <c r="C159" s="238" t="s">
        <v>7689</v>
      </c>
      <c r="D159" s="232">
        <v>4</v>
      </c>
      <c r="E159" s="238" t="s">
        <v>7844</v>
      </c>
      <c r="F159" s="232">
        <v>14</v>
      </c>
      <c r="G159" s="232">
        <v>20</v>
      </c>
      <c r="H159" s="178">
        <v>210</v>
      </c>
      <c r="I159" s="238"/>
      <c r="M159" s="238">
        <v>4.09</v>
      </c>
      <c r="N159" s="239">
        <v>42586</v>
      </c>
      <c r="S159" s="178">
        <v>13.13</v>
      </c>
      <c r="T159" s="239">
        <v>42592</v>
      </c>
      <c r="U159" s="178">
        <v>13.5</v>
      </c>
      <c r="V159" s="239">
        <v>42586</v>
      </c>
      <c r="Y159" s="238">
        <v>5.1135999999999999</v>
      </c>
      <c r="Z159" s="239">
        <v>42592</v>
      </c>
      <c r="AA159" s="178">
        <v>45</v>
      </c>
      <c r="AB159" s="239">
        <v>42249</v>
      </c>
      <c r="AE159" s="238">
        <v>30.08</v>
      </c>
      <c r="AF159" s="239">
        <v>42586</v>
      </c>
      <c r="AI159" s="232">
        <v>150</v>
      </c>
      <c r="AJ159" s="239">
        <v>42507</v>
      </c>
      <c r="AK159" s="238">
        <v>9.6999999999999993</v>
      </c>
      <c r="BG159" s="238">
        <v>-7.6</v>
      </c>
      <c r="BH159" s="239">
        <v>42592</v>
      </c>
      <c r="BM159" s="238">
        <v>63.7</v>
      </c>
      <c r="BN159" s="239">
        <v>42592</v>
      </c>
      <c r="BQ159" s="238">
        <v>10.1</v>
      </c>
      <c r="BR159" s="239">
        <v>42592</v>
      </c>
      <c r="BS159" s="238">
        <v>47.912087912087912</v>
      </c>
      <c r="BT159" s="239">
        <v>42592</v>
      </c>
      <c r="BU159" s="238">
        <v>18.681318681318682</v>
      </c>
      <c r="BV159" s="239">
        <v>42592</v>
      </c>
      <c r="BW159" s="238">
        <v>17.58241758241758</v>
      </c>
      <c r="BX159" s="239">
        <v>42592</v>
      </c>
      <c r="BY159" s="238"/>
      <c r="BZ159" s="238"/>
      <c r="CA159" s="238">
        <v>35.799999999999997</v>
      </c>
      <c r="CB159" s="239">
        <v>42592</v>
      </c>
      <c r="CC159" s="238"/>
      <c r="CD159" s="238"/>
      <c r="CF159" s="238"/>
    </row>
    <row r="160" spans="1:84" s="178" customFormat="1" ht="12">
      <c r="A160" s="232">
        <v>33</v>
      </c>
      <c r="B160" s="232" t="str">
        <f>VLOOKUP(A160,PlantMaterial!B:C,2,0)</f>
        <v>A05-1LEQ1</v>
      </c>
      <c r="C160" s="238" t="s">
        <v>7689</v>
      </c>
      <c r="D160" s="232">
        <v>4</v>
      </c>
      <c r="E160" s="238" t="s">
        <v>7845</v>
      </c>
      <c r="F160" s="232">
        <v>13</v>
      </c>
      <c r="G160" s="232">
        <v>20</v>
      </c>
      <c r="H160" s="178">
        <v>210</v>
      </c>
      <c r="I160" s="238"/>
      <c r="M160" s="238">
        <v>4.28</v>
      </c>
      <c r="N160" s="239">
        <v>42586</v>
      </c>
      <c r="S160" s="178">
        <v>13.69</v>
      </c>
      <c r="T160" s="239">
        <v>42592</v>
      </c>
      <c r="U160" s="178">
        <v>13.5</v>
      </c>
      <c r="V160" s="239">
        <v>42586</v>
      </c>
      <c r="Y160" s="238">
        <v>5.32857</v>
      </c>
      <c r="Z160" s="239">
        <v>42592</v>
      </c>
      <c r="AA160" s="178">
        <v>45</v>
      </c>
      <c r="AB160" s="239">
        <v>42249</v>
      </c>
      <c r="AE160" s="238">
        <v>31.53</v>
      </c>
      <c r="AF160" s="239">
        <v>42586</v>
      </c>
      <c r="AI160" s="232">
        <v>150</v>
      </c>
      <c r="AJ160" s="239">
        <v>42507</v>
      </c>
      <c r="AK160" s="238">
        <v>9.5</v>
      </c>
      <c r="BG160" s="238">
        <v>-8.1</v>
      </c>
      <c r="BH160" s="239">
        <v>42592</v>
      </c>
      <c r="BM160" s="238">
        <v>63.4</v>
      </c>
      <c r="BN160" s="239">
        <v>42592</v>
      </c>
      <c r="BQ160" s="238">
        <v>10.5</v>
      </c>
      <c r="BR160" s="239">
        <v>42592</v>
      </c>
      <c r="BS160" s="238">
        <v>47.692307692307686</v>
      </c>
      <c r="BT160" s="239">
        <v>42592</v>
      </c>
      <c r="BU160" s="238">
        <v>18.571428571428569</v>
      </c>
      <c r="BV160" s="239">
        <v>42592</v>
      </c>
      <c r="BW160" s="238">
        <v>19.340659340659343</v>
      </c>
      <c r="BX160" s="239">
        <v>42592</v>
      </c>
      <c r="BY160" s="238"/>
      <c r="BZ160" s="238"/>
      <c r="CA160" s="238">
        <v>35.6</v>
      </c>
      <c r="CB160" s="239">
        <v>42592</v>
      </c>
      <c r="CC160" s="238"/>
      <c r="CD160" s="238"/>
      <c r="CF160" s="238"/>
    </row>
    <row r="161" spans="1:84" s="178" customFormat="1" ht="12">
      <c r="A161" s="232">
        <v>34</v>
      </c>
      <c r="B161" s="232" t="str">
        <f>VLOOKUP(A161,PlantMaterial!B:C,2,0)</f>
        <v>RAPSO_4</v>
      </c>
      <c r="C161" s="238" t="s">
        <v>7689</v>
      </c>
      <c r="D161" s="232">
        <v>4</v>
      </c>
      <c r="E161" s="238" t="s">
        <v>7846</v>
      </c>
      <c r="F161" s="232">
        <v>12</v>
      </c>
      <c r="G161" s="232">
        <v>20</v>
      </c>
      <c r="H161" s="178">
        <v>210</v>
      </c>
      <c r="I161" s="238"/>
      <c r="M161" s="238">
        <v>3.5</v>
      </c>
      <c r="N161" s="239">
        <v>42586</v>
      </c>
      <c r="S161" s="178">
        <v>11.5</v>
      </c>
      <c r="T161" s="239">
        <v>42592</v>
      </c>
      <c r="U161" s="178">
        <v>13.5</v>
      </c>
      <c r="V161" s="239">
        <v>42586</v>
      </c>
      <c r="Y161" s="238">
        <v>4.1295999999999999</v>
      </c>
      <c r="Z161" s="239">
        <v>42592</v>
      </c>
      <c r="AA161" s="178">
        <v>45</v>
      </c>
      <c r="AB161" s="239">
        <v>42249</v>
      </c>
      <c r="AE161" s="238">
        <v>25.81</v>
      </c>
      <c r="AF161" s="239">
        <v>42586</v>
      </c>
      <c r="AI161" s="232">
        <v>140</v>
      </c>
      <c r="AJ161" s="239">
        <v>42507</v>
      </c>
      <c r="AK161" s="238">
        <v>9.4</v>
      </c>
      <c r="BG161" s="238">
        <v>-7.5</v>
      </c>
      <c r="BH161" s="239">
        <v>42592</v>
      </c>
      <c r="BM161" s="238">
        <v>63.9</v>
      </c>
      <c r="BN161" s="239">
        <v>42592</v>
      </c>
      <c r="BQ161" s="238">
        <v>9.6999999999999993</v>
      </c>
      <c r="BR161" s="239">
        <v>42592</v>
      </c>
      <c r="BS161" s="238">
        <v>49.010989010989007</v>
      </c>
      <c r="BT161" s="239">
        <v>42592</v>
      </c>
      <c r="BU161" s="238">
        <v>17.58241758241758</v>
      </c>
      <c r="BV161" s="239">
        <v>42592</v>
      </c>
      <c r="BW161" s="238">
        <v>12.307692307692307</v>
      </c>
      <c r="BX161" s="239">
        <v>42592</v>
      </c>
      <c r="BY161" s="238"/>
      <c r="BZ161" s="238"/>
      <c r="CA161" s="238">
        <v>34.5</v>
      </c>
      <c r="CB161" s="239">
        <v>42592</v>
      </c>
      <c r="CC161" s="238"/>
      <c r="CD161" s="238"/>
      <c r="CF161" s="238"/>
    </row>
    <row r="162" spans="1:84" s="178" customFormat="1" ht="12">
      <c r="A162" s="232">
        <v>35</v>
      </c>
      <c r="B162" s="232" t="str">
        <f>VLOOKUP(A162,PlantMaterial!B:C,2,0)</f>
        <v>C04-1MASQ0</v>
      </c>
      <c r="C162" s="238" t="s">
        <v>7689</v>
      </c>
      <c r="D162" s="232">
        <v>4</v>
      </c>
      <c r="E162" s="238" t="s">
        <v>7847</v>
      </c>
      <c r="F162" s="232">
        <v>11</v>
      </c>
      <c r="G162" s="232">
        <v>20</v>
      </c>
      <c r="H162" s="178">
        <v>210</v>
      </c>
      <c r="I162" s="238"/>
      <c r="M162" s="238">
        <v>3.69</v>
      </c>
      <c r="N162" s="239">
        <v>42586</v>
      </c>
      <c r="S162" s="178">
        <v>11.91</v>
      </c>
      <c r="T162" s="239">
        <v>42592</v>
      </c>
      <c r="U162" s="178">
        <v>13.5</v>
      </c>
      <c r="V162" s="239">
        <v>42586</v>
      </c>
      <c r="Y162" s="238">
        <v>4.46244</v>
      </c>
      <c r="Z162" s="239">
        <v>42592</v>
      </c>
      <c r="AA162" s="178">
        <v>45</v>
      </c>
      <c r="AB162" s="239">
        <v>42249</v>
      </c>
      <c r="AE162" s="238">
        <v>27.21</v>
      </c>
      <c r="AF162" s="239">
        <v>42586</v>
      </c>
      <c r="AI162" s="232">
        <v>140</v>
      </c>
      <c r="AJ162" s="239">
        <v>42507</v>
      </c>
      <c r="AK162" s="238">
        <v>9.4</v>
      </c>
      <c r="BG162" s="238">
        <v>-7.4</v>
      </c>
      <c r="BH162" s="239">
        <v>42592</v>
      </c>
      <c r="BM162" s="238">
        <v>63.4</v>
      </c>
      <c r="BN162" s="239">
        <v>42592</v>
      </c>
      <c r="BQ162" s="238">
        <v>10</v>
      </c>
      <c r="BR162" s="239">
        <v>42592</v>
      </c>
      <c r="BS162" s="238">
        <v>48.131868131868124</v>
      </c>
      <c r="BT162" s="239">
        <v>42592</v>
      </c>
      <c r="BU162" s="238">
        <v>18.021978021978018</v>
      </c>
      <c r="BV162" s="239">
        <v>42592</v>
      </c>
      <c r="BW162" s="238">
        <v>12.307692307692307</v>
      </c>
      <c r="BX162" s="239">
        <v>42592</v>
      </c>
      <c r="BY162" s="238"/>
      <c r="BZ162" s="238"/>
      <c r="CA162" s="238">
        <v>34.700000000000003</v>
      </c>
      <c r="CB162" s="239">
        <v>42592</v>
      </c>
      <c r="CC162" s="238"/>
      <c r="CD162" s="238"/>
      <c r="CF162" s="238"/>
    </row>
    <row r="163" spans="1:84" s="178" customFormat="1" ht="12">
      <c r="A163" s="232">
        <v>36</v>
      </c>
      <c r="B163" s="232" t="str">
        <f>VLOOKUP(A163,PlantMaterial!B:C,2,0)</f>
        <v>C04-1MASQ1</v>
      </c>
      <c r="C163" s="238" t="s">
        <v>7689</v>
      </c>
      <c r="D163" s="232">
        <v>4</v>
      </c>
      <c r="E163" s="238" t="s">
        <v>7848</v>
      </c>
      <c r="F163" s="232">
        <v>10</v>
      </c>
      <c r="G163" s="232">
        <v>20</v>
      </c>
      <c r="H163" s="178">
        <v>210</v>
      </c>
      <c r="I163" s="238"/>
      <c r="M163" s="238">
        <v>3.03</v>
      </c>
      <c r="N163" s="239">
        <v>42586</v>
      </c>
      <c r="S163" s="178">
        <v>9.6199999999999992</v>
      </c>
      <c r="T163" s="239">
        <v>42592</v>
      </c>
      <c r="U163" s="178">
        <v>13.5</v>
      </c>
      <c r="V163" s="239">
        <v>42586</v>
      </c>
      <c r="Y163" s="238">
        <v>3.6571999999999996</v>
      </c>
      <c r="Z163" s="239">
        <v>42592</v>
      </c>
      <c r="AA163" s="178">
        <v>45</v>
      </c>
      <c r="AB163" s="239">
        <v>42249</v>
      </c>
      <c r="AE163" s="238">
        <v>22.3</v>
      </c>
      <c r="AF163" s="239">
        <v>42586</v>
      </c>
      <c r="AI163" s="232">
        <v>140</v>
      </c>
      <c r="AJ163" s="239">
        <v>42507</v>
      </c>
      <c r="AK163" s="238">
        <v>9.6</v>
      </c>
      <c r="BG163" s="238">
        <v>-6.9</v>
      </c>
      <c r="BH163" s="239">
        <v>42592</v>
      </c>
      <c r="BM163" s="238">
        <v>62.6</v>
      </c>
      <c r="BN163" s="239">
        <v>42592</v>
      </c>
      <c r="BQ163" s="238">
        <v>10.1</v>
      </c>
      <c r="BR163" s="239">
        <v>42592</v>
      </c>
      <c r="BS163" s="238">
        <v>47.362637362637365</v>
      </c>
      <c r="BT163" s="239">
        <v>42592</v>
      </c>
      <c r="BU163" s="238">
        <v>18.021978021978018</v>
      </c>
      <c r="BV163" s="239">
        <v>42592</v>
      </c>
      <c r="BW163" s="238">
        <v>12.307692307692307</v>
      </c>
      <c r="BX163" s="239">
        <v>42592</v>
      </c>
      <c r="BY163" s="238"/>
      <c r="BZ163" s="238"/>
      <c r="CA163" s="238">
        <v>34.299999999999997</v>
      </c>
      <c r="CB163" s="239">
        <v>42592</v>
      </c>
      <c r="CC163" s="238"/>
      <c r="CD163" s="238"/>
      <c r="CF163" s="238"/>
    </row>
    <row r="164" spans="1:84" s="178" customFormat="1" ht="12">
      <c r="A164" s="232">
        <v>37</v>
      </c>
      <c r="B164" s="232" t="str">
        <f>VLOOKUP(A164,PlantMaterial!B:C,2,0)</f>
        <v>RAPSO_323</v>
      </c>
      <c r="C164" s="238" t="s">
        <v>7689</v>
      </c>
      <c r="D164" s="232">
        <v>4</v>
      </c>
      <c r="E164" s="238" t="s">
        <v>7849</v>
      </c>
      <c r="F164" s="232">
        <v>10</v>
      </c>
      <c r="G164" s="232">
        <v>21</v>
      </c>
      <c r="H164" s="178">
        <v>220.5</v>
      </c>
      <c r="I164" s="238"/>
      <c r="M164" s="238">
        <v>2.29</v>
      </c>
      <c r="N164" s="239">
        <v>42586</v>
      </c>
      <c r="S164" s="178">
        <v>7.13</v>
      </c>
      <c r="T164" s="239">
        <v>42592</v>
      </c>
      <c r="U164" s="178">
        <v>13.5</v>
      </c>
      <c r="V164" s="239">
        <v>42586</v>
      </c>
      <c r="Y164" s="238">
        <v>2.7670499999999998</v>
      </c>
      <c r="Z164" s="239">
        <v>42592</v>
      </c>
      <c r="AA164" s="178">
        <v>45</v>
      </c>
      <c r="AB164" s="239">
        <v>42249</v>
      </c>
      <c r="AE164" s="238">
        <v>16.77</v>
      </c>
      <c r="AF164" s="239">
        <v>42586</v>
      </c>
      <c r="AI164" s="232">
        <v>165</v>
      </c>
      <c r="AJ164" s="239">
        <v>42507</v>
      </c>
      <c r="AK164" s="238">
        <v>10</v>
      </c>
      <c r="BG164" s="238">
        <v>-9.4</v>
      </c>
      <c r="BH164" s="239">
        <v>42592</v>
      </c>
      <c r="BM164" s="238">
        <v>60.7</v>
      </c>
      <c r="BN164" s="239">
        <v>42592</v>
      </c>
      <c r="BQ164" s="238">
        <v>10.9</v>
      </c>
      <c r="BR164" s="239">
        <v>42592</v>
      </c>
      <c r="BS164" s="238">
        <v>46.703296703296701</v>
      </c>
      <c r="BT164" s="239">
        <v>42592</v>
      </c>
      <c r="BU164" s="238">
        <v>18.131868131868131</v>
      </c>
      <c r="BV164" s="239">
        <v>42592</v>
      </c>
      <c r="BW164" s="238">
        <v>15.164835164835164</v>
      </c>
      <c r="BX164" s="239">
        <v>42592</v>
      </c>
      <c r="BY164" s="238"/>
      <c r="BZ164" s="238"/>
      <c r="CA164" s="238">
        <v>34.1</v>
      </c>
      <c r="CB164" s="239">
        <v>42592</v>
      </c>
      <c r="CC164" s="238"/>
      <c r="CD164" s="238"/>
      <c r="CF164" s="238"/>
    </row>
    <row r="165" spans="1:84" s="178" customFormat="1" ht="12">
      <c r="A165" s="232">
        <v>38</v>
      </c>
      <c r="B165" s="232" t="str">
        <f>VLOOKUP(A165,PlantMaterial!B:C,2,0)</f>
        <v>C04-1RAGTQ0</v>
      </c>
      <c r="C165" s="238" t="s">
        <v>7689</v>
      </c>
      <c r="D165" s="232">
        <v>4</v>
      </c>
      <c r="E165" s="238" t="s">
        <v>7850</v>
      </c>
      <c r="F165" s="232">
        <v>11</v>
      </c>
      <c r="G165" s="232">
        <v>21</v>
      </c>
      <c r="H165" s="178">
        <v>220.5</v>
      </c>
      <c r="I165" s="238"/>
      <c r="M165" s="238">
        <v>2.6</v>
      </c>
      <c r="N165" s="239">
        <v>42586</v>
      </c>
      <c r="S165" s="178">
        <v>8.0399999999999991</v>
      </c>
      <c r="T165" s="239">
        <v>42592</v>
      </c>
      <c r="U165" s="178">
        <v>13.5</v>
      </c>
      <c r="V165" s="239">
        <v>42586</v>
      </c>
      <c r="Y165" s="238">
        <v>3.3199199999999998</v>
      </c>
      <c r="Z165" s="239">
        <v>42592</v>
      </c>
      <c r="AA165" s="178">
        <v>45</v>
      </c>
      <c r="AB165" s="239">
        <v>42249</v>
      </c>
      <c r="AE165" s="238">
        <v>19.079999999999998</v>
      </c>
      <c r="AF165" s="239">
        <v>42586</v>
      </c>
      <c r="AI165" s="232">
        <v>160</v>
      </c>
      <c r="AJ165" s="239">
        <v>42507</v>
      </c>
      <c r="AK165" s="238">
        <v>9.8000000000000007</v>
      </c>
      <c r="BG165" s="238">
        <v>-10.6</v>
      </c>
      <c r="BH165" s="239">
        <v>42592</v>
      </c>
      <c r="BM165" s="238">
        <v>59.7</v>
      </c>
      <c r="BN165" s="239">
        <v>42592</v>
      </c>
      <c r="BQ165" s="238">
        <v>11.3</v>
      </c>
      <c r="BR165" s="239">
        <v>42592</v>
      </c>
      <c r="BS165" s="238">
        <v>46.373626373626372</v>
      </c>
      <c r="BT165" s="239">
        <v>42592</v>
      </c>
      <c r="BU165" s="238">
        <v>19.120879120879117</v>
      </c>
      <c r="BV165" s="239">
        <v>42592</v>
      </c>
      <c r="BW165" s="238">
        <v>15.604395604395602</v>
      </c>
      <c r="BX165" s="239">
        <v>42592</v>
      </c>
      <c r="BY165" s="238"/>
      <c r="BZ165" s="238"/>
      <c r="CA165" s="238">
        <v>35.6</v>
      </c>
      <c r="CB165" s="239">
        <v>42592</v>
      </c>
      <c r="CC165" s="238"/>
      <c r="CD165" s="238"/>
      <c r="CF165" s="238"/>
    </row>
    <row r="166" spans="1:84" s="178" customFormat="1" ht="12">
      <c r="A166" s="232">
        <v>39</v>
      </c>
      <c r="B166" s="232" t="str">
        <f>VLOOKUP(A166,PlantMaterial!B:C,2,0)</f>
        <v>C04-1RAGTQ1</v>
      </c>
      <c r="C166" s="238" t="s">
        <v>7689</v>
      </c>
      <c r="D166" s="232">
        <v>4</v>
      </c>
      <c r="E166" s="238" t="s">
        <v>7851</v>
      </c>
      <c r="F166" s="232">
        <v>12</v>
      </c>
      <c r="G166" s="232">
        <v>21</v>
      </c>
      <c r="H166" s="178">
        <v>220.5</v>
      </c>
      <c r="I166" s="238"/>
      <c r="M166" s="238">
        <v>2.52</v>
      </c>
      <c r="N166" s="239">
        <v>42586</v>
      </c>
      <c r="S166" s="178">
        <v>7.91</v>
      </c>
      <c r="T166" s="239">
        <v>42592</v>
      </c>
      <c r="U166" s="178">
        <v>13.5</v>
      </c>
      <c r="V166" s="239">
        <v>42586</v>
      </c>
      <c r="Y166" s="238">
        <v>3.12819</v>
      </c>
      <c r="Z166" s="239">
        <v>42592</v>
      </c>
      <c r="AA166" s="178">
        <v>45</v>
      </c>
      <c r="AB166" s="239">
        <v>42249</v>
      </c>
      <c r="AE166" s="238">
        <v>18.510000000000002</v>
      </c>
      <c r="AF166" s="239">
        <v>42586</v>
      </c>
      <c r="AI166" s="232">
        <v>165</v>
      </c>
      <c r="AJ166" s="239">
        <v>42507</v>
      </c>
      <c r="AK166" s="238">
        <v>9.8000000000000007</v>
      </c>
      <c r="BG166" s="238">
        <v>-7.3</v>
      </c>
      <c r="BH166" s="239">
        <v>42592</v>
      </c>
      <c r="BM166" s="238">
        <v>61</v>
      </c>
      <c r="BN166" s="239">
        <v>42592</v>
      </c>
      <c r="BQ166" s="238">
        <v>10.6</v>
      </c>
      <c r="BR166" s="239">
        <v>42592</v>
      </c>
      <c r="BS166" s="238">
        <v>46.923076923076927</v>
      </c>
      <c r="BT166" s="239">
        <v>42592</v>
      </c>
      <c r="BU166" s="238">
        <v>18.571428571428569</v>
      </c>
      <c r="BV166" s="239">
        <v>42592</v>
      </c>
      <c r="BW166" s="238">
        <v>12.637362637362637</v>
      </c>
      <c r="BX166" s="239">
        <v>42592</v>
      </c>
      <c r="BY166" s="238"/>
      <c r="BZ166" s="238"/>
      <c r="CA166" s="238">
        <v>34.9</v>
      </c>
      <c r="CB166" s="239">
        <v>42592</v>
      </c>
      <c r="CC166" s="238"/>
      <c r="CD166" s="238"/>
      <c r="CF166" s="238"/>
    </row>
    <row r="167" spans="1:84" s="178" customFormat="1" ht="12">
      <c r="A167" s="232">
        <v>40</v>
      </c>
      <c r="B167" s="232" t="str">
        <f>VLOOKUP(A167,PlantMaterial!B:C,2,0)</f>
        <v>RAPSO_325</v>
      </c>
      <c r="C167" s="238" t="s">
        <v>7689</v>
      </c>
      <c r="D167" s="232">
        <v>4</v>
      </c>
      <c r="E167" s="238" t="s">
        <v>7852</v>
      </c>
      <c r="F167" s="232">
        <v>13</v>
      </c>
      <c r="G167" s="232">
        <v>21</v>
      </c>
      <c r="H167" s="178">
        <v>220.5</v>
      </c>
      <c r="I167" s="238"/>
      <c r="M167" s="238">
        <v>3.97</v>
      </c>
      <c r="N167" s="239">
        <v>42586</v>
      </c>
      <c r="S167" s="178">
        <v>12.43</v>
      </c>
      <c r="T167" s="239">
        <v>42592</v>
      </c>
      <c r="U167" s="178">
        <v>13.5</v>
      </c>
      <c r="V167" s="239">
        <v>42586</v>
      </c>
      <c r="Y167" s="238">
        <v>4.9966200000000001</v>
      </c>
      <c r="Z167" s="239">
        <v>42592</v>
      </c>
      <c r="AA167" s="178">
        <v>45</v>
      </c>
      <c r="AB167" s="239">
        <v>42249</v>
      </c>
      <c r="AE167" s="238">
        <v>29.22</v>
      </c>
      <c r="AF167" s="239">
        <v>42586</v>
      </c>
      <c r="AI167" s="232">
        <v>165</v>
      </c>
      <c r="AJ167" s="239">
        <v>42507</v>
      </c>
      <c r="AK167" s="238">
        <v>9.6</v>
      </c>
      <c r="BG167" s="238">
        <v>-8.6</v>
      </c>
      <c r="BH167" s="239">
        <v>42592</v>
      </c>
      <c r="BM167" s="238">
        <v>62</v>
      </c>
      <c r="BN167" s="239">
        <v>42592</v>
      </c>
      <c r="BQ167" s="238">
        <v>11.1</v>
      </c>
      <c r="BR167" s="239">
        <v>42592</v>
      </c>
      <c r="BS167" s="238">
        <v>46.703296703296701</v>
      </c>
      <c r="BT167" s="239">
        <v>42592</v>
      </c>
      <c r="BU167" s="238">
        <v>18.791208791208792</v>
      </c>
      <c r="BV167" s="239">
        <v>42592</v>
      </c>
      <c r="BW167" s="238">
        <v>17.252747252747252</v>
      </c>
      <c r="BX167" s="239">
        <v>42592</v>
      </c>
      <c r="BY167" s="238"/>
      <c r="BZ167" s="238"/>
      <c r="CA167" s="238">
        <v>35.200000000000003</v>
      </c>
      <c r="CB167" s="239">
        <v>42592</v>
      </c>
      <c r="CC167" s="238"/>
      <c r="CD167" s="238"/>
      <c r="CF167" s="238"/>
    </row>
    <row r="168" spans="1:84" s="178" customFormat="1" ht="12">
      <c r="A168" s="232">
        <v>41</v>
      </c>
      <c r="B168" s="232" t="str">
        <f>VLOOKUP(A168,PlantMaterial!B:C,2,0)</f>
        <v>C04-1SYNQ0</v>
      </c>
      <c r="C168" s="238" t="s">
        <v>7689</v>
      </c>
      <c r="D168" s="232">
        <v>4</v>
      </c>
      <c r="E168" s="238" t="s">
        <v>7853</v>
      </c>
      <c r="F168" s="232">
        <v>14</v>
      </c>
      <c r="G168" s="232">
        <v>21</v>
      </c>
      <c r="H168" s="178">
        <v>220.5</v>
      </c>
      <c r="I168" s="238"/>
      <c r="M168" s="238">
        <v>3.37</v>
      </c>
      <c r="N168" s="239">
        <v>42586</v>
      </c>
      <c r="S168" s="178">
        <v>10.6</v>
      </c>
      <c r="T168" s="239">
        <v>42592</v>
      </c>
      <c r="U168" s="178">
        <v>13.5</v>
      </c>
      <c r="V168" s="239">
        <v>42586</v>
      </c>
      <c r="Y168" s="238">
        <v>4.2569999999999997</v>
      </c>
      <c r="Z168" s="239">
        <v>42592</v>
      </c>
      <c r="AA168" s="178">
        <v>45</v>
      </c>
      <c r="AB168" s="239">
        <v>42249</v>
      </c>
      <c r="AE168" s="238">
        <v>24.75</v>
      </c>
      <c r="AF168" s="239">
        <v>42586</v>
      </c>
      <c r="AI168" s="232">
        <v>150</v>
      </c>
      <c r="AJ168" s="239">
        <v>42507</v>
      </c>
      <c r="AK168" s="238">
        <v>9.8000000000000007</v>
      </c>
      <c r="BG168" s="238">
        <v>-8.6</v>
      </c>
      <c r="BH168" s="239">
        <v>42592</v>
      </c>
      <c r="BM168" s="238">
        <v>62.7</v>
      </c>
      <c r="BN168" s="239">
        <v>42592</v>
      </c>
      <c r="BQ168" s="238">
        <v>10.6</v>
      </c>
      <c r="BR168" s="239">
        <v>42592</v>
      </c>
      <c r="BS168" s="238">
        <v>47.032967032967029</v>
      </c>
      <c r="BT168" s="239">
        <v>42592</v>
      </c>
      <c r="BU168" s="238">
        <v>18.901098901098898</v>
      </c>
      <c r="BV168" s="239">
        <v>42592</v>
      </c>
      <c r="BW168" s="238">
        <v>18.131868131868131</v>
      </c>
      <c r="BX168" s="239">
        <v>42592</v>
      </c>
      <c r="BY168" s="238"/>
      <c r="BZ168" s="238"/>
      <c r="CA168" s="238">
        <v>35.700000000000003</v>
      </c>
      <c r="CB168" s="239">
        <v>42592</v>
      </c>
      <c r="CC168" s="238"/>
      <c r="CD168" s="238"/>
      <c r="CF168" s="238"/>
    </row>
    <row r="169" spans="1:84" s="178" customFormat="1" ht="12">
      <c r="A169" s="232">
        <v>42</v>
      </c>
      <c r="B169" s="232" t="str">
        <f>VLOOKUP(A169,PlantMaterial!B:C,2,0)</f>
        <v>C04-1SYNQ1</v>
      </c>
      <c r="C169" s="238" t="s">
        <v>7689</v>
      </c>
      <c r="D169" s="232">
        <v>4</v>
      </c>
      <c r="E169" s="238" t="s">
        <v>7854</v>
      </c>
      <c r="F169" s="232">
        <v>15</v>
      </c>
      <c r="G169" s="232">
        <v>21</v>
      </c>
      <c r="H169" s="178">
        <v>220.5</v>
      </c>
      <c r="I169" s="238"/>
      <c r="M169" s="238">
        <v>3.24</v>
      </c>
      <c r="N169" s="239">
        <v>42586</v>
      </c>
      <c r="S169" s="178">
        <v>10.199999999999999</v>
      </c>
      <c r="T169" s="239">
        <v>42592</v>
      </c>
      <c r="U169" s="178">
        <v>13.5</v>
      </c>
      <c r="V169" s="239">
        <v>42586</v>
      </c>
      <c r="Y169" s="238">
        <v>4.0238899999999997</v>
      </c>
      <c r="Z169" s="239">
        <v>42592</v>
      </c>
      <c r="AA169" s="178">
        <v>45</v>
      </c>
      <c r="AB169" s="239">
        <v>42249</v>
      </c>
      <c r="AE169" s="238">
        <v>23.81</v>
      </c>
      <c r="AF169" s="239">
        <v>42586</v>
      </c>
      <c r="AI169" s="232">
        <v>140</v>
      </c>
      <c r="AJ169" s="239">
        <v>42507</v>
      </c>
      <c r="AK169" s="238">
        <v>9.6999999999999993</v>
      </c>
      <c r="BG169" s="238">
        <v>-7.1</v>
      </c>
      <c r="BH169" s="239">
        <v>42592</v>
      </c>
      <c r="BM169" s="238">
        <v>61.5</v>
      </c>
      <c r="BN169" s="239">
        <v>42592</v>
      </c>
      <c r="BQ169" s="238">
        <v>10.8</v>
      </c>
      <c r="BR169" s="239">
        <v>42592</v>
      </c>
      <c r="BS169" s="238">
        <v>47.032967032967029</v>
      </c>
      <c r="BT169" s="239">
        <v>42592</v>
      </c>
      <c r="BU169" s="238">
        <v>18.571428571428569</v>
      </c>
      <c r="BV169" s="239">
        <v>42592</v>
      </c>
      <c r="BW169" s="238">
        <v>16.043956043956044</v>
      </c>
      <c r="BX169" s="239">
        <v>42592</v>
      </c>
      <c r="BY169" s="238"/>
      <c r="BZ169" s="238"/>
      <c r="CA169" s="238">
        <v>35.1</v>
      </c>
      <c r="CB169" s="239">
        <v>42592</v>
      </c>
      <c r="CC169" s="238"/>
      <c r="CD169" s="238"/>
      <c r="CF169" s="238"/>
    </row>
    <row r="170" spans="1:84" s="242" customFormat="1" ht="12">
      <c r="A170" s="240">
        <v>1</v>
      </c>
      <c r="B170" s="240" t="str">
        <f>VLOOKUP(A170,PlantMaterial!B:C,2,0)</f>
        <v>AVISO</v>
      </c>
      <c r="C170" s="241" t="s">
        <v>7689</v>
      </c>
      <c r="D170" s="240">
        <v>5</v>
      </c>
      <c r="E170" s="241" t="s">
        <v>7936</v>
      </c>
      <c r="F170" s="240">
        <v>10</v>
      </c>
      <c r="G170" s="240">
        <v>14</v>
      </c>
      <c r="H170" s="242">
        <v>147</v>
      </c>
      <c r="I170" s="241" t="s">
        <v>7855</v>
      </c>
      <c r="J170" s="243">
        <v>42430</v>
      </c>
      <c r="M170" s="241">
        <v>2.61</v>
      </c>
      <c r="N170" s="243">
        <v>42586</v>
      </c>
      <c r="S170" s="242">
        <v>7.78</v>
      </c>
      <c r="T170" s="243">
        <v>42592</v>
      </c>
      <c r="U170" s="242">
        <v>13.5</v>
      </c>
      <c r="V170" s="243">
        <v>42586</v>
      </c>
      <c r="Y170" s="241">
        <v>3.4661500000000003</v>
      </c>
      <c r="Z170" s="243">
        <v>42592</v>
      </c>
      <c r="AA170" s="242">
        <v>45</v>
      </c>
      <c r="AB170" s="243">
        <v>42249</v>
      </c>
      <c r="AE170" s="241">
        <v>19.149999999999999</v>
      </c>
      <c r="AF170" s="243">
        <v>42586</v>
      </c>
      <c r="AI170" s="240">
        <v>140</v>
      </c>
      <c r="AJ170" s="243">
        <v>42507</v>
      </c>
      <c r="AK170" s="241">
        <v>9.8000000000000007</v>
      </c>
      <c r="BG170" s="241">
        <v>-9.4</v>
      </c>
      <c r="BH170" s="243">
        <v>42592</v>
      </c>
      <c r="BM170" s="241">
        <v>59</v>
      </c>
      <c r="BN170" s="243">
        <v>42592</v>
      </c>
      <c r="BQ170" s="241">
        <v>12.1</v>
      </c>
      <c r="BR170" s="243">
        <v>42592</v>
      </c>
      <c r="BS170" s="241">
        <v>44.615384615384613</v>
      </c>
      <c r="BT170" s="243">
        <v>42592</v>
      </c>
      <c r="BU170" s="241">
        <v>19.890109890109891</v>
      </c>
      <c r="BV170" s="243">
        <v>42592</v>
      </c>
      <c r="BW170" s="241">
        <v>16.263736263736263</v>
      </c>
      <c r="BX170" s="243">
        <v>42592</v>
      </c>
      <c r="BY170" s="241"/>
      <c r="BZ170" s="241"/>
      <c r="CA170" s="241">
        <v>36</v>
      </c>
      <c r="CB170" s="243">
        <v>42592</v>
      </c>
      <c r="CC170" s="241"/>
      <c r="CD170" s="241"/>
      <c r="CF170" s="241"/>
    </row>
    <row r="171" spans="1:84" s="178" customFormat="1" ht="12">
      <c r="A171" s="232">
        <v>2</v>
      </c>
      <c r="B171" s="232" t="str">
        <f>VLOOKUP(A171,PlantMaterial!B:C,2,0)</f>
        <v>A05-AMQ0</v>
      </c>
      <c r="C171" s="238" t="s">
        <v>7689</v>
      </c>
      <c r="D171" s="232">
        <v>5</v>
      </c>
      <c r="E171" s="238" t="s">
        <v>7856</v>
      </c>
      <c r="F171" s="232">
        <v>15</v>
      </c>
      <c r="G171" s="232">
        <v>9</v>
      </c>
      <c r="H171" s="178">
        <v>94.5</v>
      </c>
      <c r="I171" s="238"/>
      <c r="M171" s="238">
        <v>2.99</v>
      </c>
      <c r="N171" s="239">
        <v>42586</v>
      </c>
      <c r="S171" s="178">
        <v>9.3800000000000008</v>
      </c>
      <c r="T171" s="239">
        <v>42592</v>
      </c>
      <c r="U171" s="178">
        <v>13.5</v>
      </c>
      <c r="V171" s="239">
        <v>42586</v>
      </c>
      <c r="Y171" s="238">
        <v>3.7551600000000001</v>
      </c>
      <c r="Z171" s="239">
        <v>42592</v>
      </c>
      <c r="AA171" s="178">
        <v>45</v>
      </c>
      <c r="AB171" s="239">
        <v>42249</v>
      </c>
      <c r="AE171" s="238">
        <v>21.96</v>
      </c>
      <c r="AF171" s="239">
        <v>42586</v>
      </c>
      <c r="AI171" s="232">
        <v>135</v>
      </c>
      <c r="AJ171" s="239">
        <v>42507</v>
      </c>
      <c r="AK171" s="238">
        <v>9.8000000000000007</v>
      </c>
      <c r="BG171" s="238">
        <v>-9.5</v>
      </c>
      <c r="BH171" s="239">
        <v>42592</v>
      </c>
      <c r="BM171" s="238">
        <v>59.6</v>
      </c>
      <c r="BN171" s="239">
        <v>42592</v>
      </c>
      <c r="BQ171" s="238">
        <v>11.6</v>
      </c>
      <c r="BR171" s="239">
        <v>42592</v>
      </c>
      <c r="BS171" s="238">
        <v>46.923076923076927</v>
      </c>
      <c r="BT171" s="239">
        <v>42592</v>
      </c>
      <c r="BU171" s="238">
        <v>18.791208791208792</v>
      </c>
      <c r="BV171" s="239">
        <v>42592</v>
      </c>
      <c r="BW171" s="238">
        <v>13.296703296703296</v>
      </c>
      <c r="BX171" s="239">
        <v>42592</v>
      </c>
      <c r="BY171" s="238"/>
      <c r="BZ171" s="238"/>
      <c r="CA171" s="238">
        <v>35.299999999999997</v>
      </c>
      <c r="CB171" s="239">
        <v>42592</v>
      </c>
      <c r="CC171" s="238"/>
      <c r="CD171" s="238"/>
      <c r="CF171" s="238"/>
    </row>
    <row r="172" spans="1:84" s="242" customFormat="1" ht="12">
      <c r="A172" s="240">
        <v>3</v>
      </c>
      <c r="B172" s="240" t="str">
        <f>VLOOKUP(A172,PlantMaterial!B:C,2,0)</f>
        <v>MONTEGO</v>
      </c>
      <c r="C172" s="241" t="s">
        <v>7689</v>
      </c>
      <c r="D172" s="240">
        <v>5</v>
      </c>
      <c r="E172" s="241" t="s">
        <v>7936</v>
      </c>
      <c r="F172" s="240">
        <v>11</v>
      </c>
      <c r="G172" s="240">
        <v>13</v>
      </c>
      <c r="H172" s="242">
        <v>136.5</v>
      </c>
      <c r="I172" s="241"/>
      <c r="M172" s="241">
        <v>3.04</v>
      </c>
      <c r="N172" s="243">
        <v>42586</v>
      </c>
      <c r="S172" s="242">
        <v>9.4499999999999993</v>
      </c>
      <c r="T172" s="243">
        <v>42592</v>
      </c>
      <c r="U172" s="242">
        <v>13.5</v>
      </c>
      <c r="V172" s="243">
        <v>42586</v>
      </c>
      <c r="Y172" s="241">
        <v>4.0586000000000002</v>
      </c>
      <c r="Z172" s="243">
        <v>42592</v>
      </c>
      <c r="AA172" s="242">
        <v>45</v>
      </c>
      <c r="AB172" s="243">
        <v>42249</v>
      </c>
      <c r="AE172" s="241">
        <v>22.3</v>
      </c>
      <c r="AF172" s="243">
        <v>42586</v>
      </c>
      <c r="AI172" s="240">
        <v>130</v>
      </c>
      <c r="AJ172" s="243">
        <v>42507</v>
      </c>
      <c r="AK172" s="241">
        <v>9.9</v>
      </c>
      <c r="BG172" s="241">
        <v>-8.4</v>
      </c>
      <c r="BH172" s="243">
        <v>42592</v>
      </c>
      <c r="BM172" s="241">
        <v>61.6</v>
      </c>
      <c r="BN172" s="243">
        <v>42592</v>
      </c>
      <c r="BQ172" s="241">
        <v>10.7</v>
      </c>
      <c r="BR172" s="243">
        <v>42592</v>
      </c>
      <c r="BS172" s="241">
        <v>46.593406593406591</v>
      </c>
      <c r="BT172" s="243">
        <v>42592</v>
      </c>
      <c r="BU172" s="241">
        <v>20</v>
      </c>
      <c r="BV172" s="243">
        <v>42592</v>
      </c>
      <c r="BW172" s="241">
        <v>17.032967032967033</v>
      </c>
      <c r="BX172" s="243">
        <v>42592</v>
      </c>
      <c r="BY172" s="241"/>
      <c r="BZ172" s="241"/>
      <c r="CA172" s="241">
        <v>37.4</v>
      </c>
      <c r="CB172" s="243">
        <v>42592</v>
      </c>
      <c r="CC172" s="241"/>
      <c r="CD172" s="241"/>
      <c r="CF172" s="241"/>
    </row>
    <row r="173" spans="1:84" s="178" customFormat="1" ht="12">
      <c r="A173" s="232">
        <v>4</v>
      </c>
      <c r="B173" s="232" t="str">
        <f>VLOOKUP(A173,PlantMaterial!B:C,2,0)</f>
        <v>A05-AMQ1</v>
      </c>
      <c r="C173" s="238" t="s">
        <v>7689</v>
      </c>
      <c r="D173" s="232">
        <v>5</v>
      </c>
      <c r="E173" s="238" t="s">
        <v>7857</v>
      </c>
      <c r="F173" s="232">
        <v>14</v>
      </c>
      <c r="G173" s="232">
        <v>13</v>
      </c>
      <c r="H173" s="178">
        <v>136.5</v>
      </c>
      <c r="I173" s="238"/>
      <c r="M173" s="238">
        <v>2.84</v>
      </c>
      <c r="N173" s="239">
        <v>42586</v>
      </c>
      <c r="S173" s="178">
        <v>8.61</v>
      </c>
      <c r="T173" s="239">
        <v>42592</v>
      </c>
      <c r="U173" s="178">
        <v>13.5</v>
      </c>
      <c r="V173" s="239">
        <v>42586</v>
      </c>
      <c r="Y173" s="238">
        <v>4.0964</v>
      </c>
      <c r="Z173" s="239">
        <v>42592</v>
      </c>
      <c r="AA173" s="178">
        <v>45</v>
      </c>
      <c r="AB173" s="239">
        <v>42249</v>
      </c>
      <c r="AE173" s="238">
        <v>20.9</v>
      </c>
      <c r="AF173" s="239">
        <v>42586</v>
      </c>
      <c r="AI173" s="232">
        <v>120</v>
      </c>
      <c r="AJ173" s="239">
        <v>42507</v>
      </c>
      <c r="AK173" s="238">
        <v>9.6</v>
      </c>
      <c r="BG173" s="238">
        <v>-8.8000000000000007</v>
      </c>
      <c r="BH173" s="239">
        <v>42592</v>
      </c>
      <c r="BM173" s="238">
        <v>60.4</v>
      </c>
      <c r="BN173" s="239">
        <v>42592</v>
      </c>
      <c r="BQ173" s="238">
        <v>11.8</v>
      </c>
      <c r="BR173" s="239">
        <v>42592</v>
      </c>
      <c r="BS173" s="238">
        <v>45.274725274725277</v>
      </c>
      <c r="BT173" s="239">
        <v>42592</v>
      </c>
      <c r="BU173" s="238">
        <v>21.53846153846154</v>
      </c>
      <c r="BV173" s="239">
        <v>42592</v>
      </c>
      <c r="BW173" s="238">
        <v>16.593406593406591</v>
      </c>
      <c r="BX173" s="239">
        <v>42592</v>
      </c>
      <c r="BY173" s="238"/>
      <c r="BZ173" s="238"/>
      <c r="CA173" s="238">
        <v>39.4</v>
      </c>
      <c r="CB173" s="239">
        <v>42592</v>
      </c>
      <c r="CC173" s="238"/>
      <c r="CD173" s="238"/>
      <c r="CF173" s="238"/>
    </row>
    <row r="174" spans="1:84" s="242" customFormat="1" ht="12">
      <c r="A174" s="240">
        <v>5</v>
      </c>
      <c r="B174" s="240" t="str">
        <f>VLOOKUP(A174,PlantMaterial!B:C,2,0)</f>
        <v>TENOR</v>
      </c>
      <c r="C174" s="241" t="s">
        <v>7689</v>
      </c>
      <c r="D174" s="240">
        <v>5</v>
      </c>
      <c r="E174" s="241" t="s">
        <v>7936</v>
      </c>
      <c r="F174" s="240">
        <v>10</v>
      </c>
      <c r="G174" s="240">
        <v>13</v>
      </c>
      <c r="H174" s="242">
        <v>136.5</v>
      </c>
      <c r="I174" s="241"/>
      <c r="M174" s="241">
        <v>2.2799999999999998</v>
      </c>
      <c r="N174" s="243">
        <v>42586</v>
      </c>
      <c r="S174" s="242">
        <v>7.18</v>
      </c>
      <c r="T174" s="243">
        <v>42592</v>
      </c>
      <c r="U174" s="242">
        <v>13.5</v>
      </c>
      <c r="V174" s="243">
        <v>42586</v>
      </c>
      <c r="Y174" s="241">
        <v>2.948</v>
      </c>
      <c r="Z174" s="243">
        <v>42592</v>
      </c>
      <c r="AA174" s="242">
        <v>45</v>
      </c>
      <c r="AB174" s="243">
        <v>42249</v>
      </c>
      <c r="AE174" s="241">
        <v>16.75</v>
      </c>
      <c r="AF174" s="243">
        <v>42586</v>
      </c>
      <c r="AI174" s="240">
        <v>130</v>
      </c>
      <c r="AJ174" s="243">
        <v>42507</v>
      </c>
      <c r="AK174" s="241">
        <v>9.8000000000000007</v>
      </c>
      <c r="BG174" s="241">
        <v>-8.4</v>
      </c>
      <c r="BH174" s="243">
        <v>42592</v>
      </c>
      <c r="BM174" s="241">
        <v>60.5</v>
      </c>
      <c r="BN174" s="243">
        <v>42592</v>
      </c>
      <c r="BQ174" s="241">
        <v>11.8</v>
      </c>
      <c r="BR174" s="243">
        <v>42592</v>
      </c>
      <c r="BS174" s="241">
        <v>47.142857142857139</v>
      </c>
      <c r="BT174" s="243">
        <v>42592</v>
      </c>
      <c r="BU174" s="241">
        <v>19.340659340659343</v>
      </c>
      <c r="BV174" s="243">
        <v>42592</v>
      </c>
      <c r="BW174" s="241">
        <v>18.901098901098898</v>
      </c>
      <c r="BX174" s="243">
        <v>42592</v>
      </c>
      <c r="BY174" s="241"/>
      <c r="BZ174" s="241"/>
      <c r="CA174" s="241">
        <v>36.6</v>
      </c>
      <c r="CB174" s="243">
        <v>42592</v>
      </c>
      <c r="CC174" s="241"/>
      <c r="CD174" s="241"/>
      <c r="CF174" s="241"/>
    </row>
    <row r="175" spans="1:84" s="178" customFormat="1" ht="12">
      <c r="A175" s="232">
        <v>6</v>
      </c>
      <c r="B175" s="232" t="str">
        <f>VLOOKUP(A175,PlantMaterial!B:C,2,0)</f>
        <v>C03-AMQ0</v>
      </c>
      <c r="C175" s="238" t="s">
        <v>7689</v>
      </c>
      <c r="D175" s="232">
        <v>5</v>
      </c>
      <c r="E175" s="238" t="s">
        <v>7858</v>
      </c>
      <c r="F175" s="232">
        <v>13</v>
      </c>
      <c r="G175" s="232">
        <v>13</v>
      </c>
      <c r="H175" s="178">
        <v>136.5</v>
      </c>
      <c r="I175" s="238"/>
      <c r="M175" s="238">
        <v>2.61</v>
      </c>
      <c r="N175" s="239">
        <v>42586</v>
      </c>
      <c r="S175" s="178">
        <v>8.1199999999999992</v>
      </c>
      <c r="T175" s="239">
        <v>42592</v>
      </c>
      <c r="U175" s="178">
        <v>13.5</v>
      </c>
      <c r="V175" s="239">
        <v>42586</v>
      </c>
      <c r="Y175" s="238">
        <v>3.4001700000000001</v>
      </c>
      <c r="Z175" s="239">
        <v>42592</v>
      </c>
      <c r="AA175" s="178">
        <v>45</v>
      </c>
      <c r="AB175" s="239">
        <v>42249</v>
      </c>
      <c r="AE175" s="238">
        <v>19.21</v>
      </c>
      <c r="AF175" s="239">
        <v>42586</v>
      </c>
      <c r="AI175" s="232">
        <v>120</v>
      </c>
      <c r="AJ175" s="239">
        <v>42507</v>
      </c>
      <c r="AK175" s="238">
        <v>9.6</v>
      </c>
      <c r="BG175" s="238">
        <v>-8.4</v>
      </c>
      <c r="BH175" s="239">
        <v>42592</v>
      </c>
      <c r="BM175" s="238">
        <v>60.6</v>
      </c>
      <c r="BN175" s="239">
        <v>42592</v>
      </c>
      <c r="BQ175" s="238">
        <v>11.2</v>
      </c>
      <c r="BR175" s="239">
        <v>42592</v>
      </c>
      <c r="BS175" s="238">
        <v>46.483516483516482</v>
      </c>
      <c r="BT175" s="239">
        <v>42592</v>
      </c>
      <c r="BU175" s="238">
        <v>19.450549450549449</v>
      </c>
      <c r="BV175" s="239">
        <v>42592</v>
      </c>
      <c r="BW175" s="238">
        <v>13.956043956043954</v>
      </c>
      <c r="BX175" s="239">
        <v>42592</v>
      </c>
      <c r="BY175" s="238"/>
      <c r="BZ175" s="238"/>
      <c r="CA175" s="238">
        <v>36.299999999999997</v>
      </c>
      <c r="CB175" s="239">
        <v>42592</v>
      </c>
      <c r="CC175" s="238"/>
      <c r="CD175" s="238"/>
      <c r="CF175" s="238"/>
    </row>
    <row r="176" spans="1:84" s="242" customFormat="1" ht="12">
      <c r="A176" s="240">
        <v>7</v>
      </c>
      <c r="B176" s="240" t="str">
        <f>VLOOKUP(A176,PlantMaterial!B:C,2,0)</f>
        <v>EXPRESS</v>
      </c>
      <c r="C176" s="241" t="s">
        <v>7689</v>
      </c>
      <c r="D176" s="240">
        <v>5</v>
      </c>
      <c r="E176" s="241" t="s">
        <v>7936</v>
      </c>
      <c r="F176" s="240">
        <v>13</v>
      </c>
      <c r="G176" s="240">
        <v>11</v>
      </c>
      <c r="H176" s="242">
        <v>115.5</v>
      </c>
      <c r="I176" s="241"/>
      <c r="M176" s="241">
        <v>2.5</v>
      </c>
      <c r="N176" s="243">
        <v>42586</v>
      </c>
      <c r="S176" s="242">
        <v>7.83</v>
      </c>
      <c r="T176" s="243">
        <v>42592</v>
      </c>
      <c r="U176" s="242">
        <v>13.5</v>
      </c>
      <c r="V176" s="243">
        <v>42586</v>
      </c>
      <c r="Y176" s="241">
        <v>3.2015999999999996</v>
      </c>
      <c r="Z176" s="243">
        <v>42592</v>
      </c>
      <c r="AA176" s="242">
        <v>45</v>
      </c>
      <c r="AB176" s="243">
        <v>42249</v>
      </c>
      <c r="AE176" s="241">
        <v>18.399999999999999</v>
      </c>
      <c r="AF176" s="243">
        <v>42586</v>
      </c>
      <c r="AI176" s="240">
        <v>145</v>
      </c>
      <c r="AJ176" s="243">
        <v>42507</v>
      </c>
      <c r="AK176" s="241">
        <v>9.6</v>
      </c>
      <c r="BG176" s="241">
        <v>-7.5</v>
      </c>
      <c r="BH176" s="243">
        <v>42592</v>
      </c>
      <c r="BM176" s="241">
        <v>61.5</v>
      </c>
      <c r="BN176" s="243">
        <v>42592</v>
      </c>
      <c r="BQ176" s="241">
        <v>10.3</v>
      </c>
      <c r="BR176" s="243">
        <v>42592</v>
      </c>
      <c r="BS176" s="241">
        <v>46.81318681318681</v>
      </c>
      <c r="BT176" s="243">
        <v>42592</v>
      </c>
      <c r="BU176" s="241">
        <v>19.120879120879117</v>
      </c>
      <c r="BV176" s="243">
        <v>42592</v>
      </c>
      <c r="BW176" s="241">
        <v>16.483516483516482</v>
      </c>
      <c r="BX176" s="243">
        <v>42592</v>
      </c>
      <c r="BY176" s="241"/>
      <c r="BZ176" s="241"/>
      <c r="CA176" s="241">
        <v>35.799999999999997</v>
      </c>
      <c r="CB176" s="243">
        <v>42592</v>
      </c>
      <c r="CC176" s="241"/>
      <c r="CD176" s="241"/>
      <c r="CF176" s="241"/>
    </row>
    <row r="177" spans="1:84" s="178" customFormat="1" ht="12">
      <c r="A177" s="232">
        <v>8</v>
      </c>
      <c r="B177" s="232" t="str">
        <f>VLOOKUP(A177,PlantMaterial!B:C,2,0)</f>
        <v>C03-AMQ1</v>
      </c>
      <c r="C177" s="238" t="s">
        <v>7689</v>
      </c>
      <c r="D177" s="232">
        <v>5</v>
      </c>
      <c r="E177" s="238" t="s">
        <v>7859</v>
      </c>
      <c r="F177" s="232">
        <v>12</v>
      </c>
      <c r="G177" s="232">
        <v>12</v>
      </c>
      <c r="H177" s="178">
        <v>126</v>
      </c>
      <c r="I177" s="238"/>
      <c r="M177" s="238">
        <v>3.26</v>
      </c>
      <c r="N177" s="239">
        <v>42586</v>
      </c>
      <c r="S177" s="178">
        <v>10.29</v>
      </c>
      <c r="T177" s="239">
        <v>42592</v>
      </c>
      <c r="U177" s="178">
        <v>13.5</v>
      </c>
      <c r="V177" s="239">
        <v>42586</v>
      </c>
      <c r="Y177" s="238">
        <v>4.2426899999999996</v>
      </c>
      <c r="Z177" s="239">
        <v>42592</v>
      </c>
      <c r="AA177" s="178">
        <v>45</v>
      </c>
      <c r="AB177" s="239">
        <v>42249</v>
      </c>
      <c r="AE177" s="238">
        <v>23.97</v>
      </c>
      <c r="AF177" s="239">
        <v>42586</v>
      </c>
      <c r="AI177" s="232">
        <v>150</v>
      </c>
      <c r="AJ177" s="239">
        <v>42507</v>
      </c>
      <c r="AK177" s="238">
        <v>9.6999999999999993</v>
      </c>
      <c r="BG177" s="238">
        <v>-8.6</v>
      </c>
      <c r="BH177" s="239">
        <v>42592</v>
      </c>
      <c r="BM177" s="238">
        <v>60.7</v>
      </c>
      <c r="BN177" s="239">
        <v>42592</v>
      </c>
      <c r="BQ177" s="238">
        <v>11.7</v>
      </c>
      <c r="BR177" s="239">
        <v>42592</v>
      </c>
      <c r="BS177" s="238">
        <v>47.142857142857139</v>
      </c>
      <c r="BT177" s="239">
        <v>42592</v>
      </c>
      <c r="BU177" s="238">
        <v>19.450549450549449</v>
      </c>
      <c r="BV177" s="239">
        <v>42592</v>
      </c>
      <c r="BW177" s="238">
        <v>16.263736263736263</v>
      </c>
      <c r="BX177" s="239">
        <v>42592</v>
      </c>
      <c r="BY177" s="238"/>
      <c r="BZ177" s="238"/>
      <c r="CA177" s="238">
        <v>36.700000000000003</v>
      </c>
      <c r="CB177" s="239">
        <v>42592</v>
      </c>
      <c r="CC177" s="238"/>
      <c r="CD177" s="238"/>
      <c r="CF177" s="238"/>
    </row>
    <row r="178" spans="1:84" s="178" customFormat="1" ht="12">
      <c r="A178" s="232">
        <v>9</v>
      </c>
      <c r="B178" s="232" t="str">
        <f>VLOOKUP(A178,PlantMaterial!B:C,2,0)</f>
        <v>C04-DKQ0</v>
      </c>
      <c r="C178" s="238" t="s">
        <v>7689</v>
      </c>
      <c r="D178" s="232">
        <v>5</v>
      </c>
      <c r="E178" s="238" t="s">
        <v>7860</v>
      </c>
      <c r="F178" s="232">
        <v>10</v>
      </c>
      <c r="G178" s="232">
        <v>11</v>
      </c>
      <c r="H178" s="178">
        <v>115.5</v>
      </c>
      <c r="I178" s="238"/>
      <c r="M178" s="238">
        <v>2.2999999999999998</v>
      </c>
      <c r="N178" s="239">
        <v>42586</v>
      </c>
      <c r="S178" s="178">
        <v>7.14</v>
      </c>
      <c r="T178" s="239">
        <v>42592</v>
      </c>
      <c r="U178" s="178">
        <v>13.5</v>
      </c>
      <c r="V178" s="239">
        <v>42586</v>
      </c>
      <c r="Y178" s="238">
        <v>2.94408</v>
      </c>
      <c r="Z178" s="239">
        <v>42592</v>
      </c>
      <c r="AA178" s="178">
        <v>45</v>
      </c>
      <c r="AB178" s="239">
        <v>42249</v>
      </c>
      <c r="AE178" s="238">
        <v>16.920000000000002</v>
      </c>
      <c r="AF178" s="239">
        <v>42586</v>
      </c>
      <c r="AI178" s="232">
        <v>145</v>
      </c>
      <c r="AJ178" s="239">
        <v>42507</v>
      </c>
      <c r="AK178" s="238">
        <v>9.6</v>
      </c>
      <c r="BG178" s="238">
        <v>-5.2</v>
      </c>
      <c r="BH178" s="239">
        <v>42592</v>
      </c>
      <c r="BM178" s="238">
        <v>60.3</v>
      </c>
      <c r="BN178" s="239">
        <v>42592</v>
      </c>
      <c r="BQ178" s="238">
        <v>11.4</v>
      </c>
      <c r="BR178" s="239">
        <v>42592</v>
      </c>
      <c r="BS178" s="238">
        <v>46.373626373626372</v>
      </c>
      <c r="BT178" s="239">
        <v>42592</v>
      </c>
      <c r="BU178" s="238">
        <v>19.120879120879117</v>
      </c>
      <c r="BV178" s="239">
        <v>42592</v>
      </c>
      <c r="BW178" s="238">
        <v>16.373626373626372</v>
      </c>
      <c r="BX178" s="239">
        <v>42592</v>
      </c>
      <c r="BY178" s="238"/>
      <c r="BZ178" s="238"/>
      <c r="CA178" s="238">
        <v>35.700000000000003</v>
      </c>
      <c r="CB178" s="239">
        <v>42592</v>
      </c>
      <c r="CC178" s="238"/>
      <c r="CD178" s="238"/>
      <c r="CF178" s="238"/>
    </row>
    <row r="179" spans="1:84" s="178" customFormat="1" ht="12">
      <c r="A179" s="232">
        <v>10</v>
      </c>
      <c r="B179" s="232" t="str">
        <f>VLOOKUP(A179,PlantMaterial!B:C,2,0)</f>
        <v>C04-DKQ1</v>
      </c>
      <c r="C179" s="238" t="s">
        <v>7689</v>
      </c>
      <c r="D179" s="232">
        <v>5</v>
      </c>
      <c r="E179" s="238" t="s">
        <v>7861</v>
      </c>
      <c r="F179" s="232">
        <v>11</v>
      </c>
      <c r="G179" s="232">
        <v>12</v>
      </c>
      <c r="H179" s="178">
        <v>126</v>
      </c>
      <c r="I179" s="238"/>
      <c r="M179" s="238">
        <v>2.61</v>
      </c>
      <c r="N179" s="239">
        <v>42586</v>
      </c>
      <c r="S179" s="178">
        <v>8.0299999999999994</v>
      </c>
      <c r="T179" s="239">
        <v>42592</v>
      </c>
      <c r="U179" s="178">
        <v>13.5</v>
      </c>
      <c r="V179" s="239">
        <v>42586</v>
      </c>
      <c r="Y179" s="238">
        <v>3.4944000000000002</v>
      </c>
      <c r="Z179" s="239">
        <v>42592</v>
      </c>
      <c r="AA179" s="178">
        <v>45</v>
      </c>
      <c r="AB179" s="239">
        <v>42249</v>
      </c>
      <c r="AE179" s="238">
        <v>19.2</v>
      </c>
      <c r="AF179" s="239">
        <v>42586</v>
      </c>
      <c r="AI179" s="232">
        <v>150</v>
      </c>
      <c r="AJ179" s="239">
        <v>42507</v>
      </c>
      <c r="AK179" s="238">
        <v>9.6</v>
      </c>
      <c r="BG179" s="238">
        <v>-7.6</v>
      </c>
      <c r="BH179" s="239">
        <v>42592</v>
      </c>
      <c r="BM179" s="238">
        <v>60</v>
      </c>
      <c r="BN179" s="239">
        <v>42592</v>
      </c>
      <c r="BQ179" s="238">
        <v>11.1</v>
      </c>
      <c r="BR179" s="239">
        <v>42592</v>
      </c>
      <c r="BS179" s="238">
        <v>46.043956043956044</v>
      </c>
      <c r="BT179" s="239">
        <v>42592</v>
      </c>
      <c r="BU179" s="238">
        <v>20</v>
      </c>
      <c r="BV179" s="239">
        <v>42592</v>
      </c>
      <c r="BW179" s="238">
        <v>16.153846153846153</v>
      </c>
      <c r="BX179" s="239">
        <v>42592</v>
      </c>
      <c r="BY179" s="238"/>
      <c r="BZ179" s="238"/>
      <c r="CA179" s="238">
        <v>37</v>
      </c>
      <c r="CB179" s="239">
        <v>42592</v>
      </c>
      <c r="CC179" s="238"/>
      <c r="CD179" s="238"/>
      <c r="CF179" s="238"/>
    </row>
    <row r="180" spans="1:84" s="178" customFormat="1" ht="12">
      <c r="A180" s="232">
        <v>11</v>
      </c>
      <c r="B180" s="232" t="str">
        <f>VLOOKUP(A180,PlantMaterial!B:C,2,0)</f>
        <v>AM087</v>
      </c>
      <c r="C180" s="238" t="s">
        <v>7689</v>
      </c>
      <c r="D180" s="232">
        <v>5</v>
      </c>
      <c r="E180" s="238" t="s">
        <v>7862</v>
      </c>
      <c r="F180" s="232">
        <v>15</v>
      </c>
      <c r="G180" s="232">
        <v>13</v>
      </c>
      <c r="H180" s="178">
        <v>136.5</v>
      </c>
      <c r="I180" s="238"/>
      <c r="M180" s="238">
        <v>3.34</v>
      </c>
      <c r="N180" s="239">
        <v>42586</v>
      </c>
      <c r="S180" s="178">
        <v>10.53</v>
      </c>
      <c r="T180" s="239">
        <v>42592</v>
      </c>
      <c r="U180" s="178">
        <v>13.5</v>
      </c>
      <c r="V180" s="239">
        <v>42586</v>
      </c>
      <c r="Y180" s="238">
        <v>4.2225999999999999</v>
      </c>
      <c r="Z180" s="239">
        <v>42592</v>
      </c>
      <c r="AA180" s="178">
        <v>45</v>
      </c>
      <c r="AB180" s="239">
        <v>42249</v>
      </c>
      <c r="AE180" s="238">
        <v>24.55</v>
      </c>
      <c r="AF180" s="239">
        <v>42586</v>
      </c>
      <c r="AI180" s="232">
        <v>120</v>
      </c>
      <c r="AJ180" s="239">
        <v>42507</v>
      </c>
      <c r="AK180" s="238">
        <v>9.6999999999999993</v>
      </c>
      <c r="BG180" s="238">
        <v>-8.4</v>
      </c>
      <c r="BH180" s="239">
        <v>42592</v>
      </c>
      <c r="BM180" s="238">
        <v>61.9</v>
      </c>
      <c r="BN180" s="239">
        <v>42592</v>
      </c>
      <c r="BQ180" s="238">
        <v>11</v>
      </c>
      <c r="BR180" s="239">
        <v>42592</v>
      </c>
      <c r="BS180" s="238">
        <v>47.142857142857139</v>
      </c>
      <c r="BT180" s="239">
        <v>42592</v>
      </c>
      <c r="BU180" s="238">
        <v>18.901098901098898</v>
      </c>
      <c r="BV180" s="239">
        <v>42592</v>
      </c>
      <c r="BW180" s="238">
        <v>15.384615384615383</v>
      </c>
      <c r="BX180" s="239">
        <v>42592</v>
      </c>
      <c r="BY180" s="238"/>
      <c r="BZ180" s="238"/>
      <c r="CA180" s="238">
        <v>35.799999999999997</v>
      </c>
      <c r="CB180" s="239">
        <v>42592</v>
      </c>
      <c r="CC180" s="238"/>
      <c r="CD180" s="238"/>
      <c r="CF180" s="238"/>
    </row>
    <row r="181" spans="1:84" s="178" customFormat="1" ht="12">
      <c r="A181" s="232">
        <v>12</v>
      </c>
      <c r="B181" s="232" t="str">
        <f>VLOOKUP(A181,PlantMaterial!B:C,2,0)</f>
        <v>AVISO</v>
      </c>
      <c r="C181" s="238" t="s">
        <v>7689</v>
      </c>
      <c r="D181" s="232">
        <v>5</v>
      </c>
      <c r="E181" s="238" t="s">
        <v>7863</v>
      </c>
      <c r="F181" s="232">
        <v>12</v>
      </c>
      <c r="G181" s="232">
        <v>14</v>
      </c>
      <c r="H181" s="178">
        <v>147</v>
      </c>
      <c r="I181" s="238"/>
      <c r="M181" s="238">
        <v>2.54</v>
      </c>
      <c r="N181" s="239">
        <v>42586</v>
      </c>
      <c r="S181" s="178">
        <v>7.68</v>
      </c>
      <c r="T181" s="239">
        <v>42592</v>
      </c>
      <c r="U181" s="178">
        <v>13.5</v>
      </c>
      <c r="V181" s="239">
        <v>42586</v>
      </c>
      <c r="Y181" s="238">
        <v>3.4912900000000002</v>
      </c>
      <c r="Z181" s="239">
        <v>42592</v>
      </c>
      <c r="AA181" s="178">
        <v>45</v>
      </c>
      <c r="AB181" s="239">
        <v>42249</v>
      </c>
      <c r="AE181" s="238">
        <v>18.670000000000002</v>
      </c>
      <c r="AF181" s="239">
        <v>42586</v>
      </c>
      <c r="AI181" s="232">
        <v>140</v>
      </c>
      <c r="AJ181" s="239">
        <v>42507</v>
      </c>
      <c r="AK181" s="238">
        <v>9.6999999999999993</v>
      </c>
      <c r="BG181" s="238">
        <v>-8.1999999999999993</v>
      </c>
      <c r="BH181" s="239">
        <v>42592</v>
      </c>
      <c r="BM181" s="238">
        <v>59.7</v>
      </c>
      <c r="BN181" s="239">
        <v>42592</v>
      </c>
      <c r="BQ181" s="238">
        <v>11.9</v>
      </c>
      <c r="BR181" s="239">
        <v>42592</v>
      </c>
      <c r="BS181" s="238">
        <v>45.164835164835168</v>
      </c>
      <c r="BT181" s="239">
        <v>42592</v>
      </c>
      <c r="BU181" s="238">
        <v>20.549450549450547</v>
      </c>
      <c r="BV181" s="239">
        <v>42592</v>
      </c>
      <c r="BW181" s="238">
        <v>16.373626373626372</v>
      </c>
      <c r="BX181" s="239">
        <v>42592</v>
      </c>
      <c r="BY181" s="238"/>
      <c r="BZ181" s="238"/>
      <c r="CA181" s="238">
        <v>37.6</v>
      </c>
      <c r="CB181" s="239">
        <v>42592</v>
      </c>
      <c r="CC181" s="238"/>
      <c r="CD181" s="238"/>
      <c r="CF181" s="238"/>
    </row>
    <row r="182" spans="1:84" s="178" customFormat="1" ht="12">
      <c r="A182" s="232">
        <v>13</v>
      </c>
      <c r="B182" s="232" t="str">
        <f>VLOOKUP(A182,PlantMaterial!B:C,2,0)</f>
        <v>AM109</v>
      </c>
      <c r="C182" s="238" t="s">
        <v>7689</v>
      </c>
      <c r="D182" s="232">
        <v>5</v>
      </c>
      <c r="E182" s="238" t="s">
        <v>7864</v>
      </c>
      <c r="F182" s="232">
        <v>11</v>
      </c>
      <c r="G182" s="232">
        <v>8</v>
      </c>
      <c r="H182" s="178">
        <v>84</v>
      </c>
      <c r="I182" s="238"/>
      <c r="M182" s="238">
        <v>3.44</v>
      </c>
      <c r="N182" s="239">
        <v>42586</v>
      </c>
      <c r="S182" s="178">
        <v>10.86</v>
      </c>
      <c r="T182" s="239">
        <v>42592</v>
      </c>
      <c r="U182" s="178">
        <v>13.5</v>
      </c>
      <c r="V182" s="239">
        <v>42586</v>
      </c>
      <c r="Y182" s="238">
        <v>4.32972</v>
      </c>
      <c r="Z182" s="239">
        <v>42592</v>
      </c>
      <c r="AA182" s="178">
        <v>45</v>
      </c>
      <c r="AB182" s="239">
        <v>42249</v>
      </c>
      <c r="AE182" s="238">
        <v>25.32</v>
      </c>
      <c r="AF182" s="239">
        <v>42586</v>
      </c>
      <c r="AI182" s="232">
        <v>130</v>
      </c>
      <c r="AJ182" s="239">
        <v>42507</v>
      </c>
      <c r="AK182" s="238">
        <v>9.6</v>
      </c>
      <c r="BG182" s="238">
        <v>-8.8000000000000007</v>
      </c>
      <c r="BH182" s="239">
        <v>42592</v>
      </c>
      <c r="BM182" s="238">
        <v>59.7</v>
      </c>
      <c r="BN182" s="239">
        <v>42592</v>
      </c>
      <c r="BQ182" s="238">
        <v>11.9</v>
      </c>
      <c r="BR182" s="239">
        <v>42592</v>
      </c>
      <c r="BS182" s="238">
        <v>47.142857142857139</v>
      </c>
      <c r="BT182" s="239">
        <v>42592</v>
      </c>
      <c r="BU182" s="238">
        <v>18.791208791208792</v>
      </c>
      <c r="BV182" s="239">
        <v>42592</v>
      </c>
      <c r="BW182" s="238">
        <v>12.087912087912088</v>
      </c>
      <c r="BX182" s="239">
        <v>42592</v>
      </c>
      <c r="BY182" s="238"/>
      <c r="BZ182" s="238"/>
      <c r="CA182" s="238">
        <v>35.5</v>
      </c>
      <c r="CB182" s="239">
        <v>42592</v>
      </c>
      <c r="CC182" s="238"/>
      <c r="CD182" s="238"/>
      <c r="CF182" s="238"/>
    </row>
    <row r="183" spans="1:84" s="178" customFormat="1" ht="12">
      <c r="A183" s="232">
        <v>14</v>
      </c>
      <c r="B183" s="232" t="str">
        <f>VLOOKUP(A183,PlantMaterial!B:C,2,0)</f>
        <v>MONTEGO</v>
      </c>
      <c r="C183" s="238" t="s">
        <v>7689</v>
      </c>
      <c r="D183" s="232">
        <v>5</v>
      </c>
      <c r="E183" s="238" t="s">
        <v>7865</v>
      </c>
      <c r="F183" s="232">
        <v>14</v>
      </c>
      <c r="G183" s="232">
        <v>9</v>
      </c>
      <c r="H183" s="178">
        <v>94.5</v>
      </c>
      <c r="I183" s="238" t="s">
        <v>7866</v>
      </c>
      <c r="J183" s="239">
        <v>42430</v>
      </c>
      <c r="M183" s="238">
        <v>2.64</v>
      </c>
      <c r="N183" s="239">
        <v>42586</v>
      </c>
      <c r="S183" s="178">
        <v>8.33</v>
      </c>
      <c r="T183" s="239">
        <v>42592</v>
      </c>
      <c r="U183" s="178">
        <v>13.5</v>
      </c>
      <c r="V183" s="239">
        <v>42586</v>
      </c>
      <c r="Y183" s="238">
        <v>3.4514200000000002</v>
      </c>
      <c r="Z183" s="239">
        <v>42592</v>
      </c>
      <c r="AA183" s="178">
        <v>45</v>
      </c>
      <c r="AB183" s="239">
        <v>42249</v>
      </c>
      <c r="AE183" s="238">
        <v>19.39</v>
      </c>
      <c r="AF183" s="239">
        <v>42586</v>
      </c>
      <c r="AI183" s="232">
        <v>135</v>
      </c>
      <c r="AJ183" s="239">
        <v>42507</v>
      </c>
      <c r="AK183" s="238">
        <v>9.8000000000000007</v>
      </c>
      <c r="BG183" s="238">
        <v>-9.5</v>
      </c>
      <c r="BH183" s="239">
        <v>42592</v>
      </c>
      <c r="BM183" s="238">
        <v>61.3</v>
      </c>
      <c r="BN183" s="239">
        <v>42592</v>
      </c>
      <c r="BQ183" s="238">
        <v>11</v>
      </c>
      <c r="BR183" s="239">
        <v>42592</v>
      </c>
      <c r="BS183" s="238">
        <v>47.252747252747248</v>
      </c>
      <c r="BT183" s="239">
        <v>42592</v>
      </c>
      <c r="BU183" s="238">
        <v>19.560439560439562</v>
      </c>
      <c r="BV183" s="239">
        <v>42592</v>
      </c>
      <c r="BW183" s="238">
        <v>16.593406593406591</v>
      </c>
      <c r="BX183" s="239">
        <v>42592</v>
      </c>
      <c r="BY183" s="238"/>
      <c r="BZ183" s="238"/>
      <c r="CA183" s="238">
        <v>37</v>
      </c>
      <c r="CB183" s="239">
        <v>42592</v>
      </c>
      <c r="CC183" s="238"/>
      <c r="CD183" s="238"/>
      <c r="CF183" s="238"/>
    </row>
    <row r="184" spans="1:84" s="178" customFormat="1" ht="12">
      <c r="A184" s="232">
        <v>15</v>
      </c>
      <c r="B184" s="232" t="str">
        <f>VLOOKUP(A184,PlantMaterial!B:C,2,0)</f>
        <v>DK038</v>
      </c>
      <c r="C184" s="238" t="s">
        <v>7689</v>
      </c>
      <c r="D184" s="232">
        <v>5</v>
      </c>
      <c r="E184" s="238" t="s">
        <v>7867</v>
      </c>
      <c r="F184" s="232">
        <v>14</v>
      </c>
      <c r="G184" s="232">
        <v>11</v>
      </c>
      <c r="H184" s="178">
        <v>115.5</v>
      </c>
      <c r="I184" s="238"/>
      <c r="M184" s="238">
        <v>2.99</v>
      </c>
      <c r="N184" s="239">
        <v>42586</v>
      </c>
      <c r="S184" s="178">
        <v>9.6300000000000008</v>
      </c>
      <c r="T184" s="239">
        <v>42592</v>
      </c>
      <c r="U184" s="178">
        <v>13.5</v>
      </c>
      <c r="V184" s="239">
        <v>42586</v>
      </c>
      <c r="Y184" s="238">
        <v>3.5387800000000005</v>
      </c>
      <c r="Z184" s="239">
        <v>42592</v>
      </c>
      <c r="AA184" s="178">
        <v>45</v>
      </c>
      <c r="AB184" s="239">
        <v>42249</v>
      </c>
      <c r="AE184" s="238">
        <v>21.98</v>
      </c>
      <c r="AF184" s="239">
        <v>42586</v>
      </c>
      <c r="AI184" s="232">
        <v>145</v>
      </c>
      <c r="AJ184" s="239">
        <v>42507</v>
      </c>
      <c r="AK184" s="238">
        <v>9.6999999999999993</v>
      </c>
      <c r="BG184" s="238">
        <v>-7.7</v>
      </c>
      <c r="BH184" s="239">
        <v>42592</v>
      </c>
      <c r="BM184" s="238">
        <v>63.7</v>
      </c>
      <c r="BN184" s="239">
        <v>42592</v>
      </c>
      <c r="BQ184" s="238">
        <v>9.6</v>
      </c>
      <c r="BR184" s="239">
        <v>42592</v>
      </c>
      <c r="BS184" s="238">
        <v>48.131868131868124</v>
      </c>
      <c r="BT184" s="239">
        <v>42592</v>
      </c>
      <c r="BU184" s="238">
        <v>17.692307692307693</v>
      </c>
      <c r="BV184" s="239">
        <v>42592</v>
      </c>
      <c r="BW184" s="238">
        <v>14.065934065934066</v>
      </c>
      <c r="BX184" s="239">
        <v>42592</v>
      </c>
      <c r="BY184" s="238"/>
      <c r="BZ184" s="238"/>
      <c r="CA184" s="238">
        <v>34</v>
      </c>
      <c r="CB184" s="239">
        <v>42592</v>
      </c>
      <c r="CC184" s="238"/>
      <c r="CD184" s="238"/>
      <c r="CF184" s="238"/>
    </row>
    <row r="185" spans="1:84" s="178" customFormat="1" ht="12">
      <c r="A185" s="232">
        <v>16</v>
      </c>
      <c r="B185" s="232" t="str">
        <f>VLOOKUP(A185,PlantMaterial!B:C,2,0)</f>
        <v>TENOR</v>
      </c>
      <c r="C185" s="238" t="s">
        <v>7689</v>
      </c>
      <c r="D185" s="232">
        <v>5</v>
      </c>
      <c r="E185" s="238" t="s">
        <v>7868</v>
      </c>
      <c r="F185" s="232">
        <v>11</v>
      </c>
      <c r="G185" s="232">
        <v>10</v>
      </c>
      <c r="H185" s="178">
        <v>105</v>
      </c>
      <c r="I185" s="238" t="s">
        <v>7869</v>
      </c>
      <c r="J185" s="239">
        <v>42430</v>
      </c>
      <c r="M185" s="238">
        <v>2.74</v>
      </c>
      <c r="N185" s="239">
        <v>42586</v>
      </c>
      <c r="S185" s="178">
        <v>9.0500000000000007</v>
      </c>
      <c r="T185" s="239">
        <v>42592</v>
      </c>
      <c r="U185" s="178">
        <v>13.5</v>
      </c>
      <c r="V185" s="239">
        <v>42586</v>
      </c>
      <c r="Y185" s="238">
        <v>3.2554200000000004</v>
      </c>
      <c r="Z185" s="239">
        <v>42592</v>
      </c>
      <c r="AA185" s="178">
        <v>45</v>
      </c>
      <c r="AB185" s="239">
        <v>42249</v>
      </c>
      <c r="AE185" s="238">
        <v>20.22</v>
      </c>
      <c r="AF185" s="239">
        <v>42586</v>
      </c>
      <c r="AI185" s="232">
        <v>150</v>
      </c>
      <c r="AJ185" s="239">
        <v>42507</v>
      </c>
      <c r="AK185" s="238">
        <v>9.3000000000000007</v>
      </c>
      <c r="BG185" s="238">
        <v>-7.9</v>
      </c>
      <c r="BH185" s="239">
        <v>42592</v>
      </c>
      <c r="BM185" s="238">
        <v>62.2</v>
      </c>
      <c r="BN185" s="239">
        <v>42592</v>
      </c>
      <c r="BQ185" s="238">
        <v>10.9</v>
      </c>
      <c r="BR185" s="239">
        <v>42592</v>
      </c>
      <c r="BS185" s="238">
        <v>49.230769230769226</v>
      </c>
      <c r="BT185" s="239">
        <v>42592</v>
      </c>
      <c r="BU185" s="238">
        <v>17.692307692307693</v>
      </c>
      <c r="BV185" s="239">
        <v>42592</v>
      </c>
      <c r="BW185" s="238">
        <v>17.802197802197799</v>
      </c>
      <c r="BX185" s="239">
        <v>42592</v>
      </c>
      <c r="BY185" s="238"/>
      <c r="BZ185" s="238"/>
      <c r="CA185" s="238">
        <v>34.9</v>
      </c>
      <c r="CB185" s="239">
        <v>42592</v>
      </c>
      <c r="CC185" s="238"/>
      <c r="CD185" s="238"/>
      <c r="CF185" s="238"/>
    </row>
    <row r="186" spans="1:84" s="178" customFormat="1" ht="12">
      <c r="A186" s="232">
        <v>17</v>
      </c>
      <c r="B186" s="232" t="str">
        <f>VLOOKUP(A186,PlantMaterial!B:C,2,0)</f>
        <v>EXL4816</v>
      </c>
      <c r="C186" s="238" t="s">
        <v>7689</v>
      </c>
      <c r="D186" s="232">
        <v>5</v>
      </c>
      <c r="E186" s="238" t="s">
        <v>7870</v>
      </c>
      <c r="F186" s="232">
        <v>15</v>
      </c>
      <c r="G186" s="232">
        <v>10</v>
      </c>
      <c r="H186" s="178">
        <v>105</v>
      </c>
      <c r="I186" s="238"/>
      <c r="M186" s="238">
        <v>3.44</v>
      </c>
      <c r="N186" s="239">
        <v>42586</v>
      </c>
      <c r="S186" s="178">
        <v>10.85</v>
      </c>
      <c r="T186" s="239">
        <v>42592</v>
      </c>
      <c r="U186" s="178">
        <v>13.5</v>
      </c>
      <c r="V186" s="239">
        <v>42586</v>
      </c>
      <c r="Y186" s="238">
        <v>4.2487200000000005</v>
      </c>
      <c r="Z186" s="239">
        <v>42592</v>
      </c>
      <c r="AA186" s="178">
        <v>45</v>
      </c>
      <c r="AB186" s="239">
        <v>42249</v>
      </c>
      <c r="AE186" s="238">
        <v>25.29</v>
      </c>
      <c r="AF186" s="239">
        <v>42586</v>
      </c>
      <c r="AI186" s="232">
        <v>150</v>
      </c>
      <c r="AJ186" s="239">
        <v>42507</v>
      </c>
      <c r="AK186" s="238">
        <v>9.6999999999999993</v>
      </c>
      <c r="BG186" s="238">
        <v>-7.7</v>
      </c>
      <c r="BH186" s="239">
        <v>42592</v>
      </c>
      <c r="BM186" s="238">
        <v>60.8</v>
      </c>
      <c r="BN186" s="239">
        <v>42592</v>
      </c>
      <c r="BQ186" s="238">
        <v>11.1</v>
      </c>
      <c r="BR186" s="239">
        <v>42592</v>
      </c>
      <c r="BS186" s="238">
        <v>47.142857142857139</v>
      </c>
      <c r="BT186" s="239">
        <v>42592</v>
      </c>
      <c r="BU186" s="238">
        <v>18.461538461538463</v>
      </c>
      <c r="BV186" s="239">
        <v>42592</v>
      </c>
      <c r="BW186" s="238">
        <v>14.725274725274724</v>
      </c>
      <c r="BX186" s="239">
        <v>42592</v>
      </c>
      <c r="BY186" s="238"/>
      <c r="BZ186" s="238"/>
      <c r="CA186" s="238">
        <v>35</v>
      </c>
      <c r="CB186" s="239">
        <v>42592</v>
      </c>
      <c r="CC186" s="238"/>
      <c r="CD186" s="238"/>
      <c r="CF186" s="238"/>
    </row>
    <row r="187" spans="1:84" s="178" customFormat="1" ht="12">
      <c r="A187" s="232">
        <v>18</v>
      </c>
      <c r="B187" s="232" t="str">
        <f>VLOOKUP(A187,PlantMaterial!B:C,2,0)</f>
        <v>EXPRESS</v>
      </c>
      <c r="C187" s="238" t="s">
        <v>7689</v>
      </c>
      <c r="D187" s="232">
        <v>5</v>
      </c>
      <c r="E187" s="238" t="s">
        <v>7871</v>
      </c>
      <c r="F187" s="232">
        <v>11</v>
      </c>
      <c r="G187" s="232">
        <v>14</v>
      </c>
      <c r="H187" s="178">
        <v>147</v>
      </c>
      <c r="I187" s="238"/>
      <c r="M187" s="238">
        <v>2.44</v>
      </c>
      <c r="N187" s="239">
        <v>42586</v>
      </c>
      <c r="S187" s="178">
        <v>7.58</v>
      </c>
      <c r="T187" s="239">
        <v>42592</v>
      </c>
      <c r="U187" s="178">
        <v>13.5</v>
      </c>
      <c r="V187" s="239">
        <v>42586</v>
      </c>
      <c r="Y187" s="238">
        <v>3.1718400000000004</v>
      </c>
      <c r="Z187" s="239">
        <v>42592</v>
      </c>
      <c r="AA187" s="178">
        <v>45</v>
      </c>
      <c r="AB187" s="239">
        <v>42249</v>
      </c>
      <c r="AE187" s="238">
        <v>17.920000000000002</v>
      </c>
      <c r="AF187" s="239">
        <v>42586</v>
      </c>
      <c r="AI187" s="232">
        <v>135</v>
      </c>
      <c r="AJ187" s="239">
        <v>42507</v>
      </c>
      <c r="AK187" s="238">
        <v>9.8000000000000007</v>
      </c>
      <c r="BG187" s="238">
        <v>-7.2</v>
      </c>
      <c r="BH187" s="239">
        <v>42592</v>
      </c>
      <c r="BM187" s="238">
        <v>60.9</v>
      </c>
      <c r="BN187" s="239">
        <v>42592</v>
      </c>
      <c r="BQ187" s="238">
        <v>10.7</v>
      </c>
      <c r="BR187" s="239">
        <v>42592</v>
      </c>
      <c r="BS187" s="238">
        <v>46.483516483516482</v>
      </c>
      <c r="BT187" s="239">
        <v>42592</v>
      </c>
      <c r="BU187" s="238">
        <v>19.450549450549449</v>
      </c>
      <c r="BV187" s="239">
        <v>42592</v>
      </c>
      <c r="BW187" s="238">
        <v>16.373626373626372</v>
      </c>
      <c r="BX187" s="239">
        <v>42592</v>
      </c>
      <c r="BY187" s="238"/>
      <c r="BZ187" s="238"/>
      <c r="CA187" s="238">
        <v>36.299999999999997</v>
      </c>
      <c r="CB187" s="239">
        <v>42592</v>
      </c>
      <c r="CC187" s="238"/>
      <c r="CD187" s="238"/>
      <c r="CF187" s="238"/>
    </row>
    <row r="188" spans="1:84" s="178" customFormat="1" ht="12">
      <c r="A188" s="232">
        <v>19</v>
      </c>
      <c r="B188" s="232" t="str">
        <f>VLOOKUP(A188,PlantMaterial!B:C,2,0)</f>
        <v>EXL3155</v>
      </c>
      <c r="C188" s="238" t="s">
        <v>7689</v>
      </c>
      <c r="D188" s="232">
        <v>5</v>
      </c>
      <c r="E188" s="238" t="s">
        <v>7872</v>
      </c>
      <c r="F188" s="232">
        <v>11</v>
      </c>
      <c r="G188" s="232">
        <v>9</v>
      </c>
      <c r="H188" s="178">
        <v>94.5</v>
      </c>
      <c r="I188" s="238"/>
      <c r="M188" s="238">
        <v>2.79</v>
      </c>
      <c r="N188" s="239">
        <v>42586</v>
      </c>
      <c r="S188" s="178">
        <v>8.9700000000000006</v>
      </c>
      <c r="T188" s="239">
        <v>42592</v>
      </c>
      <c r="U188" s="178">
        <v>13.5</v>
      </c>
      <c r="V188" s="239">
        <v>42586</v>
      </c>
      <c r="Y188" s="238">
        <v>3.5089199999999998</v>
      </c>
      <c r="Z188" s="239">
        <v>42592</v>
      </c>
      <c r="AA188" s="178">
        <v>45</v>
      </c>
      <c r="AB188" s="239">
        <v>42249</v>
      </c>
      <c r="AE188" s="238">
        <v>20.52</v>
      </c>
      <c r="AF188" s="239">
        <v>42586</v>
      </c>
      <c r="AI188" s="232">
        <v>135</v>
      </c>
      <c r="AJ188" s="239">
        <v>42507</v>
      </c>
      <c r="AK188" s="238">
        <v>9.6</v>
      </c>
      <c r="BG188" s="238">
        <v>-7.6</v>
      </c>
      <c r="BH188" s="239">
        <v>42592</v>
      </c>
      <c r="BM188" s="238">
        <v>60.6</v>
      </c>
      <c r="BN188" s="239">
        <v>42592</v>
      </c>
      <c r="BQ188" s="238">
        <v>11.6</v>
      </c>
      <c r="BR188" s="239">
        <v>42592</v>
      </c>
      <c r="BS188" s="238">
        <v>48.021978021978022</v>
      </c>
      <c r="BT188" s="239">
        <v>42592</v>
      </c>
      <c r="BU188" s="238">
        <v>18.791208791208792</v>
      </c>
      <c r="BV188" s="239">
        <v>42592</v>
      </c>
      <c r="BW188" s="238">
        <v>18.35164835164835</v>
      </c>
      <c r="BX188" s="239">
        <v>42592</v>
      </c>
      <c r="BY188" s="238"/>
      <c r="BZ188" s="238"/>
      <c r="CA188" s="238">
        <v>36.200000000000003</v>
      </c>
      <c r="CB188" s="239">
        <v>42592</v>
      </c>
      <c r="CC188" s="238"/>
      <c r="CD188" s="238"/>
      <c r="CF188" s="238"/>
    </row>
    <row r="189" spans="1:84" s="178" customFormat="1" ht="12">
      <c r="A189" s="232">
        <v>20</v>
      </c>
      <c r="B189" s="232" t="str">
        <f>VLOOKUP(A189,PlantMaterial!B:C,2,0)</f>
        <v>C03-1ESQ0</v>
      </c>
      <c r="C189" s="238" t="s">
        <v>7689</v>
      </c>
      <c r="D189" s="232">
        <v>5</v>
      </c>
      <c r="E189" s="238" t="s">
        <v>7873</v>
      </c>
      <c r="F189" s="232">
        <v>15</v>
      </c>
      <c r="G189" s="232">
        <v>14</v>
      </c>
      <c r="H189" s="178">
        <v>147</v>
      </c>
      <c r="I189" s="238"/>
      <c r="M189" s="238">
        <v>3.84</v>
      </c>
      <c r="N189" s="239">
        <v>42586</v>
      </c>
      <c r="S189" s="178">
        <v>12.14</v>
      </c>
      <c r="T189" s="239">
        <v>42592</v>
      </c>
      <c r="U189" s="178">
        <v>13.5</v>
      </c>
      <c r="V189" s="239">
        <v>42586</v>
      </c>
      <c r="Y189" s="238">
        <v>4.8872499999999999</v>
      </c>
      <c r="Z189" s="239">
        <v>42592</v>
      </c>
      <c r="AA189" s="178">
        <v>45</v>
      </c>
      <c r="AB189" s="239">
        <v>42249</v>
      </c>
      <c r="AE189" s="238">
        <v>28.25</v>
      </c>
      <c r="AF189" s="239">
        <v>42586</v>
      </c>
      <c r="AI189" s="232">
        <v>130</v>
      </c>
      <c r="AJ189" s="239">
        <v>42507</v>
      </c>
      <c r="AK189" s="238">
        <v>9.6</v>
      </c>
      <c r="BG189" s="238">
        <v>-8.5</v>
      </c>
      <c r="BH189" s="239">
        <v>42592</v>
      </c>
      <c r="BM189" s="238">
        <v>60.8</v>
      </c>
      <c r="BN189" s="239">
        <v>42592</v>
      </c>
      <c r="BQ189" s="238">
        <v>11.5</v>
      </c>
      <c r="BR189" s="239">
        <v>42592</v>
      </c>
      <c r="BS189" s="238">
        <v>47.252747252747248</v>
      </c>
      <c r="BT189" s="239">
        <v>42592</v>
      </c>
      <c r="BU189" s="238">
        <v>19.010989010989011</v>
      </c>
      <c r="BV189" s="239">
        <v>42592</v>
      </c>
      <c r="BW189" s="238">
        <v>13.186813186813186</v>
      </c>
      <c r="BX189" s="239">
        <v>42592</v>
      </c>
      <c r="BY189" s="238"/>
      <c r="BZ189" s="238"/>
      <c r="CA189" s="238">
        <v>35.9</v>
      </c>
      <c r="CB189" s="239">
        <v>42592</v>
      </c>
      <c r="CC189" s="238"/>
      <c r="CD189" s="238"/>
      <c r="CF189" s="238"/>
    </row>
    <row r="190" spans="1:84" s="178" customFormat="1" ht="12">
      <c r="A190" s="232">
        <v>21</v>
      </c>
      <c r="B190" s="232" t="str">
        <f>VLOOKUP(A190,PlantMaterial!B:C,2,0)</f>
        <v>C03-1ESQ1</v>
      </c>
      <c r="C190" s="238" t="s">
        <v>7689</v>
      </c>
      <c r="D190" s="232">
        <v>5</v>
      </c>
      <c r="E190" s="238" t="s">
        <v>7874</v>
      </c>
      <c r="F190" s="232">
        <v>10</v>
      </c>
      <c r="G190" s="232">
        <v>12</v>
      </c>
      <c r="H190" s="178">
        <v>126</v>
      </c>
      <c r="I190" s="238"/>
      <c r="M190" s="238">
        <v>3.37</v>
      </c>
      <c r="N190" s="239">
        <v>42586</v>
      </c>
      <c r="S190" s="178">
        <v>10.63</v>
      </c>
      <c r="T190" s="239">
        <v>42592</v>
      </c>
      <c r="U190" s="178">
        <v>13.5</v>
      </c>
      <c r="V190" s="239">
        <v>42586</v>
      </c>
      <c r="Y190" s="238">
        <v>4.2142999999999997</v>
      </c>
      <c r="Z190" s="239">
        <v>42592</v>
      </c>
      <c r="AA190" s="178">
        <v>45</v>
      </c>
      <c r="AB190" s="239">
        <v>42249</v>
      </c>
      <c r="AE190" s="238">
        <v>24.79</v>
      </c>
      <c r="AF190" s="239">
        <v>42586</v>
      </c>
      <c r="AI190" s="232">
        <v>150</v>
      </c>
      <c r="AJ190" s="239">
        <v>42507</v>
      </c>
      <c r="AK190" s="238">
        <v>9.6</v>
      </c>
      <c r="BG190" s="238">
        <v>-7.8</v>
      </c>
      <c r="BH190" s="239">
        <v>42592</v>
      </c>
      <c r="BM190" s="238">
        <v>60.5</v>
      </c>
      <c r="BN190" s="239">
        <v>42592</v>
      </c>
      <c r="BQ190" s="238">
        <v>11.6</v>
      </c>
      <c r="BR190" s="239">
        <v>42592</v>
      </c>
      <c r="BS190" s="238">
        <v>47.142857142857139</v>
      </c>
      <c r="BT190" s="239">
        <v>42592</v>
      </c>
      <c r="BU190" s="238">
        <v>18.681318681318682</v>
      </c>
      <c r="BV190" s="239">
        <v>42592</v>
      </c>
      <c r="BW190" s="238">
        <v>14.175824175824175</v>
      </c>
      <c r="BX190" s="239">
        <v>42592</v>
      </c>
      <c r="BY190" s="238"/>
      <c r="BZ190" s="238"/>
      <c r="CA190" s="238">
        <v>35.200000000000003</v>
      </c>
      <c r="CB190" s="239">
        <v>42592</v>
      </c>
      <c r="CC190" s="238"/>
      <c r="CD190" s="238"/>
      <c r="CF190" s="238"/>
    </row>
    <row r="191" spans="1:84" s="178" customFormat="1" ht="12">
      <c r="A191" s="232">
        <v>22</v>
      </c>
      <c r="B191" s="232" t="str">
        <f>VLOOKUP(A191,PlantMaterial!B:C,2,0)</f>
        <v>C04-1ESQ0</v>
      </c>
      <c r="C191" s="238" t="s">
        <v>7689</v>
      </c>
      <c r="D191" s="232">
        <v>5</v>
      </c>
      <c r="E191" s="238" t="s">
        <v>7875</v>
      </c>
      <c r="F191" s="232">
        <v>13</v>
      </c>
      <c r="G191" s="232">
        <v>12</v>
      </c>
      <c r="H191" s="178">
        <v>126</v>
      </c>
      <c r="I191" s="238"/>
      <c r="M191" s="238">
        <v>2.8</v>
      </c>
      <c r="N191" s="239">
        <v>42586</v>
      </c>
      <c r="S191" s="178">
        <v>8.7200000000000006</v>
      </c>
      <c r="T191" s="239">
        <v>42592</v>
      </c>
      <c r="U191" s="178">
        <v>13.5</v>
      </c>
      <c r="V191" s="239">
        <v>42586</v>
      </c>
      <c r="Y191" s="238">
        <v>3.7116000000000002</v>
      </c>
      <c r="Z191" s="239">
        <v>42592</v>
      </c>
      <c r="AA191" s="178">
        <v>45</v>
      </c>
      <c r="AB191" s="239">
        <v>42249</v>
      </c>
      <c r="AE191" s="238">
        <v>20.62</v>
      </c>
      <c r="AF191" s="239">
        <v>42586</v>
      </c>
      <c r="AI191" s="232">
        <v>150</v>
      </c>
      <c r="AJ191" s="239">
        <v>42507</v>
      </c>
      <c r="AK191" s="238">
        <v>9.5</v>
      </c>
      <c r="BG191" s="238">
        <v>-8.4</v>
      </c>
      <c r="BH191" s="239">
        <v>42592</v>
      </c>
      <c r="BM191" s="238">
        <v>60.4</v>
      </c>
      <c r="BN191" s="239">
        <v>42592</v>
      </c>
      <c r="BQ191" s="238">
        <v>11</v>
      </c>
      <c r="BR191" s="239">
        <v>42592</v>
      </c>
      <c r="BS191" s="238">
        <v>46.483516483516482</v>
      </c>
      <c r="BT191" s="239">
        <v>42592</v>
      </c>
      <c r="BU191" s="238">
        <v>19.780219780219781</v>
      </c>
      <c r="BV191" s="239">
        <v>42592</v>
      </c>
      <c r="BW191" s="238">
        <v>15.164835164835164</v>
      </c>
      <c r="BX191" s="239">
        <v>42592</v>
      </c>
      <c r="BY191" s="238"/>
      <c r="BZ191" s="238"/>
      <c r="CA191" s="238">
        <v>37</v>
      </c>
      <c r="CB191" s="239">
        <v>42592</v>
      </c>
      <c r="CC191" s="238"/>
      <c r="CD191" s="238"/>
      <c r="CF191" s="238"/>
    </row>
    <row r="192" spans="1:84" s="178" customFormat="1" ht="12">
      <c r="A192" s="232">
        <v>23</v>
      </c>
      <c r="B192" s="232" t="str">
        <f>VLOOKUP(A192,PlantMaterial!B:C,2,0)</f>
        <v>AVISO</v>
      </c>
      <c r="C192" s="238" t="s">
        <v>7689</v>
      </c>
      <c r="D192" s="232">
        <v>5</v>
      </c>
      <c r="E192" s="238" t="s">
        <v>7876</v>
      </c>
      <c r="F192" s="232">
        <v>12</v>
      </c>
      <c r="G192" s="232">
        <v>10</v>
      </c>
      <c r="H192" s="178">
        <v>105</v>
      </c>
      <c r="I192" s="238"/>
      <c r="M192" s="238">
        <v>3.25</v>
      </c>
      <c r="N192" s="239">
        <v>42586</v>
      </c>
      <c r="S192" s="178">
        <v>9.9700000000000006</v>
      </c>
      <c r="T192" s="239">
        <v>42592</v>
      </c>
      <c r="U192" s="178">
        <v>13.5</v>
      </c>
      <c r="V192" s="239">
        <v>42586</v>
      </c>
      <c r="Y192" s="238">
        <v>4.1976000000000004</v>
      </c>
      <c r="Z192" s="239">
        <v>42592</v>
      </c>
      <c r="AA192" s="178">
        <v>45</v>
      </c>
      <c r="AB192" s="239">
        <v>42249</v>
      </c>
      <c r="AE192" s="238">
        <v>23.85</v>
      </c>
      <c r="AF192" s="239">
        <v>42586</v>
      </c>
      <c r="AI192" s="232">
        <v>150</v>
      </c>
      <c r="AJ192" s="239">
        <v>42507</v>
      </c>
      <c r="AK192" s="238">
        <v>9.9</v>
      </c>
      <c r="BG192" s="238">
        <v>-7.9</v>
      </c>
      <c r="BH192" s="239">
        <v>42592</v>
      </c>
      <c r="BM192" s="238">
        <v>61</v>
      </c>
      <c r="BN192" s="239">
        <v>42592</v>
      </c>
      <c r="BQ192" s="238">
        <v>11.1</v>
      </c>
      <c r="BR192" s="239">
        <v>42592</v>
      </c>
      <c r="BS192" s="238">
        <v>45.934065934065927</v>
      </c>
      <c r="BT192" s="239">
        <v>42592</v>
      </c>
      <c r="BU192" s="238">
        <v>19.340659340659343</v>
      </c>
      <c r="BV192" s="239">
        <v>42592</v>
      </c>
      <c r="BW192" s="238">
        <v>16.703296703296701</v>
      </c>
      <c r="BX192" s="239">
        <v>42592</v>
      </c>
      <c r="BY192" s="238"/>
      <c r="BZ192" s="238"/>
      <c r="CA192" s="238">
        <v>35.799999999999997</v>
      </c>
      <c r="CB192" s="239">
        <v>42592</v>
      </c>
      <c r="CC192" s="238"/>
      <c r="CD192" s="238"/>
      <c r="CF192" s="238"/>
    </row>
    <row r="193" spans="1:84" s="178" customFormat="1" ht="12">
      <c r="A193" s="232">
        <v>24</v>
      </c>
      <c r="B193" s="232" t="str">
        <f>VLOOKUP(A193,PlantMaterial!B:C,2,0)</f>
        <v>C04-1ESQ1</v>
      </c>
      <c r="C193" s="238" t="s">
        <v>7689</v>
      </c>
      <c r="D193" s="232">
        <v>5</v>
      </c>
      <c r="E193" s="238" t="s">
        <v>7877</v>
      </c>
      <c r="F193" s="232">
        <v>12</v>
      </c>
      <c r="G193" s="232">
        <v>13</v>
      </c>
      <c r="H193" s="178">
        <v>136.5</v>
      </c>
      <c r="I193" s="238"/>
      <c r="M193" s="238">
        <v>3.46</v>
      </c>
      <c r="N193" s="239">
        <v>42586</v>
      </c>
      <c r="S193" s="178">
        <v>10.87</v>
      </c>
      <c r="T193" s="239">
        <v>42592</v>
      </c>
      <c r="U193" s="178">
        <v>13.5</v>
      </c>
      <c r="V193" s="239">
        <v>42586</v>
      </c>
      <c r="Y193" s="238">
        <v>4.3044299999999991</v>
      </c>
      <c r="Z193" s="239">
        <v>42592</v>
      </c>
      <c r="AA193" s="178">
        <v>45</v>
      </c>
      <c r="AB193" s="239">
        <v>42249</v>
      </c>
      <c r="AE193" s="238">
        <v>25.47</v>
      </c>
      <c r="AF193" s="239">
        <v>42586</v>
      </c>
      <c r="AI193" s="232">
        <v>130</v>
      </c>
      <c r="AJ193" s="239">
        <v>42507</v>
      </c>
      <c r="AK193" s="238">
        <v>9.6</v>
      </c>
      <c r="BG193" s="238">
        <v>-8.8000000000000007</v>
      </c>
      <c r="BH193" s="239">
        <v>42592</v>
      </c>
      <c r="BM193" s="238">
        <v>61.1</v>
      </c>
      <c r="BN193" s="239">
        <v>42592</v>
      </c>
      <c r="BQ193" s="238">
        <v>11.3</v>
      </c>
      <c r="BR193" s="239">
        <v>42592</v>
      </c>
      <c r="BS193" s="238">
        <v>46.923076923076927</v>
      </c>
      <c r="BT193" s="239">
        <v>42592</v>
      </c>
      <c r="BU193" s="238">
        <v>18.571428571428569</v>
      </c>
      <c r="BV193" s="239">
        <v>42592</v>
      </c>
      <c r="BW193" s="238">
        <v>15.824175824175825</v>
      </c>
      <c r="BX193" s="239">
        <v>42592</v>
      </c>
      <c r="BY193" s="238"/>
      <c r="BZ193" s="238"/>
      <c r="CA193" s="238">
        <v>34.9</v>
      </c>
      <c r="CB193" s="239">
        <v>42592</v>
      </c>
      <c r="CC193" s="238"/>
      <c r="CD193" s="238"/>
      <c r="CF193" s="238"/>
    </row>
    <row r="194" spans="1:84" s="178" customFormat="1" ht="12">
      <c r="A194" s="232">
        <v>25</v>
      </c>
      <c r="B194" s="232" t="str">
        <f>VLOOKUP(A194,PlantMaterial!B:C,2,0)</f>
        <v>MONTEGO</v>
      </c>
      <c r="C194" s="238" t="s">
        <v>7689</v>
      </c>
      <c r="D194" s="232">
        <v>5</v>
      </c>
      <c r="E194" s="238" t="s">
        <v>7878</v>
      </c>
      <c r="F194" s="232">
        <v>14</v>
      </c>
      <c r="G194" s="232">
        <v>14</v>
      </c>
      <c r="H194" s="178">
        <v>147</v>
      </c>
      <c r="I194" s="238"/>
      <c r="M194" s="238">
        <v>2.52</v>
      </c>
      <c r="N194" s="239">
        <v>42586</v>
      </c>
      <c r="S194" s="178">
        <v>7.83</v>
      </c>
      <c r="T194" s="239">
        <v>42592</v>
      </c>
      <c r="U194" s="178">
        <v>13.5</v>
      </c>
      <c r="V194" s="239">
        <v>42586</v>
      </c>
      <c r="Y194" s="238">
        <v>3.4632399999999994</v>
      </c>
      <c r="Z194" s="239">
        <v>42592</v>
      </c>
      <c r="AA194" s="178">
        <v>45</v>
      </c>
      <c r="AB194" s="239">
        <v>42249</v>
      </c>
      <c r="AE194" s="238">
        <v>18.52</v>
      </c>
      <c r="AF194" s="239">
        <v>42586</v>
      </c>
      <c r="AI194" s="232">
        <v>130</v>
      </c>
      <c r="AJ194" s="239">
        <v>42507</v>
      </c>
      <c r="AK194" s="238">
        <v>9.6999999999999993</v>
      </c>
      <c r="BG194" s="238">
        <v>-9</v>
      </c>
      <c r="BH194" s="239">
        <v>42592</v>
      </c>
      <c r="BM194" s="238">
        <v>61.9</v>
      </c>
      <c r="BN194" s="239">
        <v>42592</v>
      </c>
      <c r="BQ194" s="238">
        <v>11.1</v>
      </c>
      <c r="BR194" s="239">
        <v>42592</v>
      </c>
      <c r="BS194" s="238">
        <v>46.483516483516482</v>
      </c>
      <c r="BT194" s="239">
        <v>42592</v>
      </c>
      <c r="BU194" s="238">
        <v>20.549450549450547</v>
      </c>
      <c r="BV194" s="239">
        <v>42592</v>
      </c>
      <c r="BW194" s="238">
        <v>18.35164835164835</v>
      </c>
      <c r="BX194" s="239">
        <v>42592</v>
      </c>
      <c r="BY194" s="238"/>
      <c r="BZ194" s="238"/>
      <c r="CA194" s="238">
        <v>38.4</v>
      </c>
      <c r="CB194" s="239">
        <v>42592</v>
      </c>
      <c r="CC194" s="238"/>
      <c r="CD194" s="238"/>
      <c r="CF194" s="238"/>
    </row>
    <row r="195" spans="1:84" s="178" customFormat="1" ht="12">
      <c r="A195" s="232">
        <v>26</v>
      </c>
      <c r="B195" s="232" t="str">
        <f>VLOOKUP(A195,PlantMaterial!B:C,2,0)</f>
        <v>RAPSO_304</v>
      </c>
      <c r="C195" s="238" t="s">
        <v>7689</v>
      </c>
      <c r="D195" s="232">
        <v>5</v>
      </c>
      <c r="E195" s="238" t="s">
        <v>7879</v>
      </c>
      <c r="F195" s="232">
        <v>13</v>
      </c>
      <c r="G195" s="232">
        <v>10</v>
      </c>
      <c r="H195" s="178">
        <v>105</v>
      </c>
      <c r="I195" s="238"/>
      <c r="M195" s="238">
        <v>3.27</v>
      </c>
      <c r="N195" s="239">
        <v>42586</v>
      </c>
      <c r="S195" s="178">
        <v>10.36</v>
      </c>
      <c r="T195" s="239">
        <v>42592</v>
      </c>
      <c r="U195" s="178">
        <v>13.5</v>
      </c>
      <c r="V195" s="239">
        <v>42586</v>
      </c>
      <c r="Y195" s="238">
        <v>4.1383199999999993</v>
      </c>
      <c r="Z195" s="239">
        <v>42592</v>
      </c>
      <c r="AA195" s="178">
        <v>45</v>
      </c>
      <c r="AB195" s="239">
        <v>42249</v>
      </c>
      <c r="AE195" s="238">
        <v>24.06</v>
      </c>
      <c r="AF195" s="239">
        <v>42586</v>
      </c>
      <c r="AI195" s="232">
        <v>150</v>
      </c>
      <c r="AJ195" s="239">
        <v>42507</v>
      </c>
      <c r="AK195" s="238">
        <v>9.6</v>
      </c>
      <c r="BG195" s="238">
        <v>-9.5</v>
      </c>
      <c r="BH195" s="239">
        <v>42592</v>
      </c>
      <c r="BM195" s="238">
        <v>62.5</v>
      </c>
      <c r="BN195" s="239">
        <v>42592</v>
      </c>
      <c r="BQ195" s="238">
        <v>10</v>
      </c>
      <c r="BR195" s="239">
        <v>42592</v>
      </c>
      <c r="BS195" s="238">
        <v>47.252747252747248</v>
      </c>
      <c r="BT195" s="239">
        <v>42592</v>
      </c>
      <c r="BU195" s="238">
        <v>18.901098901098898</v>
      </c>
      <c r="BV195" s="239">
        <v>42592</v>
      </c>
      <c r="BW195" s="238">
        <v>18.131868131868131</v>
      </c>
      <c r="BX195" s="239">
        <v>42592</v>
      </c>
      <c r="BY195" s="238"/>
      <c r="BZ195" s="238"/>
      <c r="CA195" s="238">
        <v>35.9</v>
      </c>
      <c r="CB195" s="239">
        <v>42592</v>
      </c>
      <c r="CC195" s="238"/>
      <c r="CD195" s="238"/>
      <c r="CF195" s="238"/>
    </row>
    <row r="196" spans="1:84" s="178" customFormat="1" ht="12">
      <c r="A196" s="232">
        <v>27</v>
      </c>
      <c r="B196" s="232" t="str">
        <f>VLOOKUP(A196,PlantMaterial!B:C,2,0)</f>
        <v>TENOR</v>
      </c>
      <c r="C196" s="238" t="s">
        <v>7689</v>
      </c>
      <c r="D196" s="232">
        <v>5</v>
      </c>
      <c r="E196" s="238" t="s">
        <v>7880</v>
      </c>
      <c r="F196" s="232">
        <v>14</v>
      </c>
      <c r="G196" s="232">
        <v>10</v>
      </c>
      <c r="H196" s="178">
        <v>105</v>
      </c>
      <c r="I196" s="238"/>
      <c r="M196" s="238">
        <v>2.96</v>
      </c>
      <c r="N196" s="239">
        <v>42586</v>
      </c>
      <c r="S196" s="178">
        <v>9.51</v>
      </c>
      <c r="T196" s="239">
        <v>42592</v>
      </c>
      <c r="U196" s="178">
        <v>13.5</v>
      </c>
      <c r="V196" s="239">
        <v>42586</v>
      </c>
      <c r="Y196" s="238">
        <v>3.6808199999999998</v>
      </c>
      <c r="Z196" s="239">
        <v>42592</v>
      </c>
      <c r="AA196" s="178">
        <v>45</v>
      </c>
      <c r="AB196" s="239">
        <v>42249</v>
      </c>
      <c r="AE196" s="238">
        <v>21.78</v>
      </c>
      <c r="AF196" s="239">
        <v>42586</v>
      </c>
      <c r="AI196" s="232">
        <v>150</v>
      </c>
      <c r="AJ196" s="239">
        <v>42507</v>
      </c>
      <c r="AK196" s="238">
        <v>9.6</v>
      </c>
      <c r="BG196" s="238">
        <v>-6.5</v>
      </c>
      <c r="BH196" s="239">
        <v>42592</v>
      </c>
      <c r="BM196" s="238">
        <v>61.7</v>
      </c>
      <c r="BN196" s="239">
        <v>42592</v>
      </c>
      <c r="BQ196" s="238">
        <v>10.8</v>
      </c>
      <c r="BR196" s="239">
        <v>42592</v>
      </c>
      <c r="BS196" s="238">
        <v>48.021978021978022</v>
      </c>
      <c r="BT196" s="239">
        <v>42592</v>
      </c>
      <c r="BU196" s="238">
        <v>18.571428571428569</v>
      </c>
      <c r="BV196" s="239">
        <v>42592</v>
      </c>
      <c r="BW196" s="238">
        <v>16.923076923076923</v>
      </c>
      <c r="BX196" s="239">
        <v>42592</v>
      </c>
      <c r="BY196" s="238"/>
      <c r="BZ196" s="238"/>
      <c r="CA196" s="238">
        <v>35.799999999999997</v>
      </c>
      <c r="CB196" s="239">
        <v>42592</v>
      </c>
      <c r="CC196" s="238"/>
      <c r="CD196" s="238"/>
      <c r="CF196" s="238"/>
    </row>
    <row r="197" spans="1:84" s="178" customFormat="1" ht="12">
      <c r="A197" s="232">
        <v>28</v>
      </c>
      <c r="B197" s="232" t="str">
        <f>VLOOKUP(A197,PlantMaterial!B:C,2,0)</f>
        <v>LEL17</v>
      </c>
      <c r="C197" s="238" t="s">
        <v>7689</v>
      </c>
      <c r="D197" s="232">
        <v>5</v>
      </c>
      <c r="E197" s="238" t="s">
        <v>7881</v>
      </c>
      <c r="F197" s="232">
        <v>10</v>
      </c>
      <c r="G197" s="232">
        <v>8</v>
      </c>
      <c r="H197" s="178">
        <v>84</v>
      </c>
      <c r="I197" s="238"/>
      <c r="M197" s="238">
        <v>3.88</v>
      </c>
      <c r="N197" s="239">
        <v>42586</v>
      </c>
      <c r="S197" s="178">
        <v>12.38</v>
      </c>
      <c r="T197" s="239">
        <v>42592</v>
      </c>
      <c r="U197" s="178">
        <v>13.5</v>
      </c>
      <c r="V197" s="239">
        <v>42586</v>
      </c>
      <c r="Y197" s="238">
        <v>4.7074499999999997</v>
      </c>
      <c r="Z197" s="239">
        <v>42592</v>
      </c>
      <c r="AA197" s="178">
        <v>45</v>
      </c>
      <c r="AB197" s="239">
        <v>42249</v>
      </c>
      <c r="AE197" s="238">
        <v>28.53</v>
      </c>
      <c r="AF197" s="239">
        <v>42586</v>
      </c>
      <c r="AI197" s="232">
        <v>130</v>
      </c>
      <c r="AJ197" s="239">
        <v>42507</v>
      </c>
      <c r="AK197" s="238">
        <v>9.6999999999999993</v>
      </c>
      <c r="BG197" s="238">
        <v>-8.8000000000000007</v>
      </c>
      <c r="BH197" s="239">
        <v>42592</v>
      </c>
      <c r="BM197" s="238">
        <v>63</v>
      </c>
      <c r="BN197" s="239">
        <v>42592</v>
      </c>
      <c r="BQ197" s="238">
        <v>10.1</v>
      </c>
      <c r="BR197" s="239">
        <v>42592</v>
      </c>
      <c r="BS197" s="238">
        <v>47.692307692307686</v>
      </c>
      <c r="BT197" s="239">
        <v>42592</v>
      </c>
      <c r="BU197" s="238">
        <v>18.131868131868131</v>
      </c>
      <c r="BV197" s="239">
        <v>42592</v>
      </c>
      <c r="BW197" s="238">
        <v>15.384615384615383</v>
      </c>
      <c r="BX197" s="239">
        <v>42592</v>
      </c>
      <c r="BY197" s="238"/>
      <c r="BZ197" s="238"/>
      <c r="CA197" s="238">
        <v>34.5</v>
      </c>
      <c r="CB197" s="239">
        <v>42592</v>
      </c>
      <c r="CC197" s="238"/>
      <c r="CD197" s="238"/>
      <c r="CF197" s="238"/>
    </row>
    <row r="198" spans="1:84" s="178" customFormat="1" ht="12">
      <c r="A198" s="232">
        <v>29</v>
      </c>
      <c r="B198" s="232" t="str">
        <f>VLOOKUP(A198,PlantMaterial!B:C,2,0)</f>
        <v>EXPRESS</v>
      </c>
      <c r="C198" s="238" t="s">
        <v>7689</v>
      </c>
      <c r="D198" s="232">
        <v>5</v>
      </c>
      <c r="E198" s="238" t="s">
        <v>7882</v>
      </c>
      <c r="F198" s="232">
        <v>15</v>
      </c>
      <c r="G198" s="232">
        <v>11</v>
      </c>
      <c r="H198" s="178">
        <v>115.5</v>
      </c>
      <c r="I198" s="238" t="s">
        <v>7883</v>
      </c>
      <c r="J198" s="239">
        <v>42430</v>
      </c>
      <c r="M198" s="238">
        <v>2.23</v>
      </c>
      <c r="N198" s="239">
        <v>42586</v>
      </c>
      <c r="S198" s="178">
        <v>6.88</v>
      </c>
      <c r="T198" s="239">
        <v>42592</v>
      </c>
      <c r="U198" s="178">
        <v>13.5</v>
      </c>
      <c r="V198" s="239">
        <v>42586</v>
      </c>
      <c r="Y198" s="238">
        <v>2.8957199999999998</v>
      </c>
      <c r="Z198" s="239">
        <v>42592</v>
      </c>
      <c r="AA198" s="178">
        <v>45</v>
      </c>
      <c r="AB198" s="239">
        <v>42249</v>
      </c>
      <c r="AE198" s="238">
        <v>16.36</v>
      </c>
      <c r="AF198" s="239">
        <v>42586</v>
      </c>
      <c r="AI198" s="232">
        <v>145</v>
      </c>
      <c r="AJ198" s="239">
        <v>42507</v>
      </c>
      <c r="AK198" s="238">
        <v>9.9</v>
      </c>
      <c r="BG198" s="238">
        <v>-6.6</v>
      </c>
      <c r="BH198" s="239">
        <v>42592</v>
      </c>
      <c r="BM198" s="238">
        <v>61.2</v>
      </c>
      <c r="BN198" s="239">
        <v>42592</v>
      </c>
      <c r="BQ198" s="238">
        <v>10.6</v>
      </c>
      <c r="BR198" s="239">
        <v>42592</v>
      </c>
      <c r="BS198" s="238">
        <v>46.263736263736263</v>
      </c>
      <c r="BT198" s="239">
        <v>42592</v>
      </c>
      <c r="BU198" s="238">
        <v>19.450549450549449</v>
      </c>
      <c r="BV198" s="239">
        <v>42592</v>
      </c>
      <c r="BW198" s="238">
        <v>18.571428571428569</v>
      </c>
      <c r="BX198" s="239">
        <v>42592</v>
      </c>
      <c r="BY198" s="238"/>
      <c r="BZ198" s="238"/>
      <c r="CA198" s="238">
        <v>36.299999999999997</v>
      </c>
      <c r="CB198" s="239">
        <v>42592</v>
      </c>
      <c r="CC198" s="238"/>
      <c r="CD198" s="238"/>
      <c r="CF198" s="238"/>
    </row>
    <row r="199" spans="1:84" s="178" customFormat="1" ht="12">
      <c r="A199" s="232">
        <v>30</v>
      </c>
      <c r="B199" s="232" t="str">
        <f>VLOOKUP(A199,PlantMaterial!B:C,2,0)</f>
        <v>C04-1LEQ0</v>
      </c>
      <c r="C199" s="238" t="s">
        <v>7689</v>
      </c>
      <c r="D199" s="232">
        <v>5</v>
      </c>
      <c r="E199" s="238" t="s">
        <v>7884</v>
      </c>
      <c r="F199" s="232">
        <v>15</v>
      </c>
      <c r="G199" s="232">
        <v>12</v>
      </c>
      <c r="H199" s="178">
        <v>126</v>
      </c>
      <c r="I199" s="238"/>
      <c r="M199" s="238">
        <v>2.94</v>
      </c>
      <c r="N199" s="239">
        <v>42586</v>
      </c>
      <c r="S199" s="178">
        <v>9.35</v>
      </c>
      <c r="T199" s="239">
        <v>42592</v>
      </c>
      <c r="U199" s="178">
        <v>13.5</v>
      </c>
      <c r="V199" s="239">
        <v>42586</v>
      </c>
      <c r="Y199" s="238">
        <v>3.7350699999999999</v>
      </c>
      <c r="Z199" s="239">
        <v>42592</v>
      </c>
      <c r="AA199" s="178">
        <v>45</v>
      </c>
      <c r="AB199" s="239">
        <v>42249</v>
      </c>
      <c r="AE199" s="238">
        <v>21.59</v>
      </c>
      <c r="AF199" s="239">
        <v>42586</v>
      </c>
      <c r="AI199" s="232">
        <v>150</v>
      </c>
      <c r="AJ199" s="239">
        <v>42507</v>
      </c>
      <c r="AK199" s="238">
        <v>9.8000000000000007</v>
      </c>
      <c r="BG199" s="238">
        <v>-8.1</v>
      </c>
      <c r="BH199" s="239">
        <v>42592</v>
      </c>
      <c r="BM199" s="238">
        <v>62.9</v>
      </c>
      <c r="BN199" s="239">
        <v>42592</v>
      </c>
      <c r="BQ199" s="238">
        <v>10.4</v>
      </c>
      <c r="BR199" s="239">
        <v>42592</v>
      </c>
      <c r="BS199" s="238">
        <v>47.582417582417577</v>
      </c>
      <c r="BT199" s="239">
        <v>42592</v>
      </c>
      <c r="BU199" s="238">
        <v>19.010989010989011</v>
      </c>
      <c r="BV199" s="239">
        <v>42592</v>
      </c>
      <c r="BW199" s="238">
        <v>17.58241758241758</v>
      </c>
      <c r="BX199" s="239">
        <v>42592</v>
      </c>
      <c r="BY199" s="238"/>
      <c r="BZ199" s="238"/>
      <c r="CA199" s="238">
        <v>36.299999999999997</v>
      </c>
      <c r="CB199" s="239">
        <v>42592</v>
      </c>
      <c r="CC199" s="238"/>
      <c r="CD199" s="238"/>
      <c r="CF199" s="238"/>
    </row>
    <row r="200" spans="1:84" s="178" customFormat="1" ht="12">
      <c r="A200" s="232">
        <v>31</v>
      </c>
      <c r="B200" s="232" t="str">
        <f>VLOOKUP(A200,PlantMaterial!B:C,2,0)</f>
        <v>C04-1LEQ1</v>
      </c>
      <c r="C200" s="238" t="s">
        <v>7689</v>
      </c>
      <c r="D200" s="232">
        <v>5</v>
      </c>
      <c r="E200" s="238" t="s">
        <v>7885</v>
      </c>
      <c r="F200" s="232">
        <v>13</v>
      </c>
      <c r="G200" s="232">
        <v>8</v>
      </c>
      <c r="H200" s="178">
        <v>84</v>
      </c>
      <c r="I200" s="238"/>
      <c r="M200" s="238">
        <v>2.76</v>
      </c>
      <c r="N200" s="239">
        <v>42586</v>
      </c>
      <c r="S200" s="178">
        <v>8.9600000000000009</v>
      </c>
      <c r="T200" s="239">
        <v>42592</v>
      </c>
      <c r="U200" s="178">
        <v>13.5</v>
      </c>
      <c r="V200" s="239">
        <v>42586</v>
      </c>
      <c r="Y200" s="238">
        <v>3.3797600000000001</v>
      </c>
      <c r="Z200" s="239">
        <v>42592</v>
      </c>
      <c r="AA200" s="178">
        <v>45</v>
      </c>
      <c r="AB200" s="239">
        <v>42249</v>
      </c>
      <c r="AE200" s="238">
        <v>20.36</v>
      </c>
      <c r="AF200" s="239">
        <v>42586</v>
      </c>
      <c r="AI200" s="232">
        <v>130</v>
      </c>
      <c r="AJ200" s="239">
        <v>42507</v>
      </c>
      <c r="AK200" s="238">
        <v>9.4</v>
      </c>
      <c r="BG200" s="238">
        <v>-8.6999999999999993</v>
      </c>
      <c r="BH200" s="239">
        <v>42592</v>
      </c>
      <c r="BM200" s="238">
        <v>62.8</v>
      </c>
      <c r="BN200" s="239">
        <v>42592</v>
      </c>
      <c r="BQ200" s="238">
        <v>10.4</v>
      </c>
      <c r="BR200" s="239">
        <v>42592</v>
      </c>
      <c r="BS200" s="238">
        <v>48.35164835164835</v>
      </c>
      <c r="BT200" s="239">
        <v>42592</v>
      </c>
      <c r="BU200" s="238">
        <v>18.241758241758244</v>
      </c>
      <c r="BV200" s="239">
        <v>42592</v>
      </c>
      <c r="BW200" s="238">
        <v>13.626373626373626</v>
      </c>
      <c r="BX200" s="239">
        <v>42592</v>
      </c>
      <c r="BY200" s="238"/>
      <c r="BZ200" s="238"/>
      <c r="CA200" s="238">
        <v>35.4</v>
      </c>
      <c r="CB200" s="239">
        <v>42592</v>
      </c>
      <c r="CC200" s="238"/>
      <c r="CD200" s="238"/>
      <c r="CF200" s="238"/>
    </row>
    <row r="201" spans="1:84" s="178" customFormat="1" ht="12">
      <c r="A201" s="232">
        <v>32</v>
      </c>
      <c r="B201" s="232" t="str">
        <f>VLOOKUP(A201,PlantMaterial!B:C,2,0)</f>
        <v>A05-1LEQ0</v>
      </c>
      <c r="C201" s="238" t="s">
        <v>7689</v>
      </c>
      <c r="D201" s="232">
        <v>5</v>
      </c>
      <c r="E201" s="238" t="s">
        <v>7886</v>
      </c>
      <c r="F201" s="232">
        <v>10</v>
      </c>
      <c r="G201" s="232">
        <v>9</v>
      </c>
      <c r="H201" s="178">
        <v>94.5</v>
      </c>
      <c r="I201" s="238"/>
      <c r="M201" s="238">
        <v>3.52</v>
      </c>
      <c r="N201" s="239">
        <v>42586</v>
      </c>
      <c r="S201" s="178">
        <v>11.28</v>
      </c>
      <c r="T201" s="239">
        <v>42592</v>
      </c>
      <c r="U201" s="178">
        <v>13.5</v>
      </c>
      <c r="V201" s="239">
        <v>42586</v>
      </c>
      <c r="Y201" s="238">
        <v>4.2702</v>
      </c>
      <c r="Z201" s="239">
        <v>42592</v>
      </c>
      <c r="AA201" s="178">
        <v>45</v>
      </c>
      <c r="AB201" s="239">
        <v>42249</v>
      </c>
      <c r="AE201" s="238">
        <v>25.88</v>
      </c>
      <c r="AF201" s="239">
        <v>42586</v>
      </c>
      <c r="AI201" s="232">
        <v>135</v>
      </c>
      <c r="AJ201" s="239">
        <v>42507</v>
      </c>
      <c r="AK201" s="238">
        <v>9.6999999999999993</v>
      </c>
      <c r="BG201" s="238">
        <v>-8.1</v>
      </c>
      <c r="BH201" s="239">
        <v>42592</v>
      </c>
      <c r="BM201" s="238">
        <v>62.8</v>
      </c>
      <c r="BN201" s="239">
        <v>42592</v>
      </c>
      <c r="BQ201" s="238">
        <v>10.3</v>
      </c>
      <c r="BR201" s="239">
        <v>42592</v>
      </c>
      <c r="BS201" s="238">
        <v>47.912087912087912</v>
      </c>
      <c r="BT201" s="239">
        <v>42592</v>
      </c>
      <c r="BU201" s="238">
        <v>18.131868131868131</v>
      </c>
      <c r="BV201" s="239">
        <v>42592</v>
      </c>
      <c r="BW201" s="238">
        <v>15.604395604395602</v>
      </c>
      <c r="BX201" s="239">
        <v>42592</v>
      </c>
      <c r="BY201" s="238"/>
      <c r="BZ201" s="238"/>
      <c r="CA201" s="238">
        <v>34.799999999999997</v>
      </c>
      <c r="CB201" s="239">
        <v>42592</v>
      </c>
      <c r="CC201" s="238"/>
      <c r="CD201" s="238"/>
      <c r="CF201" s="238"/>
    </row>
    <row r="202" spans="1:84" s="178" customFormat="1" ht="12">
      <c r="A202" s="232">
        <v>33</v>
      </c>
      <c r="B202" s="232" t="str">
        <f>VLOOKUP(A202,PlantMaterial!B:C,2,0)</f>
        <v>A05-1LEQ1</v>
      </c>
      <c r="C202" s="238" t="s">
        <v>7689</v>
      </c>
      <c r="D202" s="232">
        <v>5</v>
      </c>
      <c r="E202" s="238" t="s">
        <v>7887</v>
      </c>
      <c r="F202" s="232">
        <v>14</v>
      </c>
      <c r="G202" s="232">
        <v>12</v>
      </c>
      <c r="H202" s="178">
        <v>126</v>
      </c>
      <c r="I202" s="238"/>
      <c r="M202" s="238">
        <v>4.38</v>
      </c>
      <c r="N202" s="239">
        <v>42586</v>
      </c>
      <c r="S202" s="178">
        <v>13.49</v>
      </c>
      <c r="T202" s="239">
        <v>42592</v>
      </c>
      <c r="U202" s="178">
        <v>13.5</v>
      </c>
      <c r="V202" s="239">
        <v>42586</v>
      </c>
      <c r="Y202" s="238">
        <v>5.885279999999999</v>
      </c>
      <c r="Z202" s="239">
        <v>42592</v>
      </c>
      <c r="AA202" s="178">
        <v>45</v>
      </c>
      <c r="AB202" s="239">
        <v>42249</v>
      </c>
      <c r="AE202" s="238">
        <v>32.159999999999997</v>
      </c>
      <c r="AF202" s="239">
        <v>42586</v>
      </c>
      <c r="AI202" s="232">
        <v>150</v>
      </c>
      <c r="AJ202" s="239">
        <v>42507</v>
      </c>
      <c r="AK202" s="238">
        <v>9.8000000000000007</v>
      </c>
      <c r="BG202" s="238">
        <v>-6.6</v>
      </c>
      <c r="BH202" s="239">
        <v>42592</v>
      </c>
      <c r="BM202" s="238">
        <v>63</v>
      </c>
      <c r="BN202" s="239">
        <v>42592</v>
      </c>
      <c r="BQ202" s="238">
        <v>11</v>
      </c>
      <c r="BR202" s="239">
        <v>42592</v>
      </c>
      <c r="BS202" s="238">
        <v>46.043956043956044</v>
      </c>
      <c r="BT202" s="239">
        <v>42592</v>
      </c>
      <c r="BU202" s="238">
        <v>20.109890109890109</v>
      </c>
      <c r="BV202" s="239">
        <v>42592</v>
      </c>
      <c r="BW202" s="238">
        <v>19.340659340659343</v>
      </c>
      <c r="BX202" s="239">
        <v>42592</v>
      </c>
      <c r="BY202" s="238"/>
      <c r="BZ202" s="238"/>
      <c r="CA202" s="238">
        <v>37.299999999999997</v>
      </c>
      <c r="CB202" s="239">
        <v>42592</v>
      </c>
      <c r="CC202" s="238"/>
      <c r="CD202" s="238"/>
      <c r="CF202" s="238"/>
    </row>
    <row r="203" spans="1:84" s="178" customFormat="1" ht="12">
      <c r="A203" s="232">
        <v>34</v>
      </c>
      <c r="B203" s="232" t="str">
        <f>VLOOKUP(A203,PlantMaterial!B:C,2,0)</f>
        <v>RAPSO_4</v>
      </c>
      <c r="C203" s="238" t="s">
        <v>7689</v>
      </c>
      <c r="D203" s="232">
        <v>5</v>
      </c>
      <c r="E203" s="238" t="s">
        <v>7888</v>
      </c>
      <c r="F203" s="232">
        <v>15</v>
      </c>
      <c r="G203" s="232">
        <v>8</v>
      </c>
      <c r="H203" s="178">
        <v>84</v>
      </c>
      <c r="I203" s="238"/>
      <c r="M203" s="238">
        <v>3.01</v>
      </c>
      <c r="N203" s="239">
        <v>42586</v>
      </c>
      <c r="S203" s="178">
        <v>9.64</v>
      </c>
      <c r="T203" s="239">
        <v>42592</v>
      </c>
      <c r="U203" s="178">
        <v>13.5</v>
      </c>
      <c r="V203" s="239">
        <v>42586</v>
      </c>
      <c r="Y203" s="238">
        <v>3.6481499999999998</v>
      </c>
      <c r="Z203" s="239">
        <v>42592</v>
      </c>
      <c r="AA203" s="178">
        <v>45</v>
      </c>
      <c r="AB203" s="239">
        <v>42249</v>
      </c>
      <c r="AE203" s="238">
        <v>22.11</v>
      </c>
      <c r="AF203" s="239">
        <v>42586</v>
      </c>
      <c r="AI203" s="232">
        <v>130</v>
      </c>
      <c r="AJ203" s="239">
        <v>42507</v>
      </c>
      <c r="AK203" s="238">
        <v>9.8000000000000007</v>
      </c>
      <c r="BG203" s="238">
        <v>-8.3000000000000007</v>
      </c>
      <c r="BH203" s="239">
        <v>42592</v>
      </c>
      <c r="BM203" s="238">
        <v>62.4</v>
      </c>
      <c r="BN203" s="239">
        <v>42592</v>
      </c>
      <c r="BQ203" s="238">
        <v>10.9</v>
      </c>
      <c r="BR203" s="239">
        <v>42592</v>
      </c>
      <c r="BS203" s="238">
        <v>47.912087912087912</v>
      </c>
      <c r="BT203" s="239">
        <v>42592</v>
      </c>
      <c r="BU203" s="238">
        <v>18.131868131868131</v>
      </c>
      <c r="BV203" s="239">
        <v>42592</v>
      </c>
      <c r="BW203" s="238">
        <v>11.538461538461538</v>
      </c>
      <c r="BX203" s="239">
        <v>42592</v>
      </c>
      <c r="BY203" s="238"/>
      <c r="BZ203" s="238"/>
      <c r="CA203" s="238">
        <v>34.799999999999997</v>
      </c>
      <c r="CB203" s="239">
        <v>42592</v>
      </c>
      <c r="CC203" s="238"/>
      <c r="CD203" s="238"/>
      <c r="CF203" s="238"/>
    </row>
    <row r="204" spans="1:84" s="178" customFormat="1" ht="12">
      <c r="A204" s="232">
        <v>35</v>
      </c>
      <c r="B204" s="232" t="str">
        <f>VLOOKUP(A204,PlantMaterial!B:C,2,0)</f>
        <v>C04-1MASQ0</v>
      </c>
      <c r="C204" s="238" t="s">
        <v>7689</v>
      </c>
      <c r="D204" s="232">
        <v>5</v>
      </c>
      <c r="E204" s="238" t="s">
        <v>7889</v>
      </c>
      <c r="F204" s="232">
        <v>12</v>
      </c>
      <c r="G204" s="232">
        <v>9</v>
      </c>
      <c r="H204" s="178">
        <v>94.5</v>
      </c>
      <c r="I204" s="238"/>
      <c r="M204" s="238">
        <v>3.04</v>
      </c>
      <c r="N204" s="239">
        <v>42586</v>
      </c>
      <c r="S204" s="178">
        <v>9.43</v>
      </c>
      <c r="T204" s="239">
        <v>42592</v>
      </c>
      <c r="U204" s="178">
        <v>13.5</v>
      </c>
      <c r="V204" s="239">
        <v>42586</v>
      </c>
      <c r="Y204" s="238">
        <v>3.7977999999999996</v>
      </c>
      <c r="Z204" s="239">
        <v>42592</v>
      </c>
      <c r="AA204" s="178">
        <v>45</v>
      </c>
      <c r="AB204" s="239">
        <v>42249</v>
      </c>
      <c r="AE204" s="238">
        <v>22.34</v>
      </c>
      <c r="AF204" s="239">
        <v>42586</v>
      </c>
      <c r="AI204" s="232">
        <v>135</v>
      </c>
      <c r="AJ204" s="239">
        <v>42507</v>
      </c>
      <c r="AK204" s="238">
        <v>9.6999999999999993</v>
      </c>
      <c r="BG204" s="238">
        <v>-5.9</v>
      </c>
      <c r="BH204" s="239">
        <v>42592</v>
      </c>
      <c r="BM204" s="238">
        <v>62.1</v>
      </c>
      <c r="BN204" s="239">
        <v>42592</v>
      </c>
      <c r="BQ204" s="238">
        <v>10.6</v>
      </c>
      <c r="BR204" s="239">
        <v>42592</v>
      </c>
      <c r="BS204" s="238">
        <v>46.373626373626372</v>
      </c>
      <c r="BT204" s="239">
        <v>42592</v>
      </c>
      <c r="BU204" s="238">
        <v>18.681318681318682</v>
      </c>
      <c r="BV204" s="239">
        <v>42592</v>
      </c>
      <c r="BW204" s="238">
        <v>13.736263736263735</v>
      </c>
      <c r="BX204" s="239">
        <v>42592</v>
      </c>
      <c r="BY204" s="238"/>
      <c r="BZ204" s="238"/>
      <c r="CA204" s="238">
        <v>34.9</v>
      </c>
      <c r="CB204" s="239">
        <v>42592</v>
      </c>
      <c r="CC204" s="238"/>
      <c r="CD204" s="238"/>
      <c r="CF204" s="238"/>
    </row>
    <row r="205" spans="1:84" s="178" customFormat="1" ht="12">
      <c r="A205" s="232">
        <v>36</v>
      </c>
      <c r="B205" s="232" t="str">
        <f>VLOOKUP(A205,PlantMaterial!B:C,2,0)</f>
        <v>C04-1MASQ1</v>
      </c>
      <c r="C205" s="238" t="s">
        <v>7689</v>
      </c>
      <c r="D205" s="232">
        <v>5</v>
      </c>
      <c r="E205" s="238" t="s">
        <v>7890</v>
      </c>
      <c r="F205" s="232">
        <v>12</v>
      </c>
      <c r="G205" s="232">
        <v>11</v>
      </c>
      <c r="H205" s="178">
        <v>115.5</v>
      </c>
      <c r="I205" s="238"/>
      <c r="M205" s="238">
        <v>3.21</v>
      </c>
      <c r="N205" s="239">
        <v>42586</v>
      </c>
      <c r="S205" s="178">
        <v>10.18</v>
      </c>
      <c r="T205" s="239">
        <v>42592</v>
      </c>
      <c r="U205" s="178">
        <v>13.5</v>
      </c>
      <c r="V205" s="239">
        <v>42586</v>
      </c>
      <c r="Y205" s="238">
        <v>4.0729600000000001</v>
      </c>
      <c r="Z205" s="239">
        <v>42592</v>
      </c>
      <c r="AA205" s="178">
        <v>45</v>
      </c>
      <c r="AB205" s="239">
        <v>42249</v>
      </c>
      <c r="AE205" s="238">
        <v>23.68</v>
      </c>
      <c r="AF205" s="239">
        <v>42586</v>
      </c>
      <c r="AI205" s="232">
        <v>145</v>
      </c>
      <c r="AJ205" s="239">
        <v>42507</v>
      </c>
      <c r="AK205" s="238">
        <v>9.4</v>
      </c>
      <c r="BG205" s="238">
        <v>-8</v>
      </c>
      <c r="BH205" s="239">
        <v>42592</v>
      </c>
      <c r="BM205" s="238">
        <v>61</v>
      </c>
      <c r="BN205" s="239">
        <v>42592</v>
      </c>
      <c r="BQ205" s="238">
        <v>10.7</v>
      </c>
      <c r="BR205" s="239">
        <v>42592</v>
      </c>
      <c r="BS205" s="238">
        <v>47.252747252747248</v>
      </c>
      <c r="BT205" s="239">
        <v>42592</v>
      </c>
      <c r="BU205" s="238">
        <v>18.901098901098898</v>
      </c>
      <c r="BV205" s="239">
        <v>42592</v>
      </c>
      <c r="BW205" s="238">
        <v>13.186813186813186</v>
      </c>
      <c r="BX205" s="239">
        <v>42592</v>
      </c>
      <c r="BY205" s="238"/>
      <c r="BZ205" s="238"/>
      <c r="CA205" s="238">
        <v>35.700000000000003</v>
      </c>
      <c r="CB205" s="239">
        <v>42592</v>
      </c>
      <c r="CC205" s="238"/>
      <c r="CD205" s="238"/>
      <c r="CF205" s="238"/>
    </row>
    <row r="206" spans="1:84" s="178" customFormat="1" ht="12">
      <c r="A206" s="232">
        <v>37</v>
      </c>
      <c r="B206" s="232" t="str">
        <f>VLOOKUP(A206,PlantMaterial!B:C,2,0)</f>
        <v>RAPSO_323</v>
      </c>
      <c r="C206" s="238" t="s">
        <v>7689</v>
      </c>
      <c r="D206" s="232">
        <v>5</v>
      </c>
      <c r="E206" s="238" t="s">
        <v>7891</v>
      </c>
      <c r="F206" s="232">
        <v>14</v>
      </c>
      <c r="G206" s="232">
        <v>8</v>
      </c>
      <c r="H206" s="178">
        <v>84</v>
      </c>
      <c r="I206" s="238"/>
      <c r="M206" s="238">
        <v>3.57</v>
      </c>
      <c r="N206" s="239">
        <v>42586</v>
      </c>
      <c r="S206" s="178">
        <v>11.28</v>
      </c>
      <c r="T206" s="239">
        <v>42592</v>
      </c>
      <c r="U206" s="178">
        <v>13.5</v>
      </c>
      <c r="V206" s="239">
        <v>42586</v>
      </c>
      <c r="Y206" s="238">
        <v>4.5149999999999997</v>
      </c>
      <c r="Z206" s="239">
        <v>42592</v>
      </c>
      <c r="AA206" s="178">
        <v>45</v>
      </c>
      <c r="AB206" s="239">
        <v>42249</v>
      </c>
      <c r="AE206" s="238">
        <v>26.25</v>
      </c>
      <c r="AF206" s="239">
        <v>42586</v>
      </c>
      <c r="AI206" s="232">
        <v>155</v>
      </c>
      <c r="AJ206" s="239">
        <v>42507</v>
      </c>
      <c r="AK206" s="238">
        <v>9.6999999999999993</v>
      </c>
      <c r="BG206" s="238">
        <v>-9.3000000000000007</v>
      </c>
      <c r="BH206" s="239">
        <v>42592</v>
      </c>
      <c r="BM206" s="238">
        <v>61.8</v>
      </c>
      <c r="BN206" s="239">
        <v>42592</v>
      </c>
      <c r="BQ206" s="238">
        <v>11.1</v>
      </c>
      <c r="BR206" s="239">
        <v>42592</v>
      </c>
      <c r="BS206" s="238">
        <v>47.252747252747248</v>
      </c>
      <c r="BT206" s="239">
        <v>42592</v>
      </c>
      <c r="BU206" s="238">
        <v>18.901098901098898</v>
      </c>
      <c r="BV206" s="239">
        <v>42592</v>
      </c>
      <c r="BW206" s="238">
        <v>13.516483516483516</v>
      </c>
      <c r="BX206" s="239">
        <v>42592</v>
      </c>
      <c r="BY206" s="238"/>
      <c r="BZ206" s="238"/>
      <c r="CA206" s="238">
        <v>35.799999999999997</v>
      </c>
      <c r="CB206" s="239">
        <v>42592</v>
      </c>
      <c r="CC206" s="238"/>
      <c r="CD206" s="238"/>
      <c r="CF206" s="238"/>
    </row>
    <row r="207" spans="1:84" s="178" customFormat="1" ht="12">
      <c r="A207" s="232">
        <v>38</v>
      </c>
      <c r="B207" s="232" t="str">
        <f>VLOOKUP(A207,PlantMaterial!B:C,2,0)</f>
        <v>C04-1RAGTQ0</v>
      </c>
      <c r="C207" s="238" t="s">
        <v>7689</v>
      </c>
      <c r="D207" s="232">
        <v>5</v>
      </c>
      <c r="E207" s="238" t="s">
        <v>7892</v>
      </c>
      <c r="F207" s="232">
        <v>13</v>
      </c>
      <c r="G207" s="232">
        <v>9</v>
      </c>
      <c r="H207" s="178">
        <v>94.5</v>
      </c>
      <c r="I207" s="238"/>
      <c r="M207" s="238">
        <v>3.22</v>
      </c>
      <c r="N207" s="239">
        <v>42586</v>
      </c>
      <c r="S207" s="178">
        <v>10.48</v>
      </c>
      <c r="T207" s="239">
        <v>42592</v>
      </c>
      <c r="U207" s="178">
        <v>13.5</v>
      </c>
      <c r="V207" s="239">
        <v>42586</v>
      </c>
      <c r="Y207" s="238">
        <v>3.8189199999999999</v>
      </c>
      <c r="Z207" s="239">
        <v>42592</v>
      </c>
      <c r="AA207" s="178">
        <v>45</v>
      </c>
      <c r="AB207" s="239">
        <v>42249</v>
      </c>
      <c r="AE207" s="238">
        <v>23.72</v>
      </c>
      <c r="AF207" s="239">
        <v>42586</v>
      </c>
      <c r="AI207" s="232">
        <v>145</v>
      </c>
      <c r="AJ207" s="239">
        <v>42507</v>
      </c>
      <c r="AK207" s="238">
        <v>9.5</v>
      </c>
      <c r="BG207" s="238">
        <v>-8.1999999999999993</v>
      </c>
      <c r="BH207" s="239">
        <v>42592</v>
      </c>
      <c r="BM207" s="238">
        <v>63</v>
      </c>
      <c r="BN207" s="239">
        <v>42592</v>
      </c>
      <c r="BQ207" s="238">
        <v>10</v>
      </c>
      <c r="BR207" s="239">
        <v>42592</v>
      </c>
      <c r="BS207" s="238">
        <v>48.571428571428569</v>
      </c>
      <c r="BT207" s="239">
        <v>42592</v>
      </c>
      <c r="BU207" s="238">
        <v>17.692307692307693</v>
      </c>
      <c r="BV207" s="239">
        <v>42592</v>
      </c>
      <c r="BW207" s="238">
        <v>14.175824175824175</v>
      </c>
      <c r="BX207" s="239">
        <v>42592</v>
      </c>
      <c r="BY207" s="238"/>
      <c r="BZ207" s="238"/>
      <c r="CA207" s="238">
        <v>34.5</v>
      </c>
      <c r="CB207" s="239">
        <v>42592</v>
      </c>
      <c r="CC207" s="238"/>
      <c r="CD207" s="238"/>
      <c r="CF207" s="238"/>
    </row>
    <row r="208" spans="1:84" s="178" customFormat="1" ht="12">
      <c r="A208" s="232">
        <v>39</v>
      </c>
      <c r="B208" s="232" t="str">
        <f>VLOOKUP(A208,PlantMaterial!B:C,2,0)</f>
        <v>C04-1RAGTQ1</v>
      </c>
      <c r="C208" s="238" t="s">
        <v>7689</v>
      </c>
      <c r="D208" s="232">
        <v>5</v>
      </c>
      <c r="E208" s="238" t="s">
        <v>7893</v>
      </c>
      <c r="F208" s="232">
        <v>13</v>
      </c>
      <c r="G208" s="232">
        <v>14</v>
      </c>
      <c r="H208" s="178">
        <v>147</v>
      </c>
      <c r="I208" s="238"/>
      <c r="M208" s="238">
        <v>3.01</v>
      </c>
      <c r="N208" s="239">
        <v>42586</v>
      </c>
      <c r="S208" s="178">
        <v>9.5500000000000007</v>
      </c>
      <c r="T208" s="239">
        <v>42592</v>
      </c>
      <c r="U208" s="178">
        <v>13.5</v>
      </c>
      <c r="V208" s="239">
        <v>42586</v>
      </c>
      <c r="Y208" s="238">
        <v>3.7910700000000008</v>
      </c>
      <c r="Z208" s="239">
        <v>42592</v>
      </c>
      <c r="AA208" s="178">
        <v>45</v>
      </c>
      <c r="AB208" s="239">
        <v>42249</v>
      </c>
      <c r="AE208" s="238">
        <v>22.17</v>
      </c>
      <c r="AF208" s="239">
        <v>42586</v>
      </c>
      <c r="AI208" s="232">
        <v>150</v>
      </c>
      <c r="AJ208" s="239">
        <v>42507</v>
      </c>
      <c r="AK208" s="238">
        <v>9.5</v>
      </c>
      <c r="BG208" s="238">
        <v>-9.9</v>
      </c>
      <c r="BH208" s="239">
        <v>42592</v>
      </c>
      <c r="BM208" s="238">
        <v>61.7</v>
      </c>
      <c r="BN208" s="239">
        <v>42592</v>
      </c>
      <c r="BQ208" s="238">
        <v>10.5</v>
      </c>
      <c r="BR208" s="239">
        <v>42592</v>
      </c>
      <c r="BS208" s="238">
        <v>47.362637362637365</v>
      </c>
      <c r="BT208" s="239">
        <v>42592</v>
      </c>
      <c r="BU208" s="238">
        <v>18.791208791208792</v>
      </c>
      <c r="BV208" s="239">
        <v>42592</v>
      </c>
      <c r="BW208" s="238">
        <v>14.835164835164834</v>
      </c>
      <c r="BX208" s="239">
        <v>42592</v>
      </c>
      <c r="BY208" s="238"/>
      <c r="BZ208" s="238"/>
      <c r="CA208" s="238">
        <v>35.6</v>
      </c>
      <c r="CB208" s="239">
        <v>42592</v>
      </c>
      <c r="CC208" s="238"/>
      <c r="CD208" s="238"/>
      <c r="CF208" s="238"/>
    </row>
    <row r="209" spans="1:84" s="178" customFormat="1" ht="12">
      <c r="A209" s="232">
        <v>40</v>
      </c>
      <c r="B209" s="232" t="str">
        <f>VLOOKUP(A209,PlantMaterial!B:C,2,0)</f>
        <v>RAPSO_325</v>
      </c>
      <c r="C209" s="238" t="s">
        <v>7689</v>
      </c>
      <c r="D209" s="232">
        <v>5</v>
      </c>
      <c r="E209" s="238" t="s">
        <v>7894</v>
      </c>
      <c r="F209" s="232">
        <v>12</v>
      </c>
      <c r="G209" s="232">
        <v>8</v>
      </c>
      <c r="H209" s="178">
        <v>84</v>
      </c>
      <c r="I209" s="238"/>
      <c r="M209" s="238">
        <v>4.68</v>
      </c>
      <c r="N209" s="239">
        <v>42586</v>
      </c>
      <c r="S209" s="178">
        <v>15.22</v>
      </c>
      <c r="T209" s="239">
        <v>42592</v>
      </c>
      <c r="U209" s="178">
        <v>13.5</v>
      </c>
      <c r="V209" s="239">
        <v>42586</v>
      </c>
      <c r="Y209" s="238">
        <v>5.5561100000000003</v>
      </c>
      <c r="Z209" s="239">
        <v>42592</v>
      </c>
      <c r="AA209" s="178">
        <v>45</v>
      </c>
      <c r="AB209" s="239">
        <v>42249</v>
      </c>
      <c r="AE209" s="238">
        <v>34.51</v>
      </c>
      <c r="AF209" s="239">
        <v>42586</v>
      </c>
      <c r="AI209" s="232">
        <v>155</v>
      </c>
      <c r="AJ209" s="239">
        <v>42507</v>
      </c>
      <c r="AK209" s="238">
        <v>9.4</v>
      </c>
      <c r="BG209" s="238">
        <v>-6.9</v>
      </c>
      <c r="BH209" s="239">
        <v>42592</v>
      </c>
      <c r="BM209" s="238">
        <v>64.900000000000006</v>
      </c>
      <c r="BN209" s="239">
        <v>42592</v>
      </c>
      <c r="BQ209" s="238">
        <v>9.6999999999999993</v>
      </c>
      <c r="BR209" s="239">
        <v>42592</v>
      </c>
      <c r="BS209" s="238">
        <v>48.46153846153846</v>
      </c>
      <c r="BT209" s="239">
        <v>42592</v>
      </c>
      <c r="BU209" s="238">
        <v>17.692307692307693</v>
      </c>
      <c r="BV209" s="239">
        <v>42592</v>
      </c>
      <c r="BW209" s="238">
        <v>15.054945054945053</v>
      </c>
      <c r="BX209" s="239">
        <v>42592</v>
      </c>
      <c r="BY209" s="238"/>
      <c r="BZ209" s="238"/>
      <c r="CA209" s="238">
        <v>34.299999999999997</v>
      </c>
      <c r="CB209" s="239">
        <v>42592</v>
      </c>
      <c r="CC209" s="238"/>
      <c r="CD209" s="238"/>
      <c r="CF209" s="238"/>
    </row>
    <row r="210" spans="1:84" s="178" customFormat="1" ht="12">
      <c r="A210" s="232">
        <v>41</v>
      </c>
      <c r="B210" s="232" t="str">
        <f>VLOOKUP(A210,PlantMaterial!B:C,2,0)</f>
        <v>C04-1SYNQ0</v>
      </c>
      <c r="C210" s="238" t="s">
        <v>7689</v>
      </c>
      <c r="D210" s="232">
        <v>5</v>
      </c>
      <c r="E210" s="238" t="s">
        <v>7895</v>
      </c>
      <c r="F210" s="232">
        <v>10</v>
      </c>
      <c r="G210" s="232">
        <v>10</v>
      </c>
      <c r="H210" s="178">
        <v>105</v>
      </c>
      <c r="I210" s="238"/>
      <c r="M210" s="238">
        <v>3.12</v>
      </c>
      <c r="N210" s="239">
        <v>42586</v>
      </c>
      <c r="S210" s="178">
        <v>10.050000000000001</v>
      </c>
      <c r="T210" s="239">
        <v>42592</v>
      </c>
      <c r="U210" s="178">
        <v>13.5</v>
      </c>
      <c r="V210" s="239">
        <v>42586</v>
      </c>
      <c r="Y210" s="238">
        <v>3.8130200000000003</v>
      </c>
      <c r="Z210" s="239">
        <v>42592</v>
      </c>
      <c r="AA210" s="178">
        <v>45</v>
      </c>
      <c r="AB210" s="239">
        <v>42249</v>
      </c>
      <c r="AE210" s="238">
        <v>22.97</v>
      </c>
      <c r="AF210" s="239">
        <v>42586</v>
      </c>
      <c r="AI210" s="232">
        <v>150</v>
      </c>
      <c r="AJ210" s="239">
        <v>42507</v>
      </c>
      <c r="AK210" s="238">
        <v>9.6</v>
      </c>
      <c r="BG210" s="238">
        <v>-8.5</v>
      </c>
      <c r="BH210" s="239">
        <v>42592</v>
      </c>
      <c r="BM210" s="238">
        <v>60.9</v>
      </c>
      <c r="BN210" s="239">
        <v>42592</v>
      </c>
      <c r="BQ210" s="238">
        <v>10.5</v>
      </c>
      <c r="BR210" s="239">
        <v>42592</v>
      </c>
      <c r="BS210" s="238">
        <v>48.131868131868124</v>
      </c>
      <c r="BT210" s="239">
        <v>42592</v>
      </c>
      <c r="BU210" s="238">
        <v>18.241758241758244</v>
      </c>
      <c r="BV210" s="239">
        <v>42592</v>
      </c>
      <c r="BW210" s="238">
        <v>16.153846153846153</v>
      </c>
      <c r="BX210" s="239">
        <v>42592</v>
      </c>
      <c r="BY210" s="238"/>
      <c r="BZ210" s="238"/>
      <c r="CA210" s="238">
        <v>35.200000000000003</v>
      </c>
      <c r="CB210" s="239">
        <v>42592</v>
      </c>
      <c r="CC210" s="238"/>
      <c r="CD210" s="238"/>
      <c r="CF210" s="238"/>
    </row>
    <row r="211" spans="1:84" s="178" customFormat="1" ht="12">
      <c r="A211" s="232">
        <v>42</v>
      </c>
      <c r="B211" s="232" t="str">
        <f>VLOOKUP(A211,PlantMaterial!B:C,2,0)</f>
        <v>C04-1SYNQ1</v>
      </c>
      <c r="C211" s="238" t="s">
        <v>7689</v>
      </c>
      <c r="D211" s="232">
        <v>5</v>
      </c>
      <c r="E211" s="238" t="s">
        <v>7896</v>
      </c>
      <c r="F211" s="232">
        <v>11</v>
      </c>
      <c r="G211" s="232">
        <v>11</v>
      </c>
      <c r="H211" s="178">
        <v>115.5</v>
      </c>
      <c r="I211" s="238"/>
      <c r="M211" s="238">
        <v>3.66</v>
      </c>
      <c r="N211" s="239">
        <v>42586</v>
      </c>
      <c r="S211" s="178">
        <v>11.46</v>
      </c>
      <c r="T211" s="239">
        <v>42592</v>
      </c>
      <c r="U211" s="178">
        <v>13.5</v>
      </c>
      <c r="V211" s="239">
        <v>42586</v>
      </c>
      <c r="Y211" s="238">
        <v>4.5528599999999999</v>
      </c>
      <c r="Z211" s="239">
        <v>42592</v>
      </c>
      <c r="AA211" s="178">
        <v>45</v>
      </c>
      <c r="AB211" s="239">
        <v>42249</v>
      </c>
      <c r="AE211" s="238">
        <v>26.94</v>
      </c>
      <c r="AF211" s="239">
        <v>42586</v>
      </c>
      <c r="AI211" s="232">
        <v>145</v>
      </c>
      <c r="AJ211" s="239">
        <v>42507</v>
      </c>
      <c r="AK211" s="238">
        <v>9.6</v>
      </c>
      <c r="BG211" s="238">
        <v>-7.6</v>
      </c>
      <c r="BH211" s="239">
        <v>42592</v>
      </c>
      <c r="BM211" s="238">
        <v>60.4</v>
      </c>
      <c r="BN211" s="239">
        <v>42592</v>
      </c>
      <c r="BQ211" s="238">
        <v>10.7</v>
      </c>
      <c r="BR211" s="239">
        <v>42592</v>
      </c>
      <c r="BS211" s="238">
        <v>46.81318681318681</v>
      </c>
      <c r="BT211" s="239">
        <v>42592</v>
      </c>
      <c r="BU211" s="238">
        <v>18.571428571428569</v>
      </c>
      <c r="BV211" s="239">
        <v>42592</v>
      </c>
      <c r="BW211" s="238">
        <v>16.043956043956044</v>
      </c>
      <c r="BX211" s="239">
        <v>42592</v>
      </c>
      <c r="BY211" s="238"/>
      <c r="BZ211" s="238"/>
      <c r="CA211" s="238">
        <v>34.799999999999997</v>
      </c>
      <c r="CB211" s="239">
        <v>42592</v>
      </c>
      <c r="CC211" s="238"/>
      <c r="CD211" s="238"/>
      <c r="CF211" s="238"/>
    </row>
    <row r="212" spans="1:84" s="242" customFormat="1" ht="12">
      <c r="A212" s="240">
        <v>1</v>
      </c>
      <c r="B212" s="240" t="str">
        <f>VLOOKUP(A212,PlantMaterial!B:C,2,0)</f>
        <v>AVISO</v>
      </c>
      <c r="C212" s="241" t="s">
        <v>7689</v>
      </c>
      <c r="D212" s="240">
        <v>6</v>
      </c>
      <c r="E212" s="241" t="s">
        <v>7936</v>
      </c>
      <c r="F212" s="240">
        <v>14</v>
      </c>
      <c r="G212" s="240">
        <v>7</v>
      </c>
      <c r="H212" s="242">
        <v>73.5</v>
      </c>
      <c r="I212" s="241" t="s">
        <v>7897</v>
      </c>
      <c r="J212" s="243">
        <v>42430</v>
      </c>
      <c r="M212" s="241">
        <v>2.73</v>
      </c>
      <c r="N212" s="243">
        <v>42586</v>
      </c>
      <c r="S212" s="242">
        <v>8.3800000000000008</v>
      </c>
      <c r="T212" s="243">
        <v>42592</v>
      </c>
      <c r="U212" s="242">
        <v>13.5</v>
      </c>
      <c r="V212" s="243">
        <v>42586</v>
      </c>
      <c r="Y212" s="241">
        <v>3.5340800000000003</v>
      </c>
      <c r="Z212" s="243">
        <v>42592</v>
      </c>
      <c r="AA212" s="242">
        <v>45</v>
      </c>
      <c r="AB212" s="243">
        <v>42249</v>
      </c>
      <c r="AE212" s="241">
        <v>20.079999999999998</v>
      </c>
      <c r="AF212" s="243">
        <v>42586</v>
      </c>
      <c r="AI212" s="240">
        <v>135</v>
      </c>
      <c r="AJ212" s="243">
        <v>42507</v>
      </c>
      <c r="AK212" s="241">
        <v>9.6</v>
      </c>
      <c r="BG212" s="241">
        <v>-8.8000000000000007</v>
      </c>
      <c r="BH212" s="243">
        <v>42592</v>
      </c>
      <c r="BM212" s="241">
        <v>60.5</v>
      </c>
      <c r="BN212" s="243">
        <v>42592</v>
      </c>
      <c r="BQ212" s="241">
        <v>11.6</v>
      </c>
      <c r="BR212" s="243">
        <v>42592</v>
      </c>
      <c r="BS212" s="241">
        <v>45.824175824175825</v>
      </c>
      <c r="BT212" s="243">
        <v>42592</v>
      </c>
      <c r="BU212" s="241">
        <v>19.340659340659343</v>
      </c>
      <c r="BV212" s="243">
        <v>42592</v>
      </c>
      <c r="BW212" s="241">
        <v>14.945054945054943</v>
      </c>
      <c r="BX212" s="243">
        <v>42592</v>
      </c>
      <c r="BY212" s="241"/>
      <c r="BZ212" s="241"/>
      <c r="CA212" s="241">
        <v>35.700000000000003</v>
      </c>
      <c r="CB212" s="243">
        <v>42592</v>
      </c>
      <c r="CC212" s="241"/>
      <c r="CD212" s="241"/>
      <c r="CF212" s="241"/>
    </row>
    <row r="213" spans="1:84" s="178" customFormat="1" ht="12">
      <c r="A213" s="232">
        <v>2</v>
      </c>
      <c r="B213" s="232" t="str">
        <f>VLOOKUP(A213,PlantMaterial!B:C,2,0)</f>
        <v>A05-AMQ0</v>
      </c>
      <c r="C213" s="238" t="s">
        <v>7689</v>
      </c>
      <c r="D213" s="232">
        <v>6</v>
      </c>
      <c r="E213" s="238" t="s">
        <v>7898</v>
      </c>
      <c r="F213" s="232">
        <v>12</v>
      </c>
      <c r="G213" s="232">
        <v>2</v>
      </c>
      <c r="H213" s="178">
        <v>21</v>
      </c>
      <c r="I213" s="238"/>
      <c r="M213" s="238">
        <v>3.15</v>
      </c>
      <c r="N213" s="239">
        <v>42586</v>
      </c>
      <c r="S213" s="178">
        <v>9.7100000000000009</v>
      </c>
      <c r="T213" s="239">
        <v>42592</v>
      </c>
      <c r="U213" s="178">
        <v>13.5</v>
      </c>
      <c r="V213" s="239">
        <v>42586</v>
      </c>
      <c r="Y213" s="238">
        <v>4.2364499999999996</v>
      </c>
      <c r="Z213" s="239">
        <v>42592</v>
      </c>
      <c r="AA213" s="178">
        <v>45</v>
      </c>
      <c r="AB213" s="239">
        <v>42249</v>
      </c>
      <c r="AE213" s="238">
        <v>23.15</v>
      </c>
      <c r="AF213" s="239">
        <v>42586</v>
      </c>
      <c r="AI213" s="232">
        <v>135</v>
      </c>
      <c r="AJ213" s="239">
        <v>42507</v>
      </c>
      <c r="AK213" s="238">
        <v>9.6999999999999993</v>
      </c>
      <c r="BG213" s="238">
        <v>-11.1</v>
      </c>
      <c r="BH213" s="239">
        <v>42592</v>
      </c>
      <c r="BM213" s="238">
        <v>59</v>
      </c>
      <c r="BN213" s="239">
        <v>42592</v>
      </c>
      <c r="BQ213" s="238">
        <v>11.8</v>
      </c>
      <c r="BR213" s="239">
        <v>42592</v>
      </c>
      <c r="BS213" s="238">
        <v>46.043956043956044</v>
      </c>
      <c r="BT213" s="239">
        <v>42592</v>
      </c>
      <c r="BU213" s="238">
        <v>20.109890109890109</v>
      </c>
      <c r="BV213" s="239">
        <v>42592</v>
      </c>
      <c r="BW213" s="238">
        <v>14.395604395604394</v>
      </c>
      <c r="BX213" s="239">
        <v>42592</v>
      </c>
      <c r="BY213" s="238"/>
      <c r="BZ213" s="238"/>
      <c r="CA213" s="238">
        <v>37.299999999999997</v>
      </c>
      <c r="CB213" s="239">
        <v>42592</v>
      </c>
      <c r="CC213" s="238"/>
      <c r="CD213" s="238"/>
      <c r="CF213" s="238"/>
    </row>
    <row r="214" spans="1:84" s="242" customFormat="1" ht="12">
      <c r="A214" s="240">
        <v>3</v>
      </c>
      <c r="B214" s="240" t="str">
        <f>VLOOKUP(A214,PlantMaterial!B:C,2,0)</f>
        <v>MONTEGO</v>
      </c>
      <c r="C214" s="241" t="s">
        <v>7689</v>
      </c>
      <c r="D214" s="240">
        <v>6</v>
      </c>
      <c r="E214" s="241" t="s">
        <v>7936</v>
      </c>
      <c r="F214" s="240">
        <v>12</v>
      </c>
      <c r="G214" s="240">
        <v>7</v>
      </c>
      <c r="H214" s="242">
        <v>73.5</v>
      </c>
      <c r="I214" s="241"/>
      <c r="M214" s="241">
        <v>2.52</v>
      </c>
      <c r="N214" s="243">
        <v>42586</v>
      </c>
      <c r="S214" s="242">
        <v>7.98</v>
      </c>
      <c r="T214" s="243">
        <v>42592</v>
      </c>
      <c r="U214" s="242">
        <v>13.5</v>
      </c>
      <c r="V214" s="243">
        <v>42586</v>
      </c>
      <c r="Y214" s="241">
        <v>3.2965599999999999</v>
      </c>
      <c r="Z214" s="243">
        <v>42592</v>
      </c>
      <c r="AA214" s="242">
        <v>45</v>
      </c>
      <c r="AB214" s="243">
        <v>42249</v>
      </c>
      <c r="AE214" s="241">
        <v>18.52</v>
      </c>
      <c r="AF214" s="243">
        <v>42586</v>
      </c>
      <c r="AI214" s="240">
        <v>115</v>
      </c>
      <c r="AJ214" s="243">
        <v>42507</v>
      </c>
      <c r="AK214" s="241">
        <v>9.6999999999999993</v>
      </c>
      <c r="BG214" s="241">
        <v>-8.4</v>
      </c>
      <c r="BH214" s="243">
        <v>42592</v>
      </c>
      <c r="BM214" s="241">
        <v>62.7</v>
      </c>
      <c r="BN214" s="243">
        <v>42592</v>
      </c>
      <c r="BQ214" s="241">
        <v>10.5</v>
      </c>
      <c r="BR214" s="243">
        <v>42592</v>
      </c>
      <c r="BS214" s="241">
        <v>47.362637362637365</v>
      </c>
      <c r="BT214" s="243">
        <v>42592</v>
      </c>
      <c r="BU214" s="241">
        <v>19.560439560439562</v>
      </c>
      <c r="BV214" s="243">
        <v>42592</v>
      </c>
      <c r="BW214" s="241">
        <v>16.593406593406591</v>
      </c>
      <c r="BX214" s="243">
        <v>42592</v>
      </c>
      <c r="BY214" s="241"/>
      <c r="BZ214" s="241"/>
      <c r="CA214" s="241">
        <v>37.1</v>
      </c>
      <c r="CB214" s="243">
        <v>42592</v>
      </c>
      <c r="CC214" s="241"/>
      <c r="CD214" s="241"/>
      <c r="CF214" s="241"/>
    </row>
    <row r="215" spans="1:84" s="178" customFormat="1" ht="12">
      <c r="A215" s="232">
        <v>4</v>
      </c>
      <c r="B215" s="232" t="str">
        <f>VLOOKUP(A215,PlantMaterial!B:C,2,0)</f>
        <v>A05-AMQ1</v>
      </c>
      <c r="C215" s="238" t="s">
        <v>7689</v>
      </c>
      <c r="D215" s="232">
        <v>6</v>
      </c>
      <c r="E215" s="238" t="s">
        <v>7899</v>
      </c>
      <c r="F215" s="232">
        <v>13</v>
      </c>
      <c r="G215" s="232">
        <v>2</v>
      </c>
      <c r="H215" s="178">
        <v>21</v>
      </c>
      <c r="I215" s="238"/>
      <c r="M215" s="238">
        <v>2.93</v>
      </c>
      <c r="N215" s="239">
        <v>42586</v>
      </c>
      <c r="S215" s="178">
        <v>9.0399999999999991</v>
      </c>
      <c r="T215" s="239">
        <v>42592</v>
      </c>
      <c r="U215" s="178">
        <v>13.5</v>
      </c>
      <c r="V215" s="239">
        <v>42586</v>
      </c>
      <c r="Y215" s="238">
        <v>4.0401199999999999</v>
      </c>
      <c r="Z215" s="239">
        <v>42592</v>
      </c>
      <c r="AA215" s="178">
        <v>45</v>
      </c>
      <c r="AB215" s="239">
        <v>42249</v>
      </c>
      <c r="AE215" s="238">
        <v>21.49</v>
      </c>
      <c r="AF215" s="239">
        <v>42586</v>
      </c>
      <c r="AI215" s="232">
        <v>135</v>
      </c>
      <c r="AJ215" s="239">
        <v>42507</v>
      </c>
      <c r="AK215" s="238">
        <v>9.9</v>
      </c>
      <c r="BG215" s="238">
        <v>-8.6999999999999993</v>
      </c>
      <c r="BH215" s="239">
        <v>42592</v>
      </c>
      <c r="BM215" s="238">
        <v>60.1</v>
      </c>
      <c r="BN215" s="239">
        <v>42592</v>
      </c>
      <c r="BQ215" s="238">
        <v>12.1</v>
      </c>
      <c r="BR215" s="239">
        <v>42592</v>
      </c>
      <c r="BS215" s="238">
        <v>46.263736263736263</v>
      </c>
      <c r="BT215" s="239">
        <v>42592</v>
      </c>
      <c r="BU215" s="238">
        <v>20.659340659340661</v>
      </c>
      <c r="BV215" s="239">
        <v>42592</v>
      </c>
      <c r="BW215" s="238">
        <v>19.010989010989011</v>
      </c>
      <c r="BX215" s="239">
        <v>42592</v>
      </c>
      <c r="BY215" s="238"/>
      <c r="BZ215" s="238"/>
      <c r="CA215" s="238">
        <v>38.4</v>
      </c>
      <c r="CB215" s="239">
        <v>42592</v>
      </c>
      <c r="CC215" s="238"/>
      <c r="CD215" s="238"/>
      <c r="CF215" s="238"/>
    </row>
    <row r="216" spans="1:84" s="242" customFormat="1" ht="12">
      <c r="A216" s="240">
        <v>5</v>
      </c>
      <c r="B216" s="240" t="str">
        <f>VLOOKUP(A216,PlantMaterial!B:C,2,0)</f>
        <v>TENOR</v>
      </c>
      <c r="C216" s="241" t="s">
        <v>7689</v>
      </c>
      <c r="D216" s="240">
        <v>6</v>
      </c>
      <c r="E216" s="241" t="s">
        <v>7936</v>
      </c>
      <c r="F216" s="240">
        <v>11</v>
      </c>
      <c r="G216" s="240">
        <v>3</v>
      </c>
      <c r="H216" s="242">
        <v>31.5</v>
      </c>
      <c r="I216" s="241"/>
      <c r="M216" s="241">
        <v>2.44</v>
      </c>
      <c r="N216" s="243">
        <v>42586</v>
      </c>
      <c r="S216" s="242">
        <v>7.8</v>
      </c>
      <c r="T216" s="243">
        <v>42592</v>
      </c>
      <c r="U216" s="242">
        <v>13.5</v>
      </c>
      <c r="V216" s="243">
        <v>42586</v>
      </c>
      <c r="Y216" s="241">
        <v>3.0183399999999994</v>
      </c>
      <c r="Z216" s="243">
        <v>42592</v>
      </c>
      <c r="AA216" s="242">
        <v>45</v>
      </c>
      <c r="AB216" s="243">
        <v>42249</v>
      </c>
      <c r="AE216" s="241">
        <v>17.86</v>
      </c>
      <c r="AF216" s="243">
        <v>42586</v>
      </c>
      <c r="AI216" s="240">
        <v>140</v>
      </c>
      <c r="AJ216" s="243">
        <v>42507</v>
      </c>
      <c r="AK216" s="241">
        <v>10.1</v>
      </c>
      <c r="BG216" s="241">
        <v>-8.5</v>
      </c>
      <c r="BH216" s="243">
        <v>42592</v>
      </c>
      <c r="BM216" s="241">
        <v>60.4</v>
      </c>
      <c r="BN216" s="243">
        <v>42592</v>
      </c>
      <c r="BQ216" s="241">
        <v>11.4</v>
      </c>
      <c r="BR216" s="243">
        <v>42592</v>
      </c>
      <c r="BS216" s="241">
        <v>48.021978021978022</v>
      </c>
      <c r="BT216" s="243">
        <v>42592</v>
      </c>
      <c r="BU216" s="241">
        <v>18.571428571428569</v>
      </c>
      <c r="BV216" s="243">
        <v>42592</v>
      </c>
      <c r="BW216" s="241">
        <v>19.120879120879117</v>
      </c>
      <c r="BX216" s="243">
        <v>42592</v>
      </c>
      <c r="BY216" s="241"/>
      <c r="BZ216" s="241"/>
      <c r="CA216" s="241">
        <v>35.6</v>
      </c>
      <c r="CB216" s="243">
        <v>42592</v>
      </c>
      <c r="CC216" s="241"/>
      <c r="CD216" s="241"/>
      <c r="CF216" s="241"/>
    </row>
    <row r="217" spans="1:84" s="178" customFormat="1" ht="12">
      <c r="A217" s="232">
        <v>6</v>
      </c>
      <c r="B217" s="232" t="str">
        <f>VLOOKUP(A217,PlantMaterial!B:C,2,0)</f>
        <v>C03-AMQ0</v>
      </c>
      <c r="C217" s="238" t="s">
        <v>7689</v>
      </c>
      <c r="D217" s="232">
        <v>6</v>
      </c>
      <c r="E217" s="238" t="s">
        <v>7900</v>
      </c>
      <c r="F217" s="232">
        <v>10</v>
      </c>
      <c r="G217" s="232">
        <v>6</v>
      </c>
      <c r="H217" s="178">
        <v>63</v>
      </c>
      <c r="I217" s="238"/>
      <c r="M217" s="238">
        <v>2.6</v>
      </c>
      <c r="N217" s="239">
        <v>42586</v>
      </c>
      <c r="S217" s="178">
        <v>7.99</v>
      </c>
      <c r="T217" s="239">
        <v>42592</v>
      </c>
      <c r="U217" s="178">
        <v>13.5</v>
      </c>
      <c r="V217" s="239">
        <v>42586</v>
      </c>
      <c r="Y217" s="238">
        <v>3.4343999999999992</v>
      </c>
      <c r="Z217" s="239">
        <v>42592</v>
      </c>
      <c r="AA217" s="178">
        <v>45</v>
      </c>
      <c r="AB217" s="239">
        <v>42249</v>
      </c>
      <c r="AE217" s="238">
        <v>19.079999999999998</v>
      </c>
      <c r="AF217" s="239">
        <v>42586</v>
      </c>
      <c r="AI217" s="232">
        <v>130</v>
      </c>
      <c r="AJ217" s="239">
        <v>42507</v>
      </c>
      <c r="AK217" s="238">
        <v>9.9</v>
      </c>
      <c r="BG217" s="238">
        <v>-7.4</v>
      </c>
      <c r="BH217" s="239">
        <v>42592</v>
      </c>
      <c r="BM217" s="238">
        <v>60.9</v>
      </c>
      <c r="BN217" s="239">
        <v>42592</v>
      </c>
      <c r="BQ217" s="238">
        <v>11.8</v>
      </c>
      <c r="BR217" s="239">
        <v>42592</v>
      </c>
      <c r="BS217" s="238">
        <v>46.043956043956044</v>
      </c>
      <c r="BT217" s="239">
        <v>42592</v>
      </c>
      <c r="BU217" s="238">
        <v>19.780219780219781</v>
      </c>
      <c r="BV217" s="239">
        <v>42592</v>
      </c>
      <c r="BW217" s="238">
        <v>14.505494505494504</v>
      </c>
      <c r="BX217" s="239">
        <v>42592</v>
      </c>
      <c r="BY217" s="238"/>
      <c r="BZ217" s="238"/>
      <c r="CA217" s="238">
        <v>36.700000000000003</v>
      </c>
      <c r="CB217" s="239">
        <v>42592</v>
      </c>
      <c r="CC217" s="238"/>
      <c r="CD217" s="238"/>
      <c r="CF217" s="238"/>
    </row>
    <row r="218" spans="1:84" s="242" customFormat="1" ht="12">
      <c r="A218" s="240">
        <v>7</v>
      </c>
      <c r="B218" s="240" t="str">
        <f>VLOOKUP(A218,PlantMaterial!B:C,2,0)</f>
        <v>EXPRESS</v>
      </c>
      <c r="C218" s="241" t="s">
        <v>7689</v>
      </c>
      <c r="D218" s="240">
        <v>6</v>
      </c>
      <c r="E218" s="241" t="s">
        <v>7936</v>
      </c>
      <c r="F218" s="240">
        <v>10</v>
      </c>
      <c r="G218" s="240">
        <v>2</v>
      </c>
      <c r="H218" s="242">
        <v>21</v>
      </c>
      <c r="I218" s="241"/>
      <c r="M218" s="241">
        <v>2.29</v>
      </c>
      <c r="N218" s="243">
        <v>42586</v>
      </c>
      <c r="S218" s="242">
        <v>7.07</v>
      </c>
      <c r="T218" s="243">
        <v>42592</v>
      </c>
      <c r="U218" s="242">
        <v>13.5</v>
      </c>
      <c r="V218" s="243">
        <v>42586</v>
      </c>
      <c r="Y218" s="241">
        <v>2.9462400000000004</v>
      </c>
      <c r="Z218" s="243">
        <v>42592</v>
      </c>
      <c r="AA218" s="242">
        <v>45</v>
      </c>
      <c r="AB218" s="243">
        <v>42249</v>
      </c>
      <c r="AE218" s="241">
        <v>16.739999999999998</v>
      </c>
      <c r="AF218" s="243">
        <v>42586</v>
      </c>
      <c r="AI218" s="240">
        <v>125</v>
      </c>
      <c r="AJ218" s="243">
        <v>42507</v>
      </c>
      <c r="AK218" s="241">
        <v>10.199999999999999</v>
      </c>
      <c r="BG218" s="241">
        <v>-6.2</v>
      </c>
      <c r="BH218" s="243">
        <v>42592</v>
      </c>
      <c r="BM218" s="241">
        <v>62.9</v>
      </c>
      <c r="BN218" s="243">
        <v>42592</v>
      </c>
      <c r="BQ218" s="241">
        <v>10.199999999999999</v>
      </c>
      <c r="BR218" s="243">
        <v>42592</v>
      </c>
      <c r="BS218" s="241">
        <v>46.373626373626372</v>
      </c>
      <c r="BT218" s="243">
        <v>42592</v>
      </c>
      <c r="BU218" s="241">
        <v>19.340659340659343</v>
      </c>
      <c r="BV218" s="243">
        <v>42592</v>
      </c>
      <c r="BW218" s="241">
        <v>17.58241758241758</v>
      </c>
      <c r="BX218" s="243">
        <v>42592</v>
      </c>
      <c r="BY218" s="241"/>
      <c r="BZ218" s="241"/>
      <c r="CA218" s="241">
        <v>36.1</v>
      </c>
      <c r="CB218" s="243">
        <v>42592</v>
      </c>
      <c r="CC218" s="241"/>
      <c r="CD218" s="241"/>
      <c r="CF218" s="241"/>
    </row>
    <row r="219" spans="1:84" s="178" customFormat="1" ht="12">
      <c r="A219" s="232">
        <v>8</v>
      </c>
      <c r="B219" s="232" t="str">
        <f>VLOOKUP(A219,PlantMaterial!B:C,2,0)</f>
        <v>C03-AMQ1</v>
      </c>
      <c r="C219" s="238" t="s">
        <v>7689</v>
      </c>
      <c r="D219" s="232">
        <v>6</v>
      </c>
      <c r="E219" s="238" t="s">
        <v>7901</v>
      </c>
      <c r="F219" s="232">
        <v>14</v>
      </c>
      <c r="G219" s="232">
        <v>3</v>
      </c>
      <c r="H219" s="178">
        <v>31.5</v>
      </c>
      <c r="I219" s="238"/>
      <c r="M219" s="238">
        <v>3.16</v>
      </c>
      <c r="N219" s="239">
        <v>42586</v>
      </c>
      <c r="S219" s="178">
        <v>9.84</v>
      </c>
      <c r="T219" s="239">
        <v>42592</v>
      </c>
      <c r="U219" s="178">
        <v>13.5</v>
      </c>
      <c r="V219" s="239">
        <v>42586</v>
      </c>
      <c r="Y219" s="238">
        <v>4.2010100000000001</v>
      </c>
      <c r="Z219" s="239">
        <v>42592</v>
      </c>
      <c r="AA219" s="178">
        <v>45</v>
      </c>
      <c r="AB219" s="239">
        <v>42249</v>
      </c>
      <c r="AE219" s="238">
        <v>23.21</v>
      </c>
      <c r="AF219" s="239">
        <v>42586</v>
      </c>
      <c r="AI219" s="232">
        <v>150</v>
      </c>
      <c r="AJ219" s="239">
        <v>42507</v>
      </c>
      <c r="AK219" s="238">
        <v>9.8000000000000007</v>
      </c>
      <c r="BG219" s="238">
        <v>-9.1999999999999993</v>
      </c>
      <c r="BH219" s="239">
        <v>42592</v>
      </c>
      <c r="BM219" s="238">
        <v>60.1</v>
      </c>
      <c r="BN219" s="239">
        <v>42592</v>
      </c>
      <c r="BQ219" s="238">
        <v>11.6</v>
      </c>
      <c r="BR219" s="239">
        <v>42592</v>
      </c>
      <c r="BS219" s="238">
        <v>46.593406593406591</v>
      </c>
      <c r="BT219" s="239">
        <v>42592</v>
      </c>
      <c r="BU219" s="238">
        <v>19.890109890109891</v>
      </c>
      <c r="BV219" s="239">
        <v>42592</v>
      </c>
      <c r="BW219" s="238">
        <v>16.043956043956044</v>
      </c>
      <c r="BX219" s="239">
        <v>42592</v>
      </c>
      <c r="BY219" s="238"/>
      <c r="BZ219" s="238"/>
      <c r="CA219" s="238">
        <v>37.299999999999997</v>
      </c>
      <c r="CB219" s="239">
        <v>42592</v>
      </c>
      <c r="CC219" s="238"/>
      <c r="CD219" s="238"/>
      <c r="CF219" s="238"/>
    </row>
    <row r="220" spans="1:84" s="178" customFormat="1" ht="12">
      <c r="A220" s="232">
        <v>9</v>
      </c>
      <c r="B220" s="232" t="str">
        <f>VLOOKUP(A220,PlantMaterial!B:C,2,0)</f>
        <v>C04-DKQ0</v>
      </c>
      <c r="C220" s="238" t="s">
        <v>7689</v>
      </c>
      <c r="D220" s="232">
        <v>6</v>
      </c>
      <c r="E220" s="238" t="s">
        <v>7902</v>
      </c>
      <c r="F220" s="232">
        <v>10</v>
      </c>
      <c r="G220" s="232">
        <v>7</v>
      </c>
      <c r="H220" s="178">
        <v>73.5</v>
      </c>
      <c r="I220" s="238"/>
      <c r="M220" s="238">
        <v>2.36</v>
      </c>
      <c r="N220" s="239">
        <v>42586</v>
      </c>
      <c r="S220" s="178">
        <v>7.32</v>
      </c>
      <c r="T220" s="239">
        <v>42592</v>
      </c>
      <c r="U220" s="178">
        <v>13.5</v>
      </c>
      <c r="V220" s="239">
        <v>42586</v>
      </c>
      <c r="Y220" s="238">
        <v>2.9685600000000001</v>
      </c>
      <c r="Z220" s="239">
        <v>42592</v>
      </c>
      <c r="AA220" s="178">
        <v>45</v>
      </c>
      <c r="AB220" s="239">
        <v>42249</v>
      </c>
      <c r="AE220" s="238">
        <v>17.36</v>
      </c>
      <c r="AF220" s="239">
        <v>42586</v>
      </c>
      <c r="AI220" s="232">
        <v>135</v>
      </c>
      <c r="AJ220" s="239">
        <v>42507</v>
      </c>
      <c r="AK220" s="238">
        <v>9.6</v>
      </c>
      <c r="BG220" s="238">
        <v>-7</v>
      </c>
      <c r="BH220" s="239">
        <v>42592</v>
      </c>
      <c r="BM220" s="238">
        <v>61.2</v>
      </c>
      <c r="BN220" s="239">
        <v>42592</v>
      </c>
      <c r="BQ220" s="238">
        <v>11.1</v>
      </c>
      <c r="BR220" s="239">
        <v>42592</v>
      </c>
      <c r="BS220" s="238">
        <v>46.373626373626372</v>
      </c>
      <c r="BT220" s="239">
        <v>42592</v>
      </c>
      <c r="BU220" s="238">
        <v>18.791208791208792</v>
      </c>
      <c r="BV220" s="239">
        <v>42592</v>
      </c>
      <c r="BW220" s="238">
        <v>16.043956043956044</v>
      </c>
      <c r="BX220" s="239">
        <v>42592</v>
      </c>
      <c r="BY220" s="238"/>
      <c r="BZ220" s="238"/>
      <c r="CA220" s="238">
        <v>35</v>
      </c>
      <c r="CB220" s="239">
        <v>42592</v>
      </c>
      <c r="CC220" s="238"/>
      <c r="CD220" s="238"/>
      <c r="CF220" s="238"/>
    </row>
    <row r="221" spans="1:84" s="178" customFormat="1" ht="12">
      <c r="A221" s="232">
        <v>10</v>
      </c>
      <c r="B221" s="232" t="str">
        <f>VLOOKUP(A221,PlantMaterial!B:C,2,0)</f>
        <v>C04-DKQ1</v>
      </c>
      <c r="C221" s="238" t="s">
        <v>7689</v>
      </c>
      <c r="D221" s="232">
        <v>6</v>
      </c>
      <c r="E221" s="238" t="s">
        <v>7903</v>
      </c>
      <c r="F221" s="232">
        <v>11</v>
      </c>
      <c r="G221" s="232">
        <v>1</v>
      </c>
      <c r="H221" s="178">
        <v>10.5</v>
      </c>
      <c r="I221" s="238"/>
      <c r="M221" s="238">
        <v>2.8</v>
      </c>
      <c r="N221" s="239">
        <v>42586</v>
      </c>
      <c r="S221" s="178">
        <v>9.0399999999999991</v>
      </c>
      <c r="T221" s="239">
        <v>42592</v>
      </c>
      <c r="U221" s="178">
        <v>13.5</v>
      </c>
      <c r="V221" s="239">
        <v>42586</v>
      </c>
      <c r="Y221" s="238">
        <v>3.4212600000000002</v>
      </c>
      <c r="Z221" s="239">
        <v>42592</v>
      </c>
      <c r="AA221" s="178">
        <v>45</v>
      </c>
      <c r="AB221" s="239">
        <v>42249</v>
      </c>
      <c r="AE221" s="238">
        <v>20.61</v>
      </c>
      <c r="AF221" s="239">
        <v>42586</v>
      </c>
      <c r="AI221" s="232">
        <v>140</v>
      </c>
      <c r="AJ221" s="239">
        <v>42507</v>
      </c>
      <c r="AK221" s="238">
        <v>9.6</v>
      </c>
      <c r="BG221" s="238">
        <v>-10.1</v>
      </c>
      <c r="BH221" s="239">
        <v>42592</v>
      </c>
      <c r="BM221" s="238">
        <v>62.2</v>
      </c>
      <c r="BN221" s="239">
        <v>42592</v>
      </c>
      <c r="BQ221" s="238">
        <v>10.7</v>
      </c>
      <c r="BR221" s="239">
        <v>42592</v>
      </c>
      <c r="BS221" s="238">
        <v>48.241758241758241</v>
      </c>
      <c r="BT221" s="239">
        <v>42592</v>
      </c>
      <c r="BU221" s="238">
        <v>18.241758241758244</v>
      </c>
      <c r="BV221" s="239">
        <v>42592</v>
      </c>
      <c r="BW221" s="238">
        <v>15.934065934065934</v>
      </c>
      <c r="BX221" s="239">
        <v>42592</v>
      </c>
      <c r="BY221" s="238"/>
      <c r="BZ221" s="238"/>
      <c r="CA221" s="238">
        <v>35.200000000000003</v>
      </c>
      <c r="CB221" s="239">
        <v>42592</v>
      </c>
      <c r="CC221" s="238"/>
      <c r="CD221" s="238"/>
      <c r="CF221" s="238"/>
    </row>
    <row r="222" spans="1:84" s="178" customFormat="1" ht="12">
      <c r="A222" s="232">
        <v>11</v>
      </c>
      <c r="B222" s="232" t="str">
        <f>VLOOKUP(A222,PlantMaterial!B:C,2,0)</f>
        <v>AM087</v>
      </c>
      <c r="C222" s="238" t="s">
        <v>7689</v>
      </c>
      <c r="D222" s="232">
        <v>6</v>
      </c>
      <c r="E222" s="238" t="s">
        <v>7904</v>
      </c>
      <c r="F222" s="232">
        <v>11</v>
      </c>
      <c r="G222" s="232">
        <v>5</v>
      </c>
      <c r="H222" s="178">
        <v>52.5</v>
      </c>
      <c r="I222" s="238"/>
      <c r="M222" s="238">
        <v>3.85</v>
      </c>
      <c r="N222" s="239">
        <v>42586</v>
      </c>
      <c r="S222" s="178">
        <v>12.06</v>
      </c>
      <c r="T222" s="239">
        <v>42592</v>
      </c>
      <c r="U222" s="178">
        <v>13.5</v>
      </c>
      <c r="V222" s="239">
        <v>42586</v>
      </c>
      <c r="Y222" s="238">
        <v>5.0585399999999998</v>
      </c>
      <c r="Z222" s="239">
        <v>42592</v>
      </c>
      <c r="AA222" s="178">
        <v>45</v>
      </c>
      <c r="AB222" s="239">
        <v>42249</v>
      </c>
      <c r="AE222" s="238">
        <v>28.26</v>
      </c>
      <c r="AF222" s="239">
        <v>42586</v>
      </c>
      <c r="AI222" s="232">
        <v>140</v>
      </c>
      <c r="AJ222" s="239">
        <v>42507</v>
      </c>
      <c r="AK222" s="238">
        <v>9.8000000000000007</v>
      </c>
      <c r="BG222" s="238">
        <v>-6.9</v>
      </c>
      <c r="BH222" s="239">
        <v>42592</v>
      </c>
      <c r="BM222" s="238">
        <v>64.099999999999994</v>
      </c>
      <c r="BN222" s="239">
        <v>42592</v>
      </c>
      <c r="BQ222" s="238">
        <v>10.5</v>
      </c>
      <c r="BR222" s="239">
        <v>42592</v>
      </c>
      <c r="BS222" s="238">
        <v>46.923076923076927</v>
      </c>
      <c r="BT222" s="239">
        <v>42592</v>
      </c>
      <c r="BU222" s="238">
        <v>19.670329670329668</v>
      </c>
      <c r="BV222" s="239">
        <v>42592</v>
      </c>
      <c r="BW222" s="238">
        <v>19.780219780219781</v>
      </c>
      <c r="BX222" s="239">
        <v>42592</v>
      </c>
      <c r="BY222" s="238"/>
      <c r="BZ222" s="238"/>
      <c r="CA222" s="238">
        <v>37</v>
      </c>
      <c r="CB222" s="239">
        <v>42592</v>
      </c>
      <c r="CC222" s="238"/>
      <c r="CD222" s="238"/>
      <c r="CF222" s="238"/>
    </row>
    <row r="223" spans="1:84" s="178" customFormat="1" ht="12">
      <c r="A223" s="232">
        <v>12</v>
      </c>
      <c r="B223" s="232" t="str">
        <f>VLOOKUP(A223,PlantMaterial!B:C,2,0)</f>
        <v>AVISO</v>
      </c>
      <c r="C223" s="238" t="s">
        <v>7689</v>
      </c>
      <c r="D223" s="232">
        <v>6</v>
      </c>
      <c r="E223" s="238" t="s">
        <v>7905</v>
      </c>
      <c r="F223" s="232">
        <v>15</v>
      </c>
      <c r="G223" s="232">
        <v>4</v>
      </c>
      <c r="H223" s="178">
        <v>42</v>
      </c>
      <c r="I223" s="238"/>
      <c r="M223" s="238">
        <v>2.95</v>
      </c>
      <c r="N223" s="239">
        <v>42586</v>
      </c>
      <c r="S223" s="178">
        <v>9.39</v>
      </c>
      <c r="T223" s="239">
        <v>42592</v>
      </c>
      <c r="U223" s="178">
        <v>13.5</v>
      </c>
      <c r="V223" s="239">
        <v>42586</v>
      </c>
      <c r="Y223" s="238">
        <v>3.6405600000000002</v>
      </c>
      <c r="Z223" s="239">
        <v>42592</v>
      </c>
      <c r="AA223" s="178">
        <v>45</v>
      </c>
      <c r="AB223" s="239">
        <v>42249</v>
      </c>
      <c r="AE223" s="238">
        <v>21.67</v>
      </c>
      <c r="AF223" s="239">
        <v>42586</v>
      </c>
      <c r="AI223" s="232">
        <v>140</v>
      </c>
      <c r="AJ223" s="239">
        <v>42507</v>
      </c>
      <c r="AK223" s="238">
        <v>9.8000000000000007</v>
      </c>
      <c r="BG223" s="238">
        <v>-9</v>
      </c>
      <c r="BH223" s="239">
        <v>42592</v>
      </c>
      <c r="BM223" s="238">
        <v>62</v>
      </c>
      <c r="BN223" s="239">
        <v>42592</v>
      </c>
      <c r="BQ223" s="238">
        <v>11</v>
      </c>
      <c r="BR223" s="239">
        <v>42592</v>
      </c>
      <c r="BS223" s="238">
        <v>47.582417582417577</v>
      </c>
      <c r="BT223" s="239">
        <v>42592</v>
      </c>
      <c r="BU223" s="238">
        <v>18.461538461538463</v>
      </c>
      <c r="BV223" s="239">
        <v>42592</v>
      </c>
      <c r="BW223" s="238">
        <v>16.813186813186814</v>
      </c>
      <c r="BX223" s="239">
        <v>42592</v>
      </c>
      <c r="BY223" s="238"/>
      <c r="BZ223" s="238"/>
      <c r="CA223" s="238">
        <v>35.299999999999997</v>
      </c>
      <c r="CB223" s="239">
        <v>42592</v>
      </c>
      <c r="CC223" s="238"/>
      <c r="CD223" s="238"/>
      <c r="CF223" s="238"/>
    </row>
    <row r="224" spans="1:84" s="178" customFormat="1" ht="12">
      <c r="A224" s="232">
        <v>13</v>
      </c>
      <c r="B224" s="232" t="str">
        <f>VLOOKUP(A224,PlantMaterial!B:C,2,0)</f>
        <v>AM109</v>
      </c>
      <c r="C224" s="238" t="s">
        <v>7689</v>
      </c>
      <c r="D224" s="232">
        <v>6</v>
      </c>
      <c r="E224" s="238" t="s">
        <v>7906</v>
      </c>
      <c r="F224" s="232">
        <v>15</v>
      </c>
      <c r="G224" s="232">
        <v>7</v>
      </c>
      <c r="H224" s="178">
        <v>73.5</v>
      </c>
      <c r="I224" s="238"/>
      <c r="M224" s="238">
        <v>3.39</v>
      </c>
      <c r="N224" s="239">
        <v>42586</v>
      </c>
      <c r="S224" s="178">
        <v>10.87</v>
      </c>
      <c r="T224" s="239">
        <v>42592</v>
      </c>
      <c r="U224" s="178">
        <v>13.5</v>
      </c>
      <c r="V224" s="239">
        <v>42586</v>
      </c>
      <c r="Y224" s="238">
        <v>4.1383800000000006</v>
      </c>
      <c r="Z224" s="239">
        <v>42592</v>
      </c>
      <c r="AA224" s="178">
        <v>45</v>
      </c>
      <c r="AB224" s="239">
        <v>42249</v>
      </c>
      <c r="AE224" s="238">
        <v>24.93</v>
      </c>
      <c r="AF224" s="239">
        <v>42586</v>
      </c>
      <c r="AI224" s="232">
        <v>135</v>
      </c>
      <c r="AJ224" s="239">
        <v>42507</v>
      </c>
      <c r="AK224" s="238">
        <v>9.6999999999999993</v>
      </c>
      <c r="BG224" s="238">
        <v>-6.2</v>
      </c>
      <c r="BH224" s="239">
        <v>42592</v>
      </c>
      <c r="BM224" s="238">
        <v>62.2</v>
      </c>
      <c r="BN224" s="239">
        <v>42592</v>
      </c>
      <c r="BQ224" s="238">
        <v>10.6</v>
      </c>
      <c r="BR224" s="239">
        <v>42592</v>
      </c>
      <c r="BS224" s="238">
        <v>47.912087912087912</v>
      </c>
      <c r="BT224" s="239">
        <v>42592</v>
      </c>
      <c r="BU224" s="238">
        <v>18.241758241758244</v>
      </c>
      <c r="BV224" s="239">
        <v>42592</v>
      </c>
      <c r="BW224" s="238">
        <v>11.208791208791208</v>
      </c>
      <c r="BX224" s="239">
        <v>42592</v>
      </c>
      <c r="BY224" s="238"/>
      <c r="BZ224" s="238"/>
      <c r="CA224" s="238">
        <v>35</v>
      </c>
      <c r="CB224" s="239">
        <v>42592</v>
      </c>
      <c r="CC224" s="238"/>
      <c r="CD224" s="238"/>
      <c r="CF224" s="238"/>
    </row>
    <row r="225" spans="1:84" s="178" customFormat="1" ht="12">
      <c r="A225" s="232">
        <v>14</v>
      </c>
      <c r="B225" s="232" t="str">
        <f>VLOOKUP(A225,PlantMaterial!B:C,2,0)</f>
        <v>MONTEGO</v>
      </c>
      <c r="C225" s="238" t="s">
        <v>7689</v>
      </c>
      <c r="D225" s="232">
        <v>6</v>
      </c>
      <c r="E225" s="238" t="s">
        <v>7907</v>
      </c>
      <c r="F225" s="232">
        <v>10</v>
      </c>
      <c r="G225" s="232">
        <v>4</v>
      </c>
      <c r="H225" s="178">
        <v>42</v>
      </c>
      <c r="I225" s="238" t="s">
        <v>7720</v>
      </c>
      <c r="J225" s="239">
        <v>42430</v>
      </c>
      <c r="M225" s="238">
        <v>2.57</v>
      </c>
      <c r="N225" s="239">
        <v>42586</v>
      </c>
      <c r="S225" s="178">
        <v>7.97</v>
      </c>
      <c r="T225" s="239">
        <v>42592</v>
      </c>
      <c r="U225" s="178">
        <v>13.5</v>
      </c>
      <c r="V225" s="239">
        <v>42586</v>
      </c>
      <c r="Y225" s="238">
        <v>3.3930000000000002</v>
      </c>
      <c r="Z225" s="239">
        <v>42592</v>
      </c>
      <c r="AA225" s="178">
        <v>45</v>
      </c>
      <c r="AB225" s="239">
        <v>42249</v>
      </c>
      <c r="AE225" s="238">
        <v>18.850000000000001</v>
      </c>
      <c r="AF225" s="239">
        <v>42586</v>
      </c>
      <c r="AI225" s="232">
        <v>130</v>
      </c>
      <c r="AJ225" s="239">
        <v>42507</v>
      </c>
      <c r="AK225" s="238">
        <v>9.9</v>
      </c>
      <c r="BG225" s="238">
        <v>-8.1999999999999993</v>
      </c>
      <c r="BH225" s="239">
        <v>42592</v>
      </c>
      <c r="BM225" s="238">
        <v>61.6</v>
      </c>
      <c r="BN225" s="239">
        <v>42592</v>
      </c>
      <c r="BQ225" s="238">
        <v>11.1</v>
      </c>
      <c r="BR225" s="239">
        <v>42592</v>
      </c>
      <c r="BS225" s="238">
        <v>46.483516483516482</v>
      </c>
      <c r="BT225" s="239">
        <v>42592</v>
      </c>
      <c r="BU225" s="238">
        <v>19.780219780219781</v>
      </c>
      <c r="BV225" s="239">
        <v>42592</v>
      </c>
      <c r="BW225" s="238">
        <v>15.824175824175825</v>
      </c>
      <c r="BX225" s="239">
        <v>42592</v>
      </c>
      <c r="BY225" s="238"/>
      <c r="BZ225" s="238"/>
      <c r="CA225" s="238">
        <v>37</v>
      </c>
      <c r="CB225" s="239">
        <v>42592</v>
      </c>
      <c r="CC225" s="238"/>
      <c r="CD225" s="238"/>
      <c r="CF225" s="238"/>
    </row>
    <row r="226" spans="1:84" s="178" customFormat="1" ht="12">
      <c r="A226" s="232">
        <v>15</v>
      </c>
      <c r="B226" s="232" t="str">
        <f>VLOOKUP(A226,PlantMaterial!B:C,2,0)</f>
        <v>DK038</v>
      </c>
      <c r="C226" s="238" t="s">
        <v>7689</v>
      </c>
      <c r="D226" s="232">
        <v>6</v>
      </c>
      <c r="E226" s="238" t="s">
        <v>7908</v>
      </c>
      <c r="F226" s="232">
        <v>13</v>
      </c>
      <c r="G226" s="232">
        <v>7</v>
      </c>
      <c r="H226" s="178">
        <v>73.5</v>
      </c>
      <c r="I226" s="238"/>
      <c r="M226" s="238">
        <v>2.89</v>
      </c>
      <c r="N226" s="239">
        <v>42586</v>
      </c>
      <c r="S226" s="178">
        <v>9.39</v>
      </c>
      <c r="T226" s="239">
        <v>42592</v>
      </c>
      <c r="U226" s="178">
        <v>13.5</v>
      </c>
      <c r="V226" s="239">
        <v>42586</v>
      </c>
      <c r="Y226" s="238">
        <v>3.4948399999999991</v>
      </c>
      <c r="Z226" s="239">
        <v>42592</v>
      </c>
      <c r="AA226" s="178">
        <v>45</v>
      </c>
      <c r="AB226" s="239">
        <v>42249</v>
      </c>
      <c r="AE226" s="238">
        <v>21.31</v>
      </c>
      <c r="AF226" s="239">
        <v>42586</v>
      </c>
      <c r="AI226" s="232">
        <v>135</v>
      </c>
      <c r="AJ226" s="239">
        <v>42507</v>
      </c>
      <c r="AK226" s="238">
        <v>9.4</v>
      </c>
      <c r="BG226" s="238">
        <v>-8.3000000000000007</v>
      </c>
      <c r="BH226" s="239">
        <v>42592</v>
      </c>
      <c r="BM226" s="238">
        <v>62.7</v>
      </c>
      <c r="BN226" s="239">
        <v>42592</v>
      </c>
      <c r="BQ226" s="238">
        <v>9.9</v>
      </c>
      <c r="BR226" s="239">
        <v>42592</v>
      </c>
      <c r="BS226" s="238">
        <v>48.46153846153846</v>
      </c>
      <c r="BT226" s="239">
        <v>42592</v>
      </c>
      <c r="BU226" s="238">
        <v>18.021978021978018</v>
      </c>
      <c r="BV226" s="239">
        <v>42592</v>
      </c>
      <c r="BW226" s="238">
        <v>13.736263736263735</v>
      </c>
      <c r="BX226" s="239">
        <v>42592</v>
      </c>
      <c r="BY226" s="238"/>
      <c r="BZ226" s="238"/>
      <c r="CA226" s="238">
        <v>34.9</v>
      </c>
      <c r="CB226" s="239">
        <v>42592</v>
      </c>
      <c r="CC226" s="238"/>
      <c r="CD226" s="238"/>
      <c r="CF226" s="238"/>
    </row>
    <row r="227" spans="1:84" s="178" customFormat="1" ht="12">
      <c r="A227" s="232">
        <v>16</v>
      </c>
      <c r="B227" s="232" t="str">
        <f>VLOOKUP(A227,PlantMaterial!B:C,2,0)</f>
        <v>TENOR</v>
      </c>
      <c r="C227" s="238" t="s">
        <v>7689</v>
      </c>
      <c r="D227" s="232">
        <v>6</v>
      </c>
      <c r="E227" s="238" t="s">
        <v>7909</v>
      </c>
      <c r="F227" s="232">
        <v>13</v>
      </c>
      <c r="G227" s="232">
        <v>3</v>
      </c>
      <c r="H227" s="178">
        <v>31.5</v>
      </c>
      <c r="I227" s="238" t="s">
        <v>7828</v>
      </c>
      <c r="J227" s="239">
        <v>42430</v>
      </c>
      <c r="M227" s="238">
        <v>2.54</v>
      </c>
      <c r="N227" s="239">
        <v>42586</v>
      </c>
      <c r="S227" s="178">
        <v>8.1300000000000008</v>
      </c>
      <c r="T227" s="239">
        <v>42592</v>
      </c>
      <c r="U227" s="178">
        <v>13.5</v>
      </c>
      <c r="V227" s="239">
        <v>42586</v>
      </c>
      <c r="Y227" s="238">
        <v>3.2077999999999998</v>
      </c>
      <c r="Z227" s="239">
        <v>42592</v>
      </c>
      <c r="AA227" s="178">
        <v>45</v>
      </c>
      <c r="AB227" s="239">
        <v>42249</v>
      </c>
      <c r="AE227" s="238">
        <v>18.649999999999999</v>
      </c>
      <c r="AF227" s="239">
        <v>42586</v>
      </c>
      <c r="AI227" s="232">
        <v>150</v>
      </c>
      <c r="AJ227" s="239">
        <v>42507</v>
      </c>
      <c r="AK227" s="238">
        <v>9.8000000000000007</v>
      </c>
      <c r="BG227" s="238">
        <v>-7.4</v>
      </c>
      <c r="BH227" s="239">
        <v>42592</v>
      </c>
      <c r="BM227" s="238">
        <v>62.4</v>
      </c>
      <c r="BN227" s="239">
        <v>42592</v>
      </c>
      <c r="BQ227" s="238">
        <v>10.9</v>
      </c>
      <c r="BR227" s="239">
        <v>42592</v>
      </c>
      <c r="BS227" s="238">
        <v>47.912087912087912</v>
      </c>
      <c r="BT227" s="239">
        <v>42592</v>
      </c>
      <c r="BU227" s="238">
        <v>18.901098901098898</v>
      </c>
      <c r="BV227" s="239">
        <v>42592</v>
      </c>
      <c r="BW227" s="238">
        <v>16.373626373626372</v>
      </c>
      <c r="BX227" s="239">
        <v>42592</v>
      </c>
      <c r="BY227" s="238"/>
      <c r="BZ227" s="238"/>
      <c r="CA227" s="238">
        <v>36.299999999999997</v>
      </c>
      <c r="CB227" s="239">
        <v>42592</v>
      </c>
      <c r="CC227" s="238"/>
      <c r="CD227" s="238"/>
      <c r="CF227" s="238"/>
    </row>
    <row r="228" spans="1:84" s="178" customFormat="1" ht="12">
      <c r="A228" s="232">
        <v>17</v>
      </c>
      <c r="B228" s="232" t="str">
        <f>VLOOKUP(A228,PlantMaterial!B:C,2,0)</f>
        <v>EXL4816</v>
      </c>
      <c r="C228" s="238" t="s">
        <v>7689</v>
      </c>
      <c r="D228" s="232">
        <v>6</v>
      </c>
      <c r="E228" s="238" t="s">
        <v>7910</v>
      </c>
      <c r="F228" s="232">
        <v>14</v>
      </c>
      <c r="G228" s="232">
        <v>6</v>
      </c>
      <c r="H228" s="178">
        <v>63</v>
      </c>
      <c r="I228" s="238"/>
      <c r="M228" s="238">
        <v>3.49</v>
      </c>
      <c r="N228" s="239">
        <v>42586</v>
      </c>
      <c r="S228" s="178">
        <v>10.81</v>
      </c>
      <c r="T228" s="239">
        <v>42592</v>
      </c>
      <c r="U228" s="178">
        <v>13.5</v>
      </c>
      <c r="V228" s="239">
        <v>42586</v>
      </c>
      <c r="Y228" s="238">
        <v>4.4683199999999994</v>
      </c>
      <c r="Z228" s="239">
        <v>42592</v>
      </c>
      <c r="AA228" s="178">
        <v>45</v>
      </c>
      <c r="AB228" s="239">
        <v>42249</v>
      </c>
      <c r="AE228" s="238">
        <v>25.68</v>
      </c>
      <c r="AF228" s="239">
        <v>42586</v>
      </c>
      <c r="AI228" s="232">
        <v>140</v>
      </c>
      <c r="AJ228" s="239">
        <v>42507</v>
      </c>
      <c r="AK228" s="238">
        <v>9.6</v>
      </c>
      <c r="BG228" s="238">
        <v>-9.1999999999999993</v>
      </c>
      <c r="BH228" s="239">
        <v>42592</v>
      </c>
      <c r="BM228" s="238">
        <v>61</v>
      </c>
      <c r="BN228" s="239">
        <v>42592</v>
      </c>
      <c r="BQ228" s="238">
        <v>11.4</v>
      </c>
      <c r="BR228" s="239">
        <v>42592</v>
      </c>
      <c r="BS228" s="238">
        <v>46.263736263736263</v>
      </c>
      <c r="BT228" s="239">
        <v>42592</v>
      </c>
      <c r="BU228" s="238">
        <v>19.120879120879117</v>
      </c>
      <c r="BV228" s="239">
        <v>42592</v>
      </c>
      <c r="BW228" s="238">
        <v>14.725274725274724</v>
      </c>
      <c r="BX228" s="239">
        <v>42592</v>
      </c>
      <c r="BY228" s="238"/>
      <c r="BZ228" s="238"/>
      <c r="CA228" s="238">
        <v>35.6</v>
      </c>
      <c r="CB228" s="239">
        <v>42592</v>
      </c>
      <c r="CC228" s="238"/>
      <c r="CD228" s="238"/>
      <c r="CF228" s="238"/>
    </row>
    <row r="229" spans="1:84" s="178" customFormat="1" ht="12">
      <c r="A229" s="232">
        <v>18</v>
      </c>
      <c r="B229" s="232" t="str">
        <f>VLOOKUP(A229,PlantMaterial!B:C,2,0)</f>
        <v>EXPRESS</v>
      </c>
      <c r="C229" s="238" t="s">
        <v>7689</v>
      </c>
      <c r="D229" s="232">
        <v>6</v>
      </c>
      <c r="E229" s="238" t="s">
        <v>7911</v>
      </c>
      <c r="F229" s="232">
        <v>12</v>
      </c>
      <c r="G229" s="232">
        <v>4</v>
      </c>
      <c r="H229" s="178">
        <v>42</v>
      </c>
      <c r="I229" s="238"/>
      <c r="M229" s="238">
        <v>2.73</v>
      </c>
      <c r="N229" s="239">
        <v>42586</v>
      </c>
      <c r="S229" s="178">
        <v>8.67</v>
      </c>
      <c r="T229" s="239">
        <v>42592</v>
      </c>
      <c r="U229" s="178">
        <v>13.5</v>
      </c>
      <c r="V229" s="239">
        <v>42586</v>
      </c>
      <c r="Y229" s="238">
        <v>3.4348399999999999</v>
      </c>
      <c r="Z229" s="239">
        <v>42592</v>
      </c>
      <c r="AA229" s="178">
        <v>45</v>
      </c>
      <c r="AB229" s="239">
        <v>42249</v>
      </c>
      <c r="AE229" s="238">
        <v>19.97</v>
      </c>
      <c r="AF229" s="239">
        <v>42586</v>
      </c>
      <c r="AI229" s="232">
        <v>130</v>
      </c>
      <c r="AJ229" s="239">
        <v>42507</v>
      </c>
      <c r="AK229" s="238">
        <v>10.1</v>
      </c>
      <c r="BG229" s="238">
        <v>-7.7</v>
      </c>
      <c r="BH229" s="239">
        <v>42592</v>
      </c>
      <c r="BM229" s="238">
        <v>62.8</v>
      </c>
      <c r="BN229" s="239">
        <v>42592</v>
      </c>
      <c r="BQ229" s="238">
        <v>10.4</v>
      </c>
      <c r="BR229" s="239">
        <v>42592</v>
      </c>
      <c r="BS229" s="238">
        <v>47.692307692307686</v>
      </c>
      <c r="BT229" s="239">
        <v>42592</v>
      </c>
      <c r="BU229" s="238">
        <v>18.901098901098898</v>
      </c>
      <c r="BV229" s="239">
        <v>42592</v>
      </c>
      <c r="BW229" s="238">
        <v>17.032967032967033</v>
      </c>
      <c r="BX229" s="239">
        <v>42592</v>
      </c>
      <c r="BY229" s="238"/>
      <c r="BZ229" s="238"/>
      <c r="CA229" s="238">
        <v>36.1</v>
      </c>
      <c r="CB229" s="239">
        <v>42592</v>
      </c>
      <c r="CC229" s="238"/>
      <c r="CD229" s="238"/>
      <c r="CF229" s="238"/>
    </row>
    <row r="230" spans="1:84" s="178" customFormat="1" ht="12">
      <c r="A230" s="232">
        <v>19</v>
      </c>
      <c r="B230" s="232" t="str">
        <f>VLOOKUP(A230,PlantMaterial!B:C,2,0)</f>
        <v>EXL3155</v>
      </c>
      <c r="C230" s="238" t="s">
        <v>7689</v>
      </c>
      <c r="D230" s="232">
        <v>6</v>
      </c>
      <c r="E230" s="238" t="s">
        <v>7912</v>
      </c>
      <c r="F230" s="232">
        <v>11</v>
      </c>
      <c r="G230" s="232">
        <v>4</v>
      </c>
      <c r="H230" s="178">
        <v>42</v>
      </c>
      <c r="I230" s="238"/>
      <c r="M230" s="238">
        <v>3.2</v>
      </c>
      <c r="N230" s="239">
        <v>42586</v>
      </c>
      <c r="S230" s="178">
        <v>10.06</v>
      </c>
      <c r="T230" s="239">
        <v>42592</v>
      </c>
      <c r="U230" s="178">
        <v>13.5</v>
      </c>
      <c r="V230" s="239">
        <v>42586</v>
      </c>
      <c r="Y230" s="238">
        <v>4.0402799999999992</v>
      </c>
      <c r="Z230" s="239">
        <v>42592</v>
      </c>
      <c r="AA230" s="178">
        <v>45</v>
      </c>
      <c r="AB230" s="239">
        <v>42249</v>
      </c>
      <c r="AE230" s="238">
        <v>23.49</v>
      </c>
      <c r="AF230" s="239">
        <v>42586</v>
      </c>
      <c r="AI230" s="232">
        <v>130</v>
      </c>
      <c r="AJ230" s="239">
        <v>42507</v>
      </c>
      <c r="AK230" s="238">
        <v>9.8000000000000007</v>
      </c>
      <c r="BG230" s="238">
        <v>-9</v>
      </c>
      <c r="BH230" s="239">
        <v>42592</v>
      </c>
      <c r="BM230" s="238">
        <v>61.6</v>
      </c>
      <c r="BN230" s="239">
        <v>42592</v>
      </c>
      <c r="BQ230" s="238">
        <v>11.3</v>
      </c>
      <c r="BR230" s="239">
        <v>42592</v>
      </c>
      <c r="BS230" s="238">
        <v>47.032967032967029</v>
      </c>
      <c r="BT230" s="239">
        <v>42592</v>
      </c>
      <c r="BU230" s="238">
        <v>18.901098901098898</v>
      </c>
      <c r="BV230" s="239">
        <v>42592</v>
      </c>
      <c r="BW230" s="238">
        <v>18.571428571428569</v>
      </c>
      <c r="BX230" s="239">
        <v>42592</v>
      </c>
      <c r="BY230" s="238"/>
      <c r="BZ230" s="238"/>
      <c r="CA230" s="238">
        <v>35.700000000000003</v>
      </c>
      <c r="CB230" s="239">
        <v>42592</v>
      </c>
      <c r="CC230" s="238"/>
      <c r="CD230" s="238"/>
      <c r="CF230" s="238"/>
    </row>
    <row r="231" spans="1:84" s="178" customFormat="1" ht="12">
      <c r="A231" s="232">
        <v>20</v>
      </c>
      <c r="B231" s="232" t="str">
        <f>VLOOKUP(A231,PlantMaterial!B:C,2,0)</f>
        <v>C03-1ESQ0</v>
      </c>
      <c r="C231" s="238" t="s">
        <v>7689</v>
      </c>
      <c r="D231" s="232">
        <v>6</v>
      </c>
      <c r="E231" s="238" t="s">
        <v>7913</v>
      </c>
      <c r="F231" s="232">
        <v>12</v>
      </c>
      <c r="G231" s="232">
        <v>1</v>
      </c>
      <c r="H231" s="178">
        <v>10.5</v>
      </c>
      <c r="I231" s="238"/>
      <c r="M231" s="238">
        <v>3.38</v>
      </c>
      <c r="N231" s="239">
        <v>42586</v>
      </c>
      <c r="S231" s="178">
        <v>10.55</v>
      </c>
      <c r="T231" s="239">
        <v>42592</v>
      </c>
      <c r="U231" s="178">
        <v>13.5</v>
      </c>
      <c r="V231" s="239">
        <v>42586</v>
      </c>
      <c r="Y231" s="238">
        <v>4.4268600000000005</v>
      </c>
      <c r="Z231" s="239">
        <v>42592</v>
      </c>
      <c r="AA231" s="178">
        <v>45</v>
      </c>
      <c r="AB231" s="239">
        <v>42249</v>
      </c>
      <c r="AE231" s="238">
        <v>24.87</v>
      </c>
      <c r="AF231" s="239">
        <v>42586</v>
      </c>
      <c r="AI231" s="232">
        <v>140</v>
      </c>
      <c r="AJ231" s="239">
        <v>42507</v>
      </c>
      <c r="AK231" s="238">
        <v>9.6</v>
      </c>
      <c r="BG231" s="238">
        <v>-8.1</v>
      </c>
      <c r="BH231" s="239">
        <v>42592</v>
      </c>
      <c r="BM231" s="238">
        <v>60.6</v>
      </c>
      <c r="BN231" s="239">
        <v>42592</v>
      </c>
      <c r="BQ231" s="238">
        <v>12.2</v>
      </c>
      <c r="BR231" s="239">
        <v>42592</v>
      </c>
      <c r="BS231" s="238">
        <v>46.593406593406591</v>
      </c>
      <c r="BT231" s="239">
        <v>42592</v>
      </c>
      <c r="BU231" s="238">
        <v>19.560439560439562</v>
      </c>
      <c r="BV231" s="239">
        <v>42592</v>
      </c>
      <c r="BW231" s="238">
        <v>13.516483516483516</v>
      </c>
      <c r="BX231" s="239">
        <v>42592</v>
      </c>
      <c r="BY231" s="238"/>
      <c r="BZ231" s="238"/>
      <c r="CA231" s="238">
        <v>36.6</v>
      </c>
      <c r="CB231" s="239">
        <v>42592</v>
      </c>
      <c r="CC231" s="238"/>
      <c r="CD231" s="238"/>
      <c r="CF231" s="238"/>
    </row>
    <row r="232" spans="1:84" s="178" customFormat="1" ht="12">
      <c r="A232" s="232">
        <v>21</v>
      </c>
      <c r="B232" s="232" t="str">
        <f>VLOOKUP(A232,PlantMaterial!B:C,2,0)</f>
        <v>C03-1ESQ1</v>
      </c>
      <c r="C232" s="238" t="s">
        <v>7689</v>
      </c>
      <c r="D232" s="232">
        <v>6</v>
      </c>
      <c r="E232" s="238" t="s">
        <v>7914</v>
      </c>
      <c r="F232" s="232">
        <v>13</v>
      </c>
      <c r="G232" s="232">
        <v>5</v>
      </c>
      <c r="H232" s="178">
        <v>52.5</v>
      </c>
      <c r="I232" s="238"/>
      <c r="M232" s="238">
        <v>3.04</v>
      </c>
      <c r="N232" s="239">
        <v>42586</v>
      </c>
      <c r="S232" s="178">
        <v>9.5299999999999994</v>
      </c>
      <c r="T232" s="239">
        <v>42592</v>
      </c>
      <c r="U232" s="178">
        <v>13.5</v>
      </c>
      <c r="V232" s="239">
        <v>42586</v>
      </c>
      <c r="Y232" s="238">
        <v>4.0212000000000003</v>
      </c>
      <c r="Z232" s="239">
        <v>42592</v>
      </c>
      <c r="AA232" s="178">
        <v>45</v>
      </c>
      <c r="AB232" s="239">
        <v>42249</v>
      </c>
      <c r="AE232" s="238">
        <v>22.34</v>
      </c>
      <c r="AF232" s="239">
        <v>42586</v>
      </c>
      <c r="AI232" s="232">
        <v>140</v>
      </c>
      <c r="AJ232" s="239">
        <v>42507</v>
      </c>
      <c r="AK232" s="238">
        <v>9.6999999999999993</v>
      </c>
      <c r="BG232" s="238">
        <v>-7.7</v>
      </c>
      <c r="BH232" s="239">
        <v>42592</v>
      </c>
      <c r="BM232" s="238">
        <v>61.5</v>
      </c>
      <c r="BN232" s="239">
        <v>42592</v>
      </c>
      <c r="BQ232" s="238">
        <v>11.5</v>
      </c>
      <c r="BR232" s="239">
        <v>42592</v>
      </c>
      <c r="BS232" s="238">
        <v>46.81318681318681</v>
      </c>
      <c r="BT232" s="239">
        <v>42592</v>
      </c>
      <c r="BU232" s="238">
        <v>19.780219780219781</v>
      </c>
      <c r="BV232" s="239">
        <v>42592</v>
      </c>
      <c r="BW232" s="238">
        <v>14.945054945054943</v>
      </c>
      <c r="BX232" s="239">
        <v>42592</v>
      </c>
      <c r="BY232" s="238"/>
      <c r="BZ232" s="238"/>
      <c r="CA232" s="238">
        <v>37.200000000000003</v>
      </c>
      <c r="CB232" s="239">
        <v>42592</v>
      </c>
      <c r="CC232" s="238"/>
      <c r="CD232" s="238"/>
      <c r="CF232" s="238"/>
    </row>
    <row r="233" spans="1:84" s="178" customFormat="1" ht="12">
      <c r="A233" s="232">
        <v>22</v>
      </c>
      <c r="B233" s="232" t="str">
        <f>VLOOKUP(A233,PlantMaterial!B:C,2,0)</f>
        <v>C04-1ESQ0</v>
      </c>
      <c r="C233" s="238" t="s">
        <v>7689</v>
      </c>
      <c r="D233" s="232">
        <v>6</v>
      </c>
      <c r="E233" s="238" t="s">
        <v>7915</v>
      </c>
      <c r="F233" s="232">
        <v>15</v>
      </c>
      <c r="G233" s="232">
        <v>6</v>
      </c>
      <c r="H233" s="178">
        <v>63</v>
      </c>
      <c r="I233" s="238"/>
      <c r="M233" s="238">
        <v>2.82</v>
      </c>
      <c r="N233" s="239">
        <v>42586</v>
      </c>
      <c r="S233" s="178">
        <v>8.91</v>
      </c>
      <c r="T233" s="239">
        <v>42592</v>
      </c>
      <c r="U233" s="178">
        <v>13.5</v>
      </c>
      <c r="V233" s="239">
        <v>42586</v>
      </c>
      <c r="Y233" s="238">
        <v>3.5465399999999998</v>
      </c>
      <c r="Z233" s="239">
        <v>42592</v>
      </c>
      <c r="AA233" s="178">
        <v>45</v>
      </c>
      <c r="AB233" s="239">
        <v>42249</v>
      </c>
      <c r="AE233" s="238">
        <v>20.74</v>
      </c>
      <c r="AF233" s="239">
        <v>42586</v>
      </c>
      <c r="AI233" s="232">
        <v>145</v>
      </c>
      <c r="AJ233" s="239">
        <v>42507</v>
      </c>
      <c r="AK233" s="238">
        <v>9.6999999999999993</v>
      </c>
      <c r="BG233" s="238">
        <v>-8.5</v>
      </c>
      <c r="BH233" s="239">
        <v>42592</v>
      </c>
      <c r="BM233" s="238">
        <v>60.6</v>
      </c>
      <c r="BN233" s="239">
        <v>42592</v>
      </c>
      <c r="BQ233" s="238">
        <v>10.9</v>
      </c>
      <c r="BR233" s="239">
        <v>42592</v>
      </c>
      <c r="BS233" s="238">
        <v>47.252747252747248</v>
      </c>
      <c r="BT233" s="239">
        <v>42592</v>
      </c>
      <c r="BU233" s="238">
        <v>18.791208791208792</v>
      </c>
      <c r="BV233" s="239">
        <v>42592</v>
      </c>
      <c r="BW233" s="238">
        <v>12.197802197802197</v>
      </c>
      <c r="BX233" s="239">
        <v>42592</v>
      </c>
      <c r="BY233" s="238"/>
      <c r="BZ233" s="238"/>
      <c r="CA233" s="238">
        <v>35.700000000000003</v>
      </c>
      <c r="CB233" s="239">
        <v>42592</v>
      </c>
      <c r="CC233" s="238"/>
      <c r="CD233" s="238"/>
      <c r="CF233" s="238"/>
    </row>
    <row r="234" spans="1:84" s="178" customFormat="1" ht="12">
      <c r="A234" s="232">
        <v>23</v>
      </c>
      <c r="B234" s="232" t="str">
        <f>VLOOKUP(A234,PlantMaterial!B:C,2,0)</f>
        <v>AVISO</v>
      </c>
      <c r="C234" s="238" t="s">
        <v>7689</v>
      </c>
      <c r="D234" s="232">
        <v>6</v>
      </c>
      <c r="E234" s="238" t="s">
        <v>7916</v>
      </c>
      <c r="F234" s="232">
        <v>15</v>
      </c>
      <c r="G234" s="232">
        <v>2</v>
      </c>
      <c r="H234" s="178">
        <v>21</v>
      </c>
      <c r="I234" s="238"/>
      <c r="M234" s="238">
        <v>2.69</v>
      </c>
      <c r="N234" s="239">
        <v>42586</v>
      </c>
      <c r="S234" s="178">
        <v>8.15</v>
      </c>
      <c r="T234" s="239">
        <v>42592</v>
      </c>
      <c r="U234" s="178">
        <v>13.5</v>
      </c>
      <c r="V234" s="239">
        <v>42586</v>
      </c>
      <c r="Y234" s="238">
        <v>3.6124199999999997</v>
      </c>
      <c r="Z234" s="239">
        <v>42592</v>
      </c>
      <c r="AA234" s="178">
        <v>45</v>
      </c>
      <c r="AB234" s="239">
        <v>42249</v>
      </c>
      <c r="AE234" s="238">
        <v>19.739999999999998</v>
      </c>
      <c r="AF234" s="239">
        <v>42586</v>
      </c>
      <c r="AI234" s="232">
        <v>135</v>
      </c>
      <c r="AJ234" s="239">
        <v>42507</v>
      </c>
      <c r="AK234" s="238">
        <v>9.8000000000000007</v>
      </c>
      <c r="BG234" s="238">
        <v>-10.199999999999999</v>
      </c>
      <c r="BH234" s="239">
        <v>42592</v>
      </c>
      <c r="BM234" s="238">
        <v>59.4</v>
      </c>
      <c r="BN234" s="239">
        <v>42592</v>
      </c>
      <c r="BQ234" s="238">
        <v>12.4</v>
      </c>
      <c r="BR234" s="239">
        <v>42592</v>
      </c>
      <c r="BS234" s="238">
        <v>45.38461538461538</v>
      </c>
      <c r="BT234" s="239">
        <v>42592</v>
      </c>
      <c r="BU234" s="238">
        <v>20.109890109890109</v>
      </c>
      <c r="BV234" s="239">
        <v>42592</v>
      </c>
      <c r="BW234" s="238">
        <v>17.252747252747252</v>
      </c>
      <c r="BX234" s="239">
        <v>42592</v>
      </c>
      <c r="BY234" s="238"/>
      <c r="BZ234" s="238"/>
      <c r="CA234" s="238">
        <v>36.799999999999997</v>
      </c>
      <c r="CB234" s="239">
        <v>42592</v>
      </c>
      <c r="CC234" s="238"/>
      <c r="CD234" s="238"/>
      <c r="CF234" s="238"/>
    </row>
    <row r="235" spans="1:84" s="178" customFormat="1" ht="12">
      <c r="A235" s="232">
        <v>24</v>
      </c>
      <c r="B235" s="232" t="str">
        <f>VLOOKUP(A235,PlantMaterial!B:C,2,0)</f>
        <v>C04-1ESQ1</v>
      </c>
      <c r="C235" s="238" t="s">
        <v>7689</v>
      </c>
      <c r="D235" s="232">
        <v>6</v>
      </c>
      <c r="E235" s="238" t="s">
        <v>7917</v>
      </c>
      <c r="F235" s="232">
        <v>10</v>
      </c>
      <c r="G235" s="232">
        <v>5</v>
      </c>
      <c r="H235" s="178">
        <v>52.5</v>
      </c>
      <c r="I235" s="238"/>
      <c r="M235" s="238">
        <v>3.12</v>
      </c>
      <c r="N235" s="239">
        <v>42586</v>
      </c>
      <c r="S235" s="178">
        <v>9.93</v>
      </c>
      <c r="T235" s="239">
        <v>42592</v>
      </c>
      <c r="U235" s="178">
        <v>13.5</v>
      </c>
      <c r="V235" s="239">
        <v>42586</v>
      </c>
      <c r="Y235" s="238">
        <v>3.83432</v>
      </c>
      <c r="Z235" s="239">
        <v>42592</v>
      </c>
      <c r="AA235" s="178">
        <v>45</v>
      </c>
      <c r="AB235" s="239">
        <v>42249</v>
      </c>
      <c r="AE235" s="238">
        <v>22.96</v>
      </c>
      <c r="AF235" s="239">
        <v>42586</v>
      </c>
      <c r="AI235" s="232">
        <v>140</v>
      </c>
      <c r="AJ235" s="239">
        <v>42507</v>
      </c>
      <c r="AK235" s="238">
        <v>9.6</v>
      </c>
      <c r="BG235" s="238">
        <v>-8.8000000000000007</v>
      </c>
      <c r="BH235" s="239">
        <v>42592</v>
      </c>
      <c r="BM235" s="238">
        <v>60.7</v>
      </c>
      <c r="BN235" s="239">
        <v>42592</v>
      </c>
      <c r="BQ235" s="238">
        <v>10.9</v>
      </c>
      <c r="BR235" s="239">
        <v>42592</v>
      </c>
      <c r="BS235" s="238">
        <v>47.582417582417577</v>
      </c>
      <c r="BT235" s="239">
        <v>42592</v>
      </c>
      <c r="BU235" s="238">
        <v>18.35164835164835</v>
      </c>
      <c r="BV235" s="239">
        <v>42592</v>
      </c>
      <c r="BW235" s="238">
        <v>11.868131868131869</v>
      </c>
      <c r="BX235" s="239">
        <v>42592</v>
      </c>
      <c r="BY235" s="238"/>
      <c r="BZ235" s="238"/>
      <c r="CA235" s="238">
        <v>35</v>
      </c>
      <c r="CB235" s="239">
        <v>42592</v>
      </c>
      <c r="CC235" s="238"/>
      <c r="CD235" s="238"/>
      <c r="CF235" s="238"/>
    </row>
    <row r="236" spans="1:84" s="178" customFormat="1" ht="12">
      <c r="A236" s="232">
        <v>25</v>
      </c>
      <c r="B236" s="232" t="str">
        <f>VLOOKUP(A236,PlantMaterial!B:C,2,0)</f>
        <v>MONTEGO</v>
      </c>
      <c r="C236" s="238" t="s">
        <v>7689</v>
      </c>
      <c r="D236" s="232">
        <v>6</v>
      </c>
      <c r="E236" s="238" t="s">
        <v>7918</v>
      </c>
      <c r="F236" s="232">
        <v>13</v>
      </c>
      <c r="G236" s="232">
        <v>6</v>
      </c>
      <c r="H236" s="178">
        <v>63</v>
      </c>
      <c r="I236" s="238"/>
      <c r="M236" s="238">
        <v>2.0299999999999998</v>
      </c>
      <c r="N236" s="239">
        <v>42586</v>
      </c>
      <c r="S236" s="178">
        <v>6.39</v>
      </c>
      <c r="T236" s="239">
        <v>42592</v>
      </c>
      <c r="U236" s="178">
        <v>13.5</v>
      </c>
      <c r="V236" s="239">
        <v>42586</v>
      </c>
      <c r="Y236" s="238">
        <v>2.6450799999999997</v>
      </c>
      <c r="Z236" s="239">
        <v>42592</v>
      </c>
      <c r="AA236" s="178">
        <v>45</v>
      </c>
      <c r="AB236" s="239">
        <v>42249</v>
      </c>
      <c r="AE236" s="238">
        <v>14.86</v>
      </c>
      <c r="AF236" s="239">
        <v>42586</v>
      </c>
      <c r="AI236" s="232">
        <v>130</v>
      </c>
      <c r="AJ236" s="239">
        <v>42507</v>
      </c>
      <c r="AK236" s="238">
        <v>10.1</v>
      </c>
      <c r="BG236" s="238">
        <v>-9.3000000000000007</v>
      </c>
      <c r="BH236" s="239">
        <v>42592</v>
      </c>
      <c r="BM236" s="238">
        <v>62.2</v>
      </c>
      <c r="BN236" s="239">
        <v>42592</v>
      </c>
      <c r="BQ236" s="238">
        <v>10.5</v>
      </c>
      <c r="BR236" s="239">
        <v>42592</v>
      </c>
      <c r="BS236" s="238">
        <v>47.252747252747248</v>
      </c>
      <c r="BT236" s="239">
        <v>42592</v>
      </c>
      <c r="BU236" s="238">
        <v>19.560439560439562</v>
      </c>
      <c r="BV236" s="239">
        <v>42592</v>
      </c>
      <c r="BW236" s="238">
        <v>14.065934065934066</v>
      </c>
      <c r="BX236" s="239">
        <v>42592</v>
      </c>
      <c r="BY236" s="238"/>
      <c r="BZ236" s="238"/>
      <c r="CA236" s="238">
        <v>37.1</v>
      </c>
      <c r="CB236" s="239">
        <v>42592</v>
      </c>
      <c r="CC236" s="238"/>
      <c r="CD236" s="238"/>
      <c r="CF236" s="238"/>
    </row>
    <row r="237" spans="1:84" s="178" customFormat="1" ht="12">
      <c r="A237" s="232">
        <v>26</v>
      </c>
      <c r="B237" s="232" t="str">
        <f>VLOOKUP(A237,PlantMaterial!B:C,2,0)</f>
        <v>RAPSO_304</v>
      </c>
      <c r="C237" s="238" t="s">
        <v>7689</v>
      </c>
      <c r="D237" s="232">
        <v>6</v>
      </c>
      <c r="E237" s="238" t="s">
        <v>7919</v>
      </c>
      <c r="F237" s="232">
        <v>11</v>
      </c>
      <c r="G237" s="232">
        <v>2</v>
      </c>
      <c r="H237" s="178">
        <v>21</v>
      </c>
      <c r="I237" s="238"/>
      <c r="M237" s="238">
        <v>3.6</v>
      </c>
      <c r="N237" s="239">
        <v>42586</v>
      </c>
      <c r="S237" s="178">
        <v>11.79</v>
      </c>
      <c r="T237" s="239">
        <v>42592</v>
      </c>
      <c r="U237" s="178">
        <v>13.5</v>
      </c>
      <c r="V237" s="239">
        <v>42586</v>
      </c>
      <c r="Y237" s="238">
        <v>4.3345199999999995</v>
      </c>
      <c r="Z237" s="239">
        <v>42592</v>
      </c>
      <c r="AA237" s="178">
        <v>45</v>
      </c>
      <c r="AB237" s="239">
        <v>42249</v>
      </c>
      <c r="AE237" s="238">
        <v>26.43</v>
      </c>
      <c r="AF237" s="239">
        <v>42586</v>
      </c>
      <c r="AI237" s="232">
        <v>135</v>
      </c>
      <c r="AJ237" s="239">
        <v>42507</v>
      </c>
      <c r="AK237" s="238">
        <v>9.8000000000000007</v>
      </c>
      <c r="BG237" s="238">
        <v>-10.9</v>
      </c>
      <c r="BH237" s="239">
        <v>42592</v>
      </c>
      <c r="BM237" s="238">
        <v>63</v>
      </c>
      <c r="BN237" s="239">
        <v>42592</v>
      </c>
      <c r="BQ237" s="238">
        <v>10.4</v>
      </c>
      <c r="BR237" s="239">
        <v>42592</v>
      </c>
      <c r="BS237" s="238">
        <v>49.010989010989007</v>
      </c>
      <c r="BT237" s="239">
        <v>42592</v>
      </c>
      <c r="BU237" s="238">
        <v>18.021978021978018</v>
      </c>
      <c r="BV237" s="239">
        <v>42592</v>
      </c>
      <c r="BW237" s="238">
        <v>14.505494505494504</v>
      </c>
      <c r="BX237" s="239">
        <v>42592</v>
      </c>
      <c r="BY237" s="238"/>
      <c r="BZ237" s="238"/>
      <c r="CA237" s="238">
        <v>35.4</v>
      </c>
      <c r="CB237" s="239">
        <v>42592</v>
      </c>
      <c r="CC237" s="238"/>
      <c r="CD237" s="238"/>
      <c r="CF237" s="238"/>
    </row>
    <row r="238" spans="1:84" s="178" customFormat="1" ht="12">
      <c r="A238" s="232">
        <v>27</v>
      </c>
      <c r="B238" s="232" t="str">
        <f>VLOOKUP(A238,PlantMaterial!B:C,2,0)</f>
        <v>TENOR</v>
      </c>
      <c r="C238" s="238" t="s">
        <v>7689</v>
      </c>
      <c r="D238" s="232">
        <v>6</v>
      </c>
      <c r="E238" s="238" t="s">
        <v>7920</v>
      </c>
      <c r="F238" s="232">
        <v>15</v>
      </c>
      <c r="G238" s="232">
        <v>3</v>
      </c>
      <c r="H238" s="178">
        <v>31.5</v>
      </c>
      <c r="I238" s="238"/>
      <c r="M238" s="238">
        <v>2.19</v>
      </c>
      <c r="N238" s="239">
        <v>42586</v>
      </c>
      <c r="S238" s="178">
        <v>6.93</v>
      </c>
      <c r="T238" s="239">
        <v>42592</v>
      </c>
      <c r="U238" s="178">
        <v>13.5</v>
      </c>
      <c r="V238" s="239">
        <v>42586</v>
      </c>
      <c r="Y238" s="238">
        <v>2.8139999999999996</v>
      </c>
      <c r="Z238" s="239">
        <v>42592</v>
      </c>
      <c r="AA238" s="178">
        <v>45</v>
      </c>
      <c r="AB238" s="239">
        <v>42249</v>
      </c>
      <c r="AE238" s="238">
        <v>16.079999999999998</v>
      </c>
      <c r="AF238" s="239">
        <v>42586</v>
      </c>
      <c r="AI238" s="232">
        <v>140</v>
      </c>
      <c r="AJ238" s="239">
        <v>42507</v>
      </c>
      <c r="AK238" s="238">
        <v>9.8000000000000007</v>
      </c>
      <c r="BG238" s="238">
        <v>-8.1999999999999993</v>
      </c>
      <c r="BH238" s="239">
        <v>42592</v>
      </c>
      <c r="BM238" s="238">
        <v>61</v>
      </c>
      <c r="BN238" s="239">
        <v>42592</v>
      </c>
      <c r="BQ238" s="238">
        <v>11.8</v>
      </c>
      <c r="BR238" s="239">
        <v>42592</v>
      </c>
      <c r="BS238" s="238">
        <v>47.362637362637365</v>
      </c>
      <c r="BT238" s="239">
        <v>42592</v>
      </c>
      <c r="BU238" s="238">
        <v>19.23076923076923</v>
      </c>
      <c r="BV238" s="239">
        <v>42592</v>
      </c>
      <c r="BW238" s="238">
        <v>19.23076923076923</v>
      </c>
      <c r="BX238" s="239">
        <v>42592</v>
      </c>
      <c r="BY238" s="238"/>
      <c r="BZ238" s="238"/>
      <c r="CA238" s="238">
        <v>36.5</v>
      </c>
      <c r="CB238" s="239">
        <v>42592</v>
      </c>
      <c r="CC238" s="238"/>
      <c r="CD238" s="238"/>
      <c r="CF238" s="238"/>
    </row>
    <row r="239" spans="1:84" s="178" customFormat="1" ht="12">
      <c r="A239" s="232">
        <v>28</v>
      </c>
      <c r="B239" s="232" t="str">
        <f>VLOOKUP(A239,PlantMaterial!B:C,2,0)</f>
        <v>LEL17</v>
      </c>
      <c r="C239" s="238" t="s">
        <v>7689</v>
      </c>
      <c r="D239" s="232">
        <v>6</v>
      </c>
      <c r="E239" s="238" t="s">
        <v>7921</v>
      </c>
      <c r="F239" s="232">
        <v>11</v>
      </c>
      <c r="G239" s="232">
        <v>7</v>
      </c>
      <c r="H239" s="178">
        <v>73.5</v>
      </c>
      <c r="I239" s="238"/>
      <c r="M239" s="238">
        <v>4.37</v>
      </c>
      <c r="N239" s="239">
        <v>42586</v>
      </c>
      <c r="S239" s="178">
        <v>13.91</v>
      </c>
      <c r="T239" s="239">
        <v>42592</v>
      </c>
      <c r="U239" s="178">
        <v>13.5</v>
      </c>
      <c r="V239" s="239">
        <v>42586</v>
      </c>
      <c r="Y239" s="238">
        <v>5.2742399999999989</v>
      </c>
      <c r="Z239" s="239">
        <v>42592</v>
      </c>
      <c r="AA239" s="178">
        <v>45</v>
      </c>
      <c r="AB239" s="239">
        <v>42249</v>
      </c>
      <c r="AE239" s="238">
        <v>32.159999999999997</v>
      </c>
      <c r="AF239" s="239">
        <v>42586</v>
      </c>
      <c r="AI239" s="232">
        <v>145</v>
      </c>
      <c r="AJ239" s="239">
        <v>42507</v>
      </c>
      <c r="AK239" s="238">
        <v>9.6</v>
      </c>
      <c r="BG239" s="238">
        <v>-8.9</v>
      </c>
      <c r="BH239" s="239">
        <v>42592</v>
      </c>
      <c r="BM239" s="238">
        <v>62.4</v>
      </c>
      <c r="BN239" s="239">
        <v>42592</v>
      </c>
      <c r="BQ239" s="238">
        <v>11.1</v>
      </c>
      <c r="BR239" s="239">
        <v>42592</v>
      </c>
      <c r="BS239" s="238">
        <v>47.582417582417577</v>
      </c>
      <c r="BT239" s="239">
        <v>42592</v>
      </c>
      <c r="BU239" s="238">
        <v>18.021978021978018</v>
      </c>
      <c r="BV239" s="239">
        <v>42592</v>
      </c>
      <c r="BW239" s="238">
        <v>14.725274725274724</v>
      </c>
      <c r="BX239" s="239">
        <v>42592</v>
      </c>
      <c r="BY239" s="238"/>
      <c r="BZ239" s="238"/>
      <c r="CA239" s="238">
        <v>34.4</v>
      </c>
      <c r="CB239" s="239">
        <v>42592</v>
      </c>
      <c r="CC239" s="238"/>
      <c r="CD239" s="238"/>
      <c r="CF239" s="238"/>
    </row>
    <row r="240" spans="1:84" s="178" customFormat="1" ht="12">
      <c r="A240" s="232">
        <v>29</v>
      </c>
      <c r="B240" s="232" t="str">
        <f>VLOOKUP(A240,PlantMaterial!B:C,2,0)</f>
        <v>EXPRESS</v>
      </c>
      <c r="C240" s="238" t="s">
        <v>7689</v>
      </c>
      <c r="D240" s="232">
        <v>6</v>
      </c>
      <c r="E240" s="238" t="s">
        <v>7922</v>
      </c>
      <c r="F240" s="232">
        <v>11</v>
      </c>
      <c r="G240" s="232">
        <v>6</v>
      </c>
      <c r="H240" s="178">
        <v>63</v>
      </c>
      <c r="I240" s="238" t="s">
        <v>7801</v>
      </c>
      <c r="J240" s="239">
        <v>42430</v>
      </c>
      <c r="M240" s="238">
        <v>2.17</v>
      </c>
      <c r="N240" s="239">
        <v>42586</v>
      </c>
      <c r="S240" s="178">
        <v>6.77</v>
      </c>
      <c r="T240" s="239">
        <v>42592</v>
      </c>
      <c r="U240" s="178">
        <v>13.5</v>
      </c>
      <c r="V240" s="239">
        <v>42586</v>
      </c>
      <c r="Y240" s="238">
        <v>2.7137700000000002</v>
      </c>
      <c r="Z240" s="239">
        <v>42592</v>
      </c>
      <c r="AA240" s="178">
        <v>45</v>
      </c>
      <c r="AB240" s="239">
        <v>42249</v>
      </c>
      <c r="AE240" s="238">
        <v>15.87</v>
      </c>
      <c r="AF240" s="239">
        <v>42586</v>
      </c>
      <c r="AI240" s="232">
        <v>130</v>
      </c>
      <c r="AJ240" s="239">
        <v>42507</v>
      </c>
      <c r="AK240" s="238">
        <v>10.1</v>
      </c>
      <c r="BG240" s="238">
        <v>-8.1</v>
      </c>
      <c r="BH240" s="239">
        <v>42592</v>
      </c>
      <c r="BM240" s="238">
        <v>63.4</v>
      </c>
      <c r="BN240" s="239">
        <v>42592</v>
      </c>
      <c r="BQ240" s="238">
        <v>10</v>
      </c>
      <c r="BR240" s="239">
        <v>42592</v>
      </c>
      <c r="BS240" s="238">
        <v>46.923076923076927</v>
      </c>
      <c r="BT240" s="239">
        <v>42592</v>
      </c>
      <c r="BU240" s="238">
        <v>18.791208791208792</v>
      </c>
      <c r="BV240" s="239">
        <v>42592</v>
      </c>
      <c r="BW240" s="238">
        <v>17.032967032967033</v>
      </c>
      <c r="BX240" s="239">
        <v>42592</v>
      </c>
      <c r="BY240" s="238"/>
      <c r="BZ240" s="238"/>
      <c r="CA240" s="238">
        <v>35.299999999999997</v>
      </c>
      <c r="CB240" s="239">
        <v>42592</v>
      </c>
      <c r="CC240" s="238"/>
      <c r="CD240" s="238"/>
      <c r="CF240" s="238"/>
    </row>
    <row r="241" spans="1:91" s="178" customFormat="1" ht="12">
      <c r="A241" s="232">
        <v>30</v>
      </c>
      <c r="B241" s="232" t="str">
        <f>VLOOKUP(A241,PlantMaterial!B:C,2,0)</f>
        <v>C04-1LEQ0</v>
      </c>
      <c r="C241" s="238" t="s">
        <v>7689</v>
      </c>
      <c r="D241" s="232">
        <v>6</v>
      </c>
      <c r="E241" s="238" t="s">
        <v>7923</v>
      </c>
      <c r="F241" s="232">
        <v>14</v>
      </c>
      <c r="G241" s="232">
        <v>4</v>
      </c>
      <c r="H241" s="178">
        <v>42</v>
      </c>
      <c r="I241" s="238"/>
      <c r="M241" s="238">
        <v>3.59</v>
      </c>
      <c r="N241" s="239">
        <v>42586</v>
      </c>
      <c r="S241" s="178">
        <v>11.83</v>
      </c>
      <c r="T241" s="239">
        <v>42592</v>
      </c>
      <c r="U241" s="178">
        <v>13.5</v>
      </c>
      <c r="V241" s="239">
        <v>42586</v>
      </c>
      <c r="Y241" s="238">
        <v>4.1711999999999998</v>
      </c>
      <c r="Z241" s="239">
        <v>42592</v>
      </c>
      <c r="AA241" s="178">
        <v>45</v>
      </c>
      <c r="AB241" s="239">
        <v>42249</v>
      </c>
      <c r="AE241" s="238">
        <v>26.4</v>
      </c>
      <c r="AF241" s="239">
        <v>42586</v>
      </c>
      <c r="AI241" s="232">
        <v>145</v>
      </c>
      <c r="AJ241" s="239">
        <v>42507</v>
      </c>
      <c r="AK241" s="238">
        <v>9.6999999999999993</v>
      </c>
      <c r="BG241" s="238">
        <v>-8.1</v>
      </c>
      <c r="BH241" s="239">
        <v>42592</v>
      </c>
      <c r="BM241" s="238">
        <v>63.6</v>
      </c>
      <c r="BN241" s="239">
        <v>42592</v>
      </c>
      <c r="BQ241" s="238">
        <v>10</v>
      </c>
      <c r="BR241" s="239">
        <v>42592</v>
      </c>
      <c r="BS241" s="238">
        <v>49.230769230769226</v>
      </c>
      <c r="BT241" s="239">
        <v>42592</v>
      </c>
      <c r="BU241" s="238">
        <v>17.362637362637361</v>
      </c>
      <c r="BV241" s="239">
        <v>42592</v>
      </c>
      <c r="BW241" s="238">
        <v>13.626373626373626</v>
      </c>
      <c r="BX241" s="239">
        <v>42592</v>
      </c>
      <c r="BY241" s="238"/>
      <c r="BZ241" s="238"/>
      <c r="CA241" s="238">
        <v>34.299999999999997</v>
      </c>
      <c r="CB241" s="239">
        <v>42592</v>
      </c>
      <c r="CC241" s="238"/>
      <c r="CD241" s="238"/>
      <c r="CF241" s="238"/>
    </row>
    <row r="242" spans="1:91" s="178" customFormat="1" ht="12">
      <c r="A242" s="232">
        <v>31</v>
      </c>
      <c r="B242" s="232" t="str">
        <f>VLOOKUP(A242,PlantMaterial!B:C,2,0)</f>
        <v>C04-1LEQ1</v>
      </c>
      <c r="C242" s="238" t="s">
        <v>7689</v>
      </c>
      <c r="D242" s="232">
        <v>6</v>
      </c>
      <c r="E242" s="238" t="s">
        <v>7924</v>
      </c>
      <c r="F242" s="232">
        <v>12</v>
      </c>
      <c r="G242" s="232">
        <v>5</v>
      </c>
      <c r="H242" s="178">
        <v>52.5</v>
      </c>
      <c r="I242" s="238"/>
      <c r="M242" s="238">
        <v>3.24</v>
      </c>
      <c r="N242" s="239">
        <v>42586</v>
      </c>
      <c r="S242" s="178">
        <v>10.66</v>
      </c>
      <c r="T242" s="239">
        <v>42592</v>
      </c>
      <c r="U242" s="178">
        <v>13.5</v>
      </c>
      <c r="V242" s="239">
        <v>42586</v>
      </c>
      <c r="Y242" s="238">
        <v>3.7428799999999995</v>
      </c>
      <c r="Z242" s="239">
        <v>42592</v>
      </c>
      <c r="AA242" s="178">
        <v>45</v>
      </c>
      <c r="AB242" s="239">
        <v>42249</v>
      </c>
      <c r="AE242" s="238">
        <v>23.84</v>
      </c>
      <c r="AF242" s="239">
        <v>42586</v>
      </c>
      <c r="AI242" s="232">
        <v>140</v>
      </c>
      <c r="AJ242" s="239">
        <v>42507</v>
      </c>
      <c r="AK242" s="238">
        <v>9.6</v>
      </c>
      <c r="BG242" s="238">
        <v>-9</v>
      </c>
      <c r="BH242" s="239">
        <v>42592</v>
      </c>
      <c r="BM242" s="238">
        <v>65.2</v>
      </c>
      <c r="BN242" s="239">
        <v>42592</v>
      </c>
      <c r="BQ242" s="238">
        <v>9.8000000000000007</v>
      </c>
      <c r="BR242" s="239">
        <v>42592</v>
      </c>
      <c r="BS242" s="238">
        <v>49.120879120879124</v>
      </c>
      <c r="BT242" s="239">
        <v>42592</v>
      </c>
      <c r="BU242" s="238">
        <v>17.252747252747252</v>
      </c>
      <c r="BV242" s="239">
        <v>42592</v>
      </c>
      <c r="BW242" s="238">
        <v>12.197802197802197</v>
      </c>
      <c r="BX242" s="239">
        <v>42592</v>
      </c>
      <c r="BY242" s="238"/>
      <c r="BZ242" s="238"/>
      <c r="CA242" s="238">
        <v>33.9</v>
      </c>
      <c r="CB242" s="239">
        <v>42592</v>
      </c>
      <c r="CC242" s="238"/>
      <c r="CD242" s="238"/>
      <c r="CF242" s="238"/>
    </row>
    <row r="243" spans="1:91" s="178" customFormat="1" ht="12">
      <c r="A243" s="232">
        <v>32</v>
      </c>
      <c r="B243" s="232" t="str">
        <f>VLOOKUP(A243,PlantMaterial!B:C,2,0)</f>
        <v>A05-1LEQ0</v>
      </c>
      <c r="C243" s="238" t="s">
        <v>7689</v>
      </c>
      <c r="D243" s="232">
        <v>6</v>
      </c>
      <c r="E243" s="238" t="s">
        <v>7925</v>
      </c>
      <c r="F243" s="232">
        <v>15</v>
      </c>
      <c r="G243" s="232">
        <v>1</v>
      </c>
      <c r="H243" s="178">
        <v>10.5</v>
      </c>
      <c r="I243" s="238"/>
      <c r="M243" s="238">
        <v>4.3899999999999997</v>
      </c>
      <c r="N243" s="239">
        <v>42586</v>
      </c>
      <c r="S243" s="178">
        <v>13.95</v>
      </c>
      <c r="T243" s="239">
        <v>42592</v>
      </c>
      <c r="U243" s="178">
        <v>13.5</v>
      </c>
      <c r="V243" s="239">
        <v>42586</v>
      </c>
      <c r="Y243" s="238">
        <v>5.358480000000001</v>
      </c>
      <c r="Z243" s="239">
        <v>42592</v>
      </c>
      <c r="AA243" s="178">
        <v>45</v>
      </c>
      <c r="AB243" s="239">
        <v>42249</v>
      </c>
      <c r="AE243" s="238">
        <v>32.28</v>
      </c>
      <c r="AF243" s="239">
        <v>42586</v>
      </c>
      <c r="AI243" s="232">
        <v>130</v>
      </c>
      <c r="AJ243" s="239">
        <v>42507</v>
      </c>
      <c r="AK243" s="238">
        <v>9.6999999999999993</v>
      </c>
      <c r="BG243" s="238">
        <v>-8.1</v>
      </c>
      <c r="BH243" s="239">
        <v>42592</v>
      </c>
      <c r="BM243" s="238">
        <v>62.3</v>
      </c>
      <c r="BN243" s="239">
        <v>42592</v>
      </c>
      <c r="BQ243" s="238">
        <v>11.1</v>
      </c>
      <c r="BR243" s="239">
        <v>42592</v>
      </c>
      <c r="BS243" s="238">
        <v>47.472527472527474</v>
      </c>
      <c r="BT243" s="239">
        <v>42592</v>
      </c>
      <c r="BU243" s="238">
        <v>18.241758241758244</v>
      </c>
      <c r="BV243" s="239">
        <v>42592</v>
      </c>
      <c r="BW243" s="238">
        <v>15.714285714285715</v>
      </c>
      <c r="BX243" s="239">
        <v>42592</v>
      </c>
      <c r="BY243" s="238"/>
      <c r="BZ243" s="238"/>
      <c r="CA243" s="238">
        <v>34.700000000000003</v>
      </c>
      <c r="CB243" s="239">
        <v>42592</v>
      </c>
      <c r="CC243" s="238"/>
      <c r="CD243" s="238"/>
      <c r="CF243" s="238"/>
    </row>
    <row r="244" spans="1:91" s="178" customFormat="1" ht="12">
      <c r="A244" s="232">
        <v>33</v>
      </c>
      <c r="B244" s="232" t="str">
        <f>VLOOKUP(A244,PlantMaterial!B:C,2,0)</f>
        <v>A05-1LEQ1</v>
      </c>
      <c r="C244" s="238" t="s">
        <v>7689</v>
      </c>
      <c r="D244" s="232">
        <v>6</v>
      </c>
      <c r="E244" s="238" t="s">
        <v>7926</v>
      </c>
      <c r="F244" s="232">
        <v>13</v>
      </c>
      <c r="G244" s="232">
        <v>1</v>
      </c>
      <c r="H244" s="178">
        <v>10.5</v>
      </c>
      <c r="I244" s="238"/>
      <c r="M244" s="238">
        <v>4.75</v>
      </c>
      <c r="N244" s="239">
        <v>42586</v>
      </c>
      <c r="S244" s="178">
        <v>15.02</v>
      </c>
      <c r="T244" s="239">
        <v>42592</v>
      </c>
      <c r="U244" s="178">
        <v>13.5</v>
      </c>
      <c r="V244" s="239">
        <v>42586</v>
      </c>
      <c r="Y244" s="238">
        <v>6.1197499999999998</v>
      </c>
      <c r="Z244" s="239">
        <v>42592</v>
      </c>
      <c r="AA244" s="178">
        <v>45</v>
      </c>
      <c r="AB244" s="239">
        <v>42249</v>
      </c>
      <c r="AE244" s="238">
        <v>34.97</v>
      </c>
      <c r="AF244" s="239">
        <v>42586</v>
      </c>
      <c r="AI244" s="232">
        <v>150</v>
      </c>
      <c r="AJ244" s="239">
        <v>42507</v>
      </c>
      <c r="AK244" s="238">
        <v>9.6</v>
      </c>
      <c r="BG244" s="238">
        <v>-8.6999999999999993</v>
      </c>
      <c r="BH244" s="239">
        <v>42592</v>
      </c>
      <c r="BM244" s="238">
        <v>62.2</v>
      </c>
      <c r="BN244" s="239">
        <v>42592</v>
      </c>
      <c r="BQ244" s="238">
        <v>10.9</v>
      </c>
      <c r="BR244" s="239">
        <v>42592</v>
      </c>
      <c r="BS244" s="238">
        <v>47.142857142857139</v>
      </c>
      <c r="BT244" s="239">
        <v>42592</v>
      </c>
      <c r="BU244" s="238">
        <v>19.23076923076923</v>
      </c>
      <c r="BV244" s="239">
        <v>42592</v>
      </c>
      <c r="BW244" s="238">
        <v>18.35164835164835</v>
      </c>
      <c r="BX244" s="239">
        <v>42592</v>
      </c>
      <c r="BY244" s="238"/>
      <c r="BZ244" s="238"/>
      <c r="CA244" s="238">
        <v>36.4</v>
      </c>
      <c r="CB244" s="239">
        <v>42592</v>
      </c>
      <c r="CC244" s="238"/>
      <c r="CD244" s="238"/>
      <c r="CF244" s="238"/>
    </row>
    <row r="245" spans="1:91" s="178" customFormat="1" ht="12">
      <c r="A245" s="232">
        <v>34</v>
      </c>
      <c r="B245" s="232" t="str">
        <f>VLOOKUP(A245,PlantMaterial!B:C,2,0)</f>
        <v>RAPSO_4</v>
      </c>
      <c r="C245" s="238" t="s">
        <v>7689</v>
      </c>
      <c r="D245" s="232">
        <v>6</v>
      </c>
      <c r="E245" s="238" t="s">
        <v>7927</v>
      </c>
      <c r="F245" s="232">
        <v>13</v>
      </c>
      <c r="G245" s="232">
        <v>4</v>
      </c>
      <c r="H245" s="178">
        <v>42</v>
      </c>
      <c r="I245" s="238"/>
      <c r="M245" s="238">
        <v>3.24</v>
      </c>
      <c r="N245" s="239">
        <v>42586</v>
      </c>
      <c r="S245" s="178">
        <v>10.15</v>
      </c>
      <c r="T245" s="239">
        <v>42592</v>
      </c>
      <c r="U245" s="178">
        <v>13.5</v>
      </c>
      <c r="V245" s="239">
        <v>42586</v>
      </c>
      <c r="Y245" s="238">
        <v>4.2637799999999997</v>
      </c>
      <c r="Z245" s="239">
        <v>42592</v>
      </c>
      <c r="AA245" s="178">
        <v>45</v>
      </c>
      <c r="AB245" s="239">
        <v>42249</v>
      </c>
      <c r="AE245" s="238">
        <v>23.82</v>
      </c>
      <c r="AF245" s="239">
        <v>42586</v>
      </c>
      <c r="AI245" s="232">
        <v>130</v>
      </c>
      <c r="AJ245" s="239">
        <v>42507</v>
      </c>
      <c r="AK245" s="238">
        <v>9.6999999999999993</v>
      </c>
      <c r="BG245" s="238">
        <v>-8.1999999999999993</v>
      </c>
      <c r="BH245" s="239">
        <v>42592</v>
      </c>
      <c r="BM245" s="238">
        <v>62.4</v>
      </c>
      <c r="BN245" s="239">
        <v>42592</v>
      </c>
      <c r="BQ245" s="238">
        <v>10.8</v>
      </c>
      <c r="BR245" s="239">
        <v>42592</v>
      </c>
      <c r="BS245" s="238">
        <v>46.81318681318681</v>
      </c>
      <c r="BT245" s="239">
        <v>42592</v>
      </c>
      <c r="BU245" s="238">
        <v>19.670329670329668</v>
      </c>
      <c r="BV245" s="239">
        <v>42592</v>
      </c>
      <c r="BW245" s="238">
        <v>14.065934065934066</v>
      </c>
      <c r="BX245" s="239">
        <v>42592</v>
      </c>
      <c r="BY245" s="238"/>
      <c r="BZ245" s="238"/>
      <c r="CA245" s="238">
        <v>36.9</v>
      </c>
      <c r="CB245" s="239">
        <v>42592</v>
      </c>
      <c r="CC245" s="238"/>
      <c r="CD245" s="238"/>
      <c r="CF245" s="238"/>
    </row>
    <row r="246" spans="1:91" s="178" customFormat="1" ht="12">
      <c r="A246" s="232">
        <v>35</v>
      </c>
      <c r="B246" s="232" t="str">
        <f>VLOOKUP(A246,PlantMaterial!B:C,2,0)</f>
        <v>C04-1MASQ0</v>
      </c>
      <c r="C246" s="238" t="s">
        <v>7689</v>
      </c>
      <c r="D246" s="232">
        <v>6</v>
      </c>
      <c r="E246" s="238" t="s">
        <v>7928</v>
      </c>
      <c r="F246" s="232">
        <v>14</v>
      </c>
      <c r="G246" s="232">
        <v>1</v>
      </c>
      <c r="H246" s="178">
        <v>10.5</v>
      </c>
      <c r="I246" s="238"/>
      <c r="M246" s="238">
        <v>3.19</v>
      </c>
      <c r="N246" s="239">
        <v>42586</v>
      </c>
      <c r="S246" s="178">
        <v>10.18</v>
      </c>
      <c r="T246" s="239">
        <v>42592</v>
      </c>
      <c r="U246" s="178">
        <v>13.5</v>
      </c>
      <c r="V246" s="239">
        <v>42586</v>
      </c>
      <c r="Y246" s="238">
        <v>3.9278399999999998</v>
      </c>
      <c r="Z246" s="239">
        <v>42592</v>
      </c>
      <c r="AA246" s="178">
        <v>45</v>
      </c>
      <c r="AB246" s="239">
        <v>42249</v>
      </c>
      <c r="AE246" s="238">
        <v>23.52</v>
      </c>
      <c r="AF246" s="239">
        <v>42586</v>
      </c>
      <c r="AI246" s="232">
        <v>130</v>
      </c>
      <c r="AJ246" s="239">
        <v>42507</v>
      </c>
      <c r="AK246" s="238">
        <v>9.4</v>
      </c>
      <c r="BG246" s="238">
        <v>-7.5</v>
      </c>
      <c r="BH246" s="239">
        <v>42592</v>
      </c>
      <c r="BM246" s="238">
        <v>62.2</v>
      </c>
      <c r="BN246" s="239">
        <v>42592</v>
      </c>
      <c r="BQ246" s="238">
        <v>10.4</v>
      </c>
      <c r="BR246" s="239">
        <v>42592</v>
      </c>
      <c r="BS246" s="238">
        <v>47.582417582417577</v>
      </c>
      <c r="BT246" s="239">
        <v>42592</v>
      </c>
      <c r="BU246" s="238">
        <v>18.35164835164835</v>
      </c>
      <c r="BV246" s="239">
        <v>42592</v>
      </c>
      <c r="BW246" s="238">
        <v>13.516483516483516</v>
      </c>
      <c r="BX246" s="239">
        <v>42592</v>
      </c>
      <c r="BY246" s="238"/>
      <c r="BZ246" s="238"/>
      <c r="CA246" s="238">
        <v>35.1</v>
      </c>
      <c r="CB246" s="239">
        <v>42592</v>
      </c>
      <c r="CC246" s="238"/>
      <c r="CD246" s="238"/>
      <c r="CF246" s="238"/>
    </row>
    <row r="247" spans="1:91" s="178" customFormat="1" ht="12">
      <c r="A247" s="232">
        <v>36</v>
      </c>
      <c r="B247" s="232" t="str">
        <f>VLOOKUP(A247,PlantMaterial!B:C,2,0)</f>
        <v>C04-1MASQ1</v>
      </c>
      <c r="C247" s="238" t="s">
        <v>7689</v>
      </c>
      <c r="D247" s="232">
        <v>6</v>
      </c>
      <c r="E247" s="238" t="s">
        <v>7929</v>
      </c>
      <c r="F247" s="232">
        <v>10</v>
      </c>
      <c r="G247" s="232">
        <v>1</v>
      </c>
      <c r="H247" s="178">
        <v>10.5</v>
      </c>
      <c r="I247" s="238"/>
      <c r="M247" s="238">
        <v>3.14</v>
      </c>
      <c r="N247" s="239">
        <v>42586</v>
      </c>
      <c r="S247" s="178">
        <v>9.9</v>
      </c>
      <c r="T247" s="239">
        <v>42592</v>
      </c>
      <c r="U247" s="178">
        <v>13.5</v>
      </c>
      <c r="V247" s="239">
        <v>42586</v>
      </c>
      <c r="Y247" s="238">
        <v>3.9731999999999998</v>
      </c>
      <c r="Z247" s="239">
        <v>42592</v>
      </c>
      <c r="AA247" s="178">
        <v>45</v>
      </c>
      <c r="AB247" s="239">
        <v>42249</v>
      </c>
      <c r="AE247" s="238">
        <v>23.1</v>
      </c>
      <c r="AF247" s="239">
        <v>42586</v>
      </c>
      <c r="AI247" s="232">
        <v>130</v>
      </c>
      <c r="AJ247" s="239">
        <v>42507</v>
      </c>
      <c r="AK247" s="238">
        <v>9.6</v>
      </c>
      <c r="BG247" s="238">
        <v>-7.8</v>
      </c>
      <c r="BH247" s="239">
        <v>42592</v>
      </c>
      <c r="BM247" s="238">
        <v>63.2</v>
      </c>
      <c r="BN247" s="239">
        <v>42592</v>
      </c>
      <c r="BQ247" s="238">
        <v>10.3</v>
      </c>
      <c r="BR247" s="239">
        <v>42592</v>
      </c>
      <c r="BS247" s="238">
        <v>47.142857142857139</v>
      </c>
      <c r="BT247" s="239">
        <v>42592</v>
      </c>
      <c r="BU247" s="238">
        <v>18.901098901098898</v>
      </c>
      <c r="BV247" s="239">
        <v>42592</v>
      </c>
      <c r="BW247" s="238">
        <v>15.494505494505493</v>
      </c>
      <c r="BX247" s="239">
        <v>42592</v>
      </c>
      <c r="BY247" s="238"/>
      <c r="BZ247" s="238"/>
      <c r="CA247" s="238">
        <v>35.799999999999997</v>
      </c>
      <c r="CB247" s="239">
        <v>42592</v>
      </c>
      <c r="CC247" s="238"/>
      <c r="CD247" s="238"/>
      <c r="CF247" s="238"/>
    </row>
    <row r="248" spans="1:91" s="178" customFormat="1" ht="12">
      <c r="A248" s="232">
        <v>37</v>
      </c>
      <c r="B248" s="232" t="str">
        <f>VLOOKUP(A248,PlantMaterial!B:C,2,0)</f>
        <v>RAPSO_323</v>
      </c>
      <c r="C248" s="238" t="s">
        <v>7689</v>
      </c>
      <c r="D248" s="232">
        <v>6</v>
      </c>
      <c r="E248" s="238" t="s">
        <v>7930</v>
      </c>
      <c r="F248" s="232">
        <v>12</v>
      </c>
      <c r="G248" s="232">
        <v>3</v>
      </c>
      <c r="H248" s="178">
        <v>31.5</v>
      </c>
      <c r="I248" s="238"/>
      <c r="M248" s="238">
        <v>3.55</v>
      </c>
      <c r="N248" s="239">
        <v>42586</v>
      </c>
      <c r="S248" s="178">
        <v>11.07</v>
      </c>
      <c r="T248" s="239">
        <v>42592</v>
      </c>
      <c r="U248" s="178">
        <v>13.5</v>
      </c>
      <c r="V248" s="239">
        <v>42586</v>
      </c>
      <c r="Y248" s="238">
        <v>4.4318999999999997</v>
      </c>
      <c r="Z248" s="239">
        <v>42592</v>
      </c>
      <c r="AA248" s="178">
        <v>45</v>
      </c>
      <c r="AB248" s="239">
        <v>42249</v>
      </c>
      <c r="AE248" s="238">
        <v>26.07</v>
      </c>
      <c r="AF248" s="239">
        <v>42586</v>
      </c>
      <c r="AI248" s="232">
        <v>160</v>
      </c>
      <c r="AJ248" s="239">
        <v>42507</v>
      </c>
      <c r="AK248" s="238">
        <v>9.8000000000000007</v>
      </c>
      <c r="BG248" s="238">
        <v>-10.199999999999999</v>
      </c>
      <c r="BH248" s="239">
        <v>42592</v>
      </c>
      <c r="BM248" s="238">
        <v>62.2</v>
      </c>
      <c r="BN248" s="239">
        <v>42592</v>
      </c>
      <c r="BQ248" s="238">
        <v>10.6</v>
      </c>
      <c r="BR248" s="239">
        <v>42592</v>
      </c>
      <c r="BS248" s="238">
        <v>46.703296703296701</v>
      </c>
      <c r="BT248" s="239">
        <v>42592</v>
      </c>
      <c r="BU248" s="238">
        <v>18.681318681318682</v>
      </c>
      <c r="BV248" s="239">
        <v>42592</v>
      </c>
      <c r="BW248" s="238">
        <v>15.054945054945053</v>
      </c>
      <c r="BX248" s="239">
        <v>42592</v>
      </c>
      <c r="BY248" s="238"/>
      <c r="BZ248" s="238"/>
      <c r="CA248" s="238">
        <v>35</v>
      </c>
      <c r="CB248" s="239">
        <v>42592</v>
      </c>
      <c r="CC248" s="238"/>
      <c r="CD248" s="238"/>
      <c r="CF248" s="238"/>
    </row>
    <row r="249" spans="1:91" s="178" customFormat="1" ht="12">
      <c r="A249" s="232">
        <v>38</v>
      </c>
      <c r="B249" s="232" t="str">
        <f>VLOOKUP(A249,PlantMaterial!B:C,2,0)</f>
        <v>C04-1RAGTQ0</v>
      </c>
      <c r="C249" s="238" t="s">
        <v>7689</v>
      </c>
      <c r="D249" s="232">
        <v>6</v>
      </c>
      <c r="E249" s="238" t="s">
        <v>7931</v>
      </c>
      <c r="F249" s="232">
        <v>12</v>
      </c>
      <c r="G249" s="232">
        <v>6</v>
      </c>
      <c r="H249" s="178">
        <v>63</v>
      </c>
      <c r="I249" s="238"/>
      <c r="M249" s="238">
        <v>3.21</v>
      </c>
      <c r="N249" s="239">
        <v>42586</v>
      </c>
      <c r="S249" s="178">
        <v>10.34</v>
      </c>
      <c r="T249" s="239">
        <v>42592</v>
      </c>
      <c r="U249" s="178">
        <v>13.5</v>
      </c>
      <c r="V249" s="239">
        <v>42586</v>
      </c>
      <c r="Y249" s="238">
        <v>4.0018000000000002</v>
      </c>
      <c r="Z249" s="239">
        <v>42592</v>
      </c>
      <c r="AA249" s="178">
        <v>45</v>
      </c>
      <c r="AB249" s="239">
        <v>42249</v>
      </c>
      <c r="AE249" s="238">
        <v>23.54</v>
      </c>
      <c r="AF249" s="239">
        <v>42586</v>
      </c>
      <c r="AI249" s="232">
        <v>145</v>
      </c>
      <c r="AJ249" s="239">
        <v>42507</v>
      </c>
      <c r="AK249" s="238">
        <v>9.9</v>
      </c>
      <c r="BG249" s="238">
        <v>-9.6</v>
      </c>
      <c r="BH249" s="239">
        <v>42592</v>
      </c>
      <c r="BM249" s="238">
        <v>62.9</v>
      </c>
      <c r="BN249" s="239">
        <v>42592</v>
      </c>
      <c r="BQ249" s="238">
        <v>10.5</v>
      </c>
      <c r="BR249" s="239">
        <v>42592</v>
      </c>
      <c r="BS249" s="238">
        <v>48.241758241758241</v>
      </c>
      <c r="BT249" s="239">
        <v>42592</v>
      </c>
      <c r="BU249" s="238">
        <v>18.681318681318682</v>
      </c>
      <c r="BV249" s="239">
        <v>42592</v>
      </c>
      <c r="BW249" s="238">
        <v>13.956043956043954</v>
      </c>
      <c r="BX249" s="239">
        <v>42592</v>
      </c>
      <c r="BY249" s="238"/>
      <c r="BZ249" s="238"/>
      <c r="CA249" s="238">
        <v>36.1</v>
      </c>
      <c r="CB249" s="239">
        <v>42592</v>
      </c>
      <c r="CC249" s="238"/>
      <c r="CD249" s="238"/>
      <c r="CF249" s="238"/>
    </row>
    <row r="250" spans="1:91" s="178" customFormat="1" ht="12">
      <c r="A250" s="232">
        <v>39</v>
      </c>
      <c r="B250" s="232" t="str">
        <f>VLOOKUP(A250,PlantMaterial!B:C,2,0)</f>
        <v>C04-1RAGTQ1</v>
      </c>
      <c r="C250" s="238" t="s">
        <v>7689</v>
      </c>
      <c r="D250" s="232">
        <v>6</v>
      </c>
      <c r="E250" s="238" t="s">
        <v>7932</v>
      </c>
      <c r="F250" s="232">
        <v>14</v>
      </c>
      <c r="G250" s="232">
        <v>2</v>
      </c>
      <c r="H250" s="178">
        <v>21</v>
      </c>
      <c r="I250" s="238"/>
      <c r="M250" s="238">
        <v>3.38</v>
      </c>
      <c r="N250" s="239">
        <v>42586</v>
      </c>
      <c r="S250" s="178">
        <v>10.61</v>
      </c>
      <c r="T250" s="239">
        <v>42592</v>
      </c>
      <c r="U250" s="178">
        <v>13.5</v>
      </c>
      <c r="V250" s="239">
        <v>42586</v>
      </c>
      <c r="Y250" s="238">
        <v>4.4286399999999997</v>
      </c>
      <c r="Z250" s="239">
        <v>42592</v>
      </c>
      <c r="AA250" s="178">
        <v>45</v>
      </c>
      <c r="AB250" s="239">
        <v>42249</v>
      </c>
      <c r="AE250" s="238">
        <v>24.88</v>
      </c>
      <c r="AF250" s="239">
        <v>42586</v>
      </c>
      <c r="AI250" s="232">
        <v>135</v>
      </c>
      <c r="AJ250" s="239">
        <v>42507</v>
      </c>
      <c r="AK250" s="238">
        <v>9.6</v>
      </c>
      <c r="BG250" s="238">
        <v>-10.6</v>
      </c>
      <c r="BH250" s="239">
        <v>42592</v>
      </c>
      <c r="BM250" s="238">
        <v>60.7</v>
      </c>
      <c r="BN250" s="239">
        <v>42592</v>
      </c>
      <c r="BQ250" s="238">
        <v>11.2</v>
      </c>
      <c r="BR250" s="239">
        <v>42592</v>
      </c>
      <c r="BS250" s="238">
        <v>46.923076923076927</v>
      </c>
      <c r="BT250" s="239">
        <v>42592</v>
      </c>
      <c r="BU250" s="238">
        <v>19.560439560439562</v>
      </c>
      <c r="BV250" s="239">
        <v>42592</v>
      </c>
      <c r="BW250" s="238">
        <v>15.164835164835164</v>
      </c>
      <c r="BX250" s="239">
        <v>42592</v>
      </c>
      <c r="BY250" s="238"/>
      <c r="BZ250" s="238"/>
      <c r="CA250" s="238">
        <v>36.799999999999997</v>
      </c>
      <c r="CB250" s="239">
        <v>42592</v>
      </c>
      <c r="CC250" s="238"/>
      <c r="CD250" s="238"/>
      <c r="CF250" s="238"/>
    </row>
    <row r="251" spans="1:91" s="178" customFormat="1" ht="12">
      <c r="A251" s="232">
        <v>40</v>
      </c>
      <c r="B251" s="232" t="str">
        <f>VLOOKUP(A251,PlantMaterial!B:C,2,0)</f>
        <v>RAPSO_325</v>
      </c>
      <c r="C251" s="238" t="s">
        <v>7689</v>
      </c>
      <c r="D251" s="232">
        <v>6</v>
      </c>
      <c r="E251" s="238" t="s">
        <v>7933</v>
      </c>
      <c r="F251" s="232">
        <v>15</v>
      </c>
      <c r="G251" s="232">
        <v>5</v>
      </c>
      <c r="H251" s="178">
        <v>52.5</v>
      </c>
      <c r="I251" s="238"/>
      <c r="M251" s="238">
        <v>4.3499999999999996</v>
      </c>
      <c r="N251" s="239">
        <v>42586</v>
      </c>
      <c r="S251" s="178">
        <v>14.42</v>
      </c>
      <c r="T251" s="239">
        <v>42592</v>
      </c>
      <c r="U251" s="178">
        <v>13.5</v>
      </c>
      <c r="V251" s="239">
        <v>42586</v>
      </c>
      <c r="Y251" s="238">
        <v>4.9951200000000009</v>
      </c>
      <c r="Z251" s="239">
        <v>42592</v>
      </c>
      <c r="AA251" s="178">
        <v>45</v>
      </c>
      <c r="AB251" s="239">
        <v>42249</v>
      </c>
      <c r="AE251" s="238">
        <v>32.020000000000003</v>
      </c>
      <c r="AF251" s="239">
        <v>42586</v>
      </c>
      <c r="AI251" s="232">
        <v>140</v>
      </c>
      <c r="AJ251" s="239">
        <v>42507</v>
      </c>
      <c r="AK251" s="238">
        <v>9.6</v>
      </c>
      <c r="BG251" s="238">
        <v>-8.3000000000000007</v>
      </c>
      <c r="BH251" s="239">
        <v>42592</v>
      </c>
      <c r="BM251" s="238">
        <v>63.3</v>
      </c>
      <c r="BN251" s="239">
        <v>42592</v>
      </c>
      <c r="BQ251" s="238">
        <v>10.199999999999999</v>
      </c>
      <c r="BR251" s="239">
        <v>42592</v>
      </c>
      <c r="BS251" s="238">
        <v>49.560439560439562</v>
      </c>
      <c r="BT251" s="239">
        <v>42592</v>
      </c>
      <c r="BU251" s="238">
        <v>17.142857142857142</v>
      </c>
      <c r="BV251" s="239">
        <v>42592</v>
      </c>
      <c r="BW251" s="238">
        <v>14.285714285714285</v>
      </c>
      <c r="BX251" s="239">
        <v>42592</v>
      </c>
      <c r="BY251" s="238"/>
      <c r="BZ251" s="238"/>
      <c r="CA251" s="238">
        <v>34</v>
      </c>
      <c r="CB251" s="239">
        <v>42592</v>
      </c>
      <c r="CC251" s="238"/>
      <c r="CD251" s="238"/>
      <c r="CF251" s="238"/>
    </row>
    <row r="252" spans="1:91" s="178" customFormat="1" ht="12">
      <c r="A252" s="232">
        <v>41</v>
      </c>
      <c r="B252" s="232" t="str">
        <f>VLOOKUP(A252,PlantMaterial!B:C,2,0)</f>
        <v>C04-1SYNQ0</v>
      </c>
      <c r="C252" s="238" t="s">
        <v>7689</v>
      </c>
      <c r="D252" s="232">
        <v>6</v>
      </c>
      <c r="E252" s="238" t="s">
        <v>7934</v>
      </c>
      <c r="F252" s="232">
        <v>10</v>
      </c>
      <c r="G252" s="232">
        <v>3</v>
      </c>
      <c r="H252" s="178">
        <v>31.5</v>
      </c>
      <c r="I252" s="238"/>
      <c r="M252" s="238">
        <v>2.8</v>
      </c>
      <c r="N252" s="239">
        <v>42586</v>
      </c>
      <c r="S252" s="178">
        <v>8.84</v>
      </c>
      <c r="T252" s="239">
        <v>42592</v>
      </c>
      <c r="U252" s="178">
        <v>13.5</v>
      </c>
      <c r="V252" s="239">
        <v>42586</v>
      </c>
      <c r="Y252" s="238">
        <v>3.6650200000000002</v>
      </c>
      <c r="Z252" s="239">
        <v>42592</v>
      </c>
      <c r="AA252" s="178">
        <v>45</v>
      </c>
      <c r="AB252" s="239">
        <v>42249</v>
      </c>
      <c r="AE252" s="238">
        <v>20.59</v>
      </c>
      <c r="AF252" s="239">
        <v>42586</v>
      </c>
      <c r="AI252" s="232">
        <v>135</v>
      </c>
      <c r="AJ252" s="239">
        <v>42507</v>
      </c>
      <c r="AK252" s="238">
        <v>9.6999999999999993</v>
      </c>
      <c r="BG252" s="238">
        <v>-8.1999999999999993</v>
      </c>
      <c r="BH252" s="239">
        <v>42592</v>
      </c>
      <c r="BM252" s="238">
        <v>62.2</v>
      </c>
      <c r="BN252" s="239">
        <v>42592</v>
      </c>
      <c r="BQ252" s="238">
        <v>10.5</v>
      </c>
      <c r="BR252" s="239">
        <v>42592</v>
      </c>
      <c r="BS252" s="238">
        <v>47.252747252747248</v>
      </c>
      <c r="BT252" s="239">
        <v>42592</v>
      </c>
      <c r="BU252" s="238">
        <v>19.560439560439562</v>
      </c>
      <c r="BV252" s="239">
        <v>42592</v>
      </c>
      <c r="BW252" s="238">
        <v>15.054945054945053</v>
      </c>
      <c r="BX252" s="239">
        <v>42592</v>
      </c>
      <c r="BY252" s="238"/>
      <c r="BZ252" s="238"/>
      <c r="CA252" s="238">
        <v>37.1</v>
      </c>
      <c r="CB252" s="239">
        <v>42592</v>
      </c>
      <c r="CC252" s="238"/>
      <c r="CD252" s="238"/>
      <c r="CF252" s="238"/>
    </row>
    <row r="253" spans="1:91" s="178" customFormat="1" ht="12">
      <c r="A253" s="232">
        <v>42</v>
      </c>
      <c r="B253" s="232" t="str">
        <f>VLOOKUP(A253,PlantMaterial!B:C,2,0)</f>
        <v>C04-1SYNQ1</v>
      </c>
      <c r="C253" s="238" t="s">
        <v>7689</v>
      </c>
      <c r="D253" s="232">
        <v>6</v>
      </c>
      <c r="E253" s="238" t="s">
        <v>7935</v>
      </c>
      <c r="F253" s="232">
        <v>14</v>
      </c>
      <c r="G253" s="232">
        <v>5</v>
      </c>
      <c r="H253" s="178">
        <v>52.5</v>
      </c>
      <c r="I253" s="238"/>
      <c r="M253" s="238">
        <v>3.38</v>
      </c>
      <c r="N253" s="239">
        <v>42586</v>
      </c>
      <c r="S253" s="178">
        <v>10.91</v>
      </c>
      <c r="T253" s="239">
        <v>42592</v>
      </c>
      <c r="U253" s="178">
        <v>13.5</v>
      </c>
      <c r="V253" s="239">
        <v>42586</v>
      </c>
      <c r="Y253" s="238">
        <v>4.1035500000000003</v>
      </c>
      <c r="Z253" s="239">
        <v>42592</v>
      </c>
      <c r="AA253" s="178">
        <v>45</v>
      </c>
      <c r="AB253" s="239">
        <v>42249</v>
      </c>
      <c r="AE253" s="238">
        <v>24.87</v>
      </c>
      <c r="AF253" s="239">
        <v>42586</v>
      </c>
      <c r="AI253" s="232">
        <v>140</v>
      </c>
      <c r="AJ253" s="239">
        <v>42507</v>
      </c>
      <c r="AK253" s="238">
        <v>9.6</v>
      </c>
      <c r="BG253" s="238">
        <v>-7.2</v>
      </c>
      <c r="BH253" s="239">
        <v>42592</v>
      </c>
      <c r="BM253" s="238">
        <v>62.4</v>
      </c>
      <c r="BN253" s="239">
        <v>42592</v>
      </c>
      <c r="BQ253" s="238">
        <v>10.9</v>
      </c>
      <c r="BR253" s="239">
        <v>42592</v>
      </c>
      <c r="BS253" s="238">
        <v>48.241758241758241</v>
      </c>
      <c r="BT253" s="239">
        <v>42592</v>
      </c>
      <c r="BU253" s="238">
        <v>18.131868131868131</v>
      </c>
      <c r="BV253" s="239">
        <v>42592</v>
      </c>
      <c r="BW253" s="238">
        <v>13.516483516483516</v>
      </c>
      <c r="BX253" s="239">
        <v>42592</v>
      </c>
      <c r="BY253" s="238"/>
      <c r="BZ253" s="238"/>
      <c r="CA253" s="238">
        <v>35</v>
      </c>
      <c r="CB253" s="239">
        <v>42592</v>
      </c>
      <c r="CC253" s="238"/>
      <c r="CD253" s="238"/>
      <c r="CF253" s="238"/>
    </row>
    <row r="254" spans="1:91" ht="15">
      <c r="I254" s="177"/>
      <c r="M254" s="163"/>
      <c r="Q254" s="233"/>
      <c r="W254" s="183"/>
      <c r="AG254" s="184"/>
      <c r="AI254" s="185"/>
      <c r="AK254" s="186"/>
      <c r="BE254" s="187"/>
      <c r="BF254" s="188"/>
      <c r="BG254" s="189"/>
      <c r="BH254" s="147"/>
      <c r="BM254" s="190"/>
      <c r="BN254" s="147"/>
      <c r="BQ254" s="191"/>
      <c r="BR254" s="147"/>
      <c r="BS254" s="192"/>
      <c r="BT254" s="147"/>
      <c r="BU254" s="193"/>
      <c r="BV254" s="147"/>
      <c r="BW254" s="192"/>
      <c r="BX254" s="147"/>
      <c r="BY254" s="196"/>
      <c r="BZ254" s="147"/>
      <c r="CA254" s="192"/>
      <c r="CB254" s="147"/>
      <c r="CC254" s="194"/>
      <c r="CD254" s="147"/>
      <c r="CL254" s="195"/>
      <c r="CM254" s="188"/>
    </row>
    <row r="255" spans="1:91" ht="15">
      <c r="K255" s="181"/>
      <c r="M255" s="163"/>
      <c r="Q255" s="233"/>
      <c r="W255" s="183"/>
      <c r="AG255" s="184"/>
      <c r="AI255" s="185"/>
      <c r="AK255" s="186"/>
      <c r="BE255" s="187"/>
      <c r="BF255" s="188"/>
      <c r="BG255" s="189"/>
      <c r="BH255" s="147"/>
      <c r="BM255" s="190"/>
      <c r="BN255" s="147"/>
      <c r="BQ255" s="191"/>
      <c r="BR255" s="147"/>
      <c r="BS255" s="192"/>
      <c r="BT255" s="147"/>
      <c r="BU255" s="193"/>
      <c r="BV255" s="147"/>
      <c r="BW255" s="192"/>
      <c r="BX255" s="147"/>
      <c r="BY255" s="196"/>
      <c r="BZ255" s="147"/>
      <c r="CA255" s="192"/>
      <c r="CB255" s="147"/>
      <c r="CC255" s="194"/>
      <c r="CD255" s="147"/>
      <c r="CL255" s="195"/>
      <c r="CM255" s="188"/>
    </row>
    <row r="256" spans="1:91" ht="15">
      <c r="M256" s="163"/>
      <c r="Q256" s="233"/>
      <c r="W256" s="183"/>
      <c r="AG256" s="184"/>
      <c r="AI256" s="185"/>
      <c r="AK256" s="186"/>
      <c r="BE256" s="187"/>
      <c r="BF256" s="188"/>
      <c r="BG256" s="189"/>
      <c r="BH256" s="147"/>
      <c r="BM256" s="190"/>
      <c r="BN256" s="147"/>
      <c r="BQ256" s="191"/>
      <c r="BR256" s="147"/>
      <c r="BS256" s="192"/>
      <c r="BT256" s="147"/>
      <c r="BU256" s="193"/>
      <c r="BV256" s="147"/>
      <c r="BW256" s="192"/>
      <c r="BX256" s="147"/>
      <c r="BY256" s="196"/>
      <c r="BZ256" s="147"/>
      <c r="CA256" s="192"/>
      <c r="CB256" s="147"/>
      <c r="CC256" s="194"/>
      <c r="CD256" s="147"/>
      <c r="CL256" s="195"/>
      <c r="CM256" s="188"/>
    </row>
    <row r="257" spans="9:91" ht="15">
      <c r="M257" s="163"/>
      <c r="Q257" s="233"/>
      <c r="W257" s="183"/>
      <c r="AG257" s="184"/>
      <c r="AI257" s="185"/>
      <c r="AK257" s="186"/>
      <c r="BE257" s="187"/>
      <c r="BF257" s="188"/>
      <c r="BG257" s="189"/>
      <c r="BH257" s="147"/>
      <c r="BM257" s="190"/>
      <c r="BN257" s="147"/>
      <c r="BQ257" s="191"/>
      <c r="BR257" s="147"/>
      <c r="BS257" s="192"/>
      <c r="BT257" s="147"/>
      <c r="BU257" s="193"/>
      <c r="BV257" s="147"/>
      <c r="BW257" s="192"/>
      <c r="BX257" s="147"/>
      <c r="BY257" s="196"/>
      <c r="BZ257" s="147"/>
      <c r="CA257" s="192"/>
      <c r="CB257" s="147"/>
      <c r="CC257" s="194"/>
      <c r="CD257" s="147"/>
      <c r="CL257" s="195"/>
      <c r="CM257" s="188"/>
    </row>
    <row r="258" spans="9:91" ht="15">
      <c r="I258" s="177"/>
      <c r="M258" s="163"/>
      <c r="Q258" s="233"/>
      <c r="W258" s="183"/>
      <c r="AG258" s="184"/>
      <c r="AI258" s="185"/>
      <c r="AK258" s="186"/>
      <c r="BE258" s="187"/>
      <c r="BF258" s="188"/>
      <c r="BG258" s="189"/>
      <c r="BH258" s="147"/>
      <c r="BM258" s="190"/>
      <c r="BN258" s="147"/>
      <c r="BQ258" s="191"/>
      <c r="BR258" s="147"/>
      <c r="BS258" s="192"/>
      <c r="BT258" s="147"/>
      <c r="BU258" s="193"/>
      <c r="BV258" s="147"/>
      <c r="BW258" s="192"/>
      <c r="BX258" s="147"/>
      <c r="BY258" s="196"/>
      <c r="BZ258" s="147"/>
      <c r="CA258" s="192"/>
      <c r="CB258" s="147"/>
      <c r="CC258" s="194"/>
      <c r="CD258" s="147"/>
      <c r="CL258" s="195"/>
      <c r="CM258" s="188"/>
    </row>
    <row r="259" spans="9:91" ht="15">
      <c r="K259" s="181"/>
      <c r="M259" s="163"/>
      <c r="Q259" s="233"/>
      <c r="W259" s="183"/>
      <c r="AG259" s="184"/>
      <c r="AI259" s="185"/>
      <c r="AK259" s="186"/>
      <c r="BE259" s="187"/>
      <c r="BF259" s="188"/>
      <c r="BG259" s="189"/>
      <c r="BH259" s="147"/>
      <c r="BM259" s="190"/>
      <c r="BN259" s="147"/>
      <c r="BQ259" s="191"/>
      <c r="BR259" s="147"/>
      <c r="BS259" s="192"/>
      <c r="BT259" s="147"/>
      <c r="BU259" s="193"/>
      <c r="BV259" s="147"/>
      <c r="BW259" s="192"/>
      <c r="BX259" s="147"/>
      <c r="BY259" s="196"/>
      <c r="BZ259" s="147"/>
      <c r="CA259" s="192"/>
      <c r="CB259" s="147"/>
      <c r="CC259" s="194"/>
      <c r="CD259" s="147"/>
      <c r="CL259" s="195"/>
      <c r="CM259" s="188"/>
    </row>
    <row r="260" spans="9:91" ht="15">
      <c r="K260" s="181"/>
      <c r="M260" s="163"/>
      <c r="Q260" s="233"/>
      <c r="W260" s="183"/>
      <c r="AG260" s="184"/>
      <c r="AI260" s="185"/>
      <c r="AK260" s="186"/>
      <c r="BE260" s="187"/>
      <c r="BF260" s="188"/>
      <c r="BG260" s="189"/>
      <c r="BH260" s="147"/>
      <c r="BM260" s="190"/>
      <c r="BN260" s="147"/>
      <c r="BQ260" s="191"/>
      <c r="BR260" s="147"/>
      <c r="BS260" s="192"/>
      <c r="BT260" s="147"/>
      <c r="BU260" s="193"/>
      <c r="BV260" s="147"/>
      <c r="BW260" s="192"/>
      <c r="BX260" s="147"/>
      <c r="BY260" s="196"/>
      <c r="BZ260" s="147"/>
      <c r="CA260" s="192"/>
      <c r="CB260" s="147"/>
      <c r="CC260" s="194"/>
      <c r="CD260" s="147"/>
      <c r="CL260" s="195"/>
      <c r="CM260" s="188"/>
    </row>
    <row r="261" spans="9:91" ht="15">
      <c r="K261" s="181"/>
      <c r="M261" s="163"/>
      <c r="Q261" s="233"/>
      <c r="W261" s="183"/>
      <c r="AG261" s="184"/>
      <c r="AI261" s="185"/>
      <c r="AK261" s="186"/>
      <c r="BE261" s="187"/>
      <c r="BF261" s="188"/>
      <c r="BG261" s="189"/>
      <c r="BH261" s="147"/>
      <c r="BM261" s="190"/>
      <c r="BN261" s="147"/>
      <c r="BQ261" s="191"/>
      <c r="BR261" s="147"/>
      <c r="BS261" s="192"/>
      <c r="BT261" s="147"/>
      <c r="BU261" s="193"/>
      <c r="BV261" s="147"/>
      <c r="BW261" s="192"/>
      <c r="BX261" s="147"/>
      <c r="BY261" s="196"/>
      <c r="BZ261" s="147"/>
      <c r="CA261" s="192"/>
      <c r="CB261" s="147"/>
      <c r="CC261" s="194"/>
      <c r="CD261" s="147"/>
      <c r="CL261" s="195"/>
      <c r="CM261" s="188"/>
    </row>
    <row r="262" spans="9:91" ht="15">
      <c r="I262" s="177"/>
      <c r="M262" s="163"/>
      <c r="Q262" s="233"/>
      <c r="W262" s="183"/>
      <c r="AG262" s="184"/>
      <c r="AI262" s="185"/>
      <c r="AK262" s="186"/>
      <c r="BE262" s="187"/>
      <c r="BF262" s="188"/>
      <c r="BG262" s="189"/>
      <c r="BH262" s="147"/>
      <c r="BM262" s="190"/>
      <c r="BN262" s="147"/>
      <c r="BQ262" s="191"/>
      <c r="BR262" s="147"/>
      <c r="BS262" s="192"/>
      <c r="BT262" s="147"/>
      <c r="BU262" s="193"/>
      <c r="BV262" s="147"/>
      <c r="BW262" s="192"/>
      <c r="BX262" s="147"/>
      <c r="BY262" s="196"/>
      <c r="BZ262" s="147"/>
      <c r="CA262" s="192"/>
      <c r="CB262" s="147"/>
      <c r="CC262" s="194"/>
      <c r="CD262" s="147"/>
      <c r="CL262" s="195"/>
      <c r="CM262" s="188"/>
    </row>
    <row r="263" spans="9:91" ht="15">
      <c r="M263" s="163"/>
      <c r="Q263" s="233"/>
      <c r="W263" s="183"/>
      <c r="AG263" s="184"/>
      <c r="AI263" s="185"/>
      <c r="AK263" s="186"/>
      <c r="BE263" s="187"/>
      <c r="BF263" s="188"/>
      <c r="BG263" s="189"/>
      <c r="BH263" s="147"/>
      <c r="BM263" s="190"/>
      <c r="BN263" s="147"/>
      <c r="BQ263" s="191"/>
      <c r="BR263" s="147"/>
      <c r="BS263" s="192"/>
      <c r="BT263" s="147"/>
      <c r="BU263" s="193"/>
      <c r="BV263" s="147"/>
      <c r="BW263" s="192"/>
      <c r="BX263" s="147"/>
      <c r="BY263" s="196"/>
      <c r="BZ263" s="147"/>
      <c r="CA263" s="192"/>
      <c r="CB263" s="147"/>
      <c r="CC263" s="194"/>
      <c r="CD263" s="147"/>
      <c r="CL263" s="195"/>
      <c r="CM263" s="188"/>
    </row>
    <row r="264" spans="9:91" ht="15">
      <c r="M264" s="163"/>
      <c r="Q264" s="233"/>
      <c r="W264" s="183"/>
      <c r="AG264" s="184"/>
      <c r="AI264" s="185"/>
      <c r="AK264" s="186"/>
      <c r="BE264" s="187"/>
      <c r="BF264" s="188"/>
      <c r="BG264" s="189"/>
      <c r="BH264" s="147"/>
      <c r="BM264" s="190"/>
      <c r="BN264" s="147"/>
      <c r="BQ264" s="191"/>
      <c r="BR264" s="147"/>
      <c r="BS264" s="192"/>
      <c r="BT264" s="147"/>
      <c r="BU264" s="193"/>
      <c r="BV264" s="147"/>
      <c r="BW264" s="192"/>
      <c r="BX264" s="147"/>
      <c r="BY264" s="196"/>
      <c r="BZ264" s="147"/>
      <c r="CA264" s="192"/>
      <c r="CB264" s="147"/>
      <c r="CC264" s="194"/>
      <c r="CD264" s="147"/>
      <c r="CL264" s="195"/>
      <c r="CM264" s="188"/>
    </row>
    <row r="265" spans="9:91" ht="15">
      <c r="M265" s="163"/>
      <c r="Q265" s="233"/>
      <c r="W265" s="183"/>
      <c r="AG265" s="184"/>
      <c r="AI265" s="185"/>
      <c r="AK265" s="186"/>
      <c r="BE265" s="187"/>
      <c r="BF265" s="188"/>
      <c r="BG265" s="189"/>
      <c r="BH265" s="147"/>
      <c r="BM265" s="190"/>
      <c r="BN265" s="147"/>
      <c r="BQ265" s="191"/>
      <c r="BR265" s="147"/>
      <c r="BS265" s="192"/>
      <c r="BT265" s="147"/>
      <c r="BU265" s="193"/>
      <c r="BV265" s="147"/>
      <c r="BW265" s="192"/>
      <c r="BX265" s="147"/>
      <c r="BY265" s="196"/>
      <c r="BZ265" s="147"/>
      <c r="CA265" s="192"/>
      <c r="CB265" s="147"/>
      <c r="CC265" s="194"/>
      <c r="CD265" s="147"/>
      <c r="CL265" s="195"/>
      <c r="CM265" s="188"/>
    </row>
    <row r="266" spans="9:91" ht="15">
      <c r="I266" s="177"/>
      <c r="M266" s="163"/>
      <c r="Q266" s="233"/>
      <c r="W266" s="183"/>
      <c r="AG266" s="184"/>
      <c r="AI266" s="185"/>
      <c r="AK266" s="186"/>
      <c r="BE266" s="187"/>
      <c r="BF266" s="188"/>
      <c r="BG266" s="189"/>
      <c r="BH266" s="147"/>
      <c r="BM266" s="190"/>
      <c r="BN266" s="147"/>
      <c r="BQ266" s="191"/>
      <c r="BR266" s="147"/>
      <c r="BS266" s="192"/>
      <c r="BT266" s="147"/>
      <c r="BU266" s="193"/>
      <c r="BV266" s="147"/>
      <c r="BW266" s="192"/>
      <c r="BX266" s="147"/>
      <c r="BY266" s="196"/>
      <c r="BZ266" s="147"/>
      <c r="CA266" s="192"/>
      <c r="CB266" s="147"/>
      <c r="CC266" s="194"/>
      <c r="CD266" s="147"/>
      <c r="CL266" s="195"/>
      <c r="CM266" s="188"/>
    </row>
    <row r="267" spans="9:91" ht="15">
      <c r="M267" s="163"/>
      <c r="Q267" s="233"/>
      <c r="W267" s="183"/>
      <c r="AG267" s="184"/>
      <c r="AI267" s="185"/>
      <c r="AK267" s="186"/>
      <c r="BE267" s="187"/>
      <c r="BF267" s="188"/>
      <c r="BG267" s="189"/>
      <c r="BH267" s="147"/>
      <c r="BM267" s="190"/>
      <c r="BN267" s="147"/>
      <c r="BQ267" s="191"/>
      <c r="BR267" s="147"/>
      <c r="BS267" s="192"/>
      <c r="BT267" s="147"/>
      <c r="BU267" s="193"/>
      <c r="BV267" s="147"/>
      <c r="BW267" s="192"/>
      <c r="BX267" s="147"/>
      <c r="BY267" s="196"/>
      <c r="BZ267" s="147"/>
      <c r="CA267" s="192"/>
      <c r="CB267" s="147"/>
      <c r="CC267" s="194"/>
      <c r="CD267" s="147"/>
      <c r="CL267" s="195"/>
      <c r="CM267" s="188"/>
    </row>
    <row r="268" spans="9:91" ht="15">
      <c r="M268" s="163"/>
      <c r="Q268" s="233"/>
      <c r="W268" s="183"/>
      <c r="AG268" s="184"/>
      <c r="AI268" s="185"/>
      <c r="AK268" s="186"/>
      <c r="BE268" s="187"/>
      <c r="BF268" s="188"/>
      <c r="BG268" s="189"/>
      <c r="BH268" s="147"/>
      <c r="BM268" s="190"/>
      <c r="BN268" s="147"/>
      <c r="BQ268" s="191"/>
      <c r="BR268" s="147"/>
      <c r="BS268" s="192"/>
      <c r="BT268" s="147"/>
      <c r="BU268" s="193"/>
      <c r="BV268" s="147"/>
      <c r="BW268" s="192"/>
      <c r="BX268" s="147"/>
      <c r="BY268" s="196"/>
      <c r="BZ268" s="147"/>
      <c r="CA268" s="192"/>
      <c r="CB268" s="147"/>
      <c r="CC268" s="194"/>
      <c r="CD268" s="147"/>
      <c r="CL268" s="195"/>
      <c r="CM268" s="188"/>
    </row>
    <row r="269" spans="9:91" ht="15">
      <c r="M269" s="163"/>
      <c r="Q269" s="233"/>
      <c r="W269" s="183"/>
      <c r="AG269" s="184"/>
      <c r="AI269" s="185"/>
      <c r="AK269" s="186"/>
      <c r="BE269" s="187"/>
      <c r="BF269" s="188"/>
      <c r="BG269" s="189"/>
      <c r="BH269" s="147"/>
      <c r="BM269" s="190"/>
      <c r="BN269" s="147"/>
      <c r="BQ269" s="191"/>
      <c r="BR269" s="147"/>
      <c r="BS269" s="192"/>
      <c r="BT269" s="147"/>
      <c r="BU269" s="193"/>
      <c r="BV269" s="147"/>
      <c r="BW269" s="192"/>
      <c r="BX269" s="147"/>
      <c r="BY269" s="196"/>
      <c r="BZ269" s="147"/>
      <c r="CA269" s="192"/>
      <c r="CB269" s="147"/>
      <c r="CC269" s="194"/>
      <c r="CD269" s="147"/>
      <c r="CL269" s="195"/>
      <c r="CM269" s="188"/>
    </row>
    <row r="270" spans="9:91" ht="15">
      <c r="I270" s="177"/>
      <c r="M270" s="163"/>
      <c r="Q270" s="233"/>
      <c r="W270" s="183"/>
      <c r="AG270" s="184"/>
      <c r="AI270" s="185"/>
      <c r="AK270" s="186"/>
      <c r="BE270" s="187"/>
      <c r="BF270" s="188"/>
      <c r="BG270" s="189"/>
      <c r="BH270" s="147"/>
      <c r="BM270" s="190"/>
      <c r="BN270" s="147"/>
      <c r="BQ270" s="191"/>
      <c r="BR270" s="147"/>
      <c r="BS270" s="192"/>
      <c r="BT270" s="147"/>
      <c r="BU270" s="193"/>
      <c r="BV270" s="147"/>
      <c r="BW270" s="192"/>
      <c r="BX270" s="147"/>
      <c r="BY270" s="196"/>
      <c r="BZ270" s="147"/>
      <c r="CA270" s="192"/>
      <c r="CB270" s="147"/>
      <c r="CC270" s="194"/>
      <c r="CD270" s="147"/>
      <c r="CL270" s="195"/>
      <c r="CM270" s="188"/>
    </row>
    <row r="271" spans="9:91" ht="15">
      <c r="K271" s="181"/>
      <c r="M271" s="163"/>
      <c r="Q271" s="233"/>
      <c r="W271" s="183"/>
      <c r="AG271" s="184"/>
      <c r="AI271" s="185"/>
      <c r="AK271" s="186"/>
      <c r="BE271" s="187"/>
      <c r="BF271" s="188"/>
      <c r="BG271" s="189"/>
      <c r="BH271" s="147"/>
      <c r="BM271" s="190"/>
      <c r="BN271" s="147"/>
      <c r="BQ271" s="191"/>
      <c r="BR271" s="147"/>
      <c r="BS271" s="192"/>
      <c r="BT271" s="147"/>
      <c r="BU271" s="193"/>
      <c r="BV271" s="147"/>
      <c r="BW271" s="192"/>
      <c r="BX271" s="147"/>
      <c r="BY271" s="196"/>
      <c r="BZ271" s="147"/>
      <c r="CA271" s="192"/>
      <c r="CB271" s="147"/>
      <c r="CC271" s="194"/>
      <c r="CD271" s="147"/>
      <c r="CL271" s="195"/>
      <c r="CM271" s="188"/>
    </row>
    <row r="272" spans="9:91" ht="15">
      <c r="K272" s="181"/>
      <c r="M272" s="163"/>
      <c r="Q272" s="233"/>
      <c r="W272" s="183"/>
      <c r="AG272" s="184"/>
      <c r="AI272" s="185"/>
      <c r="AK272" s="186"/>
      <c r="BE272" s="187"/>
      <c r="BF272" s="188"/>
      <c r="BG272" s="189"/>
      <c r="BH272" s="147"/>
      <c r="BM272" s="190"/>
      <c r="BN272" s="147"/>
      <c r="BQ272" s="191"/>
      <c r="BR272" s="147"/>
      <c r="BS272" s="192"/>
      <c r="BT272" s="147"/>
      <c r="BU272" s="193"/>
      <c r="BV272" s="147"/>
      <c r="BW272" s="192"/>
      <c r="BX272" s="147"/>
      <c r="BY272" s="196"/>
      <c r="BZ272" s="147"/>
      <c r="CA272" s="192"/>
      <c r="CB272" s="147"/>
      <c r="CC272" s="194"/>
      <c r="CD272" s="147"/>
      <c r="CL272" s="195"/>
      <c r="CM272" s="188"/>
    </row>
    <row r="273" spans="1:91" ht="15">
      <c r="M273" s="163"/>
      <c r="Q273" s="233"/>
      <c r="W273" s="183"/>
      <c r="AG273" s="184"/>
      <c r="AI273" s="185"/>
      <c r="AK273" s="186"/>
      <c r="BE273" s="187"/>
      <c r="BF273" s="188"/>
      <c r="BG273" s="189"/>
      <c r="BH273" s="147"/>
      <c r="BM273" s="190"/>
      <c r="BN273" s="147"/>
      <c r="BQ273" s="191"/>
      <c r="BR273" s="147"/>
      <c r="BS273" s="192"/>
      <c r="BT273" s="147"/>
      <c r="BU273" s="193"/>
      <c r="BV273" s="147"/>
      <c r="BW273" s="192"/>
      <c r="BX273" s="147"/>
      <c r="BY273" s="196"/>
      <c r="BZ273" s="147"/>
      <c r="CA273" s="192"/>
      <c r="CB273" s="147"/>
      <c r="CC273" s="194"/>
      <c r="CD273" s="147"/>
      <c r="CL273" s="195"/>
      <c r="CM273" s="188"/>
    </row>
    <row r="274" spans="1:91" ht="15">
      <c r="A274" s="221"/>
      <c r="B274" s="221"/>
      <c r="C274" s="222"/>
      <c r="D274" s="222"/>
      <c r="E274" s="222"/>
      <c r="G274" s="223"/>
      <c r="H274" s="223"/>
      <c r="I274" s="222"/>
      <c r="J274" s="222"/>
      <c r="K274" s="230"/>
      <c r="L274" s="225"/>
      <c r="M274" s="226"/>
      <c r="N274" s="225"/>
      <c r="O274" s="224"/>
      <c r="P274" s="225"/>
      <c r="Q274" s="233"/>
      <c r="R274" s="225"/>
      <c r="S274" s="224"/>
      <c r="T274" s="225"/>
      <c r="U274" s="224"/>
      <c r="V274" s="225"/>
      <c r="W274" s="226"/>
      <c r="X274" s="225"/>
      <c r="Z274" s="225"/>
      <c r="AA274" s="224"/>
      <c r="AB274" s="225"/>
      <c r="AC274" s="224"/>
      <c r="AD274" s="225"/>
      <c r="AE274" s="224"/>
      <c r="AF274" s="225"/>
      <c r="AG274" s="226"/>
      <c r="AH274" s="225"/>
      <c r="AI274" s="226"/>
      <c r="AJ274" s="225"/>
      <c r="AK274" s="226"/>
      <c r="AL274" s="225"/>
      <c r="AM274" s="224"/>
      <c r="AN274" s="225"/>
      <c r="AO274" s="224"/>
      <c r="AP274" s="224"/>
      <c r="AQ274" s="224"/>
      <c r="AR274" s="224"/>
      <c r="AS274" s="224"/>
      <c r="AT274" s="224"/>
      <c r="AU274" s="224"/>
      <c r="AV274" s="224"/>
      <c r="AW274" s="224"/>
      <c r="AX274" s="224"/>
      <c r="AY274" s="224"/>
      <c r="AZ274" s="224"/>
      <c r="BA274" s="224"/>
      <c r="BB274" s="224"/>
      <c r="BC274" s="224"/>
      <c r="BD274" s="224"/>
      <c r="BE274" s="226"/>
      <c r="BF274" s="227"/>
      <c r="BG274" s="228"/>
      <c r="BH274" s="225"/>
      <c r="BI274" s="229"/>
      <c r="BJ274" s="229"/>
      <c r="BK274" s="229"/>
      <c r="BL274" s="229"/>
      <c r="BM274" s="228"/>
      <c r="BN274" s="225"/>
      <c r="BO274" s="229"/>
      <c r="BP274" s="229"/>
      <c r="BQ274" s="228"/>
      <c r="BR274" s="225"/>
      <c r="BS274" s="228"/>
      <c r="BT274" s="225"/>
      <c r="BU274" s="228"/>
      <c r="BV274" s="225"/>
      <c r="BW274" s="228"/>
      <c r="BX274" s="225"/>
      <c r="BY274" s="228"/>
      <c r="BZ274" s="225"/>
      <c r="CA274" s="228"/>
      <c r="CB274" s="225"/>
      <c r="CC274" s="228"/>
      <c r="CD274" s="225"/>
      <c r="CE274" s="229"/>
      <c r="CF274" s="229"/>
      <c r="CG274" s="229"/>
      <c r="CH274" s="229"/>
      <c r="CI274" s="229"/>
      <c r="CJ274" s="229"/>
      <c r="CK274" s="229"/>
      <c r="CL274" s="228"/>
      <c r="CM274" s="227"/>
    </row>
    <row r="275" spans="1:91" ht="15">
      <c r="M275" s="163"/>
      <c r="Q275" s="233"/>
      <c r="W275" s="183"/>
      <c r="AG275" s="184"/>
      <c r="AI275" s="185"/>
      <c r="AK275" s="186"/>
      <c r="BE275" s="187"/>
      <c r="BF275" s="188"/>
      <c r="BG275" s="189"/>
      <c r="BH275" s="147"/>
      <c r="BM275" s="190"/>
      <c r="BN275" s="147"/>
      <c r="BQ275" s="191"/>
      <c r="BR275" s="147"/>
      <c r="BS275" s="192"/>
      <c r="BT275" s="147"/>
      <c r="BU275" s="193"/>
      <c r="BV275" s="147"/>
      <c r="BW275" s="192"/>
      <c r="BX275" s="147"/>
      <c r="BY275" s="196"/>
      <c r="BZ275" s="147"/>
      <c r="CA275" s="192"/>
      <c r="CB275" s="147"/>
      <c r="CC275" s="194"/>
      <c r="CD275" s="147"/>
      <c r="CL275" s="195"/>
      <c r="CM275" s="188"/>
    </row>
    <row r="276" spans="1:91" ht="15">
      <c r="M276" s="163"/>
      <c r="Q276" s="233"/>
      <c r="W276" s="183"/>
      <c r="AG276" s="184"/>
      <c r="AI276" s="185"/>
      <c r="AK276" s="186"/>
      <c r="BE276" s="187"/>
      <c r="BF276" s="188"/>
      <c r="BG276" s="189"/>
      <c r="BH276" s="147"/>
      <c r="BM276" s="190"/>
      <c r="BN276" s="147"/>
      <c r="BQ276" s="191"/>
      <c r="BR276" s="147"/>
      <c r="BS276" s="192"/>
      <c r="BT276" s="147"/>
      <c r="BU276" s="193"/>
      <c r="BV276" s="147"/>
      <c r="BW276" s="192"/>
      <c r="BX276" s="147"/>
      <c r="BY276" s="196"/>
      <c r="BZ276" s="147"/>
      <c r="CA276" s="192"/>
      <c r="CB276" s="147"/>
      <c r="CC276" s="194"/>
      <c r="CD276" s="147"/>
      <c r="CL276" s="195"/>
      <c r="CM276" s="188"/>
    </row>
    <row r="277" spans="1:91" ht="15">
      <c r="I277" s="177"/>
      <c r="K277" s="181"/>
      <c r="M277" s="163"/>
      <c r="Q277" s="233"/>
      <c r="W277" s="183"/>
      <c r="AG277" s="184"/>
      <c r="AI277" s="185"/>
      <c r="AK277" s="186"/>
      <c r="BE277" s="187"/>
      <c r="BF277" s="188"/>
      <c r="BG277" s="189"/>
      <c r="BH277" s="147"/>
      <c r="BM277" s="190"/>
      <c r="BN277" s="147"/>
      <c r="BQ277" s="191"/>
      <c r="BR277" s="147"/>
      <c r="BS277" s="192"/>
      <c r="BT277" s="147"/>
      <c r="BU277" s="193"/>
      <c r="BV277" s="147"/>
      <c r="BW277" s="192"/>
      <c r="BX277" s="147"/>
      <c r="BY277" s="196"/>
      <c r="BZ277" s="147"/>
      <c r="CA277" s="192"/>
      <c r="CB277" s="147"/>
      <c r="CC277" s="194"/>
      <c r="CD277" s="147"/>
      <c r="CL277" s="195"/>
      <c r="CM277" s="188"/>
    </row>
    <row r="278" spans="1:91" ht="15">
      <c r="I278" s="177"/>
      <c r="M278" s="163"/>
      <c r="Q278" s="233"/>
      <c r="W278" s="183"/>
      <c r="AG278" s="184"/>
      <c r="AI278" s="185"/>
      <c r="AK278" s="186"/>
      <c r="BE278" s="187"/>
      <c r="BF278" s="188"/>
      <c r="BG278" s="189"/>
      <c r="BH278" s="147"/>
      <c r="BM278" s="190"/>
      <c r="BN278" s="147"/>
      <c r="BQ278" s="191"/>
      <c r="BR278" s="147"/>
      <c r="BS278" s="192"/>
      <c r="BT278" s="147"/>
      <c r="BU278" s="193"/>
      <c r="BV278" s="147"/>
      <c r="BW278" s="192"/>
      <c r="BX278" s="147"/>
      <c r="BY278" s="196"/>
      <c r="BZ278" s="147"/>
      <c r="CA278" s="192"/>
      <c r="CB278" s="147"/>
      <c r="CC278" s="194"/>
      <c r="CD278" s="147"/>
      <c r="CL278" s="195"/>
      <c r="CM278" s="188"/>
    </row>
    <row r="279" spans="1:91" ht="15">
      <c r="M279" s="163"/>
      <c r="Q279" s="233"/>
      <c r="W279" s="183"/>
      <c r="AG279" s="184"/>
      <c r="AI279" s="185"/>
      <c r="AK279" s="186"/>
      <c r="BE279" s="187"/>
      <c r="BF279" s="188"/>
      <c r="BG279" s="189"/>
      <c r="BH279" s="147"/>
      <c r="BM279" s="190"/>
      <c r="BN279" s="147"/>
      <c r="BQ279" s="191"/>
      <c r="BR279" s="147"/>
      <c r="BS279" s="192"/>
      <c r="BT279" s="147"/>
      <c r="BU279" s="193"/>
      <c r="BV279" s="147"/>
      <c r="BW279" s="192"/>
      <c r="BX279" s="147"/>
      <c r="BY279" s="196"/>
      <c r="BZ279" s="147"/>
      <c r="CA279" s="192"/>
      <c r="CB279" s="147"/>
      <c r="CC279" s="194"/>
      <c r="CD279" s="147"/>
      <c r="CL279" s="195"/>
      <c r="CM279" s="188"/>
    </row>
    <row r="280" spans="1:91" ht="15">
      <c r="M280" s="163"/>
      <c r="Q280" s="233"/>
      <c r="W280" s="183"/>
      <c r="AG280" s="184"/>
      <c r="AI280" s="185"/>
      <c r="AK280" s="186"/>
      <c r="BE280" s="187"/>
      <c r="BF280" s="188"/>
      <c r="BG280" s="189"/>
      <c r="BH280" s="147"/>
      <c r="BM280" s="190"/>
      <c r="BN280" s="147"/>
      <c r="BQ280" s="191"/>
      <c r="BR280" s="147"/>
      <c r="BS280" s="192"/>
      <c r="BT280" s="147"/>
      <c r="BU280" s="193"/>
      <c r="BV280" s="147"/>
      <c r="BW280" s="192"/>
      <c r="BX280" s="147"/>
      <c r="BY280" s="196"/>
      <c r="BZ280" s="147"/>
      <c r="CA280" s="192"/>
      <c r="CB280" s="147"/>
      <c r="CC280" s="194"/>
      <c r="CD280" s="147"/>
      <c r="CL280" s="195"/>
      <c r="CM280" s="188"/>
    </row>
    <row r="281" spans="1:91" ht="15">
      <c r="I281" s="177"/>
      <c r="M281" s="163"/>
      <c r="Q281" s="233"/>
      <c r="W281" s="183"/>
      <c r="AG281" s="184"/>
      <c r="AI281" s="185"/>
      <c r="AK281" s="186"/>
      <c r="BE281" s="187"/>
      <c r="BF281" s="188"/>
      <c r="BG281" s="189"/>
      <c r="BH281" s="147"/>
      <c r="BM281" s="190"/>
      <c r="BN281" s="147"/>
      <c r="BQ281" s="191"/>
      <c r="BR281" s="147"/>
      <c r="BS281" s="192"/>
      <c r="BT281" s="147"/>
      <c r="BU281" s="193"/>
      <c r="BV281" s="147"/>
      <c r="BW281" s="192"/>
      <c r="BX281" s="147"/>
      <c r="BY281" s="196"/>
      <c r="BZ281" s="147"/>
      <c r="CA281" s="192"/>
      <c r="CB281" s="147"/>
      <c r="CC281" s="194"/>
      <c r="CD281" s="147"/>
      <c r="CL281" s="195"/>
      <c r="CM281" s="188"/>
    </row>
    <row r="282" spans="1:91" ht="15">
      <c r="M282" s="163"/>
      <c r="Q282" s="233"/>
      <c r="W282" s="183"/>
      <c r="AG282" s="184"/>
      <c r="AI282" s="185"/>
      <c r="AK282" s="186"/>
      <c r="BE282" s="187"/>
      <c r="BF282" s="188"/>
      <c r="BG282" s="189"/>
      <c r="BH282" s="147"/>
      <c r="BM282" s="190"/>
      <c r="BN282" s="147"/>
      <c r="BQ282" s="191"/>
      <c r="BR282" s="147"/>
      <c r="BS282" s="192"/>
      <c r="BT282" s="147"/>
      <c r="BU282" s="193"/>
      <c r="BV282" s="147"/>
      <c r="BW282" s="192"/>
      <c r="BX282" s="147"/>
      <c r="BY282" s="196"/>
      <c r="BZ282" s="147"/>
      <c r="CA282" s="192"/>
      <c r="CB282" s="147"/>
      <c r="CC282" s="194"/>
      <c r="CD282" s="147"/>
      <c r="CL282" s="195"/>
      <c r="CM282" s="188"/>
    </row>
    <row r="283" spans="1:91" ht="15">
      <c r="I283" s="177"/>
      <c r="K283" s="181"/>
      <c r="M283" s="163"/>
      <c r="Q283" s="233"/>
      <c r="W283" s="183"/>
      <c r="AG283" s="184"/>
      <c r="AI283" s="185"/>
      <c r="AK283" s="186"/>
      <c r="BE283" s="187"/>
      <c r="BF283" s="188"/>
      <c r="BG283" s="189"/>
      <c r="BH283" s="147"/>
      <c r="BM283" s="190"/>
      <c r="BN283" s="147"/>
      <c r="BQ283" s="191"/>
      <c r="BR283" s="147"/>
      <c r="BS283" s="192"/>
      <c r="BT283" s="147"/>
      <c r="BU283" s="193"/>
      <c r="BV283" s="147"/>
      <c r="BW283" s="192"/>
      <c r="BX283" s="147"/>
      <c r="BY283" s="196"/>
      <c r="BZ283" s="147"/>
      <c r="CA283" s="192"/>
      <c r="CB283" s="147"/>
      <c r="CC283" s="194"/>
      <c r="CD283" s="147"/>
      <c r="CL283" s="195"/>
      <c r="CM283" s="188"/>
    </row>
    <row r="284" spans="1:91" ht="15">
      <c r="M284" s="163"/>
      <c r="Q284" s="233"/>
      <c r="W284" s="183"/>
      <c r="AG284" s="184"/>
      <c r="AI284" s="185"/>
      <c r="AK284" s="186"/>
      <c r="BE284" s="187"/>
      <c r="BF284" s="188"/>
      <c r="BG284" s="189"/>
      <c r="BH284" s="147"/>
      <c r="BM284" s="190"/>
      <c r="BN284" s="147"/>
      <c r="BQ284" s="191"/>
      <c r="BR284" s="147"/>
      <c r="BS284" s="192"/>
      <c r="BT284" s="147"/>
      <c r="BU284" s="193"/>
      <c r="BV284" s="147"/>
      <c r="BW284" s="192"/>
      <c r="BX284" s="147"/>
      <c r="BY284" s="196"/>
      <c r="BZ284" s="147"/>
      <c r="CA284" s="192"/>
      <c r="CB284" s="147"/>
      <c r="CC284" s="194"/>
      <c r="CD284" s="147"/>
      <c r="CL284" s="195"/>
      <c r="CM284" s="188"/>
    </row>
    <row r="285" spans="1:91" ht="15">
      <c r="K285" s="181"/>
      <c r="M285" s="163"/>
      <c r="Q285" s="233"/>
      <c r="W285" s="183"/>
      <c r="AG285" s="184"/>
      <c r="AI285" s="185"/>
      <c r="AK285" s="186"/>
      <c r="BE285" s="187"/>
      <c r="BF285" s="188"/>
      <c r="BG285" s="189"/>
      <c r="BH285" s="147"/>
      <c r="BM285" s="190"/>
      <c r="BN285" s="147"/>
      <c r="BQ285" s="191"/>
      <c r="BR285" s="147"/>
      <c r="BS285" s="192"/>
      <c r="BT285" s="147"/>
      <c r="BU285" s="193"/>
      <c r="BV285" s="147"/>
      <c r="BW285" s="192"/>
      <c r="BX285" s="147"/>
      <c r="BY285" s="196"/>
      <c r="BZ285" s="147"/>
      <c r="CA285" s="192"/>
      <c r="CB285" s="147"/>
      <c r="CC285" s="194"/>
      <c r="CD285" s="147"/>
      <c r="CL285" s="195"/>
      <c r="CM285" s="188"/>
    </row>
    <row r="286" spans="1:91" ht="15">
      <c r="I286" s="177"/>
      <c r="M286" s="163"/>
      <c r="Q286" s="233"/>
      <c r="W286" s="183"/>
      <c r="AG286" s="184"/>
      <c r="AI286" s="185"/>
      <c r="AK286" s="186"/>
      <c r="BE286" s="187"/>
      <c r="BF286" s="188"/>
      <c r="BG286" s="189"/>
      <c r="BH286" s="147"/>
      <c r="BM286" s="190"/>
      <c r="BN286" s="147"/>
      <c r="BQ286" s="191"/>
      <c r="BR286" s="147"/>
      <c r="BS286" s="192"/>
      <c r="BT286" s="147"/>
      <c r="BU286" s="193"/>
      <c r="BV286" s="147"/>
      <c r="BW286" s="192"/>
      <c r="BX286" s="147"/>
      <c r="BY286" s="196"/>
      <c r="BZ286" s="147"/>
      <c r="CA286" s="192"/>
      <c r="CB286" s="147"/>
      <c r="CC286" s="194"/>
      <c r="CD286" s="147"/>
      <c r="CL286" s="195"/>
      <c r="CM286" s="188"/>
    </row>
    <row r="287" spans="1:91" ht="15">
      <c r="M287" s="163"/>
      <c r="Q287" s="233"/>
      <c r="W287" s="183"/>
      <c r="AG287" s="184"/>
      <c r="AI287" s="185"/>
      <c r="AK287" s="186"/>
      <c r="BE287" s="187"/>
      <c r="BF287" s="188"/>
      <c r="BG287" s="189"/>
      <c r="BH287" s="147"/>
      <c r="BM287" s="190"/>
      <c r="BN287" s="147"/>
      <c r="BQ287" s="191"/>
      <c r="BR287" s="147"/>
      <c r="BS287" s="192"/>
      <c r="BT287" s="147"/>
      <c r="BU287" s="193"/>
      <c r="BV287" s="147"/>
      <c r="BW287" s="192"/>
      <c r="BX287" s="147"/>
      <c r="BY287" s="196"/>
      <c r="BZ287" s="147"/>
      <c r="CA287" s="192"/>
      <c r="CB287" s="147"/>
      <c r="CC287" s="194"/>
      <c r="CD287" s="147"/>
      <c r="CL287" s="195"/>
      <c r="CM287" s="188"/>
    </row>
    <row r="288" spans="1:91" ht="15">
      <c r="M288" s="163"/>
      <c r="Q288" s="233"/>
      <c r="W288" s="183"/>
      <c r="AG288" s="184"/>
      <c r="AI288" s="185"/>
      <c r="AK288" s="186"/>
      <c r="BE288" s="187"/>
      <c r="BF288" s="188"/>
      <c r="BG288" s="189"/>
      <c r="BH288" s="147"/>
      <c r="BM288" s="190"/>
      <c r="BN288" s="147"/>
      <c r="BQ288" s="191"/>
      <c r="BR288" s="147"/>
      <c r="BS288" s="192"/>
      <c r="BT288" s="147"/>
      <c r="BU288" s="193"/>
      <c r="BV288" s="147"/>
      <c r="BW288" s="192"/>
      <c r="BX288" s="147"/>
      <c r="BY288" s="196"/>
      <c r="BZ288" s="147"/>
      <c r="CA288" s="192"/>
      <c r="CB288" s="147"/>
      <c r="CC288" s="194"/>
      <c r="CD288" s="147"/>
      <c r="CL288" s="195"/>
      <c r="CM288" s="188"/>
    </row>
    <row r="289" spans="9:91" ht="15">
      <c r="I289" s="177"/>
      <c r="M289" s="163"/>
      <c r="Q289" s="233"/>
      <c r="W289" s="183"/>
      <c r="AG289" s="184"/>
      <c r="AI289" s="185"/>
      <c r="AK289" s="186"/>
      <c r="BE289" s="187"/>
      <c r="BF289" s="188"/>
      <c r="BG289" s="189"/>
      <c r="BH289" s="147"/>
      <c r="BM289" s="190"/>
      <c r="BN289" s="147"/>
      <c r="BQ289" s="191"/>
      <c r="BR289" s="147"/>
      <c r="BS289" s="192"/>
      <c r="BT289" s="147"/>
      <c r="BU289" s="193"/>
      <c r="BV289" s="147"/>
      <c r="BW289" s="192"/>
      <c r="BX289" s="147"/>
      <c r="BY289" s="196"/>
      <c r="BZ289" s="147"/>
      <c r="CA289" s="192"/>
      <c r="CB289" s="147"/>
      <c r="CC289" s="194"/>
      <c r="CD289" s="147"/>
      <c r="CL289" s="195"/>
      <c r="CM289" s="188"/>
    </row>
    <row r="290" spans="9:91" ht="15">
      <c r="M290" s="163"/>
      <c r="Q290" s="233"/>
      <c r="W290" s="183"/>
      <c r="AG290" s="184"/>
      <c r="AI290" s="185"/>
      <c r="AK290" s="186"/>
      <c r="BE290" s="187"/>
      <c r="BF290" s="188"/>
      <c r="BG290" s="189"/>
      <c r="BH290" s="147"/>
      <c r="BM290" s="190"/>
      <c r="BN290" s="147"/>
      <c r="BQ290" s="191"/>
      <c r="BR290" s="147"/>
      <c r="BS290" s="192"/>
      <c r="BT290" s="147"/>
      <c r="BU290" s="193"/>
      <c r="BV290" s="147"/>
      <c r="BW290" s="192"/>
      <c r="BX290" s="147"/>
      <c r="BY290" s="196"/>
      <c r="BZ290" s="147"/>
      <c r="CA290" s="192"/>
      <c r="CB290" s="147"/>
      <c r="CC290" s="194"/>
      <c r="CD290" s="147"/>
      <c r="CL290" s="195"/>
      <c r="CM290" s="188"/>
    </row>
    <row r="291" spans="9:91" ht="15">
      <c r="I291" s="177"/>
      <c r="K291" s="178"/>
      <c r="M291" s="163"/>
      <c r="Q291" s="233"/>
      <c r="W291" s="183"/>
      <c r="AG291" s="184"/>
      <c r="AI291" s="185"/>
      <c r="AK291" s="186"/>
      <c r="BE291" s="187"/>
      <c r="BF291" s="188"/>
      <c r="BG291" s="189"/>
      <c r="BH291" s="147"/>
      <c r="BM291" s="190"/>
      <c r="BN291" s="147"/>
      <c r="BQ291" s="191"/>
      <c r="BR291" s="147"/>
      <c r="BS291" s="192"/>
      <c r="BT291" s="147"/>
      <c r="BU291" s="193"/>
      <c r="BV291" s="147"/>
      <c r="BW291" s="192"/>
      <c r="BX291" s="147"/>
      <c r="BY291" s="196"/>
      <c r="BZ291" s="147"/>
      <c r="CA291" s="192"/>
      <c r="CB291" s="147"/>
      <c r="CC291" s="194"/>
      <c r="CD291" s="147"/>
      <c r="CL291" s="195"/>
      <c r="CM291" s="188"/>
    </row>
    <row r="292" spans="9:91" ht="15">
      <c r="M292" s="163"/>
      <c r="Q292" s="233"/>
      <c r="W292" s="183"/>
      <c r="AG292" s="184"/>
      <c r="AI292" s="185"/>
      <c r="AK292" s="186"/>
      <c r="BE292" s="187"/>
      <c r="BF292" s="188"/>
      <c r="BG292" s="189"/>
      <c r="BH292" s="147"/>
      <c r="BM292" s="190"/>
      <c r="BN292" s="147"/>
      <c r="BQ292" s="191"/>
      <c r="BR292" s="147"/>
      <c r="BS292" s="192"/>
      <c r="BT292" s="147"/>
      <c r="BU292" s="193"/>
      <c r="BV292" s="147"/>
      <c r="BW292" s="192"/>
      <c r="BX292" s="147"/>
      <c r="BY292" s="196"/>
      <c r="BZ292" s="147"/>
      <c r="CA292" s="192"/>
      <c r="CB292" s="147"/>
      <c r="CC292" s="194"/>
      <c r="CD292" s="147"/>
      <c r="CL292" s="195"/>
      <c r="CM292" s="188"/>
    </row>
    <row r="293" spans="9:91" ht="15">
      <c r="M293" s="163"/>
      <c r="Q293" s="233"/>
      <c r="W293" s="183"/>
      <c r="AG293" s="184"/>
      <c r="AI293" s="185"/>
      <c r="AK293" s="186"/>
      <c r="BE293" s="187"/>
      <c r="BF293" s="188"/>
      <c r="BG293" s="189"/>
      <c r="BH293" s="147"/>
      <c r="BM293" s="190"/>
      <c r="BN293" s="147"/>
      <c r="BQ293" s="191"/>
      <c r="BR293" s="147"/>
      <c r="BS293" s="192"/>
      <c r="BT293" s="147"/>
      <c r="BU293" s="193"/>
      <c r="BV293" s="147"/>
      <c r="BW293" s="192"/>
      <c r="BX293" s="147"/>
      <c r="BY293" s="196"/>
      <c r="BZ293" s="147"/>
      <c r="CA293" s="192"/>
      <c r="CB293" s="147"/>
      <c r="CC293" s="194"/>
      <c r="CD293" s="147"/>
      <c r="CL293" s="195"/>
      <c r="CM293" s="188"/>
    </row>
    <row r="294" spans="9:91" ht="15">
      <c r="I294" s="177"/>
      <c r="M294" s="163"/>
      <c r="Q294" s="233"/>
      <c r="W294" s="183"/>
      <c r="AG294" s="184"/>
      <c r="AI294" s="185"/>
      <c r="AK294" s="186"/>
      <c r="BE294" s="187"/>
      <c r="BF294" s="188"/>
      <c r="BG294" s="189"/>
      <c r="BH294" s="147"/>
      <c r="BM294" s="190"/>
      <c r="BN294" s="147"/>
      <c r="BQ294" s="191"/>
      <c r="BR294" s="147"/>
      <c r="BS294" s="192"/>
      <c r="BT294" s="147"/>
      <c r="BU294" s="193"/>
      <c r="BV294" s="147"/>
      <c r="BW294" s="192"/>
      <c r="BX294" s="147"/>
      <c r="BY294" s="196"/>
      <c r="BZ294" s="147"/>
      <c r="CA294" s="192"/>
      <c r="CB294" s="147"/>
      <c r="CC294" s="194"/>
      <c r="CD294" s="147"/>
      <c r="CL294" s="195"/>
      <c r="CM294" s="188"/>
    </row>
    <row r="295" spans="9:91" ht="15">
      <c r="M295" s="163"/>
      <c r="Q295" s="233"/>
      <c r="W295" s="183"/>
      <c r="AG295" s="184"/>
      <c r="AI295" s="185"/>
      <c r="AK295" s="186"/>
      <c r="BE295" s="187"/>
      <c r="BF295" s="188"/>
      <c r="BG295" s="189"/>
      <c r="BH295" s="147"/>
      <c r="BM295" s="190"/>
      <c r="BN295" s="147"/>
      <c r="BQ295" s="191"/>
      <c r="BR295" s="147"/>
      <c r="BS295" s="192"/>
      <c r="BT295" s="147"/>
      <c r="BU295" s="193"/>
      <c r="BV295" s="147"/>
      <c r="BW295" s="192"/>
      <c r="BX295" s="147"/>
      <c r="BY295" s="196"/>
      <c r="BZ295" s="147"/>
      <c r="CA295" s="192"/>
      <c r="CB295" s="147"/>
      <c r="CC295" s="194"/>
      <c r="CD295" s="147"/>
      <c r="CL295" s="195"/>
      <c r="CM295" s="188"/>
    </row>
    <row r="296" spans="9:91" ht="15">
      <c r="M296" s="163"/>
      <c r="Q296" s="233"/>
      <c r="W296" s="183"/>
      <c r="AG296" s="184"/>
      <c r="AI296" s="185"/>
      <c r="AK296" s="186"/>
      <c r="BE296" s="187"/>
      <c r="BF296" s="188"/>
      <c r="BG296" s="189"/>
      <c r="BH296" s="147"/>
      <c r="BM296" s="190"/>
      <c r="BN296" s="147"/>
      <c r="BQ296" s="191"/>
      <c r="BR296" s="147"/>
      <c r="BS296" s="192"/>
      <c r="BT296" s="147"/>
      <c r="BU296" s="193"/>
      <c r="BV296" s="147"/>
      <c r="BW296" s="192"/>
      <c r="BX296" s="147"/>
      <c r="BY296" s="196"/>
      <c r="BZ296" s="147"/>
      <c r="CA296" s="192"/>
      <c r="CB296" s="147"/>
      <c r="CC296" s="194"/>
      <c r="CD296" s="147"/>
      <c r="CL296" s="195"/>
      <c r="CM296" s="188"/>
    </row>
    <row r="297" spans="9:91" ht="15">
      <c r="M297" s="163"/>
      <c r="Q297" s="233"/>
      <c r="W297" s="183"/>
      <c r="AG297" s="184"/>
      <c r="AI297" s="185"/>
      <c r="AK297" s="186"/>
      <c r="BE297" s="187"/>
      <c r="BF297" s="188"/>
      <c r="BG297" s="189"/>
      <c r="BH297" s="147"/>
      <c r="BM297" s="190"/>
      <c r="BN297" s="147"/>
      <c r="BQ297" s="191"/>
      <c r="BR297" s="147"/>
      <c r="BS297" s="192"/>
      <c r="BT297" s="147"/>
      <c r="BU297" s="193"/>
      <c r="BV297" s="147"/>
      <c r="BW297" s="192"/>
      <c r="BX297" s="147"/>
      <c r="BY297" s="196"/>
      <c r="BZ297" s="147"/>
      <c r="CA297" s="192"/>
      <c r="CB297" s="147"/>
      <c r="CC297" s="194"/>
      <c r="CD297" s="147"/>
      <c r="CL297" s="195"/>
      <c r="CM297" s="188"/>
    </row>
    <row r="298" spans="9:91" ht="15">
      <c r="M298" s="163"/>
      <c r="Q298" s="233"/>
      <c r="W298" s="183"/>
      <c r="AG298" s="184"/>
      <c r="AI298" s="185"/>
      <c r="AK298" s="186"/>
      <c r="BE298" s="187"/>
      <c r="BF298" s="188"/>
      <c r="BG298" s="189"/>
      <c r="BH298" s="147"/>
      <c r="BM298" s="190"/>
      <c r="BN298" s="147"/>
      <c r="BQ298" s="191"/>
      <c r="BR298" s="147"/>
      <c r="BS298" s="192"/>
      <c r="BT298" s="147"/>
      <c r="BU298" s="193"/>
      <c r="BV298" s="147"/>
      <c r="BW298" s="192"/>
      <c r="BX298" s="147"/>
      <c r="BY298" s="196"/>
      <c r="BZ298" s="147"/>
      <c r="CA298" s="192"/>
      <c r="CB298" s="147"/>
      <c r="CC298" s="194"/>
      <c r="CD298" s="147"/>
      <c r="CL298" s="195"/>
      <c r="CM298" s="188"/>
    </row>
    <row r="299" spans="9:91" ht="15">
      <c r="M299" s="163"/>
      <c r="Q299" s="233"/>
      <c r="W299" s="183"/>
      <c r="AG299" s="184"/>
      <c r="AI299" s="185"/>
      <c r="AK299" s="186"/>
      <c r="BE299" s="187"/>
      <c r="BF299" s="188"/>
      <c r="BG299" s="189"/>
      <c r="BH299" s="147"/>
      <c r="BM299" s="190"/>
      <c r="BN299" s="147"/>
      <c r="BQ299" s="191"/>
      <c r="BR299" s="147"/>
      <c r="BS299" s="192"/>
      <c r="BT299" s="147"/>
      <c r="BU299" s="193"/>
      <c r="BV299" s="147"/>
      <c r="BW299" s="192"/>
      <c r="BX299" s="147"/>
      <c r="BY299" s="196"/>
      <c r="BZ299" s="147"/>
      <c r="CA299" s="192"/>
      <c r="CB299" s="147"/>
      <c r="CC299" s="194"/>
      <c r="CD299" s="147"/>
      <c r="CL299" s="195"/>
      <c r="CM299" s="188"/>
    </row>
    <row r="300" spans="9:91" ht="15">
      <c r="M300" s="163"/>
      <c r="Q300" s="233"/>
      <c r="W300" s="183"/>
      <c r="AG300" s="184"/>
      <c r="AI300" s="185"/>
      <c r="AK300" s="186"/>
      <c r="BE300" s="187"/>
      <c r="BF300" s="188"/>
      <c r="BG300" s="189"/>
      <c r="BH300" s="147"/>
      <c r="BM300" s="190"/>
      <c r="BN300" s="147"/>
      <c r="BQ300" s="191"/>
      <c r="BR300" s="147"/>
      <c r="BS300" s="192"/>
      <c r="BT300" s="147"/>
      <c r="BU300" s="193"/>
      <c r="BV300" s="147"/>
      <c r="BW300" s="192"/>
      <c r="BX300" s="147"/>
      <c r="BY300" s="196"/>
      <c r="BZ300" s="147"/>
      <c r="CA300" s="192"/>
      <c r="CB300" s="147"/>
      <c r="CC300" s="194"/>
      <c r="CD300" s="147"/>
      <c r="CL300" s="195"/>
      <c r="CM300" s="188"/>
    </row>
    <row r="301" spans="9:91" ht="15">
      <c r="K301" s="181"/>
      <c r="M301" s="163"/>
      <c r="Q301" s="233"/>
      <c r="W301" s="183"/>
      <c r="AG301" s="184"/>
      <c r="AI301" s="185"/>
      <c r="AK301" s="186"/>
      <c r="BE301" s="187"/>
      <c r="BF301" s="188"/>
      <c r="BG301" s="189"/>
      <c r="BH301" s="147"/>
      <c r="BM301" s="190"/>
      <c r="BN301" s="147"/>
      <c r="BQ301" s="191"/>
      <c r="BR301" s="147"/>
      <c r="BS301" s="192"/>
      <c r="BT301" s="147"/>
      <c r="BU301" s="193"/>
      <c r="BV301" s="147"/>
      <c r="BW301" s="192"/>
      <c r="BX301" s="147"/>
      <c r="BY301" s="196"/>
      <c r="BZ301" s="147"/>
      <c r="CA301" s="192"/>
      <c r="CB301" s="147"/>
      <c r="CC301" s="194"/>
      <c r="CD301" s="147"/>
      <c r="CL301" s="195"/>
      <c r="CM301" s="188"/>
    </row>
    <row r="302" spans="9:91" ht="15">
      <c r="I302" s="177"/>
      <c r="M302" s="163"/>
      <c r="Q302" s="233"/>
      <c r="W302" s="183"/>
      <c r="AG302" s="184"/>
      <c r="AI302" s="185"/>
      <c r="AK302" s="186"/>
      <c r="BE302" s="187"/>
      <c r="BF302" s="188"/>
      <c r="BG302" s="189"/>
      <c r="BH302" s="147"/>
      <c r="BM302" s="190"/>
      <c r="BN302" s="147"/>
      <c r="BQ302" s="191"/>
      <c r="BR302" s="147"/>
      <c r="BS302" s="192"/>
      <c r="BT302" s="147"/>
      <c r="BU302" s="193"/>
      <c r="BV302" s="147"/>
      <c r="BW302" s="192"/>
      <c r="BX302" s="147"/>
      <c r="BY302" s="196"/>
      <c r="BZ302" s="147"/>
      <c r="CA302" s="192"/>
      <c r="CB302" s="147"/>
      <c r="CC302" s="194"/>
      <c r="CD302" s="147"/>
      <c r="CL302" s="195"/>
      <c r="CM302" s="188"/>
    </row>
    <row r="303" spans="9:91" ht="15">
      <c r="M303" s="163"/>
      <c r="Q303" s="233"/>
      <c r="W303" s="183"/>
      <c r="AG303" s="184"/>
      <c r="AI303" s="185"/>
      <c r="AK303" s="186"/>
      <c r="BE303" s="187"/>
      <c r="BF303" s="188"/>
      <c r="BG303" s="189"/>
      <c r="BH303" s="147"/>
      <c r="BM303" s="190"/>
      <c r="BN303" s="147"/>
      <c r="BQ303" s="191"/>
      <c r="BR303" s="147"/>
      <c r="BS303" s="192"/>
      <c r="BT303" s="147"/>
      <c r="BU303" s="193"/>
      <c r="BV303" s="147"/>
      <c r="BW303" s="192"/>
      <c r="BX303" s="147"/>
      <c r="BY303" s="196"/>
      <c r="BZ303" s="147"/>
      <c r="CA303" s="192"/>
      <c r="CB303" s="147"/>
      <c r="CC303" s="194"/>
      <c r="CD303" s="147"/>
      <c r="CL303" s="195"/>
      <c r="CM303" s="188"/>
    </row>
    <row r="304" spans="9:91" ht="15">
      <c r="M304" s="163"/>
      <c r="Q304" s="233"/>
      <c r="W304" s="183"/>
      <c r="AG304" s="184"/>
      <c r="AI304" s="185"/>
      <c r="AK304" s="186"/>
      <c r="BE304" s="187"/>
      <c r="BF304" s="188"/>
      <c r="BG304" s="189"/>
      <c r="BH304" s="147"/>
      <c r="BM304" s="190"/>
      <c r="BN304" s="147"/>
      <c r="BQ304" s="191"/>
      <c r="BR304" s="147"/>
      <c r="BS304" s="192"/>
      <c r="BT304" s="147"/>
      <c r="BU304" s="193"/>
      <c r="BV304" s="147"/>
      <c r="BW304" s="192"/>
      <c r="BX304" s="147"/>
      <c r="BY304" s="196"/>
      <c r="BZ304" s="147"/>
      <c r="CA304" s="192"/>
      <c r="CB304" s="147"/>
      <c r="CC304" s="194"/>
      <c r="CD304" s="147"/>
      <c r="CL304" s="195"/>
      <c r="CM304" s="188"/>
    </row>
    <row r="305" spans="1:91" ht="15">
      <c r="M305" s="163"/>
      <c r="Q305" s="233"/>
      <c r="W305" s="183"/>
      <c r="AG305" s="184"/>
      <c r="AI305" s="185"/>
      <c r="AK305" s="186"/>
      <c r="BE305" s="187"/>
      <c r="BF305" s="188"/>
      <c r="BG305" s="189"/>
      <c r="BH305" s="147"/>
      <c r="BM305" s="190"/>
      <c r="BN305" s="147"/>
      <c r="BQ305" s="191"/>
      <c r="BR305" s="147"/>
      <c r="BS305" s="192"/>
      <c r="BT305" s="147"/>
      <c r="BU305" s="193"/>
      <c r="BV305" s="147"/>
      <c r="BW305" s="192"/>
      <c r="BX305" s="147"/>
      <c r="BY305" s="196"/>
      <c r="BZ305" s="147"/>
      <c r="CA305" s="192"/>
      <c r="CB305" s="147"/>
      <c r="CC305" s="194"/>
      <c r="CD305" s="147"/>
      <c r="CL305" s="195"/>
      <c r="CM305" s="188"/>
    </row>
    <row r="306" spans="1:91" ht="15">
      <c r="I306" s="177"/>
      <c r="M306" s="163"/>
      <c r="Q306" s="233"/>
      <c r="W306" s="183"/>
      <c r="AG306" s="184"/>
      <c r="AI306" s="185"/>
      <c r="AK306" s="186"/>
      <c r="BE306" s="187"/>
      <c r="BF306" s="188"/>
      <c r="BG306" s="189"/>
      <c r="BH306" s="147"/>
      <c r="BM306" s="190"/>
      <c r="BN306" s="147"/>
      <c r="BQ306" s="191"/>
      <c r="BR306" s="147"/>
      <c r="BS306" s="192"/>
      <c r="BT306" s="147"/>
      <c r="BU306" s="193"/>
      <c r="BV306" s="147"/>
      <c r="BW306" s="192"/>
      <c r="BX306" s="147"/>
      <c r="BY306" s="196"/>
      <c r="BZ306" s="147"/>
      <c r="CA306" s="192"/>
      <c r="CB306" s="147"/>
      <c r="CC306" s="194"/>
      <c r="CD306" s="147"/>
      <c r="CL306" s="195"/>
      <c r="CM306" s="188"/>
    </row>
    <row r="307" spans="1:91" ht="15">
      <c r="K307" s="178"/>
      <c r="M307" s="163"/>
      <c r="Q307" s="233"/>
      <c r="W307" s="183"/>
      <c r="AG307" s="184"/>
      <c r="AI307" s="185"/>
      <c r="AK307" s="186"/>
      <c r="BE307" s="187"/>
      <c r="BF307" s="188"/>
      <c r="BG307" s="189"/>
      <c r="BH307" s="147"/>
      <c r="BM307" s="190"/>
      <c r="BN307" s="147"/>
      <c r="BQ307" s="191"/>
      <c r="BR307" s="147"/>
      <c r="BS307" s="192"/>
      <c r="BT307" s="147"/>
      <c r="BU307" s="193"/>
      <c r="BV307" s="147"/>
      <c r="BW307" s="192"/>
      <c r="BX307" s="147"/>
      <c r="BY307" s="196"/>
      <c r="BZ307" s="147"/>
      <c r="CA307" s="192"/>
      <c r="CB307" s="147"/>
      <c r="CC307" s="194"/>
      <c r="CD307" s="147"/>
      <c r="CL307" s="195"/>
      <c r="CM307" s="188"/>
    </row>
    <row r="308" spans="1:91" ht="15">
      <c r="K308" s="181"/>
      <c r="M308" s="163"/>
      <c r="Q308" s="233"/>
      <c r="W308" s="183"/>
      <c r="AG308" s="184"/>
      <c r="AI308" s="185"/>
      <c r="AK308" s="186"/>
      <c r="BE308" s="187"/>
      <c r="BF308" s="188"/>
      <c r="BG308" s="189"/>
      <c r="BH308" s="147"/>
      <c r="BM308" s="190"/>
      <c r="BN308" s="147"/>
      <c r="BQ308" s="191"/>
      <c r="BR308" s="147"/>
      <c r="BS308" s="192"/>
      <c r="BT308" s="147"/>
      <c r="BU308" s="193"/>
      <c r="BV308" s="147"/>
      <c r="BW308" s="192"/>
      <c r="BX308" s="147"/>
      <c r="BY308" s="196"/>
      <c r="BZ308" s="147"/>
      <c r="CA308" s="192"/>
      <c r="CB308" s="147"/>
      <c r="CC308" s="194"/>
      <c r="CD308" s="147"/>
      <c r="CL308" s="195"/>
      <c r="CM308" s="188"/>
    </row>
    <row r="309" spans="1:91" ht="15">
      <c r="M309" s="163"/>
      <c r="Q309" s="233"/>
      <c r="W309" s="183"/>
      <c r="AG309" s="184"/>
      <c r="AI309" s="185"/>
      <c r="AK309" s="186"/>
      <c r="BE309" s="187"/>
      <c r="BF309" s="188"/>
      <c r="BG309" s="189"/>
      <c r="BH309" s="147"/>
      <c r="BM309" s="190"/>
      <c r="BN309" s="147"/>
      <c r="BQ309" s="191"/>
      <c r="BR309" s="147"/>
      <c r="BS309" s="192"/>
      <c r="BT309" s="147"/>
      <c r="BU309" s="193"/>
      <c r="BV309" s="147"/>
      <c r="BW309" s="192"/>
      <c r="BX309" s="147"/>
      <c r="BY309" s="196"/>
      <c r="BZ309" s="147"/>
      <c r="CA309" s="192"/>
      <c r="CB309" s="147"/>
      <c r="CC309" s="194"/>
      <c r="CD309" s="147"/>
      <c r="CL309" s="195"/>
      <c r="CM309" s="188"/>
    </row>
    <row r="310" spans="1:91" ht="15">
      <c r="I310" s="177"/>
      <c r="K310" s="181"/>
      <c r="M310" s="163"/>
      <c r="Q310" s="233"/>
      <c r="W310" s="183"/>
      <c r="AG310" s="184"/>
      <c r="AI310" s="185"/>
      <c r="AK310" s="186"/>
      <c r="BE310" s="187"/>
      <c r="BF310" s="188"/>
      <c r="BG310" s="189"/>
      <c r="BH310" s="147"/>
      <c r="BM310" s="190"/>
      <c r="BN310" s="147"/>
      <c r="BQ310" s="191"/>
      <c r="BR310" s="147"/>
      <c r="BS310" s="192"/>
      <c r="BT310" s="147"/>
      <c r="BU310" s="193"/>
      <c r="BV310" s="147"/>
      <c r="BW310" s="192"/>
      <c r="BX310" s="147"/>
      <c r="BY310" s="196"/>
      <c r="BZ310" s="147"/>
      <c r="CA310" s="192"/>
      <c r="CB310" s="147"/>
      <c r="CC310" s="194"/>
      <c r="CD310" s="147"/>
      <c r="CL310" s="195"/>
      <c r="CM310" s="188"/>
    </row>
    <row r="311" spans="1:91" ht="15">
      <c r="A311" s="221"/>
      <c r="B311" s="221"/>
      <c r="C311" s="222"/>
      <c r="D311" s="222"/>
      <c r="E311" s="222"/>
      <c r="G311" s="223"/>
      <c r="H311" s="223"/>
      <c r="I311" s="222"/>
      <c r="J311" s="222"/>
      <c r="K311" s="224"/>
      <c r="L311" s="225"/>
      <c r="M311" s="226"/>
      <c r="N311" s="225"/>
      <c r="O311" s="224"/>
      <c r="P311" s="225"/>
      <c r="Q311" s="233"/>
      <c r="R311" s="225"/>
      <c r="S311" s="224"/>
      <c r="T311" s="225"/>
      <c r="U311" s="224"/>
      <c r="V311" s="225"/>
      <c r="W311" s="226"/>
      <c r="X311" s="225"/>
      <c r="Z311" s="225"/>
      <c r="AA311" s="224"/>
      <c r="AB311" s="225"/>
      <c r="AC311" s="224"/>
      <c r="AD311" s="225"/>
      <c r="AE311" s="224"/>
      <c r="AF311" s="225"/>
      <c r="AG311" s="226"/>
      <c r="AH311" s="225"/>
      <c r="AI311" s="226"/>
      <c r="AJ311" s="225"/>
      <c r="AK311" s="226"/>
      <c r="AL311" s="225"/>
      <c r="AM311" s="224"/>
      <c r="AN311" s="225"/>
      <c r="AO311" s="224"/>
      <c r="AP311" s="224"/>
      <c r="AQ311" s="224"/>
      <c r="AR311" s="224"/>
      <c r="AS311" s="224"/>
      <c r="AT311" s="224"/>
      <c r="AU311" s="224"/>
      <c r="AV311" s="224"/>
      <c r="AW311" s="224"/>
      <c r="AX311" s="224"/>
      <c r="AY311" s="224"/>
      <c r="AZ311" s="224"/>
      <c r="BA311" s="224"/>
      <c r="BB311" s="224"/>
      <c r="BC311" s="224"/>
      <c r="BD311" s="224"/>
      <c r="BE311" s="226"/>
      <c r="BF311" s="227"/>
      <c r="BG311" s="228"/>
      <c r="BH311" s="225"/>
      <c r="BI311" s="229"/>
      <c r="BJ311" s="229"/>
      <c r="BK311" s="229"/>
      <c r="BL311" s="229"/>
      <c r="BM311" s="228"/>
      <c r="BN311" s="225"/>
      <c r="BO311" s="229"/>
      <c r="BP311" s="229"/>
      <c r="BQ311" s="228"/>
      <c r="BR311" s="225"/>
      <c r="BS311" s="228"/>
      <c r="BT311" s="225"/>
      <c r="BU311" s="228"/>
      <c r="BV311" s="225"/>
      <c r="BW311" s="228"/>
      <c r="BX311" s="225"/>
      <c r="BY311" s="228"/>
      <c r="BZ311" s="225"/>
      <c r="CA311" s="228"/>
      <c r="CB311" s="225"/>
      <c r="CC311" s="228"/>
      <c r="CD311" s="225"/>
      <c r="CE311" s="229"/>
      <c r="CF311" s="229"/>
      <c r="CG311" s="229"/>
      <c r="CH311" s="229"/>
      <c r="CI311" s="229"/>
      <c r="CJ311" s="229"/>
      <c r="CK311" s="229"/>
      <c r="CL311" s="228"/>
      <c r="CM311" s="227"/>
    </row>
    <row r="312" spans="1:91" ht="15">
      <c r="M312" s="163"/>
      <c r="Q312" s="233"/>
      <c r="W312" s="183"/>
      <c r="AG312" s="184"/>
      <c r="AI312" s="185"/>
      <c r="AK312" s="186"/>
      <c r="BE312" s="187"/>
      <c r="BF312" s="188"/>
      <c r="BG312" s="189"/>
      <c r="BH312" s="147"/>
      <c r="BM312" s="190"/>
      <c r="BN312" s="147"/>
      <c r="BQ312" s="191"/>
      <c r="BR312" s="147"/>
      <c r="BS312" s="192"/>
      <c r="BT312" s="147"/>
      <c r="BU312" s="193"/>
      <c r="BV312" s="147"/>
      <c r="BW312" s="192"/>
      <c r="BX312" s="147"/>
      <c r="BY312" s="196"/>
      <c r="BZ312" s="147"/>
      <c r="CA312" s="192"/>
      <c r="CB312" s="147"/>
      <c r="CC312" s="194"/>
      <c r="CD312" s="147"/>
      <c r="CL312" s="195"/>
      <c r="CM312" s="188"/>
    </row>
    <row r="313" spans="1:91" ht="15">
      <c r="K313" s="181"/>
      <c r="M313" s="163"/>
      <c r="Q313" s="233"/>
      <c r="W313" s="183"/>
      <c r="AG313" s="184"/>
      <c r="AI313" s="185"/>
      <c r="AK313" s="186"/>
      <c r="BE313" s="187"/>
      <c r="BF313" s="188"/>
      <c r="BG313" s="189"/>
      <c r="BH313" s="147"/>
      <c r="BM313" s="190"/>
      <c r="BN313" s="147"/>
      <c r="BQ313" s="191"/>
      <c r="BR313" s="147"/>
      <c r="BS313" s="192"/>
      <c r="BT313" s="147"/>
      <c r="BU313" s="193"/>
      <c r="BV313" s="147"/>
      <c r="BW313" s="192"/>
      <c r="BX313" s="147"/>
      <c r="BY313" s="196"/>
      <c r="BZ313" s="147"/>
      <c r="CA313" s="192"/>
      <c r="CB313" s="147"/>
      <c r="CC313" s="194"/>
      <c r="CD313" s="147"/>
      <c r="CL313" s="195"/>
      <c r="CM313" s="188"/>
    </row>
    <row r="314" spans="1:91" ht="15">
      <c r="I314" s="177"/>
      <c r="M314" s="163"/>
      <c r="Q314" s="233"/>
      <c r="W314" s="183"/>
      <c r="AG314" s="184"/>
      <c r="AI314" s="185"/>
      <c r="AK314" s="186"/>
      <c r="BE314" s="187"/>
      <c r="BF314" s="188"/>
      <c r="BG314" s="189"/>
      <c r="BH314" s="147"/>
      <c r="BM314" s="190"/>
      <c r="BN314" s="147"/>
      <c r="BQ314" s="191"/>
      <c r="BR314" s="147"/>
      <c r="BS314" s="192"/>
      <c r="BT314" s="147"/>
      <c r="BU314" s="193"/>
      <c r="BV314" s="147"/>
      <c r="BW314" s="192"/>
      <c r="BX314" s="147"/>
      <c r="BY314" s="196"/>
      <c r="BZ314" s="147"/>
      <c r="CA314" s="192"/>
      <c r="CB314" s="147"/>
      <c r="CC314" s="194"/>
      <c r="CD314" s="147"/>
      <c r="CL314" s="195"/>
      <c r="CM314" s="188"/>
    </row>
    <row r="315" spans="1:91" ht="15">
      <c r="M315" s="163"/>
      <c r="Q315" s="233"/>
      <c r="W315" s="183"/>
      <c r="AG315" s="184"/>
      <c r="AI315" s="185"/>
      <c r="AK315" s="186"/>
      <c r="BE315" s="187"/>
      <c r="BF315" s="188"/>
      <c r="BG315" s="189"/>
      <c r="BH315" s="147"/>
      <c r="BM315" s="190"/>
      <c r="BN315" s="147"/>
      <c r="BQ315" s="191"/>
      <c r="BR315" s="147"/>
      <c r="BS315" s="192"/>
      <c r="BT315" s="147"/>
      <c r="BU315" s="193"/>
      <c r="BV315" s="147"/>
      <c r="BW315" s="192"/>
      <c r="BX315" s="147"/>
      <c r="BY315" s="196"/>
      <c r="BZ315" s="147"/>
      <c r="CA315" s="192"/>
      <c r="CB315" s="147"/>
      <c r="CC315" s="194"/>
      <c r="CD315" s="147"/>
      <c r="CL315" s="195"/>
      <c r="CM315" s="188"/>
    </row>
    <row r="316" spans="1:91" ht="15">
      <c r="M316" s="163"/>
      <c r="Q316" s="233"/>
      <c r="W316" s="183"/>
      <c r="AG316" s="184"/>
      <c r="AI316" s="185"/>
      <c r="AK316" s="186"/>
      <c r="BE316" s="187"/>
      <c r="BF316" s="188"/>
      <c r="BG316" s="189"/>
      <c r="BH316" s="147"/>
      <c r="BM316" s="190"/>
      <c r="BN316" s="147"/>
      <c r="BQ316" s="191"/>
      <c r="BR316" s="147"/>
      <c r="BS316" s="192"/>
      <c r="BT316" s="147"/>
      <c r="BU316" s="193"/>
      <c r="BV316" s="147"/>
      <c r="BW316" s="192"/>
      <c r="BX316" s="147"/>
      <c r="BY316" s="196"/>
      <c r="BZ316" s="147"/>
      <c r="CA316" s="192"/>
      <c r="CB316" s="147"/>
      <c r="CC316" s="194"/>
      <c r="CD316" s="147"/>
      <c r="CL316" s="195"/>
      <c r="CM316" s="188"/>
    </row>
    <row r="317" spans="1:91" ht="15">
      <c r="J317" s="182"/>
      <c r="M317" s="163"/>
      <c r="Q317" s="233"/>
      <c r="W317" s="183"/>
      <c r="AG317" s="184"/>
      <c r="AI317" s="185"/>
      <c r="AK317" s="186"/>
      <c r="BE317" s="187"/>
      <c r="BF317" s="188"/>
      <c r="BG317" s="189"/>
      <c r="BH317" s="147"/>
      <c r="BM317" s="190"/>
      <c r="BN317" s="147"/>
      <c r="BQ317" s="191"/>
      <c r="BR317" s="147"/>
      <c r="BS317" s="192"/>
      <c r="BT317" s="147"/>
      <c r="BU317" s="193"/>
      <c r="BV317" s="147"/>
      <c r="BW317" s="192"/>
      <c r="BX317" s="147"/>
      <c r="BY317" s="196"/>
      <c r="BZ317" s="147"/>
      <c r="CA317" s="192"/>
      <c r="CB317" s="147"/>
      <c r="CC317" s="194"/>
      <c r="CD317" s="147"/>
      <c r="CL317" s="195"/>
      <c r="CM317" s="188"/>
    </row>
    <row r="318" spans="1:91" ht="15">
      <c r="I318" s="177"/>
      <c r="M318" s="163"/>
      <c r="Q318" s="233"/>
      <c r="W318" s="183"/>
      <c r="AG318" s="184"/>
      <c r="AI318" s="185"/>
      <c r="AK318" s="186"/>
      <c r="BE318" s="187"/>
      <c r="BF318" s="188"/>
      <c r="BG318" s="189"/>
      <c r="BH318" s="147"/>
      <c r="BM318" s="190"/>
      <c r="BN318" s="147"/>
      <c r="BQ318" s="191"/>
      <c r="BR318" s="147"/>
      <c r="BS318" s="192"/>
      <c r="BT318" s="147"/>
      <c r="BU318" s="193"/>
      <c r="BV318" s="147"/>
      <c r="BW318" s="192"/>
      <c r="BX318" s="147"/>
      <c r="BY318" s="196"/>
      <c r="BZ318" s="147"/>
      <c r="CA318" s="192"/>
      <c r="CB318" s="147"/>
      <c r="CC318" s="194"/>
      <c r="CD318" s="147"/>
      <c r="CL318" s="195"/>
      <c r="CM318" s="188"/>
    </row>
    <row r="319" spans="1:91" ht="15">
      <c r="M319" s="163"/>
      <c r="Q319" s="233"/>
      <c r="W319" s="183"/>
      <c r="AG319" s="184"/>
      <c r="AI319" s="185"/>
      <c r="AK319" s="186"/>
      <c r="BE319" s="187"/>
      <c r="BF319" s="188"/>
      <c r="BG319" s="189"/>
      <c r="BH319" s="147"/>
      <c r="BM319" s="190"/>
      <c r="BN319" s="147"/>
      <c r="BQ319" s="191"/>
      <c r="BR319" s="147"/>
      <c r="BS319" s="192"/>
      <c r="BT319" s="147"/>
      <c r="BU319" s="193"/>
      <c r="BV319" s="147"/>
      <c r="BW319" s="192"/>
      <c r="BX319" s="147"/>
      <c r="BY319" s="196"/>
      <c r="BZ319" s="147"/>
      <c r="CA319" s="192"/>
      <c r="CB319" s="147"/>
      <c r="CC319" s="194"/>
      <c r="CD319" s="147"/>
      <c r="CL319" s="195"/>
      <c r="CM319" s="188"/>
    </row>
    <row r="320" spans="1:91" ht="15">
      <c r="M320" s="163"/>
      <c r="Q320" s="233"/>
      <c r="W320" s="183"/>
      <c r="AG320" s="184"/>
      <c r="AI320" s="185"/>
      <c r="AK320" s="186"/>
      <c r="BE320" s="187"/>
      <c r="BF320" s="188"/>
      <c r="BG320" s="189"/>
      <c r="BH320" s="147"/>
      <c r="BM320" s="190"/>
      <c r="BN320" s="147"/>
      <c r="BQ320" s="191"/>
      <c r="BR320" s="147"/>
      <c r="BS320" s="192"/>
      <c r="BT320" s="147"/>
      <c r="BU320" s="193"/>
      <c r="BV320" s="147"/>
      <c r="BW320" s="192"/>
      <c r="BX320" s="147"/>
      <c r="BY320" s="196"/>
      <c r="BZ320" s="147"/>
      <c r="CA320" s="192"/>
      <c r="CB320" s="147"/>
      <c r="CC320" s="194"/>
      <c r="CD320" s="147"/>
      <c r="CL320" s="195"/>
      <c r="CM320" s="188"/>
    </row>
    <row r="321" spans="9:91" ht="15">
      <c r="M321" s="163"/>
      <c r="Q321" s="233"/>
      <c r="W321" s="183"/>
      <c r="AG321" s="184"/>
      <c r="AI321" s="185"/>
      <c r="AK321" s="186"/>
      <c r="BE321" s="187"/>
      <c r="BF321" s="188"/>
      <c r="BG321" s="189"/>
      <c r="BH321" s="147"/>
      <c r="BM321" s="190"/>
      <c r="BN321" s="147"/>
      <c r="BQ321" s="191"/>
      <c r="BR321" s="147"/>
      <c r="BS321" s="192"/>
      <c r="BT321" s="147"/>
      <c r="BU321" s="193"/>
      <c r="BV321" s="147"/>
      <c r="BW321" s="192"/>
      <c r="BX321" s="147"/>
      <c r="BY321" s="196"/>
      <c r="BZ321" s="147"/>
      <c r="CA321" s="192"/>
      <c r="CB321" s="147"/>
      <c r="CC321" s="194"/>
      <c r="CD321" s="147"/>
      <c r="CL321" s="195"/>
      <c r="CM321" s="188"/>
    </row>
    <row r="322" spans="9:91" ht="15">
      <c r="M322" s="163"/>
      <c r="Q322" s="233"/>
      <c r="W322" s="183"/>
      <c r="AG322" s="184"/>
      <c r="AI322" s="185"/>
      <c r="AK322" s="186"/>
      <c r="BE322" s="187"/>
      <c r="BF322" s="188"/>
      <c r="BG322" s="189"/>
      <c r="BH322" s="147"/>
      <c r="BM322" s="190"/>
      <c r="BN322" s="147"/>
      <c r="BQ322" s="191"/>
      <c r="BR322" s="147"/>
      <c r="BS322" s="192"/>
      <c r="BT322" s="147"/>
      <c r="BU322" s="193"/>
      <c r="BV322" s="147"/>
      <c r="BW322" s="192"/>
      <c r="BX322" s="147"/>
      <c r="BY322" s="196"/>
      <c r="BZ322" s="147"/>
      <c r="CA322" s="192"/>
      <c r="CB322" s="147"/>
      <c r="CC322" s="194"/>
      <c r="CD322" s="147"/>
      <c r="CL322" s="195"/>
      <c r="CM322" s="188"/>
    </row>
    <row r="323" spans="9:91" ht="15">
      <c r="M323" s="163"/>
      <c r="Q323" s="233"/>
      <c r="W323" s="183"/>
      <c r="AG323" s="184"/>
      <c r="AI323" s="185"/>
      <c r="AK323" s="186"/>
      <c r="BE323" s="187"/>
      <c r="BF323" s="188"/>
      <c r="BG323" s="189"/>
      <c r="BH323" s="147"/>
      <c r="BM323" s="190"/>
      <c r="BN323" s="147"/>
      <c r="BQ323" s="191"/>
      <c r="BR323" s="147"/>
      <c r="BS323" s="192"/>
      <c r="BT323" s="147"/>
      <c r="BU323" s="193"/>
      <c r="BV323" s="147"/>
      <c r="BW323" s="192"/>
      <c r="BX323" s="147"/>
      <c r="BY323" s="196"/>
      <c r="BZ323" s="147"/>
      <c r="CA323" s="192"/>
      <c r="CB323" s="147"/>
      <c r="CC323" s="194"/>
      <c r="CD323" s="147"/>
      <c r="CL323" s="195"/>
      <c r="CM323" s="188"/>
    </row>
    <row r="324" spans="9:91" ht="15">
      <c r="M324" s="163"/>
      <c r="Q324" s="233"/>
      <c r="W324" s="183"/>
      <c r="AG324" s="184"/>
      <c r="AI324" s="185"/>
      <c r="AK324" s="186"/>
      <c r="BE324" s="187"/>
      <c r="BF324" s="188"/>
      <c r="BG324" s="189"/>
      <c r="BH324" s="147"/>
      <c r="BM324" s="190"/>
      <c r="BN324" s="147"/>
      <c r="BQ324" s="191"/>
      <c r="BR324" s="147"/>
      <c r="BS324" s="192"/>
      <c r="BT324" s="147"/>
      <c r="BU324" s="193"/>
      <c r="BV324" s="147"/>
      <c r="BW324" s="192"/>
      <c r="BX324" s="147"/>
      <c r="BY324" s="196"/>
      <c r="BZ324" s="147"/>
      <c r="CA324" s="192"/>
      <c r="CB324" s="147"/>
      <c r="CC324" s="194"/>
      <c r="CD324" s="147"/>
      <c r="CL324" s="195"/>
      <c r="CM324" s="188"/>
    </row>
    <row r="325" spans="9:91" ht="15">
      <c r="M325" s="163"/>
      <c r="Q325" s="233"/>
      <c r="W325" s="183"/>
      <c r="AG325" s="184"/>
      <c r="AI325" s="185"/>
      <c r="AK325" s="186"/>
      <c r="BE325" s="187"/>
      <c r="BF325" s="188"/>
      <c r="BG325" s="189"/>
      <c r="BH325" s="147"/>
      <c r="BM325" s="190"/>
      <c r="BN325" s="147"/>
      <c r="BQ325" s="191"/>
      <c r="BR325" s="147"/>
      <c r="BS325" s="192"/>
      <c r="BT325" s="147"/>
      <c r="BU325" s="193"/>
      <c r="BV325" s="147"/>
      <c r="BW325" s="192"/>
      <c r="BX325" s="147"/>
      <c r="BY325" s="196"/>
      <c r="BZ325" s="147"/>
      <c r="CA325" s="192"/>
      <c r="CB325" s="147"/>
      <c r="CC325" s="194"/>
      <c r="CD325" s="147"/>
      <c r="CL325" s="195"/>
      <c r="CM325" s="188"/>
    </row>
    <row r="326" spans="9:91" ht="15">
      <c r="I326" s="177"/>
      <c r="K326" s="178"/>
      <c r="M326" s="163"/>
      <c r="Q326" s="233"/>
      <c r="W326" s="183"/>
      <c r="AG326" s="184"/>
      <c r="AI326" s="185"/>
      <c r="AK326" s="186"/>
      <c r="BE326" s="187"/>
      <c r="BF326" s="188"/>
      <c r="BG326" s="189"/>
      <c r="BH326" s="147"/>
      <c r="BM326" s="190"/>
      <c r="BN326" s="147"/>
      <c r="BQ326" s="191"/>
      <c r="BR326" s="147"/>
      <c r="BS326" s="192"/>
      <c r="BT326" s="147"/>
      <c r="BU326" s="193"/>
      <c r="BV326" s="147"/>
      <c r="BW326" s="192"/>
      <c r="BX326" s="147"/>
      <c r="BY326" s="196"/>
      <c r="BZ326" s="147"/>
      <c r="CA326" s="192"/>
      <c r="CB326" s="147"/>
      <c r="CC326" s="194"/>
      <c r="CD326" s="147"/>
      <c r="CL326" s="195"/>
      <c r="CM326" s="188"/>
    </row>
    <row r="327" spans="9:91" ht="15">
      <c r="M327" s="163"/>
      <c r="Q327" s="233"/>
      <c r="W327" s="183"/>
      <c r="AG327" s="184"/>
      <c r="AI327" s="185"/>
      <c r="AK327" s="186"/>
      <c r="BE327" s="187"/>
      <c r="BF327" s="188"/>
      <c r="BG327" s="189"/>
      <c r="BH327" s="147"/>
      <c r="BM327" s="190"/>
      <c r="BN327" s="147"/>
      <c r="BQ327" s="191"/>
      <c r="BR327" s="147"/>
      <c r="BS327" s="192"/>
      <c r="BT327" s="147"/>
      <c r="BU327" s="193"/>
      <c r="BV327" s="147"/>
      <c r="BW327" s="192"/>
      <c r="BX327" s="147"/>
      <c r="BY327" s="196"/>
      <c r="BZ327" s="147"/>
      <c r="CA327" s="192"/>
      <c r="CB327" s="147"/>
      <c r="CC327" s="194"/>
      <c r="CD327" s="147"/>
      <c r="CL327" s="195"/>
      <c r="CM327" s="188"/>
    </row>
    <row r="328" spans="9:91" ht="15">
      <c r="M328" s="163"/>
      <c r="Q328" s="233"/>
      <c r="W328" s="183"/>
      <c r="AG328" s="184"/>
      <c r="AI328" s="185"/>
      <c r="AK328" s="186"/>
      <c r="BE328" s="187"/>
      <c r="BF328" s="188"/>
      <c r="BG328" s="189"/>
      <c r="BH328" s="147"/>
      <c r="BM328" s="190"/>
      <c r="BN328" s="147"/>
      <c r="BQ328" s="191"/>
      <c r="BR328" s="147"/>
      <c r="BS328" s="192"/>
      <c r="BT328" s="147"/>
      <c r="BU328" s="193"/>
      <c r="BV328" s="147"/>
      <c r="BW328" s="192"/>
      <c r="BX328" s="147"/>
      <c r="BY328" s="196"/>
      <c r="BZ328" s="147"/>
      <c r="CA328" s="192"/>
      <c r="CB328" s="147"/>
      <c r="CC328" s="194"/>
      <c r="CD328" s="147"/>
      <c r="CL328" s="195"/>
      <c r="CM328" s="188"/>
    </row>
    <row r="329" spans="9:91" ht="15">
      <c r="M329" s="163"/>
      <c r="Q329" s="233"/>
      <c r="W329" s="183"/>
      <c r="AG329" s="184"/>
      <c r="AI329" s="185"/>
      <c r="AK329" s="186"/>
      <c r="BE329" s="187"/>
      <c r="BF329" s="188"/>
      <c r="BG329" s="189"/>
      <c r="BH329" s="147"/>
      <c r="BM329" s="190"/>
      <c r="BN329" s="147"/>
      <c r="BQ329" s="191"/>
      <c r="BR329" s="147"/>
      <c r="BS329" s="192"/>
      <c r="BT329" s="147"/>
      <c r="BU329" s="193"/>
      <c r="BV329" s="147"/>
      <c r="BW329" s="192"/>
      <c r="BX329" s="147"/>
      <c r="BY329" s="196"/>
      <c r="BZ329" s="147"/>
      <c r="CA329" s="192"/>
      <c r="CB329" s="147"/>
      <c r="CC329" s="194"/>
      <c r="CD329" s="147"/>
      <c r="CL329" s="195"/>
      <c r="CM329" s="188"/>
    </row>
    <row r="330" spans="9:91" ht="15">
      <c r="M330" s="163"/>
      <c r="Q330" s="233"/>
      <c r="W330" s="183"/>
      <c r="AG330" s="184"/>
      <c r="AI330" s="185"/>
      <c r="AK330" s="186"/>
      <c r="BE330" s="187"/>
      <c r="BF330" s="188"/>
      <c r="BG330" s="189"/>
      <c r="BH330" s="147"/>
      <c r="BM330" s="190"/>
      <c r="BN330" s="147"/>
      <c r="BQ330" s="191"/>
      <c r="BR330" s="147"/>
      <c r="BS330" s="192"/>
      <c r="BT330" s="147"/>
      <c r="BU330" s="193"/>
      <c r="BV330" s="147"/>
      <c r="BW330" s="192"/>
      <c r="BX330" s="147"/>
      <c r="BY330" s="196"/>
      <c r="BZ330" s="147"/>
      <c r="CA330" s="192"/>
      <c r="CB330" s="147"/>
      <c r="CC330" s="194"/>
      <c r="CD330" s="147"/>
      <c r="CL330" s="195"/>
      <c r="CM330" s="188"/>
    </row>
    <row r="331" spans="9:91" ht="15">
      <c r="M331" s="163"/>
      <c r="Q331" s="233"/>
      <c r="W331" s="183"/>
      <c r="AG331" s="184"/>
      <c r="AI331" s="185"/>
      <c r="AK331" s="186"/>
      <c r="BE331" s="187"/>
      <c r="BF331" s="188"/>
      <c r="BG331" s="189"/>
      <c r="BH331" s="147"/>
      <c r="BM331" s="190"/>
      <c r="BN331" s="147"/>
      <c r="BQ331" s="191"/>
      <c r="BR331" s="147"/>
      <c r="BS331" s="192"/>
      <c r="BT331" s="147"/>
      <c r="BU331" s="193"/>
      <c r="BV331" s="147"/>
      <c r="BW331" s="192"/>
      <c r="BX331" s="147"/>
      <c r="BY331" s="196"/>
      <c r="BZ331" s="147"/>
      <c r="CA331" s="192"/>
      <c r="CB331" s="147"/>
      <c r="CC331" s="194"/>
      <c r="CD331" s="147"/>
      <c r="CL331" s="195"/>
      <c r="CM331" s="188"/>
    </row>
    <row r="332" spans="9:91" ht="15">
      <c r="M332" s="163"/>
      <c r="Q332" s="233"/>
      <c r="W332" s="183"/>
      <c r="AG332" s="184"/>
      <c r="AI332" s="185"/>
      <c r="AK332" s="186"/>
      <c r="BE332" s="187"/>
      <c r="BF332" s="188"/>
      <c r="BG332" s="189"/>
      <c r="BH332" s="147"/>
      <c r="BM332" s="190"/>
      <c r="BN332" s="147"/>
      <c r="BQ332" s="191"/>
      <c r="BR332" s="147"/>
      <c r="BS332" s="192"/>
      <c r="BT332" s="147"/>
      <c r="BU332" s="193"/>
      <c r="BV332" s="147"/>
      <c r="BW332" s="192"/>
      <c r="BX332" s="147"/>
      <c r="BY332" s="196"/>
      <c r="BZ332" s="147"/>
      <c r="CA332" s="192"/>
      <c r="CB332" s="147"/>
      <c r="CC332" s="194"/>
      <c r="CD332" s="147"/>
      <c r="CL332" s="195"/>
      <c r="CM332" s="188"/>
    </row>
    <row r="333" spans="9:91" ht="15">
      <c r="M333" s="163"/>
      <c r="Q333" s="233"/>
      <c r="W333" s="183"/>
      <c r="AG333" s="184"/>
      <c r="AI333" s="185"/>
      <c r="AK333" s="186"/>
      <c r="BE333" s="187"/>
      <c r="BF333" s="188"/>
      <c r="BG333" s="189"/>
      <c r="BH333" s="147"/>
      <c r="BM333" s="190"/>
      <c r="BN333" s="147"/>
      <c r="BQ333" s="191"/>
      <c r="BR333" s="147"/>
      <c r="BS333" s="192"/>
      <c r="BT333" s="147"/>
      <c r="BU333" s="193"/>
      <c r="BV333" s="147"/>
      <c r="BW333" s="192"/>
      <c r="BX333" s="147"/>
      <c r="BY333" s="196"/>
      <c r="BZ333" s="147"/>
      <c r="CA333" s="192"/>
      <c r="CB333" s="147"/>
      <c r="CC333" s="194"/>
      <c r="CD333" s="147"/>
      <c r="CL333" s="195"/>
      <c r="CM333" s="188"/>
    </row>
    <row r="334" spans="9:91" ht="15">
      <c r="I334" s="177"/>
      <c r="M334" s="163"/>
      <c r="Q334" s="233"/>
      <c r="W334" s="183"/>
      <c r="AG334" s="184"/>
      <c r="AI334" s="185"/>
      <c r="AK334" s="186"/>
      <c r="BE334" s="187"/>
      <c r="BF334" s="188"/>
      <c r="BG334" s="189"/>
      <c r="BH334" s="147"/>
      <c r="BM334" s="190"/>
      <c r="BN334" s="147"/>
      <c r="BQ334" s="191"/>
      <c r="BR334" s="147"/>
      <c r="BS334" s="192"/>
      <c r="BT334" s="147"/>
      <c r="BU334" s="193"/>
      <c r="BV334" s="147"/>
      <c r="BW334" s="192"/>
      <c r="BX334" s="147"/>
      <c r="BY334" s="196"/>
      <c r="BZ334" s="147"/>
      <c r="CA334" s="192"/>
      <c r="CB334" s="147"/>
      <c r="CC334" s="194"/>
      <c r="CD334" s="147"/>
      <c r="CL334" s="195"/>
      <c r="CM334" s="188"/>
    </row>
    <row r="335" spans="9:91" ht="15">
      <c r="I335" s="177"/>
      <c r="M335" s="163"/>
      <c r="Q335" s="233"/>
      <c r="W335" s="183"/>
      <c r="AG335" s="184"/>
      <c r="AI335" s="185"/>
      <c r="AK335" s="186"/>
      <c r="BE335" s="187"/>
      <c r="BF335" s="188"/>
      <c r="BG335" s="189"/>
      <c r="BH335" s="147"/>
      <c r="BM335" s="190"/>
      <c r="BN335" s="147"/>
      <c r="BQ335" s="191"/>
      <c r="BR335" s="147"/>
      <c r="BS335" s="192"/>
      <c r="BT335" s="147"/>
      <c r="BU335" s="193"/>
      <c r="BV335" s="147"/>
      <c r="BW335" s="192"/>
      <c r="BX335" s="147"/>
      <c r="BY335" s="196"/>
      <c r="BZ335" s="147"/>
      <c r="CA335" s="192"/>
      <c r="CB335" s="147"/>
      <c r="CC335" s="194"/>
      <c r="CD335" s="147"/>
      <c r="CL335" s="195"/>
      <c r="CM335" s="188"/>
    </row>
    <row r="336" spans="9:91" ht="15">
      <c r="M336" s="163"/>
      <c r="Q336" s="233"/>
      <c r="W336" s="183"/>
      <c r="AG336" s="184"/>
      <c r="AI336" s="185"/>
      <c r="AK336" s="186"/>
      <c r="BE336" s="187"/>
      <c r="BF336" s="188"/>
      <c r="BG336" s="189"/>
      <c r="BH336" s="147"/>
      <c r="BM336" s="190"/>
      <c r="BN336" s="147"/>
      <c r="BQ336" s="191"/>
      <c r="BR336" s="147"/>
      <c r="BS336" s="192"/>
      <c r="BT336" s="147"/>
      <c r="BU336" s="193"/>
      <c r="BV336" s="147"/>
      <c r="BW336" s="192"/>
      <c r="BX336" s="147"/>
      <c r="BY336" s="196"/>
      <c r="BZ336" s="147"/>
      <c r="CA336" s="192"/>
      <c r="CB336" s="147"/>
      <c r="CC336" s="194"/>
      <c r="CD336" s="147"/>
      <c r="CL336" s="195"/>
      <c r="CM336" s="188"/>
    </row>
    <row r="337" spans="9:91" ht="15">
      <c r="M337" s="163"/>
      <c r="Q337" s="233"/>
      <c r="W337" s="183"/>
      <c r="AG337" s="184"/>
      <c r="AI337" s="185"/>
      <c r="AK337" s="186"/>
      <c r="BE337" s="187"/>
      <c r="BF337" s="188"/>
      <c r="BG337" s="189"/>
      <c r="BH337" s="147"/>
      <c r="BM337" s="190"/>
      <c r="BN337" s="147"/>
      <c r="BQ337" s="191"/>
      <c r="BR337" s="147"/>
      <c r="BS337" s="192"/>
      <c r="BT337" s="147"/>
      <c r="BU337" s="193"/>
      <c r="BV337" s="147"/>
      <c r="BW337" s="192"/>
      <c r="BX337" s="147"/>
      <c r="BY337" s="196"/>
      <c r="BZ337" s="147"/>
      <c r="CA337" s="192"/>
      <c r="CB337" s="147"/>
      <c r="CC337" s="194"/>
      <c r="CD337" s="147"/>
      <c r="CL337" s="195"/>
      <c r="CM337" s="188"/>
    </row>
    <row r="338" spans="9:91" ht="15">
      <c r="M338" s="163"/>
      <c r="Q338" s="233"/>
      <c r="W338" s="183"/>
      <c r="AG338" s="184"/>
      <c r="AI338" s="185"/>
      <c r="AK338" s="186"/>
      <c r="BE338" s="187"/>
      <c r="BF338" s="188"/>
      <c r="BG338" s="189"/>
      <c r="BH338" s="147"/>
      <c r="BM338" s="190"/>
      <c r="BN338" s="147"/>
      <c r="BQ338" s="191"/>
      <c r="BR338" s="147"/>
      <c r="BS338" s="192"/>
      <c r="BT338" s="147"/>
      <c r="BU338" s="193"/>
      <c r="BV338" s="147"/>
      <c r="BW338" s="192"/>
      <c r="BX338" s="147"/>
      <c r="BY338" s="196"/>
      <c r="BZ338" s="147"/>
      <c r="CA338" s="192"/>
      <c r="CB338" s="147"/>
      <c r="CC338" s="194"/>
      <c r="CD338" s="147"/>
      <c r="CL338" s="195"/>
      <c r="CM338" s="188"/>
    </row>
    <row r="339" spans="9:91" ht="15">
      <c r="M339" s="163"/>
      <c r="Q339" s="233"/>
      <c r="W339" s="183"/>
      <c r="AG339" s="184"/>
      <c r="AI339" s="185"/>
      <c r="AK339" s="186"/>
      <c r="BE339" s="187"/>
      <c r="BF339" s="188"/>
      <c r="BG339" s="189"/>
      <c r="BH339" s="147"/>
      <c r="BM339" s="190"/>
      <c r="BN339" s="147"/>
      <c r="BQ339" s="191"/>
      <c r="BR339" s="147"/>
      <c r="BS339" s="192"/>
      <c r="BT339" s="147"/>
      <c r="BU339" s="193"/>
      <c r="BV339" s="147"/>
      <c r="BW339" s="192"/>
      <c r="BX339" s="147"/>
      <c r="BY339" s="196"/>
      <c r="BZ339" s="147"/>
      <c r="CA339" s="192"/>
      <c r="CB339" s="147"/>
      <c r="CC339" s="194"/>
      <c r="CD339" s="147"/>
      <c r="CL339" s="195"/>
      <c r="CM339" s="188"/>
    </row>
    <row r="340" spans="9:91" ht="15">
      <c r="K340" s="181"/>
      <c r="M340" s="163"/>
      <c r="Q340" s="233"/>
      <c r="W340" s="183"/>
      <c r="AG340" s="184"/>
      <c r="AI340" s="185"/>
      <c r="AK340" s="186"/>
      <c r="BE340" s="187"/>
      <c r="BF340" s="188"/>
      <c r="BG340" s="189"/>
      <c r="BH340" s="147"/>
      <c r="BM340" s="190"/>
      <c r="BN340" s="147"/>
      <c r="BQ340" s="191"/>
      <c r="BR340" s="147"/>
      <c r="BS340" s="192"/>
      <c r="BT340" s="147"/>
      <c r="BU340" s="193"/>
      <c r="BV340" s="147"/>
      <c r="BW340" s="192"/>
      <c r="BX340" s="147"/>
      <c r="BY340" s="196"/>
      <c r="BZ340" s="147"/>
      <c r="CA340" s="192"/>
      <c r="CB340" s="147"/>
      <c r="CC340" s="194"/>
      <c r="CD340" s="147"/>
      <c r="CL340" s="195"/>
      <c r="CM340" s="188"/>
    </row>
    <row r="341" spans="9:91" ht="15">
      <c r="K341" s="181"/>
      <c r="M341" s="163"/>
      <c r="Q341" s="233"/>
      <c r="W341" s="183"/>
      <c r="AG341" s="184"/>
      <c r="AI341" s="185"/>
      <c r="AK341" s="186"/>
      <c r="BE341" s="187"/>
      <c r="BF341" s="188"/>
      <c r="BG341" s="189"/>
      <c r="BH341" s="147"/>
      <c r="BM341" s="190"/>
      <c r="BN341" s="147"/>
      <c r="BQ341" s="191"/>
      <c r="BR341" s="147"/>
      <c r="BS341" s="192"/>
      <c r="BT341" s="147"/>
      <c r="BU341" s="193"/>
      <c r="BV341" s="147"/>
      <c r="BW341" s="192"/>
      <c r="BX341" s="147"/>
      <c r="BY341" s="196"/>
      <c r="BZ341" s="147"/>
      <c r="CA341" s="192"/>
      <c r="CB341" s="147"/>
      <c r="CC341" s="194"/>
      <c r="CD341" s="147"/>
      <c r="CL341" s="195"/>
      <c r="CM341" s="188"/>
    </row>
    <row r="342" spans="9:91" ht="15">
      <c r="I342" s="177"/>
      <c r="M342" s="163"/>
      <c r="Q342" s="233"/>
      <c r="W342" s="183"/>
      <c r="AG342" s="184"/>
      <c r="AI342" s="185"/>
      <c r="AK342" s="186"/>
      <c r="BE342" s="187"/>
      <c r="BF342" s="188"/>
      <c r="BG342" s="189"/>
      <c r="BH342" s="147"/>
      <c r="BM342" s="190"/>
      <c r="BN342" s="147"/>
      <c r="BQ342" s="191"/>
      <c r="BR342" s="147"/>
      <c r="BS342" s="192"/>
      <c r="BT342" s="147"/>
      <c r="BU342" s="193"/>
      <c r="BV342" s="147"/>
      <c r="BW342" s="192"/>
      <c r="BX342" s="147"/>
      <c r="BY342" s="196"/>
      <c r="BZ342" s="147"/>
      <c r="CA342" s="192"/>
      <c r="CB342" s="147"/>
      <c r="CC342" s="194"/>
      <c r="CD342" s="147"/>
      <c r="CL342" s="195"/>
      <c r="CM342" s="188"/>
    </row>
    <row r="343" spans="9:91" ht="15">
      <c r="M343" s="163"/>
      <c r="Q343" s="233"/>
      <c r="W343" s="183"/>
      <c r="AG343" s="184"/>
      <c r="AI343" s="185"/>
      <c r="AK343" s="186"/>
      <c r="BE343" s="187"/>
      <c r="BF343" s="188"/>
      <c r="BG343" s="189"/>
      <c r="BH343" s="147"/>
      <c r="BM343" s="190"/>
      <c r="BN343" s="147"/>
      <c r="BQ343" s="191"/>
      <c r="BR343" s="147"/>
      <c r="BS343" s="192"/>
      <c r="BT343" s="147"/>
      <c r="BU343" s="193"/>
      <c r="BV343" s="147"/>
      <c r="BW343" s="192"/>
      <c r="BX343" s="147"/>
      <c r="BY343" s="196"/>
      <c r="BZ343" s="147"/>
      <c r="CA343" s="192"/>
      <c r="CB343" s="147"/>
      <c r="CC343" s="194"/>
      <c r="CD343" s="147"/>
      <c r="CL343" s="195"/>
      <c r="CM343" s="188"/>
    </row>
    <row r="344" spans="9:91" ht="15">
      <c r="M344" s="163"/>
      <c r="Q344" s="233"/>
      <c r="W344" s="183"/>
      <c r="AG344" s="184"/>
      <c r="AI344" s="185"/>
      <c r="AK344" s="186"/>
      <c r="BE344" s="187"/>
      <c r="BF344" s="188"/>
      <c r="BG344" s="189"/>
      <c r="BH344" s="147"/>
      <c r="BM344" s="190"/>
      <c r="BN344" s="147"/>
      <c r="BQ344" s="191"/>
      <c r="BR344" s="147"/>
      <c r="BS344" s="192"/>
      <c r="BT344" s="147"/>
      <c r="BU344" s="193"/>
      <c r="BV344" s="147"/>
      <c r="BW344" s="192"/>
      <c r="BX344" s="147"/>
      <c r="BY344" s="196"/>
      <c r="BZ344" s="147"/>
      <c r="CA344" s="192"/>
      <c r="CB344" s="147"/>
      <c r="CC344" s="194"/>
      <c r="CD344" s="147"/>
      <c r="CL344" s="195"/>
      <c r="CM344" s="188"/>
    </row>
    <row r="345" spans="9:91" ht="15">
      <c r="M345" s="163"/>
      <c r="Q345" s="233"/>
      <c r="W345" s="183"/>
      <c r="AG345" s="184"/>
      <c r="AI345" s="185"/>
      <c r="AK345" s="186"/>
      <c r="BE345" s="187"/>
      <c r="BF345" s="188"/>
      <c r="BG345" s="189"/>
      <c r="BH345" s="147"/>
      <c r="BM345" s="190"/>
      <c r="BN345" s="147"/>
      <c r="BQ345" s="191"/>
      <c r="BR345" s="147"/>
      <c r="BS345" s="192"/>
      <c r="BT345" s="147"/>
      <c r="BU345" s="193"/>
      <c r="BV345" s="147"/>
      <c r="BW345" s="192"/>
      <c r="BX345" s="147"/>
      <c r="BY345" s="196"/>
      <c r="BZ345" s="147"/>
      <c r="CA345" s="192"/>
      <c r="CB345" s="147"/>
      <c r="CC345" s="194"/>
      <c r="CD345" s="147"/>
      <c r="CL345" s="195"/>
      <c r="CM345" s="188"/>
    </row>
    <row r="346" spans="9:91" ht="15">
      <c r="M346" s="163"/>
      <c r="Q346" s="233"/>
      <c r="W346" s="183"/>
      <c r="AG346" s="184"/>
      <c r="AI346" s="185"/>
      <c r="AK346" s="186"/>
      <c r="BE346" s="187"/>
      <c r="BF346" s="188"/>
      <c r="BG346" s="189"/>
      <c r="BH346" s="147"/>
      <c r="BM346" s="190"/>
      <c r="BN346" s="147"/>
      <c r="BQ346" s="191"/>
      <c r="BR346" s="147"/>
      <c r="BS346" s="192"/>
      <c r="BT346" s="147"/>
      <c r="BU346" s="193"/>
      <c r="BV346" s="147"/>
      <c r="BW346" s="192"/>
      <c r="BX346" s="147"/>
      <c r="BY346" s="196"/>
      <c r="BZ346" s="147"/>
      <c r="CA346" s="192"/>
      <c r="CB346" s="147"/>
      <c r="CC346" s="194"/>
      <c r="CD346" s="147"/>
      <c r="CL346" s="195"/>
      <c r="CM346" s="188"/>
    </row>
    <row r="347" spans="9:91" ht="15">
      <c r="M347" s="163"/>
      <c r="Q347" s="233"/>
      <c r="W347" s="183"/>
      <c r="AG347" s="184"/>
      <c r="AI347" s="185"/>
      <c r="AK347" s="186"/>
      <c r="BE347" s="187"/>
      <c r="BF347" s="188"/>
      <c r="BG347" s="189"/>
      <c r="BH347" s="147"/>
      <c r="BM347" s="190"/>
      <c r="BN347" s="147"/>
      <c r="BQ347" s="191"/>
      <c r="BR347" s="147"/>
      <c r="BS347" s="192"/>
      <c r="BT347" s="147"/>
      <c r="BU347" s="193"/>
      <c r="BV347" s="147"/>
      <c r="BW347" s="192"/>
      <c r="BX347" s="147"/>
      <c r="BY347" s="196"/>
      <c r="BZ347" s="147"/>
      <c r="CA347" s="192"/>
      <c r="CB347" s="147"/>
      <c r="CC347" s="194"/>
      <c r="CD347" s="147"/>
      <c r="CL347" s="195"/>
      <c r="CM347" s="188"/>
    </row>
    <row r="348" spans="9:91" ht="15">
      <c r="M348" s="163"/>
      <c r="Q348" s="233"/>
      <c r="W348" s="183"/>
      <c r="AG348" s="184"/>
      <c r="AI348" s="185"/>
      <c r="AK348" s="186"/>
      <c r="BE348" s="187"/>
      <c r="BF348" s="188"/>
      <c r="BG348" s="189"/>
      <c r="BH348" s="147"/>
      <c r="BM348" s="190"/>
      <c r="BN348" s="147"/>
      <c r="BQ348" s="191"/>
      <c r="BR348" s="147"/>
      <c r="BS348" s="192"/>
      <c r="BT348" s="147"/>
      <c r="BU348" s="193"/>
      <c r="BV348" s="147"/>
      <c r="BW348" s="192"/>
      <c r="BX348" s="147"/>
      <c r="BY348" s="196"/>
      <c r="BZ348" s="147"/>
      <c r="CA348" s="192"/>
      <c r="CB348" s="147"/>
      <c r="CC348" s="194"/>
      <c r="CD348" s="147"/>
      <c r="CL348" s="195"/>
      <c r="CM348" s="188"/>
    </row>
    <row r="349" spans="9:91" ht="15">
      <c r="M349" s="163"/>
      <c r="Q349" s="233"/>
      <c r="W349" s="183"/>
      <c r="AG349" s="184"/>
      <c r="AI349" s="185"/>
      <c r="AK349" s="186"/>
      <c r="BE349" s="187"/>
      <c r="BF349" s="188"/>
      <c r="BG349" s="189"/>
      <c r="BH349" s="147"/>
      <c r="BM349" s="190"/>
      <c r="BN349" s="147"/>
      <c r="BQ349" s="191"/>
      <c r="BR349" s="147"/>
      <c r="BS349" s="192"/>
      <c r="BT349" s="147"/>
      <c r="BU349" s="193"/>
      <c r="BV349" s="147"/>
      <c r="BW349" s="192"/>
      <c r="BX349" s="147"/>
      <c r="BY349" s="196"/>
      <c r="BZ349" s="147"/>
      <c r="CA349" s="192"/>
      <c r="CB349" s="147"/>
      <c r="CC349" s="194"/>
      <c r="CD349" s="147"/>
      <c r="CL349" s="195"/>
      <c r="CM349" s="188"/>
    </row>
    <row r="350" spans="9:91" ht="15">
      <c r="M350" s="163"/>
      <c r="Q350" s="233"/>
      <c r="W350" s="183"/>
      <c r="AG350" s="184"/>
      <c r="AI350" s="185"/>
      <c r="AK350" s="186"/>
      <c r="BE350" s="187"/>
      <c r="BF350" s="188"/>
      <c r="BG350" s="189"/>
      <c r="BH350" s="147"/>
      <c r="BM350" s="190"/>
      <c r="BN350" s="147"/>
      <c r="BQ350" s="191"/>
      <c r="BR350" s="147"/>
      <c r="BS350" s="192"/>
      <c r="BT350" s="147"/>
      <c r="BU350" s="193"/>
      <c r="BV350" s="147"/>
      <c r="BW350" s="192"/>
      <c r="BX350" s="147"/>
      <c r="BY350" s="196"/>
      <c r="BZ350" s="147"/>
      <c r="CA350" s="192"/>
      <c r="CB350" s="147"/>
      <c r="CC350" s="194"/>
      <c r="CD350" s="147"/>
      <c r="CL350" s="195"/>
      <c r="CM350" s="188"/>
    </row>
    <row r="351" spans="9:91" ht="15">
      <c r="M351" s="163"/>
      <c r="Q351" s="233"/>
      <c r="W351" s="183"/>
      <c r="AG351" s="184"/>
      <c r="AI351" s="185"/>
      <c r="AK351" s="186"/>
      <c r="BE351" s="187"/>
      <c r="BF351" s="188"/>
      <c r="BG351" s="189"/>
      <c r="BH351" s="147"/>
      <c r="BM351" s="190"/>
      <c r="BN351" s="147"/>
      <c r="BQ351" s="191"/>
      <c r="BR351" s="147"/>
      <c r="BS351" s="192"/>
      <c r="BT351" s="147"/>
      <c r="BU351" s="193"/>
      <c r="BV351" s="147"/>
      <c r="BW351" s="192"/>
      <c r="BX351" s="147"/>
      <c r="BY351" s="196"/>
      <c r="BZ351" s="147"/>
      <c r="CA351" s="192"/>
      <c r="CB351" s="147"/>
      <c r="CC351" s="194"/>
      <c r="CD351" s="147"/>
      <c r="CL351" s="195"/>
      <c r="CM351" s="188"/>
    </row>
    <row r="352" spans="9:91" ht="15">
      <c r="I352" s="177"/>
      <c r="M352" s="163"/>
      <c r="Q352" s="233"/>
      <c r="W352" s="183"/>
      <c r="AG352" s="184"/>
      <c r="AI352" s="185"/>
      <c r="AK352" s="186"/>
      <c r="BE352" s="187"/>
      <c r="BF352" s="188"/>
      <c r="BG352" s="189"/>
      <c r="BH352" s="147"/>
      <c r="BM352" s="190"/>
      <c r="BN352" s="147"/>
      <c r="BQ352" s="191"/>
      <c r="BR352" s="147"/>
      <c r="BS352" s="192"/>
      <c r="BT352" s="147"/>
      <c r="BU352" s="193"/>
      <c r="BV352" s="147"/>
      <c r="BW352" s="192"/>
      <c r="BX352" s="147"/>
      <c r="BY352" s="196"/>
      <c r="BZ352" s="147"/>
      <c r="CA352" s="192"/>
      <c r="CB352" s="147"/>
      <c r="CC352" s="194"/>
      <c r="CD352" s="147"/>
      <c r="CL352" s="195"/>
      <c r="CM352" s="188"/>
    </row>
    <row r="353" spans="1:91" ht="15">
      <c r="M353" s="163"/>
      <c r="Q353" s="233"/>
      <c r="W353" s="183"/>
      <c r="AG353" s="184"/>
      <c r="AI353" s="185"/>
      <c r="AK353" s="186"/>
      <c r="BE353" s="187"/>
      <c r="BF353" s="188"/>
      <c r="BG353" s="189"/>
      <c r="BH353" s="147"/>
      <c r="BM353" s="190"/>
      <c r="BN353" s="147"/>
      <c r="BQ353" s="191"/>
      <c r="BR353" s="147"/>
      <c r="BS353" s="192"/>
      <c r="BT353" s="147"/>
      <c r="BU353" s="193"/>
      <c r="BV353" s="147"/>
      <c r="BW353" s="192"/>
      <c r="BX353" s="147"/>
      <c r="BY353" s="196"/>
      <c r="BZ353" s="147"/>
      <c r="CA353" s="192"/>
      <c r="CB353" s="147"/>
      <c r="CC353" s="194"/>
      <c r="CD353" s="147"/>
      <c r="CL353" s="195"/>
      <c r="CM353" s="188"/>
    </row>
    <row r="354" spans="1:91" ht="15">
      <c r="I354" s="177"/>
      <c r="J354" s="177"/>
      <c r="M354" s="163"/>
      <c r="Q354" s="233"/>
      <c r="W354" s="183"/>
      <c r="AG354" s="184"/>
      <c r="AI354" s="185"/>
      <c r="AK354" s="186"/>
      <c r="BE354" s="187"/>
      <c r="BF354" s="188"/>
      <c r="BG354" s="189"/>
      <c r="BH354" s="147"/>
      <c r="BM354" s="190"/>
      <c r="BN354" s="147"/>
      <c r="BQ354" s="191"/>
      <c r="BR354" s="147"/>
      <c r="BS354" s="192"/>
      <c r="BT354" s="147"/>
      <c r="BU354" s="193"/>
      <c r="BV354" s="147"/>
      <c r="BW354" s="192"/>
      <c r="BX354" s="147"/>
      <c r="BY354" s="196"/>
      <c r="BZ354" s="147"/>
      <c r="CA354" s="192"/>
      <c r="CB354" s="147"/>
      <c r="CC354" s="194"/>
      <c r="CD354" s="147"/>
      <c r="CL354" s="195"/>
      <c r="CM354" s="188"/>
    </row>
    <row r="355" spans="1:91" ht="15">
      <c r="K355" s="181"/>
      <c r="M355" s="163"/>
      <c r="Q355" s="233"/>
      <c r="W355" s="183"/>
      <c r="AG355" s="184"/>
      <c r="AI355" s="185"/>
      <c r="AK355" s="186"/>
      <c r="BE355" s="187"/>
      <c r="BF355" s="188"/>
      <c r="BG355" s="189"/>
      <c r="BH355" s="147"/>
      <c r="BM355" s="190"/>
      <c r="BN355" s="147"/>
      <c r="BQ355" s="191"/>
      <c r="BR355" s="147"/>
      <c r="BS355" s="192"/>
      <c r="BT355" s="147"/>
      <c r="BU355" s="193"/>
      <c r="BV355" s="147"/>
      <c r="BW355" s="192"/>
      <c r="BX355" s="147"/>
      <c r="BY355" s="196"/>
      <c r="BZ355" s="147"/>
      <c r="CA355" s="192"/>
      <c r="CB355" s="147"/>
      <c r="CC355" s="194"/>
      <c r="CD355" s="147"/>
      <c r="CL355" s="195"/>
      <c r="CM355" s="188"/>
    </row>
    <row r="356" spans="1:91" ht="15">
      <c r="A356" s="221"/>
      <c r="B356" s="221"/>
      <c r="C356" s="222"/>
      <c r="D356" s="222"/>
      <c r="E356" s="222"/>
      <c r="G356" s="223"/>
      <c r="H356" s="223"/>
      <c r="I356" s="222"/>
      <c r="J356" s="222"/>
      <c r="K356" s="224"/>
      <c r="L356" s="225"/>
      <c r="M356" s="226"/>
      <c r="N356" s="225"/>
      <c r="O356" s="224"/>
      <c r="P356" s="225"/>
      <c r="Q356" s="233"/>
      <c r="R356" s="225"/>
      <c r="S356" s="224"/>
      <c r="T356" s="225"/>
      <c r="U356" s="224"/>
      <c r="V356" s="225"/>
      <c r="W356" s="226"/>
      <c r="X356" s="225"/>
      <c r="Z356" s="225"/>
      <c r="AA356" s="224"/>
      <c r="AB356" s="225"/>
      <c r="AC356" s="224"/>
      <c r="AD356" s="225"/>
      <c r="AE356" s="224"/>
      <c r="AF356" s="225"/>
      <c r="AG356" s="226"/>
      <c r="AH356" s="225"/>
      <c r="AI356" s="226"/>
      <c r="AJ356" s="225"/>
      <c r="AK356" s="226"/>
      <c r="AL356" s="225"/>
      <c r="AM356" s="224"/>
      <c r="AN356" s="225"/>
      <c r="AO356" s="224"/>
      <c r="AP356" s="224"/>
      <c r="AQ356" s="224"/>
      <c r="AR356" s="224"/>
      <c r="AS356" s="224"/>
      <c r="AT356" s="224"/>
      <c r="AU356" s="224"/>
      <c r="AV356" s="224"/>
      <c r="AW356" s="224"/>
      <c r="AX356" s="224"/>
      <c r="AY356" s="224"/>
      <c r="AZ356" s="224"/>
      <c r="BA356" s="224"/>
      <c r="BB356" s="224"/>
      <c r="BC356" s="224"/>
      <c r="BD356" s="224"/>
      <c r="BE356" s="226"/>
      <c r="BF356" s="227"/>
      <c r="BG356" s="228"/>
      <c r="BH356" s="225"/>
      <c r="BI356" s="229"/>
      <c r="BJ356" s="229"/>
      <c r="BK356" s="229"/>
      <c r="BL356" s="229"/>
      <c r="BM356" s="228"/>
      <c r="BN356" s="225"/>
      <c r="BO356" s="229"/>
      <c r="BP356" s="229"/>
      <c r="BQ356" s="228"/>
      <c r="BR356" s="225"/>
      <c r="BS356" s="228"/>
      <c r="BT356" s="225"/>
      <c r="BU356" s="228"/>
      <c r="BV356" s="225"/>
      <c r="BW356" s="228"/>
      <c r="BX356" s="225"/>
      <c r="BY356" s="228"/>
      <c r="BZ356" s="225"/>
      <c r="CA356" s="228"/>
      <c r="CB356" s="225"/>
      <c r="CC356" s="228"/>
      <c r="CD356" s="225"/>
      <c r="CE356" s="229"/>
      <c r="CF356" s="229"/>
      <c r="CG356" s="229"/>
      <c r="CH356" s="229"/>
      <c r="CI356" s="229"/>
      <c r="CJ356" s="229"/>
      <c r="CK356" s="229"/>
      <c r="CL356" s="228"/>
      <c r="CM356" s="227"/>
    </row>
    <row r="357" spans="1:91" ht="15">
      <c r="K357" s="181"/>
      <c r="M357" s="163"/>
      <c r="Q357" s="233"/>
      <c r="W357" s="183"/>
      <c r="AG357" s="184"/>
      <c r="AI357" s="185"/>
      <c r="AK357" s="186"/>
      <c r="BE357" s="187"/>
      <c r="BF357" s="188"/>
      <c r="BG357" s="189"/>
      <c r="BH357" s="147"/>
      <c r="BM357" s="190"/>
      <c r="BN357" s="147"/>
      <c r="BQ357" s="191"/>
      <c r="BR357" s="147"/>
      <c r="BS357" s="192"/>
      <c r="BT357" s="147"/>
      <c r="BU357" s="193"/>
      <c r="BV357" s="147"/>
      <c r="BW357" s="192"/>
      <c r="BX357" s="147"/>
      <c r="BY357" s="196"/>
      <c r="BZ357" s="147"/>
      <c r="CA357" s="192"/>
      <c r="CB357" s="147"/>
      <c r="CC357" s="194"/>
      <c r="CD357" s="147"/>
      <c r="CL357" s="195"/>
      <c r="CM357" s="188"/>
    </row>
    <row r="358" spans="1:91" ht="15">
      <c r="M358" s="163"/>
      <c r="Q358" s="233"/>
      <c r="W358" s="183"/>
      <c r="AG358" s="184"/>
      <c r="AI358" s="185"/>
      <c r="AK358" s="186"/>
      <c r="BE358" s="187"/>
      <c r="BF358" s="188"/>
      <c r="BG358" s="189"/>
      <c r="BH358" s="147"/>
      <c r="BM358" s="190"/>
      <c r="BN358" s="147"/>
      <c r="BQ358" s="191"/>
      <c r="BR358" s="147"/>
      <c r="BS358" s="192"/>
      <c r="BT358" s="147"/>
      <c r="BU358" s="193"/>
      <c r="BV358" s="147"/>
      <c r="BW358" s="192"/>
      <c r="BX358" s="147"/>
      <c r="BY358" s="196"/>
      <c r="BZ358" s="147"/>
      <c r="CA358" s="192"/>
      <c r="CB358" s="147"/>
      <c r="CC358" s="194"/>
      <c r="CD358" s="147"/>
      <c r="CL358" s="195"/>
      <c r="CM358" s="188"/>
    </row>
    <row r="359" spans="1:91" ht="15">
      <c r="K359" s="181"/>
      <c r="M359" s="163"/>
      <c r="Q359" s="233"/>
      <c r="W359" s="183"/>
      <c r="AG359" s="184"/>
      <c r="AI359" s="185"/>
      <c r="AK359" s="186"/>
      <c r="BE359" s="187"/>
      <c r="BF359" s="188"/>
      <c r="BG359" s="189"/>
      <c r="BH359" s="147"/>
      <c r="BM359" s="190"/>
      <c r="BN359" s="147"/>
      <c r="BQ359" s="191"/>
      <c r="BR359" s="147"/>
      <c r="BS359" s="192"/>
      <c r="BT359" s="147"/>
      <c r="BU359" s="193"/>
      <c r="BV359" s="147"/>
      <c r="BW359" s="192"/>
      <c r="BX359" s="147"/>
      <c r="BY359" s="196"/>
      <c r="BZ359" s="147"/>
      <c r="CA359" s="192"/>
      <c r="CB359" s="147"/>
      <c r="CC359" s="194"/>
      <c r="CD359" s="147"/>
      <c r="CL359" s="195"/>
      <c r="CM359" s="188"/>
    </row>
    <row r="360" spans="1:91" ht="15">
      <c r="K360" s="181"/>
      <c r="M360" s="163"/>
      <c r="Q360" s="233"/>
      <c r="W360" s="183"/>
      <c r="AG360" s="184"/>
      <c r="AI360" s="185"/>
      <c r="AK360" s="186"/>
      <c r="BE360" s="187"/>
      <c r="BF360" s="188"/>
      <c r="BG360" s="189"/>
      <c r="BH360" s="147"/>
      <c r="BM360" s="190"/>
      <c r="BN360" s="147"/>
      <c r="BQ360" s="191"/>
      <c r="BR360" s="147"/>
      <c r="BS360" s="192"/>
      <c r="BT360" s="147"/>
      <c r="BU360" s="193"/>
      <c r="BV360" s="147"/>
      <c r="BW360" s="192"/>
      <c r="BX360" s="147"/>
      <c r="BY360" s="196"/>
      <c r="BZ360" s="147"/>
      <c r="CA360" s="192"/>
      <c r="CB360" s="147"/>
      <c r="CC360" s="194"/>
      <c r="CD360" s="147"/>
      <c r="CL360" s="195"/>
      <c r="CM360" s="188"/>
    </row>
    <row r="361" spans="1:91" ht="15">
      <c r="M361" s="163"/>
      <c r="Q361" s="233"/>
      <c r="W361" s="183"/>
      <c r="AG361" s="184"/>
      <c r="AI361" s="185"/>
      <c r="AK361" s="186"/>
      <c r="BE361" s="187"/>
      <c r="BF361" s="188"/>
      <c r="BG361" s="189"/>
      <c r="BH361" s="147"/>
      <c r="BM361" s="190"/>
      <c r="BN361" s="147"/>
      <c r="BQ361" s="191"/>
      <c r="BR361" s="147"/>
      <c r="BS361" s="192"/>
      <c r="BT361" s="147"/>
      <c r="BU361" s="193"/>
      <c r="BV361" s="147"/>
      <c r="BW361" s="192"/>
      <c r="BX361" s="147"/>
      <c r="BY361" s="196"/>
      <c r="BZ361" s="147"/>
      <c r="CA361" s="192"/>
      <c r="CB361" s="147"/>
      <c r="CC361" s="194"/>
      <c r="CD361" s="147"/>
      <c r="CL361" s="195"/>
      <c r="CM361" s="188"/>
    </row>
    <row r="362" spans="1:91" ht="15">
      <c r="M362" s="163"/>
      <c r="Q362" s="233"/>
      <c r="W362" s="183"/>
      <c r="AG362" s="184"/>
      <c r="AI362" s="185"/>
      <c r="AK362" s="186"/>
      <c r="BE362" s="187"/>
      <c r="BF362" s="188"/>
      <c r="BG362" s="189"/>
      <c r="BH362" s="147"/>
      <c r="BM362" s="190"/>
      <c r="BN362" s="147"/>
      <c r="BQ362" s="191"/>
      <c r="BR362" s="147"/>
      <c r="BS362" s="192"/>
      <c r="BT362" s="147"/>
      <c r="BU362" s="193"/>
      <c r="BV362" s="147"/>
      <c r="BW362" s="192"/>
      <c r="BX362" s="147"/>
      <c r="BY362" s="196"/>
      <c r="BZ362" s="147"/>
      <c r="CA362" s="192"/>
      <c r="CB362" s="147"/>
      <c r="CC362" s="194"/>
      <c r="CD362" s="147"/>
      <c r="CL362" s="195"/>
      <c r="CM362" s="188"/>
    </row>
    <row r="363" spans="1:91" ht="15">
      <c r="M363" s="163"/>
      <c r="Q363" s="233"/>
      <c r="W363" s="183"/>
      <c r="AG363" s="184"/>
      <c r="AI363" s="185"/>
      <c r="AK363" s="186"/>
      <c r="BE363" s="187"/>
      <c r="BF363" s="188"/>
      <c r="BG363" s="189"/>
      <c r="BH363" s="147"/>
      <c r="BM363" s="190"/>
      <c r="BN363" s="147"/>
      <c r="BQ363" s="191"/>
      <c r="BR363" s="147"/>
      <c r="BS363" s="192"/>
      <c r="BT363" s="147"/>
      <c r="BU363" s="193"/>
      <c r="BV363" s="147"/>
      <c r="BW363" s="192"/>
      <c r="BX363" s="147"/>
      <c r="BY363" s="196"/>
      <c r="BZ363" s="147"/>
      <c r="CA363" s="192"/>
      <c r="CB363" s="147"/>
      <c r="CC363" s="194"/>
      <c r="CD363" s="147"/>
      <c r="CL363" s="195"/>
      <c r="CM363" s="188"/>
    </row>
    <row r="364" spans="1:91" ht="15">
      <c r="K364" s="181"/>
      <c r="M364" s="163"/>
      <c r="Q364" s="233"/>
      <c r="W364" s="183"/>
      <c r="AG364" s="184"/>
      <c r="AI364" s="185"/>
      <c r="AK364" s="186"/>
      <c r="BE364" s="187"/>
      <c r="BF364" s="188"/>
      <c r="BG364" s="189"/>
      <c r="BH364" s="147"/>
      <c r="BM364" s="190"/>
      <c r="BN364" s="147"/>
      <c r="BQ364" s="191"/>
      <c r="BR364" s="147"/>
      <c r="BS364" s="192"/>
      <c r="BT364" s="147"/>
      <c r="BU364" s="193"/>
      <c r="BV364" s="147"/>
      <c r="BW364" s="192"/>
      <c r="BX364" s="147"/>
      <c r="BY364" s="196"/>
      <c r="BZ364" s="147"/>
      <c r="CA364" s="192"/>
      <c r="CB364" s="147"/>
      <c r="CC364" s="194"/>
      <c r="CD364" s="147"/>
      <c r="CL364" s="195"/>
      <c r="CM364" s="188"/>
    </row>
    <row r="365" spans="1:91" ht="15">
      <c r="I365" s="177"/>
      <c r="M365" s="163"/>
      <c r="Q365" s="233"/>
      <c r="W365" s="183"/>
      <c r="AG365" s="184"/>
      <c r="AI365" s="185"/>
      <c r="AK365" s="186"/>
      <c r="BE365" s="187"/>
      <c r="BF365" s="188"/>
      <c r="BG365" s="189"/>
      <c r="BH365" s="147"/>
      <c r="BM365" s="190"/>
      <c r="BN365" s="147"/>
      <c r="BQ365" s="191"/>
      <c r="BR365" s="147"/>
      <c r="BS365" s="192"/>
      <c r="BT365" s="147"/>
      <c r="BU365" s="193"/>
      <c r="BV365" s="147"/>
      <c r="BW365" s="192"/>
      <c r="BX365" s="147"/>
      <c r="BY365" s="196"/>
      <c r="BZ365" s="147"/>
      <c r="CA365" s="192"/>
      <c r="CB365" s="147"/>
      <c r="CC365" s="194"/>
      <c r="CD365" s="147"/>
      <c r="CL365" s="195"/>
      <c r="CM365" s="188"/>
    </row>
    <row r="366" spans="1:91" ht="15">
      <c r="M366" s="163"/>
      <c r="Q366" s="233"/>
      <c r="W366" s="183"/>
      <c r="AG366" s="184"/>
      <c r="AI366" s="185"/>
      <c r="AK366" s="186"/>
      <c r="BE366" s="187"/>
      <c r="BF366" s="188"/>
      <c r="BG366" s="189"/>
      <c r="BH366" s="147"/>
      <c r="BM366" s="190"/>
      <c r="BN366" s="147"/>
      <c r="BQ366" s="191"/>
      <c r="BR366" s="147"/>
      <c r="BS366" s="192"/>
      <c r="BT366" s="147"/>
      <c r="BU366" s="193"/>
      <c r="BV366" s="147"/>
      <c r="BW366" s="192"/>
      <c r="BX366" s="147"/>
      <c r="BY366" s="196"/>
      <c r="BZ366" s="147"/>
      <c r="CA366" s="192"/>
      <c r="CB366" s="147"/>
      <c r="CC366" s="194"/>
      <c r="CD366" s="147"/>
      <c r="CL366" s="195"/>
      <c r="CM366" s="188"/>
    </row>
    <row r="367" spans="1:91" ht="15">
      <c r="I367" s="177"/>
      <c r="M367" s="163"/>
      <c r="Q367" s="233"/>
      <c r="W367" s="183"/>
      <c r="AG367" s="184"/>
      <c r="AI367" s="185"/>
      <c r="AK367" s="186"/>
      <c r="BE367" s="187"/>
      <c r="BF367" s="188"/>
      <c r="BG367" s="189"/>
      <c r="BH367" s="147"/>
      <c r="BM367" s="190"/>
      <c r="BN367" s="147"/>
      <c r="BQ367" s="191"/>
      <c r="BR367" s="147"/>
      <c r="BS367" s="192"/>
      <c r="BT367" s="147"/>
      <c r="BU367" s="193"/>
      <c r="BV367" s="147"/>
      <c r="BW367" s="192"/>
      <c r="BX367" s="147"/>
      <c r="BY367" s="196"/>
      <c r="BZ367" s="147"/>
      <c r="CA367" s="192"/>
      <c r="CB367" s="147"/>
      <c r="CC367" s="194"/>
      <c r="CD367" s="147"/>
      <c r="CL367" s="195"/>
      <c r="CM367" s="188"/>
    </row>
    <row r="368" spans="1:91" ht="15">
      <c r="M368" s="163"/>
      <c r="Q368" s="233"/>
      <c r="W368" s="183"/>
      <c r="AG368" s="184"/>
      <c r="AI368" s="185"/>
      <c r="AK368" s="186"/>
      <c r="BE368" s="187"/>
      <c r="BF368" s="188"/>
      <c r="BG368" s="189"/>
      <c r="BH368" s="147"/>
      <c r="BM368" s="190"/>
      <c r="BN368" s="147"/>
      <c r="BQ368" s="191"/>
      <c r="BR368" s="147"/>
      <c r="BS368" s="192"/>
      <c r="BT368" s="147"/>
      <c r="BU368" s="193"/>
      <c r="BV368" s="147"/>
      <c r="BW368" s="192"/>
      <c r="BX368" s="147"/>
      <c r="BY368" s="196"/>
      <c r="BZ368" s="147"/>
      <c r="CA368" s="192"/>
      <c r="CB368" s="147"/>
      <c r="CC368" s="194"/>
      <c r="CD368" s="147"/>
      <c r="CL368" s="195"/>
      <c r="CM368" s="188"/>
    </row>
    <row r="369" spans="9:91" ht="15">
      <c r="M369" s="163"/>
      <c r="Q369" s="233"/>
      <c r="W369" s="183"/>
      <c r="AG369" s="184"/>
      <c r="AI369" s="185"/>
      <c r="AK369" s="186"/>
      <c r="BE369" s="187"/>
      <c r="BF369" s="188"/>
      <c r="BG369" s="189"/>
      <c r="BH369" s="147"/>
      <c r="BM369" s="190"/>
      <c r="BN369" s="147"/>
      <c r="BQ369" s="191"/>
      <c r="BR369" s="147"/>
      <c r="BS369" s="192"/>
      <c r="BT369" s="147"/>
      <c r="BU369" s="193"/>
      <c r="BV369" s="147"/>
      <c r="BW369" s="192"/>
      <c r="BX369" s="147"/>
      <c r="BY369" s="196"/>
      <c r="BZ369" s="147"/>
      <c r="CA369" s="192"/>
      <c r="CB369" s="147"/>
      <c r="CC369" s="194"/>
      <c r="CD369" s="147"/>
      <c r="CL369" s="195"/>
      <c r="CM369" s="188"/>
    </row>
    <row r="370" spans="9:91" ht="15">
      <c r="M370" s="163"/>
      <c r="Q370" s="233"/>
      <c r="W370" s="183"/>
      <c r="AG370" s="184"/>
      <c r="AI370" s="185"/>
      <c r="AK370" s="186"/>
      <c r="BE370" s="187"/>
      <c r="BF370" s="188"/>
      <c r="BG370" s="189"/>
      <c r="BH370" s="147"/>
      <c r="BM370" s="190"/>
      <c r="BN370" s="147"/>
      <c r="BQ370" s="191"/>
      <c r="BR370" s="147"/>
      <c r="BS370" s="192"/>
      <c r="BT370" s="147"/>
      <c r="BU370" s="193"/>
      <c r="BV370" s="147"/>
      <c r="BW370" s="192"/>
      <c r="BX370" s="147"/>
      <c r="BY370" s="196"/>
      <c r="BZ370" s="147"/>
      <c r="CA370" s="192"/>
      <c r="CB370" s="147"/>
      <c r="CC370" s="194"/>
      <c r="CD370" s="147"/>
      <c r="CL370" s="195"/>
      <c r="CM370" s="188"/>
    </row>
    <row r="371" spans="9:91" ht="15">
      <c r="M371" s="163"/>
      <c r="Q371" s="233"/>
      <c r="W371" s="183"/>
      <c r="AG371" s="184"/>
      <c r="AI371" s="185"/>
      <c r="AK371" s="186"/>
      <c r="BE371" s="187"/>
      <c r="BF371" s="188"/>
      <c r="BG371" s="189"/>
      <c r="BH371" s="147"/>
      <c r="BM371" s="190"/>
      <c r="BN371" s="147"/>
      <c r="BQ371" s="191"/>
      <c r="BR371" s="147"/>
      <c r="BS371" s="192"/>
      <c r="BT371" s="147"/>
      <c r="BU371" s="193"/>
      <c r="BV371" s="147"/>
      <c r="BW371" s="192"/>
      <c r="BX371" s="147"/>
      <c r="BY371" s="196"/>
      <c r="BZ371" s="147"/>
      <c r="CA371" s="192"/>
      <c r="CB371" s="147"/>
      <c r="CC371" s="194"/>
      <c r="CD371" s="147"/>
      <c r="CL371" s="195"/>
      <c r="CM371" s="188"/>
    </row>
    <row r="372" spans="9:91" ht="15">
      <c r="M372" s="163"/>
      <c r="Q372" s="233"/>
      <c r="W372" s="183"/>
      <c r="AG372" s="184"/>
      <c r="AI372" s="185"/>
      <c r="AK372" s="186"/>
      <c r="BE372" s="187"/>
      <c r="BF372" s="188"/>
      <c r="BG372" s="189"/>
      <c r="BH372" s="147"/>
      <c r="BM372" s="190"/>
      <c r="BN372" s="147"/>
      <c r="BQ372" s="191"/>
      <c r="BR372" s="147"/>
      <c r="BS372" s="192"/>
      <c r="BT372" s="147"/>
      <c r="BU372" s="193"/>
      <c r="BV372" s="147"/>
      <c r="BW372" s="192"/>
      <c r="BX372" s="147"/>
      <c r="BY372" s="196"/>
      <c r="BZ372" s="147"/>
      <c r="CA372" s="192"/>
      <c r="CB372" s="147"/>
      <c r="CC372" s="194"/>
      <c r="CD372" s="147"/>
      <c r="CL372" s="195"/>
      <c r="CM372" s="188"/>
    </row>
    <row r="373" spans="9:91" ht="15">
      <c r="M373" s="163"/>
      <c r="Q373" s="233"/>
      <c r="W373" s="183"/>
      <c r="AG373" s="184"/>
      <c r="AI373" s="185"/>
      <c r="AK373" s="186"/>
      <c r="BE373" s="187"/>
      <c r="BF373" s="188"/>
      <c r="BG373" s="189"/>
      <c r="BH373" s="147"/>
      <c r="BM373" s="190"/>
      <c r="BN373" s="147"/>
      <c r="BQ373" s="191"/>
      <c r="BR373" s="147"/>
      <c r="BS373" s="192"/>
      <c r="BT373" s="147"/>
      <c r="BU373" s="193"/>
      <c r="BV373" s="147"/>
      <c r="BW373" s="192"/>
      <c r="BX373" s="147"/>
      <c r="BY373" s="196"/>
      <c r="BZ373" s="147"/>
      <c r="CA373" s="192"/>
      <c r="CB373" s="147"/>
      <c r="CC373" s="194"/>
      <c r="CD373" s="147"/>
      <c r="CL373" s="195"/>
      <c r="CM373" s="188"/>
    </row>
    <row r="374" spans="9:91" ht="15">
      <c r="I374" s="177"/>
      <c r="J374" s="177"/>
      <c r="M374" s="163"/>
      <c r="Q374" s="233"/>
      <c r="W374" s="183"/>
      <c r="AG374" s="184"/>
      <c r="AI374" s="185"/>
      <c r="AK374" s="186"/>
      <c r="BE374" s="187"/>
      <c r="BF374" s="188"/>
      <c r="BG374" s="189"/>
      <c r="BH374" s="147"/>
      <c r="BM374" s="190"/>
      <c r="BN374" s="147"/>
      <c r="BQ374" s="191"/>
      <c r="BR374" s="147"/>
      <c r="BS374" s="192"/>
      <c r="BT374" s="147"/>
      <c r="BU374" s="193"/>
      <c r="BV374" s="147"/>
      <c r="BW374" s="192"/>
      <c r="BX374" s="147"/>
      <c r="BY374" s="196"/>
      <c r="BZ374" s="147"/>
      <c r="CA374" s="192"/>
      <c r="CB374" s="147"/>
      <c r="CC374" s="194"/>
      <c r="CD374" s="147"/>
      <c r="CL374" s="195"/>
      <c r="CM374" s="188"/>
    </row>
    <row r="375" spans="9:91" ht="15">
      <c r="M375" s="163"/>
      <c r="Q375" s="233"/>
      <c r="W375" s="183"/>
      <c r="AG375" s="184"/>
      <c r="AI375" s="185"/>
      <c r="AK375" s="186"/>
      <c r="BE375" s="187"/>
      <c r="BF375" s="188"/>
      <c r="BG375" s="189"/>
      <c r="BH375" s="147"/>
      <c r="BM375" s="190"/>
      <c r="BN375" s="147"/>
      <c r="BQ375" s="191"/>
      <c r="BR375" s="147"/>
      <c r="BS375" s="192"/>
      <c r="BT375" s="147"/>
      <c r="BU375" s="193"/>
      <c r="BV375" s="147"/>
      <c r="BW375" s="192"/>
      <c r="BX375" s="147"/>
      <c r="BY375" s="196"/>
      <c r="BZ375" s="147"/>
      <c r="CA375" s="192"/>
      <c r="CB375" s="147"/>
      <c r="CC375" s="194"/>
      <c r="CD375" s="147"/>
      <c r="CL375" s="195"/>
      <c r="CM375" s="188"/>
    </row>
    <row r="376" spans="9:91" ht="15">
      <c r="M376" s="163"/>
      <c r="Q376" s="233"/>
      <c r="W376" s="183"/>
      <c r="AG376" s="184"/>
      <c r="AI376" s="185"/>
      <c r="AK376" s="186"/>
      <c r="BE376" s="187"/>
      <c r="BF376" s="188"/>
      <c r="BG376" s="189"/>
      <c r="BH376" s="147"/>
      <c r="BM376" s="190"/>
      <c r="BN376" s="147"/>
      <c r="BQ376" s="191"/>
      <c r="BR376" s="147"/>
      <c r="BS376" s="192"/>
      <c r="BT376" s="147"/>
      <c r="BU376" s="193"/>
      <c r="BV376" s="147"/>
      <c r="BW376" s="192"/>
      <c r="BX376" s="147"/>
      <c r="BY376" s="196"/>
      <c r="BZ376" s="147"/>
      <c r="CA376" s="192"/>
      <c r="CB376" s="147"/>
      <c r="CC376" s="194"/>
      <c r="CD376" s="147"/>
      <c r="CL376" s="195"/>
      <c r="CM376" s="188"/>
    </row>
    <row r="377" spans="9:91" ht="15">
      <c r="M377" s="163"/>
      <c r="Q377" s="233"/>
      <c r="W377" s="183"/>
      <c r="AG377" s="184"/>
      <c r="AI377" s="185"/>
      <c r="AK377" s="186"/>
      <c r="BE377" s="187"/>
      <c r="BF377" s="188"/>
      <c r="BG377" s="189"/>
      <c r="BH377" s="147"/>
      <c r="BM377" s="190"/>
      <c r="BN377" s="147"/>
      <c r="BQ377" s="191"/>
      <c r="BR377" s="147"/>
      <c r="BS377" s="192"/>
      <c r="BT377" s="147"/>
      <c r="BU377" s="193"/>
      <c r="BV377" s="147"/>
      <c r="BW377" s="192"/>
      <c r="BX377" s="147"/>
      <c r="BY377" s="196"/>
      <c r="BZ377" s="147"/>
      <c r="CA377" s="192"/>
      <c r="CB377" s="147"/>
      <c r="CC377" s="194"/>
      <c r="CD377" s="147"/>
      <c r="CL377" s="195"/>
      <c r="CM377" s="188"/>
    </row>
    <row r="378" spans="9:91" ht="15">
      <c r="M378" s="163"/>
      <c r="Q378" s="233"/>
      <c r="W378" s="183"/>
      <c r="AG378" s="184"/>
      <c r="AI378" s="185"/>
      <c r="AK378" s="186"/>
      <c r="BE378" s="187"/>
      <c r="BF378" s="188"/>
      <c r="BG378" s="189"/>
      <c r="BH378" s="147"/>
      <c r="BM378" s="190"/>
      <c r="BN378" s="147"/>
      <c r="BQ378" s="191"/>
      <c r="BR378" s="147"/>
      <c r="BS378" s="192"/>
      <c r="BT378" s="147"/>
      <c r="BU378" s="193"/>
      <c r="BV378" s="147"/>
      <c r="BW378" s="192"/>
      <c r="BX378" s="147"/>
      <c r="BY378" s="196"/>
      <c r="BZ378" s="147"/>
      <c r="CA378" s="192"/>
      <c r="CB378" s="147"/>
      <c r="CC378" s="194"/>
      <c r="CD378" s="147"/>
      <c r="CL378" s="195"/>
      <c r="CM378" s="188"/>
    </row>
    <row r="379" spans="9:91" ht="15">
      <c r="M379" s="163"/>
      <c r="Q379" s="233"/>
      <c r="W379" s="183"/>
      <c r="AG379" s="184"/>
      <c r="AI379" s="185"/>
      <c r="AK379" s="186"/>
      <c r="BE379" s="187"/>
      <c r="BF379" s="188"/>
      <c r="BG379" s="189"/>
      <c r="BH379" s="147"/>
      <c r="BM379" s="190"/>
      <c r="BN379" s="147"/>
      <c r="BQ379" s="191"/>
      <c r="BR379" s="147"/>
      <c r="BS379" s="192"/>
      <c r="BT379" s="147"/>
      <c r="BU379" s="193"/>
      <c r="BV379" s="147"/>
      <c r="BW379" s="192"/>
      <c r="BX379" s="147"/>
      <c r="BY379" s="196"/>
      <c r="BZ379" s="147"/>
      <c r="CA379" s="192"/>
      <c r="CB379" s="147"/>
      <c r="CC379" s="194"/>
      <c r="CD379" s="147"/>
      <c r="CL379" s="195"/>
      <c r="CM379" s="188"/>
    </row>
    <row r="380" spans="9:91" ht="15">
      <c r="M380" s="163"/>
      <c r="Q380" s="233"/>
      <c r="W380" s="183"/>
      <c r="AG380" s="184"/>
      <c r="AI380" s="185"/>
      <c r="AK380" s="186"/>
      <c r="BE380" s="187"/>
      <c r="BF380" s="188"/>
      <c r="BG380" s="189"/>
      <c r="BH380" s="147"/>
      <c r="BM380" s="190"/>
      <c r="BN380" s="147"/>
      <c r="BQ380" s="191"/>
      <c r="BR380" s="147"/>
      <c r="BS380" s="192"/>
      <c r="BT380" s="147"/>
      <c r="BU380" s="193"/>
      <c r="BV380" s="147"/>
      <c r="BW380" s="192"/>
      <c r="BX380" s="147"/>
      <c r="BY380" s="196"/>
      <c r="BZ380" s="147"/>
      <c r="CA380" s="192"/>
      <c r="CB380" s="147"/>
      <c r="CC380" s="194"/>
      <c r="CD380" s="147"/>
      <c r="CL380" s="195"/>
      <c r="CM380" s="188"/>
    </row>
    <row r="381" spans="9:91" ht="15">
      <c r="M381" s="163"/>
      <c r="Q381" s="233"/>
      <c r="W381" s="183"/>
      <c r="AG381" s="184"/>
      <c r="AI381" s="185"/>
      <c r="AK381" s="186"/>
      <c r="BE381" s="187"/>
      <c r="BF381" s="188"/>
      <c r="BG381" s="189"/>
      <c r="BH381" s="147"/>
      <c r="BM381" s="190"/>
      <c r="BN381" s="147"/>
      <c r="BQ381" s="191"/>
      <c r="BR381" s="147"/>
      <c r="BS381" s="192"/>
      <c r="BT381" s="147"/>
      <c r="BU381" s="193"/>
      <c r="BV381" s="147"/>
      <c r="BW381" s="192"/>
      <c r="BX381" s="147"/>
      <c r="BY381" s="196"/>
      <c r="BZ381" s="147"/>
      <c r="CA381" s="192"/>
      <c r="CB381" s="147"/>
      <c r="CC381" s="194"/>
      <c r="CD381" s="147"/>
      <c r="CL381" s="195"/>
      <c r="CM381" s="188"/>
    </row>
    <row r="382" spans="9:91" ht="15">
      <c r="I382" s="177"/>
      <c r="M382" s="163"/>
      <c r="Q382" s="233"/>
      <c r="W382" s="183"/>
      <c r="AG382" s="184"/>
      <c r="AI382" s="185"/>
      <c r="AK382" s="186"/>
      <c r="BE382" s="187"/>
      <c r="BF382" s="188"/>
      <c r="BG382" s="189"/>
      <c r="BH382" s="147"/>
      <c r="BM382" s="190"/>
      <c r="BN382" s="147"/>
      <c r="BQ382" s="191"/>
      <c r="BR382" s="147"/>
      <c r="BS382" s="192"/>
      <c r="BT382" s="147"/>
      <c r="BU382" s="193"/>
      <c r="BV382" s="147"/>
      <c r="BW382" s="192"/>
      <c r="BX382" s="147"/>
      <c r="BY382" s="196"/>
      <c r="BZ382" s="147"/>
      <c r="CA382" s="192"/>
      <c r="CB382" s="147"/>
      <c r="CC382" s="194"/>
      <c r="CD382" s="147"/>
      <c r="CL382" s="195"/>
      <c r="CM382" s="188"/>
    </row>
    <row r="383" spans="9:91" ht="15">
      <c r="M383" s="163"/>
      <c r="Q383" s="233"/>
      <c r="W383" s="183"/>
      <c r="AG383" s="184"/>
      <c r="AI383" s="185"/>
      <c r="AK383" s="186"/>
      <c r="BE383" s="187"/>
      <c r="BF383" s="188"/>
      <c r="BG383" s="189"/>
      <c r="BH383" s="147"/>
      <c r="BM383" s="190"/>
      <c r="BN383" s="147"/>
      <c r="BQ383" s="191"/>
      <c r="BR383" s="147"/>
      <c r="BS383" s="192"/>
      <c r="BT383" s="147"/>
      <c r="BU383" s="193"/>
      <c r="BV383" s="147"/>
      <c r="BW383" s="192"/>
      <c r="BX383" s="147"/>
      <c r="BY383" s="196"/>
      <c r="BZ383" s="147"/>
      <c r="CA383" s="192"/>
      <c r="CB383" s="147"/>
      <c r="CC383" s="194"/>
      <c r="CD383" s="147"/>
      <c r="CL383" s="195"/>
      <c r="CM383" s="188"/>
    </row>
    <row r="384" spans="9:91" ht="15">
      <c r="M384" s="163"/>
      <c r="Q384" s="233"/>
      <c r="W384" s="183"/>
      <c r="AG384" s="184"/>
      <c r="AI384" s="185"/>
      <c r="AK384" s="186"/>
      <c r="BE384" s="187"/>
      <c r="BF384" s="188"/>
      <c r="BG384" s="189"/>
      <c r="BH384" s="147"/>
      <c r="BM384" s="190"/>
      <c r="BN384" s="147"/>
      <c r="BQ384" s="191"/>
      <c r="BR384" s="147"/>
      <c r="BS384" s="192"/>
      <c r="BT384" s="147"/>
      <c r="BU384" s="193"/>
      <c r="BV384" s="147"/>
      <c r="BW384" s="192"/>
      <c r="BX384" s="147"/>
      <c r="BY384" s="196"/>
      <c r="BZ384" s="147"/>
      <c r="CA384" s="192"/>
      <c r="CB384" s="147"/>
      <c r="CC384" s="194"/>
      <c r="CD384" s="147"/>
      <c r="CL384" s="195"/>
      <c r="CM384" s="188"/>
    </row>
    <row r="385" spans="1:91" ht="15">
      <c r="M385" s="163"/>
      <c r="Q385" s="233"/>
      <c r="W385" s="183"/>
      <c r="AG385" s="184"/>
      <c r="AI385" s="185"/>
      <c r="AK385" s="186"/>
      <c r="BE385" s="187"/>
      <c r="BF385" s="188"/>
      <c r="BG385" s="189"/>
      <c r="BH385" s="147"/>
      <c r="BM385" s="190"/>
      <c r="BN385" s="147"/>
      <c r="BQ385" s="191"/>
      <c r="BR385" s="147"/>
      <c r="BS385" s="192"/>
      <c r="BT385" s="147"/>
      <c r="BU385" s="193"/>
      <c r="BV385" s="147"/>
      <c r="BW385" s="192"/>
      <c r="BX385" s="147"/>
      <c r="BY385" s="196"/>
      <c r="BZ385" s="147"/>
      <c r="CA385" s="192"/>
      <c r="CB385" s="147"/>
      <c r="CC385" s="194"/>
      <c r="CD385" s="147"/>
      <c r="CL385" s="195"/>
      <c r="CM385" s="188"/>
    </row>
    <row r="386" spans="1:91" ht="15">
      <c r="M386" s="163"/>
      <c r="Q386" s="233"/>
      <c r="W386" s="183"/>
      <c r="AG386" s="184"/>
      <c r="AI386" s="185"/>
      <c r="AK386" s="186"/>
      <c r="BE386" s="187"/>
      <c r="BF386" s="188"/>
      <c r="BG386" s="189"/>
      <c r="BH386" s="147"/>
      <c r="BM386" s="190"/>
      <c r="BN386" s="147"/>
      <c r="BQ386" s="191"/>
      <c r="BR386" s="147"/>
      <c r="BS386" s="192"/>
      <c r="BT386" s="147"/>
      <c r="BU386" s="193"/>
      <c r="BV386" s="147"/>
      <c r="BW386" s="192"/>
      <c r="BX386" s="147"/>
      <c r="BY386" s="196"/>
      <c r="BZ386" s="147"/>
      <c r="CA386" s="192"/>
      <c r="CB386" s="147"/>
      <c r="CC386" s="194"/>
      <c r="CD386" s="147"/>
      <c r="CL386" s="195"/>
      <c r="CM386" s="188"/>
    </row>
    <row r="387" spans="1:91" ht="15">
      <c r="M387" s="163"/>
      <c r="Q387" s="233"/>
      <c r="W387" s="183"/>
      <c r="AG387" s="184"/>
      <c r="AI387" s="185"/>
      <c r="AK387" s="186"/>
      <c r="BE387" s="187"/>
      <c r="BF387" s="188"/>
      <c r="BG387" s="189"/>
      <c r="BH387" s="147"/>
      <c r="BM387" s="190"/>
      <c r="BN387" s="147"/>
      <c r="BQ387" s="191"/>
      <c r="BR387" s="147"/>
      <c r="BS387" s="192"/>
      <c r="BT387" s="147"/>
      <c r="BU387" s="193"/>
      <c r="BV387" s="147"/>
      <c r="BW387" s="192"/>
      <c r="BX387" s="147"/>
      <c r="BY387" s="196"/>
      <c r="BZ387" s="147"/>
      <c r="CA387" s="192"/>
      <c r="CB387" s="147"/>
      <c r="CC387" s="194"/>
      <c r="CD387" s="147"/>
      <c r="CL387" s="195"/>
      <c r="CM387" s="188"/>
    </row>
    <row r="388" spans="1:91" ht="15">
      <c r="A388" s="221"/>
      <c r="B388" s="221"/>
      <c r="C388" s="222"/>
      <c r="D388" s="222"/>
      <c r="E388" s="222"/>
      <c r="G388" s="223"/>
      <c r="H388" s="223"/>
      <c r="I388" s="222"/>
      <c r="J388" s="222"/>
      <c r="K388" s="224"/>
      <c r="L388" s="225"/>
      <c r="M388" s="226"/>
      <c r="N388" s="225"/>
      <c r="O388" s="224"/>
      <c r="P388" s="225"/>
      <c r="Q388" s="233"/>
      <c r="R388" s="225"/>
      <c r="S388" s="224"/>
      <c r="T388" s="225"/>
      <c r="U388" s="224"/>
      <c r="V388" s="225"/>
      <c r="W388" s="226"/>
      <c r="X388" s="225"/>
      <c r="Z388" s="225"/>
      <c r="AA388" s="224"/>
      <c r="AB388" s="225"/>
      <c r="AC388" s="224"/>
      <c r="AD388" s="225"/>
      <c r="AE388" s="224"/>
      <c r="AF388" s="225"/>
      <c r="AG388" s="226"/>
      <c r="AH388" s="225"/>
      <c r="AI388" s="226"/>
      <c r="AJ388" s="225"/>
      <c r="AK388" s="226"/>
      <c r="AL388" s="225"/>
      <c r="AM388" s="224"/>
      <c r="AN388" s="225"/>
      <c r="AO388" s="224"/>
      <c r="AP388" s="224"/>
      <c r="AQ388" s="224"/>
      <c r="AR388" s="224"/>
      <c r="AS388" s="224"/>
      <c r="AT388" s="224"/>
      <c r="AU388" s="224"/>
      <c r="AV388" s="224"/>
      <c r="AW388" s="224"/>
      <c r="AX388" s="224"/>
      <c r="AY388" s="224"/>
      <c r="AZ388" s="224"/>
      <c r="BA388" s="224"/>
      <c r="BB388" s="224"/>
      <c r="BC388" s="224"/>
      <c r="BD388" s="224"/>
      <c r="BE388" s="226"/>
      <c r="BF388" s="227"/>
      <c r="BG388" s="228"/>
      <c r="BH388" s="225"/>
      <c r="BI388" s="229"/>
      <c r="BJ388" s="229"/>
      <c r="BK388" s="229"/>
      <c r="BL388" s="229"/>
      <c r="BM388" s="228"/>
      <c r="BN388" s="225"/>
      <c r="BO388" s="229"/>
      <c r="BP388" s="229"/>
      <c r="BQ388" s="228"/>
      <c r="BR388" s="225"/>
      <c r="BS388" s="228"/>
      <c r="BT388" s="225"/>
      <c r="BU388" s="228"/>
      <c r="BV388" s="225"/>
      <c r="BW388" s="228"/>
      <c r="BX388" s="225"/>
      <c r="BY388" s="228"/>
      <c r="BZ388" s="225"/>
      <c r="CA388" s="228"/>
      <c r="CB388" s="225"/>
      <c r="CC388" s="228"/>
      <c r="CD388" s="225"/>
      <c r="CE388" s="229"/>
      <c r="CF388" s="229"/>
      <c r="CG388" s="229"/>
      <c r="CH388" s="229"/>
      <c r="CI388" s="229"/>
      <c r="CJ388" s="229"/>
      <c r="CK388" s="229"/>
      <c r="CL388" s="228"/>
      <c r="CM388" s="227"/>
    </row>
    <row r="389" spans="1:91" ht="15">
      <c r="M389" s="163"/>
      <c r="Q389" s="233"/>
      <c r="W389" s="183"/>
      <c r="AG389" s="184"/>
      <c r="AI389" s="185"/>
      <c r="AK389" s="186"/>
      <c r="BE389" s="187"/>
      <c r="BF389" s="188"/>
      <c r="BG389" s="189"/>
      <c r="BH389" s="147"/>
      <c r="BM389" s="190"/>
      <c r="BN389" s="147"/>
      <c r="BQ389" s="191"/>
      <c r="BR389" s="147"/>
      <c r="BS389" s="192"/>
      <c r="BT389" s="147"/>
      <c r="BU389" s="193"/>
      <c r="BV389" s="147"/>
      <c r="BW389" s="192"/>
      <c r="BX389" s="147"/>
      <c r="BY389" s="196"/>
      <c r="BZ389" s="147"/>
      <c r="CA389" s="192"/>
      <c r="CB389" s="147"/>
      <c r="CC389" s="194"/>
      <c r="CD389" s="147"/>
      <c r="CL389" s="195"/>
      <c r="CM389" s="188"/>
    </row>
    <row r="390" spans="1:91" ht="15">
      <c r="M390" s="163"/>
      <c r="Q390" s="233"/>
      <c r="W390" s="183"/>
      <c r="AG390" s="184"/>
      <c r="AI390" s="185"/>
      <c r="AK390" s="186"/>
      <c r="BE390" s="187"/>
      <c r="BF390" s="188"/>
      <c r="BG390" s="189"/>
      <c r="BH390" s="147"/>
      <c r="BM390" s="190"/>
      <c r="BN390" s="147"/>
      <c r="BQ390" s="191"/>
      <c r="BR390" s="147"/>
      <c r="BS390" s="192"/>
      <c r="BT390" s="147"/>
      <c r="BU390" s="193"/>
      <c r="BV390" s="147"/>
      <c r="BW390" s="192"/>
      <c r="BX390" s="147"/>
      <c r="BY390" s="196"/>
      <c r="BZ390" s="147"/>
      <c r="CA390" s="192"/>
      <c r="CB390" s="147"/>
      <c r="CC390" s="194"/>
      <c r="CD390" s="147"/>
      <c r="CL390" s="195"/>
      <c r="CM390" s="188"/>
    </row>
    <row r="391" spans="1:91" ht="15">
      <c r="I391" s="177"/>
      <c r="K391" s="181"/>
      <c r="M391" s="163"/>
      <c r="Q391" s="233"/>
      <c r="W391" s="183"/>
      <c r="AG391" s="184"/>
      <c r="AI391" s="185"/>
      <c r="AK391" s="186"/>
      <c r="BE391" s="187"/>
      <c r="BF391" s="188"/>
      <c r="BG391" s="189"/>
      <c r="BH391" s="147"/>
      <c r="BM391" s="190"/>
      <c r="BN391" s="147"/>
      <c r="BQ391" s="191"/>
      <c r="BR391" s="147"/>
      <c r="BS391" s="192"/>
      <c r="BT391" s="147"/>
      <c r="BU391" s="193"/>
      <c r="BV391" s="147"/>
      <c r="BW391" s="192"/>
      <c r="BX391" s="147"/>
      <c r="BY391" s="196"/>
      <c r="BZ391" s="147"/>
      <c r="CA391" s="192"/>
      <c r="CB391" s="147"/>
      <c r="CC391" s="194"/>
      <c r="CD391" s="147"/>
      <c r="CL391" s="195"/>
      <c r="CM391" s="188"/>
    </row>
    <row r="392" spans="1:91" ht="15">
      <c r="M392" s="163"/>
      <c r="Q392" s="233"/>
      <c r="W392" s="183"/>
      <c r="AG392" s="184"/>
      <c r="AI392" s="185"/>
      <c r="AK392" s="186"/>
      <c r="BE392" s="187"/>
      <c r="BF392" s="188"/>
      <c r="BG392" s="189"/>
      <c r="BH392" s="147"/>
      <c r="BM392" s="190"/>
      <c r="BN392" s="147"/>
      <c r="BQ392" s="191"/>
      <c r="BR392" s="147"/>
      <c r="BS392" s="192"/>
      <c r="BT392" s="147"/>
      <c r="BU392" s="193"/>
      <c r="BV392" s="147"/>
      <c r="BW392" s="192"/>
      <c r="BX392" s="147"/>
      <c r="BY392" s="196"/>
      <c r="BZ392" s="147"/>
      <c r="CA392" s="192"/>
      <c r="CB392" s="147"/>
      <c r="CC392" s="194"/>
      <c r="CD392" s="147"/>
      <c r="CL392" s="195"/>
      <c r="CM392" s="188"/>
    </row>
    <row r="393" spans="1:91" ht="15">
      <c r="M393" s="163"/>
      <c r="Q393" s="233"/>
      <c r="W393" s="183"/>
      <c r="AG393" s="184"/>
      <c r="AI393" s="185"/>
      <c r="AK393" s="186"/>
      <c r="BE393" s="187"/>
      <c r="BF393" s="188"/>
      <c r="BG393" s="189"/>
      <c r="BH393" s="147"/>
      <c r="BM393" s="190"/>
      <c r="BN393" s="147"/>
      <c r="BQ393" s="191"/>
      <c r="BR393" s="147"/>
      <c r="BS393" s="192"/>
      <c r="BT393" s="147"/>
      <c r="BU393" s="193"/>
      <c r="BV393" s="147"/>
      <c r="BW393" s="192"/>
      <c r="BX393" s="147"/>
      <c r="BY393" s="196"/>
      <c r="BZ393" s="147"/>
      <c r="CA393" s="192"/>
      <c r="CB393" s="147"/>
      <c r="CC393" s="194"/>
      <c r="CD393" s="147"/>
      <c r="CL393" s="195"/>
      <c r="CM393" s="188"/>
    </row>
    <row r="394" spans="1:91" ht="15">
      <c r="M394" s="163"/>
      <c r="Q394" s="233"/>
      <c r="W394" s="183"/>
      <c r="AG394" s="184"/>
      <c r="AI394" s="185"/>
      <c r="AK394" s="186"/>
      <c r="BE394" s="187"/>
      <c r="BF394" s="188"/>
      <c r="BG394" s="189"/>
      <c r="BH394" s="147"/>
      <c r="BM394" s="190"/>
      <c r="BN394" s="147"/>
      <c r="BQ394" s="191"/>
      <c r="BR394" s="147"/>
      <c r="BS394" s="192"/>
      <c r="BT394" s="147"/>
      <c r="BU394" s="193"/>
      <c r="BV394" s="147"/>
      <c r="BW394" s="192"/>
      <c r="BX394" s="147"/>
      <c r="BY394" s="196"/>
      <c r="BZ394" s="147"/>
      <c r="CA394" s="192"/>
      <c r="CB394" s="147"/>
      <c r="CC394" s="194"/>
      <c r="CD394" s="147"/>
      <c r="CL394" s="195"/>
      <c r="CM394" s="188"/>
    </row>
    <row r="395" spans="1:91" ht="15">
      <c r="M395" s="163"/>
      <c r="Q395" s="233"/>
      <c r="W395" s="183"/>
      <c r="AG395" s="184"/>
      <c r="AI395" s="185"/>
      <c r="AK395" s="186"/>
      <c r="BE395" s="187"/>
      <c r="BF395" s="188"/>
      <c r="BG395" s="189"/>
      <c r="BH395" s="147"/>
      <c r="BM395" s="190"/>
      <c r="BN395" s="147"/>
      <c r="BQ395" s="191"/>
      <c r="BR395" s="147"/>
      <c r="BS395" s="192"/>
      <c r="BT395" s="147"/>
      <c r="BU395" s="193"/>
      <c r="BV395" s="147"/>
      <c r="BW395" s="192"/>
      <c r="BX395" s="147"/>
      <c r="BY395" s="196"/>
      <c r="BZ395" s="147"/>
      <c r="CA395" s="192"/>
      <c r="CB395" s="147"/>
      <c r="CC395" s="194"/>
      <c r="CD395" s="147"/>
      <c r="CL395" s="195"/>
      <c r="CM395" s="188"/>
    </row>
    <row r="396" spans="1:91" ht="15">
      <c r="M396" s="163"/>
      <c r="Q396" s="233"/>
      <c r="W396" s="183"/>
      <c r="AG396" s="184"/>
      <c r="AI396" s="185"/>
      <c r="AK396" s="186"/>
      <c r="BE396" s="187"/>
      <c r="BF396" s="188"/>
      <c r="BG396" s="189"/>
      <c r="BH396" s="147"/>
      <c r="BM396" s="190"/>
      <c r="BN396" s="147"/>
      <c r="BQ396" s="191"/>
      <c r="BR396" s="147"/>
      <c r="BS396" s="192"/>
      <c r="BT396" s="147"/>
      <c r="BU396" s="193"/>
      <c r="BV396" s="147"/>
      <c r="BW396" s="192"/>
      <c r="BX396" s="147"/>
      <c r="BY396" s="196"/>
      <c r="BZ396" s="147"/>
      <c r="CA396" s="192"/>
      <c r="CB396" s="147"/>
      <c r="CC396" s="194"/>
      <c r="CD396" s="147"/>
      <c r="CL396" s="195"/>
      <c r="CM396" s="188"/>
    </row>
    <row r="397" spans="1:91" ht="15">
      <c r="M397" s="163"/>
      <c r="Q397" s="233"/>
      <c r="W397" s="183"/>
      <c r="AG397" s="184"/>
      <c r="AI397" s="185"/>
      <c r="AK397" s="186"/>
      <c r="BE397" s="187"/>
      <c r="BF397" s="188"/>
      <c r="BG397" s="189"/>
      <c r="BH397" s="147"/>
      <c r="BM397" s="190"/>
      <c r="BN397" s="147"/>
      <c r="BQ397" s="191"/>
      <c r="BR397" s="147"/>
      <c r="BS397" s="192"/>
      <c r="BT397" s="147"/>
      <c r="BU397" s="193"/>
      <c r="BV397" s="147"/>
      <c r="BW397" s="192"/>
      <c r="BX397" s="147"/>
      <c r="BY397" s="196"/>
      <c r="BZ397" s="147"/>
      <c r="CA397" s="192"/>
      <c r="CB397" s="147"/>
      <c r="CC397" s="194"/>
      <c r="CD397" s="147"/>
      <c r="CL397" s="195"/>
      <c r="CM397" s="188"/>
    </row>
    <row r="398" spans="1:91" ht="15">
      <c r="M398" s="163"/>
      <c r="Q398" s="233"/>
      <c r="W398" s="183"/>
      <c r="AG398" s="184"/>
      <c r="AI398" s="185"/>
      <c r="AK398" s="186"/>
      <c r="BE398" s="187"/>
      <c r="BF398" s="188"/>
      <c r="BG398" s="189"/>
      <c r="BH398" s="147"/>
      <c r="BM398" s="190"/>
      <c r="BN398" s="147"/>
      <c r="BQ398" s="191"/>
      <c r="BR398" s="147"/>
      <c r="BS398" s="192"/>
      <c r="BT398" s="147"/>
      <c r="BU398" s="193"/>
      <c r="BV398" s="147"/>
      <c r="BW398" s="192"/>
      <c r="BX398" s="147"/>
      <c r="BY398" s="196"/>
      <c r="BZ398" s="147"/>
      <c r="CA398" s="192"/>
      <c r="CB398" s="147"/>
      <c r="CC398" s="194"/>
      <c r="CD398" s="147"/>
      <c r="CL398" s="195"/>
      <c r="CM398" s="188"/>
    </row>
    <row r="399" spans="1:91" ht="15">
      <c r="M399" s="163"/>
      <c r="Q399" s="233"/>
      <c r="W399" s="183"/>
      <c r="AG399" s="184"/>
      <c r="AI399" s="185"/>
      <c r="AK399" s="186"/>
      <c r="BE399" s="187"/>
      <c r="BF399" s="188"/>
      <c r="BG399" s="189"/>
      <c r="BH399" s="147"/>
      <c r="BM399" s="190"/>
      <c r="BN399" s="147"/>
      <c r="BQ399" s="191"/>
      <c r="BR399" s="147"/>
      <c r="BS399" s="192"/>
      <c r="BT399" s="147"/>
      <c r="BU399" s="193"/>
      <c r="BV399" s="147"/>
      <c r="BW399" s="192"/>
      <c r="BX399" s="147"/>
      <c r="BY399" s="196"/>
      <c r="BZ399" s="147"/>
      <c r="CA399" s="192"/>
      <c r="CB399" s="147"/>
      <c r="CC399" s="194"/>
      <c r="CD399" s="147"/>
      <c r="CL399" s="195"/>
      <c r="CM399" s="188"/>
    </row>
    <row r="400" spans="1:91" ht="15">
      <c r="M400" s="163"/>
      <c r="Q400" s="233"/>
      <c r="W400" s="183"/>
      <c r="AG400" s="184"/>
      <c r="AI400" s="185"/>
      <c r="AK400" s="186"/>
      <c r="BE400" s="187"/>
      <c r="BF400" s="188"/>
      <c r="BG400" s="189"/>
      <c r="BH400" s="147"/>
      <c r="BM400" s="190"/>
      <c r="BN400" s="147"/>
      <c r="BQ400" s="191"/>
      <c r="BR400" s="147"/>
      <c r="BS400" s="192"/>
      <c r="BT400" s="147"/>
      <c r="BU400" s="193"/>
      <c r="BV400" s="147"/>
      <c r="BW400" s="192"/>
      <c r="BX400" s="147"/>
      <c r="BY400" s="196"/>
      <c r="BZ400" s="147"/>
      <c r="CA400" s="192"/>
      <c r="CB400" s="147"/>
      <c r="CC400" s="194"/>
      <c r="CD400" s="147"/>
      <c r="CL400" s="195"/>
      <c r="CM400" s="188"/>
    </row>
    <row r="401" spans="1:91" ht="15">
      <c r="A401" s="221"/>
      <c r="B401" s="221"/>
      <c r="C401" s="222"/>
      <c r="D401" s="222"/>
      <c r="E401" s="222"/>
      <c r="G401" s="223"/>
      <c r="H401" s="223"/>
      <c r="I401" s="222"/>
      <c r="J401" s="222"/>
      <c r="K401" s="224"/>
      <c r="L401" s="225"/>
      <c r="M401" s="226"/>
      <c r="N401" s="225"/>
      <c r="O401" s="224"/>
      <c r="P401" s="225"/>
      <c r="Q401" s="233"/>
      <c r="R401" s="225"/>
      <c r="S401" s="224"/>
      <c r="T401" s="225"/>
      <c r="U401" s="224"/>
      <c r="V401" s="225"/>
      <c r="W401" s="226"/>
      <c r="X401" s="225"/>
      <c r="Z401" s="225"/>
      <c r="AA401" s="224"/>
      <c r="AB401" s="225"/>
      <c r="AC401" s="224"/>
      <c r="AD401" s="225"/>
      <c r="AE401" s="224"/>
      <c r="AF401" s="225"/>
      <c r="AG401" s="226"/>
      <c r="AH401" s="225"/>
      <c r="AI401" s="226"/>
      <c r="AJ401" s="225"/>
      <c r="AK401" s="226"/>
      <c r="AL401" s="225"/>
      <c r="AM401" s="224"/>
      <c r="AN401" s="225"/>
      <c r="AO401" s="224"/>
      <c r="AP401" s="224"/>
      <c r="AQ401" s="224"/>
      <c r="AR401" s="224"/>
      <c r="AS401" s="224"/>
      <c r="AT401" s="224"/>
      <c r="AU401" s="224"/>
      <c r="AV401" s="224"/>
      <c r="AW401" s="224"/>
      <c r="AX401" s="224"/>
      <c r="AY401" s="224"/>
      <c r="AZ401" s="224"/>
      <c r="BA401" s="224"/>
      <c r="BB401" s="224"/>
      <c r="BC401" s="224"/>
      <c r="BD401" s="224"/>
      <c r="BE401" s="226"/>
      <c r="BF401" s="227"/>
      <c r="BG401" s="228"/>
      <c r="BH401" s="225"/>
      <c r="BI401" s="229"/>
      <c r="BJ401" s="229"/>
      <c r="BK401" s="229"/>
      <c r="BL401" s="229"/>
      <c r="BM401" s="228"/>
      <c r="BN401" s="225"/>
      <c r="BO401" s="229"/>
      <c r="BP401" s="229"/>
      <c r="BQ401" s="228"/>
      <c r="BR401" s="225"/>
      <c r="BS401" s="228"/>
      <c r="BT401" s="225"/>
      <c r="BU401" s="228"/>
      <c r="BV401" s="225"/>
      <c r="BW401" s="228"/>
      <c r="BX401" s="225"/>
      <c r="BY401" s="228"/>
      <c r="BZ401" s="225"/>
      <c r="CA401" s="228"/>
      <c r="CB401" s="225"/>
      <c r="CC401" s="228"/>
      <c r="CD401" s="225"/>
      <c r="CE401" s="229"/>
      <c r="CF401" s="229"/>
      <c r="CG401" s="229"/>
      <c r="CH401" s="229"/>
      <c r="CI401" s="229"/>
      <c r="CJ401" s="229"/>
      <c r="CK401" s="229"/>
      <c r="CL401" s="228"/>
      <c r="CM401" s="227"/>
    </row>
    <row r="402" spans="1:91" ht="15">
      <c r="I402" s="177"/>
      <c r="M402" s="163"/>
      <c r="Q402" s="233"/>
      <c r="W402" s="183"/>
      <c r="AG402" s="184"/>
      <c r="AI402" s="185"/>
      <c r="AK402" s="186"/>
      <c r="BE402" s="187"/>
      <c r="BF402" s="188"/>
      <c r="BG402" s="189"/>
      <c r="BH402" s="147"/>
      <c r="BM402" s="190"/>
      <c r="BN402" s="147"/>
      <c r="BQ402" s="191"/>
      <c r="BR402" s="147"/>
      <c r="BS402" s="192"/>
      <c r="BT402" s="147"/>
      <c r="BU402" s="193"/>
      <c r="BV402" s="147"/>
      <c r="BW402" s="192"/>
      <c r="BX402" s="147"/>
      <c r="BY402" s="196"/>
      <c r="BZ402" s="147"/>
      <c r="CA402" s="192"/>
      <c r="CB402" s="147"/>
      <c r="CC402" s="194"/>
      <c r="CD402" s="147"/>
      <c r="CL402" s="195"/>
      <c r="CM402" s="188"/>
    </row>
    <row r="403" spans="1:91" ht="15">
      <c r="M403" s="163"/>
      <c r="Q403" s="233"/>
      <c r="W403" s="183"/>
      <c r="AG403" s="184"/>
      <c r="AI403" s="185"/>
      <c r="AK403" s="186"/>
      <c r="BE403" s="187"/>
      <c r="BF403" s="188"/>
      <c r="BG403" s="189"/>
      <c r="BH403" s="147"/>
      <c r="BM403" s="190"/>
      <c r="BN403" s="147"/>
      <c r="BQ403" s="191"/>
      <c r="BR403" s="147"/>
      <c r="BS403" s="192"/>
      <c r="BT403" s="147"/>
      <c r="BU403" s="193"/>
      <c r="BV403" s="147"/>
      <c r="BW403" s="192"/>
      <c r="BX403" s="147"/>
      <c r="BY403" s="196"/>
      <c r="BZ403" s="147"/>
      <c r="CA403" s="192"/>
      <c r="CB403" s="147"/>
      <c r="CC403" s="194"/>
      <c r="CD403" s="147"/>
      <c r="CL403" s="195"/>
      <c r="CM403" s="188"/>
    </row>
    <row r="404" spans="1:91" ht="15">
      <c r="I404" s="177"/>
      <c r="M404" s="163"/>
      <c r="Q404" s="233"/>
      <c r="W404" s="183"/>
      <c r="AG404" s="184"/>
      <c r="AI404" s="185"/>
      <c r="AK404" s="186"/>
      <c r="BE404" s="187"/>
      <c r="BF404" s="188"/>
      <c r="BG404" s="189"/>
      <c r="BH404" s="147"/>
      <c r="BM404" s="190"/>
      <c r="BN404" s="147"/>
      <c r="BQ404" s="191"/>
      <c r="BR404" s="147"/>
      <c r="BS404" s="192"/>
      <c r="BT404" s="147"/>
      <c r="BU404" s="193"/>
      <c r="BV404" s="147"/>
      <c r="BW404" s="192"/>
      <c r="BX404" s="147"/>
      <c r="BY404" s="196"/>
      <c r="BZ404" s="147"/>
      <c r="CA404" s="192"/>
      <c r="CB404" s="147"/>
      <c r="CC404" s="194"/>
      <c r="CD404" s="147"/>
      <c r="CL404" s="195"/>
      <c r="CM404" s="188"/>
    </row>
    <row r="405" spans="1:91" ht="15">
      <c r="M405" s="163"/>
      <c r="Q405" s="233"/>
      <c r="W405" s="183"/>
      <c r="AG405" s="184"/>
      <c r="AI405" s="185"/>
      <c r="AK405" s="186"/>
      <c r="BE405" s="187"/>
      <c r="BF405" s="188"/>
      <c r="BG405" s="189"/>
      <c r="BH405" s="147"/>
      <c r="BM405" s="190"/>
      <c r="BN405" s="147"/>
      <c r="BQ405" s="191"/>
      <c r="BR405" s="147"/>
      <c r="BS405" s="192"/>
      <c r="BT405" s="147"/>
      <c r="BU405" s="193"/>
      <c r="BV405" s="147"/>
      <c r="BW405" s="192"/>
      <c r="BX405" s="147"/>
      <c r="BY405" s="196"/>
      <c r="BZ405" s="147"/>
      <c r="CA405" s="192"/>
      <c r="CB405" s="147"/>
      <c r="CC405" s="194"/>
      <c r="CD405" s="147"/>
      <c r="CL405" s="195"/>
      <c r="CM405" s="188"/>
    </row>
    <row r="406" spans="1:91" ht="15">
      <c r="I406" s="177"/>
      <c r="M406" s="163"/>
      <c r="Q406" s="233"/>
      <c r="W406" s="183"/>
      <c r="AG406" s="184"/>
      <c r="AI406" s="185"/>
      <c r="AK406" s="186"/>
      <c r="BE406" s="187"/>
      <c r="BF406" s="188"/>
      <c r="BG406" s="189"/>
      <c r="BH406" s="147"/>
      <c r="BM406" s="190"/>
      <c r="BN406" s="147"/>
      <c r="BQ406" s="191"/>
      <c r="BR406" s="147"/>
      <c r="BS406" s="192"/>
      <c r="BT406" s="147"/>
      <c r="BU406" s="193"/>
      <c r="BV406" s="147"/>
      <c r="BW406" s="192"/>
      <c r="BX406" s="147"/>
      <c r="BY406" s="196"/>
      <c r="BZ406" s="147"/>
      <c r="CA406" s="192"/>
      <c r="CB406" s="147"/>
      <c r="CC406" s="194"/>
      <c r="CD406" s="147"/>
      <c r="CL406" s="195"/>
      <c r="CM406" s="188"/>
    </row>
    <row r="407" spans="1:91" ht="15">
      <c r="M407" s="163"/>
      <c r="Q407" s="233"/>
      <c r="W407" s="183"/>
      <c r="AG407" s="184"/>
      <c r="AI407" s="185"/>
      <c r="AK407" s="186"/>
      <c r="BE407" s="187"/>
      <c r="BF407" s="188"/>
      <c r="BG407" s="189"/>
      <c r="BH407" s="147"/>
      <c r="BM407" s="190"/>
      <c r="BN407" s="147"/>
      <c r="BQ407" s="191"/>
      <c r="BR407" s="147"/>
      <c r="BS407" s="192"/>
      <c r="BT407" s="147"/>
      <c r="BU407" s="193"/>
      <c r="BV407" s="147"/>
      <c r="BW407" s="192"/>
      <c r="BX407" s="147"/>
      <c r="BY407" s="196"/>
      <c r="BZ407" s="147"/>
      <c r="CA407" s="192"/>
      <c r="CB407" s="147"/>
      <c r="CC407" s="194"/>
      <c r="CD407" s="147"/>
      <c r="CL407" s="195"/>
      <c r="CM407" s="188"/>
    </row>
    <row r="408" spans="1:91" ht="15">
      <c r="M408" s="163"/>
      <c r="Q408" s="233"/>
      <c r="W408" s="183"/>
      <c r="AG408" s="184"/>
      <c r="AI408" s="185"/>
      <c r="AK408" s="186"/>
      <c r="BE408" s="187"/>
      <c r="BF408" s="188"/>
      <c r="BG408" s="189"/>
      <c r="BH408" s="147"/>
      <c r="BM408" s="190"/>
      <c r="BN408" s="147"/>
      <c r="BQ408" s="191"/>
      <c r="BR408" s="147"/>
      <c r="BS408" s="192"/>
      <c r="BT408" s="147"/>
      <c r="BU408" s="193"/>
      <c r="BV408" s="147"/>
      <c r="BW408" s="192"/>
      <c r="BX408" s="147"/>
      <c r="BY408" s="196"/>
      <c r="BZ408" s="147"/>
      <c r="CA408" s="192"/>
      <c r="CB408" s="147"/>
      <c r="CC408" s="194"/>
      <c r="CD408" s="147"/>
      <c r="CL408" s="195"/>
      <c r="CM408" s="188"/>
    </row>
    <row r="409" spans="1:91" ht="15">
      <c r="M409" s="163"/>
      <c r="Q409" s="233"/>
      <c r="W409" s="183"/>
      <c r="AG409" s="184"/>
      <c r="AI409" s="185"/>
      <c r="AK409" s="186"/>
      <c r="BE409" s="187"/>
      <c r="BF409" s="188"/>
      <c r="BG409" s="189"/>
      <c r="BH409" s="147"/>
      <c r="BM409" s="190"/>
      <c r="BN409" s="147"/>
      <c r="BQ409" s="191"/>
      <c r="BR409" s="147"/>
      <c r="BS409" s="192"/>
      <c r="BT409" s="147"/>
      <c r="BU409" s="193"/>
      <c r="BV409" s="147"/>
      <c r="BW409" s="192"/>
      <c r="BX409" s="147"/>
      <c r="BY409" s="196"/>
      <c r="BZ409" s="147"/>
      <c r="CA409" s="192"/>
      <c r="CB409" s="147"/>
      <c r="CC409" s="194"/>
      <c r="CD409" s="147"/>
      <c r="CL409" s="195"/>
      <c r="CM409" s="188"/>
    </row>
    <row r="410" spans="1:91" ht="15">
      <c r="I410" s="177"/>
      <c r="K410" s="181"/>
      <c r="M410" s="163"/>
      <c r="Q410" s="233"/>
      <c r="W410" s="183"/>
      <c r="AG410" s="184"/>
      <c r="AI410" s="185"/>
      <c r="AK410" s="186"/>
      <c r="BE410" s="187"/>
      <c r="BF410" s="188"/>
      <c r="BG410" s="189"/>
      <c r="BH410" s="147"/>
      <c r="BM410" s="190"/>
      <c r="BN410" s="147"/>
      <c r="BQ410" s="191"/>
      <c r="BR410" s="147"/>
      <c r="BS410" s="192"/>
      <c r="BT410" s="147"/>
      <c r="BU410" s="193"/>
      <c r="BV410" s="147"/>
      <c r="BW410" s="192"/>
      <c r="BX410" s="147"/>
      <c r="BY410" s="196"/>
      <c r="BZ410" s="147"/>
      <c r="CA410" s="192"/>
      <c r="CB410" s="147"/>
      <c r="CC410" s="194"/>
      <c r="CD410" s="147"/>
      <c r="CL410" s="195"/>
      <c r="CM410" s="188"/>
    </row>
    <row r="411" spans="1:91" ht="15">
      <c r="K411" s="181"/>
      <c r="M411" s="163"/>
      <c r="Q411" s="233"/>
      <c r="W411" s="183"/>
      <c r="AG411" s="184"/>
      <c r="AI411" s="185"/>
      <c r="AK411" s="186"/>
      <c r="BE411" s="187"/>
      <c r="BF411" s="188"/>
      <c r="BG411" s="189"/>
      <c r="BH411" s="147"/>
      <c r="BM411" s="190"/>
      <c r="BN411" s="147"/>
      <c r="BQ411" s="191"/>
      <c r="BR411" s="147"/>
      <c r="BS411" s="192"/>
      <c r="BT411" s="147"/>
      <c r="BU411" s="193"/>
      <c r="BV411" s="147"/>
      <c r="BW411" s="192"/>
      <c r="BX411" s="147"/>
      <c r="BY411" s="196"/>
      <c r="BZ411" s="147"/>
      <c r="CA411" s="192"/>
      <c r="CB411" s="147"/>
      <c r="CC411" s="194"/>
      <c r="CD411" s="147"/>
      <c r="CL411" s="195"/>
      <c r="CM411" s="188"/>
    </row>
    <row r="412" spans="1:91" ht="15">
      <c r="M412" s="163"/>
      <c r="Q412" s="233"/>
      <c r="W412" s="183"/>
      <c r="AG412" s="184"/>
      <c r="AI412" s="185"/>
      <c r="AK412" s="186"/>
      <c r="BE412" s="187"/>
      <c r="BF412" s="188"/>
      <c r="BG412" s="189"/>
      <c r="BH412" s="147"/>
      <c r="BM412" s="190"/>
      <c r="BN412" s="147"/>
      <c r="BQ412" s="191"/>
      <c r="BR412" s="147"/>
      <c r="BS412" s="192"/>
      <c r="BT412" s="147"/>
      <c r="BU412" s="193"/>
      <c r="BV412" s="147"/>
      <c r="BW412" s="192"/>
      <c r="BX412" s="147"/>
      <c r="BY412" s="196"/>
      <c r="BZ412" s="147"/>
      <c r="CA412" s="192"/>
      <c r="CB412" s="147"/>
      <c r="CC412" s="194"/>
      <c r="CD412" s="147"/>
      <c r="CL412" s="195"/>
      <c r="CM412" s="188"/>
    </row>
    <row r="413" spans="1:91" ht="15">
      <c r="M413" s="163"/>
      <c r="Q413" s="233"/>
      <c r="W413" s="183"/>
      <c r="AG413" s="184"/>
      <c r="AI413" s="185"/>
      <c r="AK413" s="186"/>
      <c r="BE413" s="187"/>
      <c r="BF413" s="188"/>
      <c r="BG413" s="189"/>
      <c r="BH413" s="147"/>
      <c r="BM413" s="190"/>
      <c r="BN413" s="147"/>
      <c r="BQ413" s="191"/>
      <c r="BR413" s="147"/>
      <c r="BS413" s="192"/>
      <c r="BT413" s="147"/>
      <c r="BU413" s="193"/>
      <c r="BV413" s="147"/>
      <c r="BW413" s="192"/>
      <c r="BX413" s="147"/>
      <c r="BY413" s="196"/>
      <c r="BZ413" s="147"/>
      <c r="CA413" s="192"/>
      <c r="CB413" s="147"/>
      <c r="CC413" s="194"/>
      <c r="CD413" s="147"/>
      <c r="CL413" s="195"/>
      <c r="CM413" s="188"/>
    </row>
    <row r="414" spans="1:91" ht="15">
      <c r="M414" s="163"/>
      <c r="Q414" s="233"/>
      <c r="W414" s="183"/>
      <c r="AG414" s="184"/>
      <c r="AI414" s="185"/>
      <c r="AK414" s="186"/>
      <c r="BE414" s="187"/>
      <c r="BF414" s="188"/>
      <c r="BG414" s="189"/>
      <c r="BH414" s="147"/>
      <c r="BM414" s="190"/>
      <c r="BN414" s="147"/>
      <c r="BQ414" s="191"/>
      <c r="BR414" s="147"/>
      <c r="BS414" s="192"/>
      <c r="BT414" s="147"/>
      <c r="BU414" s="193"/>
      <c r="BV414" s="147"/>
      <c r="BW414" s="192"/>
      <c r="BX414" s="147"/>
      <c r="BY414" s="196"/>
      <c r="BZ414" s="147"/>
      <c r="CA414" s="192"/>
      <c r="CB414" s="147"/>
      <c r="CC414" s="194"/>
      <c r="CD414" s="147"/>
      <c r="CL414" s="195"/>
      <c r="CM414" s="188"/>
    </row>
    <row r="415" spans="1:91" ht="15">
      <c r="A415" s="221"/>
      <c r="B415" s="221"/>
      <c r="C415" s="222"/>
      <c r="D415" s="222"/>
      <c r="E415" s="222"/>
      <c r="G415" s="223"/>
      <c r="H415" s="223"/>
      <c r="I415" s="222"/>
      <c r="J415" s="222"/>
      <c r="K415" s="224"/>
      <c r="L415" s="225"/>
      <c r="M415" s="226"/>
      <c r="N415" s="225"/>
      <c r="O415" s="224"/>
      <c r="P415" s="225"/>
      <c r="Q415" s="233"/>
      <c r="R415" s="225"/>
      <c r="S415" s="224"/>
      <c r="T415" s="225"/>
      <c r="U415" s="224"/>
      <c r="V415" s="225"/>
      <c r="W415" s="226"/>
      <c r="X415" s="225"/>
      <c r="Z415" s="225"/>
      <c r="AA415" s="224"/>
      <c r="AB415" s="225"/>
      <c r="AC415" s="224"/>
      <c r="AD415" s="225"/>
      <c r="AE415" s="224"/>
      <c r="AF415" s="225"/>
      <c r="AG415" s="226"/>
      <c r="AH415" s="225"/>
      <c r="AI415" s="226"/>
      <c r="AJ415" s="225"/>
      <c r="AK415" s="226"/>
      <c r="AL415" s="225"/>
      <c r="AM415" s="224"/>
      <c r="AN415" s="225"/>
      <c r="AO415" s="224"/>
      <c r="AP415" s="224"/>
      <c r="AQ415" s="224"/>
      <c r="AR415" s="224"/>
      <c r="AS415" s="224"/>
      <c r="AT415" s="224"/>
      <c r="AU415" s="224"/>
      <c r="AV415" s="224"/>
      <c r="AW415" s="224"/>
      <c r="AX415" s="224"/>
      <c r="AY415" s="224"/>
      <c r="AZ415" s="224"/>
      <c r="BA415" s="224"/>
      <c r="BB415" s="224"/>
      <c r="BC415" s="224"/>
      <c r="BD415" s="224"/>
      <c r="BE415" s="226"/>
      <c r="BF415" s="227"/>
      <c r="BG415" s="228"/>
      <c r="BH415" s="225"/>
      <c r="BI415" s="229"/>
      <c r="BJ415" s="229"/>
      <c r="BK415" s="229"/>
      <c r="BL415" s="229"/>
      <c r="BM415" s="228"/>
      <c r="BN415" s="225"/>
      <c r="BO415" s="229"/>
      <c r="BP415" s="229"/>
      <c r="BQ415" s="228"/>
      <c r="BR415" s="225"/>
      <c r="BS415" s="228"/>
      <c r="BT415" s="225"/>
      <c r="BU415" s="228"/>
      <c r="BV415" s="225"/>
      <c r="BW415" s="228"/>
      <c r="BX415" s="225"/>
      <c r="BY415" s="228"/>
      <c r="BZ415" s="225"/>
      <c r="CA415" s="228"/>
      <c r="CB415" s="225"/>
      <c r="CC415" s="228"/>
      <c r="CD415" s="225"/>
      <c r="CE415" s="229"/>
      <c r="CF415" s="229"/>
      <c r="CG415" s="229"/>
      <c r="CH415" s="229"/>
      <c r="CI415" s="229"/>
      <c r="CJ415" s="229"/>
      <c r="CK415" s="229"/>
      <c r="CL415" s="228"/>
      <c r="CM415" s="227"/>
    </row>
    <row r="416" spans="1:91" ht="15">
      <c r="M416" s="163"/>
      <c r="Q416" s="233"/>
      <c r="W416" s="183"/>
      <c r="AG416" s="184"/>
      <c r="AI416" s="185"/>
      <c r="AK416" s="186"/>
      <c r="BE416" s="187"/>
      <c r="BF416" s="188"/>
      <c r="BG416" s="189"/>
      <c r="BH416" s="147"/>
      <c r="BM416" s="190"/>
      <c r="BN416" s="147"/>
      <c r="BQ416" s="191"/>
      <c r="BR416" s="147"/>
      <c r="BS416" s="192"/>
      <c r="BT416" s="147"/>
      <c r="BU416" s="193"/>
      <c r="BV416" s="147"/>
      <c r="BW416" s="192"/>
      <c r="BX416" s="147"/>
      <c r="BY416" s="196"/>
      <c r="BZ416" s="147"/>
      <c r="CA416" s="192"/>
      <c r="CB416" s="147"/>
      <c r="CC416" s="194"/>
      <c r="CD416" s="147"/>
      <c r="CL416" s="195"/>
      <c r="CM416" s="188"/>
    </row>
    <row r="417" spans="1:91" ht="15">
      <c r="M417" s="163"/>
      <c r="Q417" s="233"/>
      <c r="W417" s="183"/>
      <c r="AG417" s="184"/>
      <c r="AI417" s="185"/>
      <c r="AK417" s="186"/>
      <c r="BE417" s="187"/>
      <c r="BF417" s="188"/>
      <c r="BG417" s="189"/>
      <c r="BH417" s="147"/>
      <c r="BM417" s="190"/>
      <c r="BN417" s="147"/>
      <c r="BQ417" s="191"/>
      <c r="BR417" s="147"/>
      <c r="BS417" s="192"/>
      <c r="BT417" s="147"/>
      <c r="BU417" s="193"/>
      <c r="BV417" s="147"/>
      <c r="BW417" s="192"/>
      <c r="BX417" s="147"/>
      <c r="BY417" s="196"/>
      <c r="BZ417" s="147"/>
      <c r="CA417" s="192"/>
      <c r="CB417" s="147"/>
      <c r="CC417" s="194"/>
      <c r="CD417" s="147"/>
      <c r="CL417" s="195"/>
      <c r="CM417" s="188"/>
    </row>
    <row r="418" spans="1:91" ht="15">
      <c r="K418" s="181"/>
      <c r="M418" s="163"/>
      <c r="Q418" s="233"/>
      <c r="W418" s="183"/>
      <c r="AG418" s="184"/>
      <c r="AI418" s="185"/>
      <c r="AK418" s="186"/>
      <c r="BE418" s="187"/>
      <c r="BF418" s="188"/>
      <c r="BG418" s="189"/>
      <c r="BH418" s="147"/>
      <c r="BM418" s="190"/>
      <c r="BN418" s="147"/>
      <c r="BQ418" s="191"/>
      <c r="BR418" s="147"/>
      <c r="BS418" s="192"/>
      <c r="BT418" s="147"/>
      <c r="BU418" s="193"/>
      <c r="BV418" s="147"/>
      <c r="BW418" s="192"/>
      <c r="BX418" s="147"/>
      <c r="BY418" s="196"/>
      <c r="BZ418" s="147"/>
      <c r="CA418" s="192"/>
      <c r="CB418" s="147"/>
      <c r="CC418" s="194"/>
      <c r="CD418" s="147"/>
      <c r="CL418" s="195"/>
      <c r="CM418" s="188"/>
    </row>
    <row r="419" spans="1:91" ht="15">
      <c r="M419" s="163"/>
      <c r="Q419" s="233"/>
      <c r="W419" s="183"/>
      <c r="AG419" s="184"/>
      <c r="AI419" s="185"/>
      <c r="AK419" s="186"/>
      <c r="BE419" s="187"/>
      <c r="BF419" s="188"/>
      <c r="BG419" s="189"/>
      <c r="BH419" s="147"/>
      <c r="BM419" s="190"/>
      <c r="BN419" s="147"/>
      <c r="BQ419" s="191"/>
      <c r="BR419" s="147"/>
      <c r="BS419" s="192"/>
      <c r="BT419" s="147"/>
      <c r="BU419" s="193"/>
      <c r="BV419" s="147"/>
      <c r="BW419" s="192"/>
      <c r="BX419" s="147"/>
      <c r="BY419" s="196"/>
      <c r="BZ419" s="147"/>
      <c r="CA419" s="192"/>
      <c r="CB419" s="147"/>
      <c r="CC419" s="194"/>
      <c r="CD419" s="147"/>
      <c r="CL419" s="195"/>
      <c r="CM419" s="188"/>
    </row>
    <row r="420" spans="1:91" ht="15">
      <c r="M420" s="163"/>
      <c r="Q420" s="233"/>
      <c r="W420" s="183"/>
      <c r="AG420" s="184"/>
      <c r="AI420" s="185"/>
      <c r="AK420" s="186"/>
      <c r="BE420" s="187"/>
      <c r="BF420" s="188"/>
      <c r="BG420" s="189"/>
      <c r="BH420" s="147"/>
      <c r="BM420" s="190"/>
      <c r="BN420" s="147"/>
      <c r="BQ420" s="191"/>
      <c r="BR420" s="147"/>
      <c r="BS420" s="192"/>
      <c r="BT420" s="147"/>
      <c r="BU420" s="193"/>
      <c r="BV420" s="147"/>
      <c r="BW420" s="192"/>
      <c r="BX420" s="147"/>
      <c r="BY420" s="196"/>
      <c r="BZ420" s="147"/>
      <c r="CA420" s="192"/>
      <c r="CB420" s="147"/>
      <c r="CC420" s="194"/>
      <c r="CD420" s="147"/>
      <c r="CL420" s="195"/>
      <c r="CM420" s="188"/>
    </row>
    <row r="421" spans="1:91" ht="15">
      <c r="A421" s="221"/>
      <c r="B421" s="221"/>
      <c r="C421" s="222"/>
      <c r="D421" s="222"/>
      <c r="E421" s="222"/>
      <c r="G421" s="223"/>
      <c r="H421" s="223"/>
      <c r="I421" s="222"/>
      <c r="J421" s="222"/>
      <c r="K421" s="224"/>
      <c r="L421" s="225"/>
      <c r="M421" s="226"/>
      <c r="N421" s="225"/>
      <c r="O421" s="224"/>
      <c r="P421" s="225"/>
      <c r="Q421" s="233"/>
      <c r="R421" s="225"/>
      <c r="S421" s="224"/>
      <c r="T421" s="225"/>
      <c r="U421" s="224"/>
      <c r="V421" s="225"/>
      <c r="W421" s="226"/>
      <c r="X421" s="225"/>
      <c r="Z421" s="225"/>
      <c r="AA421" s="224"/>
      <c r="AB421" s="225"/>
      <c r="AC421" s="224"/>
      <c r="AD421" s="225"/>
      <c r="AE421" s="224"/>
      <c r="AF421" s="225"/>
      <c r="AG421" s="226"/>
      <c r="AH421" s="225"/>
      <c r="AI421" s="226"/>
      <c r="AJ421" s="225"/>
      <c r="AK421" s="226"/>
      <c r="AL421" s="225"/>
      <c r="AM421" s="224"/>
      <c r="AN421" s="225"/>
      <c r="AO421" s="224"/>
      <c r="AP421" s="224"/>
      <c r="AQ421" s="224"/>
      <c r="AR421" s="224"/>
      <c r="AS421" s="224"/>
      <c r="AT421" s="224"/>
      <c r="AU421" s="224"/>
      <c r="AV421" s="224"/>
      <c r="AW421" s="224"/>
      <c r="AX421" s="224"/>
      <c r="AY421" s="224"/>
      <c r="AZ421" s="224"/>
      <c r="BA421" s="224"/>
      <c r="BB421" s="224"/>
      <c r="BC421" s="224"/>
      <c r="BD421" s="224"/>
      <c r="BE421" s="226"/>
      <c r="BF421" s="227"/>
      <c r="BG421" s="228"/>
      <c r="BH421" s="225"/>
      <c r="BI421" s="229"/>
      <c r="BJ421" s="229"/>
      <c r="BK421" s="229"/>
      <c r="BL421" s="229"/>
      <c r="BM421" s="228"/>
      <c r="BN421" s="225"/>
      <c r="BO421" s="229"/>
      <c r="BP421" s="229"/>
      <c r="BQ421" s="228"/>
      <c r="BR421" s="225"/>
      <c r="BS421" s="228"/>
      <c r="BT421" s="225"/>
      <c r="BU421" s="228"/>
      <c r="BV421" s="225"/>
      <c r="BW421" s="228"/>
      <c r="BX421" s="225"/>
      <c r="BY421" s="228"/>
      <c r="BZ421" s="225"/>
      <c r="CA421" s="228"/>
      <c r="CB421" s="225"/>
      <c r="CC421" s="228"/>
      <c r="CD421" s="225"/>
      <c r="CE421" s="229"/>
      <c r="CF421" s="229"/>
      <c r="CG421" s="229"/>
      <c r="CH421" s="229"/>
      <c r="CI421" s="229"/>
      <c r="CJ421" s="229"/>
      <c r="CK421" s="229"/>
      <c r="CL421" s="228"/>
      <c r="CM421" s="227"/>
    </row>
    <row r="422" spans="1:91" ht="15">
      <c r="M422" s="163"/>
      <c r="Q422" s="233"/>
      <c r="W422" s="183"/>
      <c r="AG422" s="184"/>
      <c r="AI422" s="185"/>
      <c r="AK422" s="186"/>
      <c r="BE422" s="187"/>
      <c r="BF422" s="188"/>
      <c r="BG422" s="189"/>
      <c r="BH422" s="147"/>
      <c r="BM422" s="190"/>
      <c r="BN422" s="147"/>
      <c r="BQ422" s="191"/>
      <c r="BR422" s="147"/>
      <c r="BS422" s="192"/>
      <c r="BT422" s="147"/>
      <c r="BU422" s="193"/>
      <c r="BV422" s="147"/>
      <c r="BW422" s="192"/>
      <c r="BX422" s="147"/>
      <c r="BY422" s="196"/>
      <c r="BZ422" s="147"/>
      <c r="CA422" s="192"/>
      <c r="CB422" s="147"/>
      <c r="CC422" s="194"/>
      <c r="CD422" s="147"/>
      <c r="CL422" s="195"/>
      <c r="CM422" s="188"/>
    </row>
    <row r="423" spans="1:91" ht="15">
      <c r="M423" s="163"/>
      <c r="Q423" s="233"/>
      <c r="W423" s="183"/>
      <c r="AG423" s="184"/>
      <c r="AI423" s="185"/>
      <c r="AK423" s="186"/>
      <c r="BE423" s="187"/>
      <c r="BF423" s="188"/>
      <c r="BG423" s="189"/>
      <c r="BH423" s="147"/>
      <c r="BM423" s="190"/>
      <c r="BN423" s="147"/>
      <c r="BQ423" s="191"/>
      <c r="BR423" s="147"/>
      <c r="BS423" s="192"/>
      <c r="BT423" s="147"/>
      <c r="BU423" s="193"/>
      <c r="BV423" s="147"/>
      <c r="BW423" s="192"/>
      <c r="BX423" s="147"/>
      <c r="BY423" s="196"/>
      <c r="BZ423" s="147"/>
      <c r="CA423" s="192"/>
      <c r="CB423" s="147"/>
      <c r="CC423" s="194"/>
      <c r="CD423" s="147"/>
      <c r="CL423" s="195"/>
      <c r="CM423" s="188"/>
    </row>
    <row r="424" spans="1:91" ht="15">
      <c r="M424" s="163"/>
      <c r="Q424" s="233"/>
      <c r="W424" s="183"/>
      <c r="AG424" s="184"/>
      <c r="AI424" s="185"/>
      <c r="AK424" s="186"/>
      <c r="BE424" s="187"/>
      <c r="BF424" s="188"/>
      <c r="BG424" s="189"/>
      <c r="BH424" s="147"/>
      <c r="BM424" s="190"/>
      <c r="BN424" s="147"/>
      <c r="BQ424" s="191"/>
      <c r="BR424" s="147"/>
      <c r="BS424" s="192"/>
      <c r="BT424" s="147"/>
      <c r="BU424" s="193"/>
      <c r="BV424" s="147"/>
      <c r="BW424" s="192"/>
      <c r="BX424" s="147"/>
      <c r="BY424" s="196"/>
      <c r="BZ424" s="147"/>
      <c r="CA424" s="192"/>
      <c r="CB424" s="147"/>
      <c r="CC424" s="194"/>
      <c r="CD424" s="147"/>
      <c r="CL424" s="195"/>
      <c r="CM424" s="188"/>
    </row>
    <row r="425" spans="1:91" ht="15">
      <c r="M425" s="163"/>
      <c r="Q425" s="233"/>
      <c r="W425" s="183"/>
      <c r="AG425" s="184"/>
      <c r="AI425" s="185"/>
      <c r="AK425" s="186"/>
      <c r="BE425" s="187"/>
      <c r="BF425" s="188"/>
      <c r="BG425" s="189"/>
      <c r="BH425" s="147"/>
      <c r="BM425" s="190"/>
      <c r="BN425" s="147"/>
      <c r="BQ425" s="191"/>
      <c r="BR425" s="147"/>
      <c r="BS425" s="192"/>
      <c r="BT425" s="147"/>
      <c r="BU425" s="193"/>
      <c r="BV425" s="147"/>
      <c r="BW425" s="192"/>
      <c r="BX425" s="147"/>
      <c r="BY425" s="196"/>
      <c r="BZ425" s="147"/>
      <c r="CA425" s="192"/>
      <c r="CB425" s="147"/>
      <c r="CC425" s="194"/>
      <c r="CD425" s="147"/>
      <c r="CL425" s="195"/>
      <c r="CM425" s="188"/>
    </row>
    <row r="426" spans="1:91" ht="15">
      <c r="M426" s="163"/>
      <c r="Q426" s="233"/>
      <c r="W426" s="183"/>
      <c r="AG426" s="184"/>
      <c r="AI426" s="185"/>
      <c r="AK426" s="186"/>
      <c r="BE426" s="187"/>
      <c r="BF426" s="188"/>
      <c r="BG426" s="189"/>
      <c r="BH426" s="147"/>
      <c r="BM426" s="190"/>
      <c r="BN426" s="147"/>
      <c r="BQ426" s="191"/>
      <c r="BR426" s="147"/>
      <c r="BS426" s="192"/>
      <c r="BT426" s="147"/>
      <c r="BU426" s="193"/>
      <c r="BV426" s="147"/>
      <c r="BW426" s="192"/>
      <c r="BX426" s="147"/>
      <c r="BY426" s="196"/>
      <c r="BZ426" s="147"/>
      <c r="CA426" s="192"/>
      <c r="CB426" s="147"/>
      <c r="CC426" s="194"/>
      <c r="CD426" s="147"/>
      <c r="CL426" s="195"/>
      <c r="CM426" s="188"/>
    </row>
    <row r="427" spans="1:91" ht="15">
      <c r="K427" s="181"/>
      <c r="M427" s="163"/>
      <c r="Q427" s="233"/>
      <c r="W427" s="183"/>
      <c r="AG427" s="184"/>
      <c r="AI427" s="185"/>
      <c r="AK427" s="186"/>
      <c r="BE427" s="187"/>
      <c r="BF427" s="188"/>
      <c r="BG427" s="189"/>
      <c r="BH427" s="147"/>
      <c r="BM427" s="190"/>
      <c r="BN427" s="147"/>
      <c r="BQ427" s="191"/>
      <c r="BR427" s="147"/>
      <c r="BS427" s="192"/>
      <c r="BT427" s="147"/>
      <c r="BU427" s="193"/>
      <c r="BV427" s="147"/>
      <c r="BW427" s="192"/>
      <c r="BX427" s="147"/>
      <c r="BY427" s="196"/>
      <c r="BZ427" s="147"/>
      <c r="CA427" s="192"/>
      <c r="CB427" s="147"/>
      <c r="CC427" s="194"/>
      <c r="CD427" s="147"/>
      <c r="CL427" s="195"/>
      <c r="CM427" s="188"/>
    </row>
    <row r="428" spans="1:91" ht="15">
      <c r="M428" s="163"/>
      <c r="Q428" s="233"/>
      <c r="W428" s="183"/>
      <c r="AG428" s="184"/>
      <c r="AI428" s="185"/>
      <c r="AK428" s="186"/>
      <c r="BE428" s="187"/>
      <c r="BF428" s="188"/>
      <c r="BG428" s="189"/>
      <c r="BH428" s="147"/>
      <c r="BM428" s="190"/>
      <c r="BN428" s="147"/>
      <c r="BQ428" s="191"/>
      <c r="BR428" s="147"/>
      <c r="BS428" s="192"/>
      <c r="BT428" s="147"/>
      <c r="BU428" s="193"/>
      <c r="BV428" s="147"/>
      <c r="BW428" s="192"/>
      <c r="BX428" s="147"/>
      <c r="BY428" s="196"/>
      <c r="BZ428" s="147"/>
      <c r="CA428" s="192"/>
      <c r="CB428" s="147"/>
      <c r="CC428" s="194"/>
      <c r="CD428" s="147"/>
      <c r="CL428" s="195"/>
      <c r="CM428" s="188"/>
    </row>
    <row r="429" spans="1:91" ht="15">
      <c r="I429" s="177"/>
      <c r="M429" s="163"/>
      <c r="Q429" s="233"/>
      <c r="W429" s="183"/>
      <c r="AG429" s="184"/>
      <c r="AI429" s="185"/>
      <c r="AK429" s="186"/>
      <c r="BE429" s="187"/>
      <c r="BF429" s="188"/>
      <c r="BG429" s="189"/>
      <c r="BH429" s="147"/>
      <c r="BM429" s="190"/>
      <c r="BN429" s="147"/>
      <c r="BQ429" s="191"/>
      <c r="BR429" s="147"/>
      <c r="BS429" s="192"/>
      <c r="BT429" s="147"/>
      <c r="BU429" s="193"/>
      <c r="BV429" s="147"/>
      <c r="BW429" s="192"/>
      <c r="BX429" s="147"/>
      <c r="BY429" s="196"/>
      <c r="BZ429" s="147"/>
      <c r="CA429" s="192"/>
      <c r="CB429" s="147"/>
      <c r="CC429" s="194"/>
      <c r="CD429" s="147"/>
      <c r="CL429" s="195"/>
      <c r="CM429" s="188"/>
    </row>
    <row r="430" spans="1:91" ht="15">
      <c r="M430" s="163"/>
      <c r="Q430" s="233"/>
      <c r="W430" s="183"/>
      <c r="AG430" s="184"/>
      <c r="AI430" s="185"/>
      <c r="AK430" s="186"/>
      <c r="BE430" s="187"/>
      <c r="BF430" s="188"/>
      <c r="BG430" s="189"/>
      <c r="BH430" s="147"/>
      <c r="BM430" s="190"/>
      <c r="BN430" s="147"/>
      <c r="BQ430" s="191"/>
      <c r="BR430" s="147"/>
      <c r="BS430" s="192"/>
      <c r="BT430" s="147"/>
      <c r="BU430" s="193"/>
      <c r="BV430" s="147"/>
      <c r="BW430" s="192"/>
      <c r="BX430" s="147"/>
      <c r="BY430" s="196"/>
      <c r="BZ430" s="147"/>
      <c r="CA430" s="192"/>
      <c r="CB430" s="147"/>
      <c r="CC430" s="194"/>
      <c r="CD430" s="147"/>
      <c r="CL430" s="195"/>
      <c r="CM430" s="188"/>
    </row>
    <row r="431" spans="1:91" ht="15">
      <c r="M431" s="163"/>
      <c r="Q431" s="233"/>
      <c r="W431" s="183"/>
      <c r="AG431" s="184"/>
      <c r="AI431" s="185"/>
      <c r="AK431" s="186"/>
      <c r="BE431" s="187"/>
      <c r="BF431" s="188"/>
      <c r="BG431" s="189"/>
      <c r="BH431" s="147"/>
      <c r="BM431" s="190"/>
      <c r="BN431" s="147"/>
      <c r="BQ431" s="191"/>
      <c r="BR431" s="147"/>
      <c r="BS431" s="192"/>
      <c r="BT431" s="147"/>
      <c r="BU431" s="193"/>
      <c r="BV431" s="147"/>
      <c r="BW431" s="192"/>
      <c r="BX431" s="147"/>
      <c r="BY431" s="196"/>
      <c r="BZ431" s="147"/>
      <c r="CA431" s="192"/>
      <c r="CB431" s="147"/>
      <c r="CC431" s="194"/>
      <c r="CD431" s="147"/>
      <c r="CL431" s="195"/>
      <c r="CM431" s="188"/>
    </row>
    <row r="432" spans="1:91" ht="15">
      <c r="M432" s="163"/>
      <c r="Q432" s="233"/>
      <c r="W432" s="183"/>
      <c r="AG432" s="184"/>
      <c r="AI432" s="185"/>
      <c r="AK432" s="186"/>
      <c r="BE432" s="187"/>
      <c r="BF432" s="188"/>
      <c r="BG432" s="189"/>
      <c r="BH432" s="147"/>
      <c r="BM432" s="190"/>
      <c r="BN432" s="147"/>
      <c r="BQ432" s="191"/>
      <c r="BR432" s="147"/>
      <c r="BS432" s="192"/>
      <c r="BT432" s="147"/>
      <c r="BU432" s="193"/>
      <c r="BV432" s="147"/>
      <c r="BW432" s="192"/>
      <c r="BX432" s="147"/>
      <c r="BY432" s="196"/>
      <c r="BZ432" s="147"/>
      <c r="CA432" s="192"/>
      <c r="CB432" s="147"/>
      <c r="CC432" s="194"/>
      <c r="CD432" s="147"/>
      <c r="CL432" s="195"/>
      <c r="CM432" s="188"/>
    </row>
    <row r="433" spans="1:91" ht="15">
      <c r="K433" s="181"/>
      <c r="M433" s="163"/>
      <c r="Q433" s="233"/>
      <c r="W433" s="183"/>
      <c r="AG433" s="184"/>
      <c r="AI433" s="185"/>
      <c r="AK433" s="186"/>
      <c r="BE433" s="187"/>
      <c r="BF433" s="188"/>
      <c r="BG433" s="189"/>
      <c r="BH433" s="147"/>
      <c r="BM433" s="190"/>
      <c r="BN433" s="147"/>
      <c r="BQ433" s="191"/>
      <c r="BR433" s="147"/>
      <c r="BS433" s="192"/>
      <c r="BT433" s="147"/>
      <c r="BU433" s="193"/>
      <c r="BV433" s="147"/>
      <c r="BW433" s="192"/>
      <c r="BX433" s="147"/>
      <c r="BY433" s="196"/>
      <c r="BZ433" s="147"/>
      <c r="CA433" s="192"/>
      <c r="CB433" s="147"/>
      <c r="CC433" s="194"/>
      <c r="CD433" s="147"/>
      <c r="CL433" s="195"/>
      <c r="CM433" s="188"/>
    </row>
    <row r="434" spans="1:91" ht="15">
      <c r="M434" s="163"/>
      <c r="Q434" s="233"/>
      <c r="W434" s="183"/>
      <c r="AG434" s="184"/>
      <c r="AI434" s="185"/>
      <c r="AK434" s="186"/>
      <c r="BE434" s="187"/>
      <c r="BF434" s="188"/>
      <c r="BG434" s="189"/>
      <c r="BH434" s="147"/>
      <c r="BM434" s="190"/>
      <c r="BN434" s="147"/>
      <c r="BQ434" s="191"/>
      <c r="BR434" s="147"/>
      <c r="BS434" s="192"/>
      <c r="BT434" s="147"/>
      <c r="BU434" s="193"/>
      <c r="BV434" s="147"/>
      <c r="BW434" s="192"/>
      <c r="BX434" s="147"/>
      <c r="BY434" s="196"/>
      <c r="BZ434" s="147"/>
      <c r="CA434" s="192"/>
      <c r="CB434" s="147"/>
      <c r="CC434" s="194"/>
      <c r="CD434" s="147"/>
      <c r="CL434" s="195"/>
      <c r="CM434" s="188"/>
    </row>
    <row r="435" spans="1:91" ht="15">
      <c r="M435" s="163"/>
      <c r="Q435" s="233"/>
      <c r="W435" s="183"/>
      <c r="AG435" s="184"/>
      <c r="AI435" s="185"/>
      <c r="AK435" s="186"/>
      <c r="BE435" s="187"/>
      <c r="BF435" s="188"/>
      <c r="BG435" s="189"/>
      <c r="BH435" s="147"/>
      <c r="BM435" s="190"/>
      <c r="BN435" s="147"/>
      <c r="BQ435" s="191"/>
      <c r="BR435" s="147"/>
      <c r="BS435" s="192"/>
      <c r="BT435" s="147"/>
      <c r="BU435" s="193"/>
      <c r="BV435" s="147"/>
      <c r="BW435" s="192"/>
      <c r="BX435" s="147"/>
      <c r="BY435" s="196"/>
      <c r="BZ435" s="147"/>
      <c r="CA435" s="192"/>
      <c r="CB435" s="147"/>
      <c r="CC435" s="194"/>
      <c r="CD435" s="147"/>
      <c r="CL435" s="195"/>
      <c r="CM435" s="188"/>
    </row>
    <row r="436" spans="1:91" ht="15">
      <c r="I436" s="177"/>
      <c r="M436" s="163"/>
      <c r="Q436" s="233"/>
      <c r="W436" s="183"/>
      <c r="AG436" s="184"/>
      <c r="AI436" s="185"/>
      <c r="AK436" s="186"/>
      <c r="BE436" s="187"/>
      <c r="BF436" s="188"/>
      <c r="BG436" s="189"/>
      <c r="BH436" s="147"/>
      <c r="BM436" s="190"/>
      <c r="BN436" s="147"/>
      <c r="BQ436" s="191"/>
      <c r="BR436" s="147"/>
      <c r="BS436" s="192"/>
      <c r="BT436" s="147"/>
      <c r="BU436" s="193"/>
      <c r="BV436" s="147"/>
      <c r="BW436" s="192"/>
      <c r="BX436" s="147"/>
      <c r="BY436" s="196"/>
      <c r="BZ436" s="147"/>
      <c r="CA436" s="192"/>
      <c r="CB436" s="147"/>
      <c r="CC436" s="194"/>
      <c r="CD436" s="147"/>
      <c r="CL436" s="195"/>
      <c r="CM436" s="188"/>
    </row>
    <row r="437" spans="1:91" ht="15">
      <c r="M437" s="163"/>
      <c r="Q437" s="233"/>
      <c r="W437" s="183"/>
      <c r="AG437" s="184"/>
      <c r="AI437" s="185"/>
      <c r="AK437" s="186"/>
      <c r="BE437" s="187"/>
      <c r="BF437" s="188"/>
      <c r="BG437" s="189"/>
      <c r="BH437" s="147"/>
      <c r="BM437" s="190"/>
      <c r="BN437" s="147"/>
      <c r="BQ437" s="191"/>
      <c r="BR437" s="147"/>
      <c r="BS437" s="192"/>
      <c r="BT437" s="147"/>
      <c r="BU437" s="193"/>
      <c r="BV437" s="147"/>
      <c r="BW437" s="192"/>
      <c r="BX437" s="147"/>
      <c r="BY437" s="196"/>
      <c r="BZ437" s="147"/>
      <c r="CA437" s="192"/>
      <c r="CB437" s="147"/>
      <c r="CC437" s="194"/>
      <c r="CD437" s="147"/>
      <c r="CL437" s="195"/>
      <c r="CM437" s="188"/>
    </row>
    <row r="438" spans="1:91" ht="15">
      <c r="I438" s="177"/>
      <c r="M438" s="163"/>
      <c r="Q438" s="233"/>
      <c r="W438" s="183"/>
      <c r="AG438" s="184"/>
      <c r="AI438" s="185"/>
      <c r="AK438" s="186"/>
      <c r="BE438" s="187"/>
      <c r="BF438" s="188"/>
      <c r="BG438" s="189"/>
      <c r="BH438" s="147"/>
      <c r="BM438" s="190"/>
      <c r="BN438" s="147"/>
      <c r="BQ438" s="191"/>
      <c r="BR438" s="147"/>
      <c r="BS438" s="192"/>
      <c r="BT438" s="147"/>
      <c r="BU438" s="193"/>
      <c r="BV438" s="147"/>
      <c r="BW438" s="192"/>
      <c r="BX438" s="147"/>
      <c r="BY438" s="196"/>
      <c r="BZ438" s="147"/>
      <c r="CA438" s="192"/>
      <c r="CB438" s="147"/>
      <c r="CC438" s="194"/>
      <c r="CD438" s="147"/>
      <c r="CL438" s="195"/>
      <c r="CM438" s="188"/>
    </row>
    <row r="439" spans="1:91" ht="15">
      <c r="M439" s="163"/>
      <c r="Q439" s="233"/>
      <c r="W439" s="183"/>
      <c r="AG439" s="184"/>
      <c r="AI439" s="185"/>
      <c r="AK439" s="186"/>
      <c r="BE439" s="187"/>
      <c r="BF439" s="188"/>
      <c r="BG439" s="189"/>
      <c r="BH439" s="147"/>
      <c r="BM439" s="190"/>
      <c r="BN439" s="147"/>
      <c r="BQ439" s="191"/>
      <c r="BR439" s="147"/>
      <c r="BS439" s="192"/>
      <c r="BT439" s="147"/>
      <c r="BU439" s="193"/>
      <c r="BV439" s="147"/>
      <c r="BW439" s="192"/>
      <c r="BX439" s="147"/>
      <c r="BY439" s="196"/>
      <c r="BZ439" s="147"/>
      <c r="CA439" s="192"/>
      <c r="CB439" s="147"/>
      <c r="CC439" s="194"/>
      <c r="CD439" s="147"/>
      <c r="CL439" s="195"/>
      <c r="CM439" s="188"/>
    </row>
    <row r="440" spans="1:91" ht="15">
      <c r="M440" s="163"/>
      <c r="Q440" s="233"/>
      <c r="W440" s="183"/>
      <c r="AG440" s="184"/>
      <c r="AI440" s="185"/>
      <c r="AK440" s="186"/>
      <c r="BE440" s="187"/>
      <c r="BF440" s="188"/>
      <c r="BG440" s="189"/>
      <c r="BH440" s="147"/>
      <c r="BM440" s="190"/>
      <c r="BN440" s="147"/>
      <c r="BQ440" s="191"/>
      <c r="BR440" s="147"/>
      <c r="BS440" s="192"/>
      <c r="BT440" s="147"/>
      <c r="BU440" s="193"/>
      <c r="BV440" s="147"/>
      <c r="BW440" s="192"/>
      <c r="BX440" s="147"/>
      <c r="BY440" s="196"/>
      <c r="BZ440" s="147"/>
      <c r="CA440" s="192"/>
      <c r="CB440" s="147"/>
      <c r="CC440" s="194"/>
      <c r="CD440" s="147"/>
      <c r="CL440" s="195"/>
      <c r="CM440" s="188"/>
    </row>
    <row r="441" spans="1:91" ht="15">
      <c r="A441" s="221"/>
      <c r="B441" s="221"/>
      <c r="C441" s="222"/>
      <c r="D441" s="222"/>
      <c r="E441" s="222"/>
      <c r="G441" s="223"/>
      <c r="H441" s="223"/>
      <c r="I441" s="222"/>
      <c r="J441" s="222"/>
      <c r="K441" s="230"/>
      <c r="L441" s="225"/>
      <c r="M441" s="226"/>
      <c r="N441" s="225"/>
      <c r="O441" s="224"/>
      <c r="P441" s="225"/>
      <c r="Q441" s="233"/>
      <c r="R441" s="225"/>
      <c r="S441" s="224"/>
      <c r="T441" s="225"/>
      <c r="U441" s="224"/>
      <c r="V441" s="225"/>
      <c r="W441" s="226"/>
      <c r="X441" s="225"/>
      <c r="Z441" s="225"/>
      <c r="AA441" s="224"/>
      <c r="AB441" s="225"/>
      <c r="AC441" s="224"/>
      <c r="AD441" s="225"/>
      <c r="AE441" s="224"/>
      <c r="AF441" s="225"/>
      <c r="AG441" s="226"/>
      <c r="AH441" s="225"/>
      <c r="AI441" s="226"/>
      <c r="AJ441" s="225"/>
      <c r="AK441" s="226"/>
      <c r="AL441" s="225"/>
      <c r="AM441" s="224"/>
      <c r="AN441" s="225"/>
      <c r="AO441" s="224"/>
      <c r="AP441" s="224"/>
      <c r="AQ441" s="224"/>
      <c r="AR441" s="224"/>
      <c r="AS441" s="224"/>
      <c r="AT441" s="224"/>
      <c r="AU441" s="224"/>
      <c r="AV441" s="224"/>
      <c r="AW441" s="224"/>
      <c r="AX441" s="224"/>
      <c r="AY441" s="224"/>
      <c r="AZ441" s="224"/>
      <c r="BA441" s="224"/>
      <c r="BB441" s="224"/>
      <c r="BC441" s="224"/>
      <c r="BD441" s="224"/>
      <c r="BE441" s="226"/>
      <c r="BF441" s="227"/>
      <c r="BG441" s="228"/>
      <c r="BH441" s="225"/>
      <c r="BI441" s="229"/>
      <c r="BJ441" s="229"/>
      <c r="BK441" s="229"/>
      <c r="BL441" s="229"/>
      <c r="BM441" s="228"/>
      <c r="BN441" s="225"/>
      <c r="BO441" s="229"/>
      <c r="BP441" s="229"/>
      <c r="BQ441" s="228"/>
      <c r="BR441" s="225"/>
      <c r="BS441" s="228"/>
      <c r="BT441" s="225"/>
      <c r="BU441" s="228"/>
      <c r="BV441" s="225"/>
      <c r="BW441" s="228"/>
      <c r="BX441" s="225"/>
      <c r="BY441" s="228"/>
      <c r="BZ441" s="225"/>
      <c r="CA441" s="228"/>
      <c r="CB441" s="225"/>
      <c r="CC441" s="228"/>
      <c r="CD441" s="225"/>
      <c r="CE441" s="229"/>
      <c r="CF441" s="229"/>
      <c r="CG441" s="229"/>
      <c r="CH441" s="229"/>
      <c r="CI441" s="229"/>
      <c r="CJ441" s="229"/>
      <c r="CK441" s="229"/>
      <c r="CL441" s="228"/>
      <c r="CM441" s="227"/>
    </row>
    <row r="442" spans="1:91" ht="15">
      <c r="M442" s="163"/>
      <c r="Q442" s="233"/>
      <c r="W442" s="183"/>
      <c r="AG442" s="184"/>
      <c r="AI442" s="185"/>
      <c r="AK442" s="186"/>
      <c r="BE442" s="187"/>
      <c r="BF442" s="188"/>
      <c r="BG442" s="189"/>
      <c r="BH442" s="147"/>
      <c r="BM442" s="190"/>
      <c r="BN442" s="147"/>
      <c r="BQ442" s="191"/>
      <c r="BR442" s="147"/>
      <c r="BS442" s="192"/>
      <c r="BT442" s="147"/>
      <c r="BU442" s="193"/>
      <c r="BV442" s="147"/>
      <c r="BW442" s="192"/>
      <c r="BX442" s="147"/>
      <c r="BY442" s="196"/>
      <c r="BZ442" s="147"/>
      <c r="CA442" s="192"/>
      <c r="CB442" s="147"/>
      <c r="CC442" s="194"/>
      <c r="CD442" s="147"/>
      <c r="CL442" s="195"/>
      <c r="CM442" s="188"/>
    </row>
    <row r="443" spans="1:91" ht="15">
      <c r="K443" s="178"/>
      <c r="M443" s="163"/>
      <c r="Q443" s="233"/>
      <c r="W443" s="183"/>
      <c r="AG443" s="184"/>
      <c r="AI443" s="185"/>
      <c r="AK443" s="186"/>
      <c r="BE443" s="187"/>
      <c r="BF443" s="188"/>
      <c r="BG443" s="189"/>
      <c r="BH443" s="147"/>
      <c r="BM443" s="190"/>
      <c r="BN443" s="147"/>
      <c r="BQ443" s="191"/>
      <c r="BR443" s="147"/>
      <c r="BS443" s="192"/>
      <c r="BT443" s="147"/>
      <c r="BU443" s="193"/>
      <c r="BV443" s="147"/>
      <c r="BW443" s="192"/>
      <c r="BX443" s="147"/>
      <c r="BY443" s="196"/>
      <c r="BZ443" s="147"/>
      <c r="CA443" s="192"/>
      <c r="CB443" s="147"/>
      <c r="CC443" s="194"/>
      <c r="CD443" s="147"/>
      <c r="CL443" s="195"/>
      <c r="CM443" s="188"/>
    </row>
    <row r="444" spans="1:91" ht="15">
      <c r="M444" s="163"/>
      <c r="Q444" s="233"/>
      <c r="W444" s="183"/>
      <c r="AG444" s="184"/>
      <c r="AI444" s="185"/>
      <c r="AK444" s="186"/>
      <c r="BE444" s="187"/>
      <c r="BF444" s="188"/>
      <c r="BG444" s="189"/>
      <c r="BH444" s="147"/>
      <c r="BM444" s="190"/>
      <c r="BN444" s="147"/>
      <c r="BQ444" s="191"/>
      <c r="BR444" s="147"/>
      <c r="BS444" s="192"/>
      <c r="BT444" s="147"/>
      <c r="BU444" s="193"/>
      <c r="BV444" s="147"/>
      <c r="BW444" s="192"/>
      <c r="BX444" s="147"/>
      <c r="BY444" s="196"/>
      <c r="BZ444" s="147"/>
      <c r="CA444" s="192"/>
      <c r="CB444" s="147"/>
      <c r="CC444" s="194"/>
      <c r="CD444" s="147"/>
      <c r="CL444" s="195"/>
      <c r="CM444" s="188"/>
    </row>
    <row r="445" spans="1:91" ht="15">
      <c r="M445" s="163"/>
      <c r="Q445" s="233"/>
      <c r="W445" s="183"/>
      <c r="AG445" s="184"/>
      <c r="AI445" s="185"/>
      <c r="AK445" s="186"/>
      <c r="BE445" s="187"/>
      <c r="BF445" s="188"/>
      <c r="BG445" s="189"/>
      <c r="BH445" s="147"/>
      <c r="BM445" s="190"/>
      <c r="BN445" s="147"/>
      <c r="BQ445" s="191"/>
      <c r="BR445" s="147"/>
      <c r="BS445" s="192"/>
      <c r="BT445" s="147"/>
      <c r="BU445" s="193"/>
      <c r="BV445" s="147"/>
      <c r="BW445" s="192"/>
      <c r="BX445" s="147"/>
      <c r="BY445" s="196"/>
      <c r="BZ445" s="147"/>
      <c r="CA445" s="192"/>
      <c r="CB445" s="147"/>
      <c r="CC445" s="194"/>
      <c r="CD445" s="147"/>
      <c r="CL445" s="195"/>
      <c r="CM445" s="188"/>
    </row>
    <row r="446" spans="1:91" ht="15">
      <c r="I446" s="177"/>
      <c r="K446" s="181"/>
      <c r="M446" s="163"/>
      <c r="Q446" s="233"/>
      <c r="W446" s="183"/>
      <c r="AG446" s="184"/>
      <c r="AI446" s="185"/>
      <c r="AK446" s="186"/>
      <c r="BE446" s="187"/>
      <c r="BF446" s="188"/>
      <c r="BG446" s="189"/>
      <c r="BH446" s="147"/>
      <c r="BM446" s="190"/>
      <c r="BN446" s="147"/>
      <c r="BQ446" s="191"/>
      <c r="BR446" s="147"/>
      <c r="BS446" s="192"/>
      <c r="BT446" s="147"/>
      <c r="BU446" s="193"/>
      <c r="BV446" s="147"/>
      <c r="BW446" s="192"/>
      <c r="BX446" s="147"/>
      <c r="BY446" s="196"/>
      <c r="BZ446" s="147"/>
      <c r="CA446" s="192"/>
      <c r="CB446" s="147"/>
      <c r="CC446" s="194"/>
      <c r="CD446" s="147"/>
      <c r="CL446" s="195"/>
      <c r="CM446" s="188"/>
    </row>
    <row r="447" spans="1:91" ht="15">
      <c r="M447" s="163"/>
      <c r="Q447" s="233"/>
      <c r="W447" s="183"/>
      <c r="AG447" s="184"/>
      <c r="AI447" s="185"/>
      <c r="AK447" s="186"/>
      <c r="BE447" s="187"/>
      <c r="BF447" s="188"/>
      <c r="BG447" s="189"/>
      <c r="BH447" s="147"/>
      <c r="BM447" s="190"/>
      <c r="BN447" s="147"/>
      <c r="BQ447" s="191"/>
      <c r="BR447" s="147"/>
      <c r="BS447" s="192"/>
      <c r="BT447" s="147"/>
      <c r="BU447" s="193"/>
      <c r="BV447" s="147"/>
      <c r="BW447" s="192"/>
      <c r="BX447" s="147"/>
      <c r="BY447" s="196"/>
      <c r="BZ447" s="147"/>
      <c r="CA447" s="192"/>
      <c r="CB447" s="147"/>
      <c r="CC447" s="194"/>
      <c r="CD447" s="147"/>
      <c r="CL447" s="195"/>
      <c r="CM447" s="188"/>
    </row>
    <row r="448" spans="1:91" ht="15">
      <c r="M448" s="163"/>
      <c r="Q448" s="233"/>
      <c r="W448" s="183"/>
      <c r="AG448" s="184"/>
      <c r="AI448" s="185"/>
      <c r="AK448" s="186"/>
      <c r="BE448" s="187"/>
      <c r="BF448" s="188"/>
      <c r="BG448" s="189"/>
      <c r="BH448" s="147"/>
      <c r="BM448" s="190"/>
      <c r="BN448" s="147"/>
      <c r="BQ448" s="191"/>
      <c r="BR448" s="147"/>
      <c r="BS448" s="192"/>
      <c r="BT448" s="147"/>
      <c r="BU448" s="193"/>
      <c r="BV448" s="147"/>
      <c r="BW448" s="192"/>
      <c r="BX448" s="147"/>
      <c r="BY448" s="196"/>
      <c r="BZ448" s="147"/>
      <c r="CA448" s="192"/>
      <c r="CB448" s="147"/>
      <c r="CC448" s="194"/>
      <c r="CD448" s="147"/>
      <c r="CL448" s="195"/>
      <c r="CM448" s="188"/>
    </row>
    <row r="449" spans="9:91" ht="15">
      <c r="K449" s="181"/>
      <c r="M449" s="163"/>
      <c r="Q449" s="233"/>
      <c r="W449" s="183"/>
      <c r="AG449" s="184"/>
      <c r="AI449" s="185"/>
      <c r="AK449" s="186"/>
      <c r="BE449" s="187"/>
      <c r="BF449" s="188"/>
      <c r="BG449" s="189"/>
      <c r="BH449" s="147"/>
      <c r="BM449" s="190"/>
      <c r="BN449" s="147"/>
      <c r="BQ449" s="191"/>
      <c r="BR449" s="147"/>
      <c r="BS449" s="192"/>
      <c r="BT449" s="147"/>
      <c r="BU449" s="193"/>
      <c r="BV449" s="147"/>
      <c r="BW449" s="192"/>
      <c r="BX449" s="147"/>
      <c r="BY449" s="196"/>
      <c r="BZ449" s="147"/>
      <c r="CA449" s="192"/>
      <c r="CB449" s="147"/>
      <c r="CC449" s="194"/>
      <c r="CD449" s="147"/>
      <c r="CL449" s="195"/>
      <c r="CM449" s="188"/>
    </row>
    <row r="450" spans="9:91" ht="15">
      <c r="M450" s="163"/>
      <c r="Q450" s="233"/>
      <c r="W450" s="183"/>
      <c r="AG450" s="184"/>
      <c r="AI450" s="185"/>
      <c r="AK450" s="186"/>
      <c r="BE450" s="187"/>
      <c r="BF450" s="188"/>
      <c r="BG450" s="189"/>
      <c r="BH450" s="147"/>
      <c r="BM450" s="190"/>
      <c r="BN450" s="147"/>
      <c r="BQ450" s="191"/>
      <c r="BR450" s="147"/>
      <c r="BS450" s="192"/>
      <c r="BT450" s="147"/>
      <c r="BU450" s="193"/>
      <c r="BV450" s="147"/>
      <c r="BW450" s="192"/>
      <c r="BX450" s="147"/>
      <c r="BY450" s="196"/>
      <c r="BZ450" s="147"/>
      <c r="CA450" s="192"/>
      <c r="CB450" s="147"/>
      <c r="CC450" s="194"/>
      <c r="CD450" s="147"/>
      <c r="CL450" s="195"/>
      <c r="CM450" s="188"/>
    </row>
    <row r="451" spans="9:91" ht="15">
      <c r="M451" s="163"/>
      <c r="Q451" s="233"/>
      <c r="W451" s="183"/>
      <c r="AG451" s="184"/>
      <c r="AI451" s="185"/>
      <c r="AK451" s="186"/>
      <c r="BE451" s="187"/>
      <c r="BF451" s="188"/>
      <c r="BG451" s="189"/>
      <c r="BH451" s="147"/>
      <c r="BM451" s="190"/>
      <c r="BN451" s="147"/>
      <c r="BQ451" s="191"/>
      <c r="BR451" s="147"/>
      <c r="BS451" s="192"/>
      <c r="BT451" s="147"/>
      <c r="BU451" s="193"/>
      <c r="BV451" s="147"/>
      <c r="BW451" s="192"/>
      <c r="BX451" s="147"/>
      <c r="BY451" s="196"/>
      <c r="BZ451" s="147"/>
      <c r="CA451" s="192"/>
      <c r="CB451" s="147"/>
      <c r="CC451" s="194"/>
      <c r="CD451" s="147"/>
      <c r="CL451" s="195"/>
      <c r="CM451" s="188"/>
    </row>
    <row r="452" spans="9:91" ht="15">
      <c r="M452" s="163"/>
      <c r="Q452" s="233"/>
      <c r="W452" s="183"/>
      <c r="AG452" s="184"/>
      <c r="AI452" s="185"/>
      <c r="AK452" s="186"/>
      <c r="BE452" s="187"/>
      <c r="BF452" s="188"/>
      <c r="BG452" s="189"/>
      <c r="BH452" s="147"/>
      <c r="BM452" s="190"/>
      <c r="BN452" s="147"/>
      <c r="BQ452" s="191"/>
      <c r="BR452" s="147"/>
      <c r="BS452" s="192"/>
      <c r="BT452" s="147"/>
      <c r="BU452" s="193"/>
      <c r="BV452" s="147"/>
      <c r="BW452" s="192"/>
      <c r="BX452" s="147"/>
      <c r="BY452" s="196"/>
      <c r="BZ452" s="147"/>
      <c r="CA452" s="192"/>
      <c r="CB452" s="147"/>
      <c r="CC452" s="194"/>
      <c r="CD452" s="147"/>
      <c r="CL452" s="195"/>
      <c r="CM452" s="188"/>
    </row>
    <row r="453" spans="9:91" ht="15">
      <c r="K453" s="181"/>
      <c r="M453" s="163"/>
      <c r="Q453" s="233"/>
      <c r="W453" s="183"/>
      <c r="AG453" s="184"/>
      <c r="AI453" s="185"/>
      <c r="AK453" s="186"/>
      <c r="BE453" s="187"/>
      <c r="BF453" s="188"/>
      <c r="BG453" s="189"/>
      <c r="BH453" s="147"/>
      <c r="BM453" s="190"/>
      <c r="BN453" s="147"/>
      <c r="BQ453" s="191"/>
      <c r="BR453" s="147"/>
      <c r="BS453" s="192"/>
      <c r="BT453" s="147"/>
      <c r="BU453" s="193"/>
      <c r="BV453" s="147"/>
      <c r="BW453" s="192"/>
      <c r="BX453" s="147"/>
      <c r="BY453" s="196"/>
      <c r="BZ453" s="147"/>
      <c r="CA453" s="192"/>
      <c r="CB453" s="147"/>
      <c r="CC453" s="194"/>
      <c r="CD453" s="147"/>
      <c r="CL453" s="195"/>
      <c r="CM453" s="188"/>
    </row>
    <row r="454" spans="9:91" ht="15">
      <c r="K454" s="181"/>
      <c r="M454" s="163"/>
      <c r="Q454" s="233"/>
      <c r="W454" s="183"/>
      <c r="AG454" s="184"/>
      <c r="AI454" s="185"/>
      <c r="AK454" s="186"/>
      <c r="BE454" s="187"/>
      <c r="BF454" s="188"/>
      <c r="BG454" s="189"/>
      <c r="BH454" s="147"/>
      <c r="BM454" s="190"/>
      <c r="BN454" s="147"/>
      <c r="BQ454" s="191"/>
      <c r="BR454" s="147"/>
      <c r="BS454" s="192"/>
      <c r="BT454" s="147"/>
      <c r="BU454" s="193"/>
      <c r="BV454" s="147"/>
      <c r="BW454" s="192"/>
      <c r="BX454" s="147"/>
      <c r="BY454" s="196"/>
      <c r="BZ454" s="147"/>
      <c r="CA454" s="192"/>
      <c r="CB454" s="147"/>
      <c r="CC454" s="194"/>
      <c r="CD454" s="147"/>
      <c r="CL454" s="195"/>
      <c r="CM454" s="188"/>
    </row>
    <row r="455" spans="9:91" ht="15">
      <c r="M455" s="163"/>
      <c r="Q455" s="233"/>
      <c r="W455" s="183"/>
      <c r="AG455" s="184"/>
      <c r="AI455" s="185"/>
      <c r="AK455" s="186"/>
      <c r="BE455" s="187"/>
      <c r="BF455" s="188"/>
      <c r="BG455" s="189"/>
      <c r="BH455" s="147"/>
      <c r="BM455" s="190"/>
      <c r="BN455" s="147"/>
      <c r="BQ455" s="191"/>
      <c r="BR455" s="147"/>
      <c r="BS455" s="192"/>
      <c r="BT455" s="147"/>
      <c r="BU455" s="193"/>
      <c r="BV455" s="147"/>
      <c r="BW455" s="192"/>
      <c r="BX455" s="147"/>
      <c r="BY455" s="196"/>
      <c r="BZ455" s="147"/>
      <c r="CA455" s="192"/>
      <c r="CB455" s="147"/>
      <c r="CC455" s="194"/>
      <c r="CD455" s="147"/>
      <c r="CL455" s="195"/>
      <c r="CM455" s="188"/>
    </row>
    <row r="456" spans="9:91" ht="15">
      <c r="M456" s="163"/>
      <c r="Q456" s="233"/>
      <c r="W456" s="183"/>
      <c r="AG456" s="184"/>
      <c r="AI456" s="185"/>
      <c r="AK456" s="186"/>
      <c r="BE456" s="187"/>
      <c r="BF456" s="188"/>
      <c r="BG456" s="189"/>
      <c r="BH456" s="147"/>
      <c r="BM456" s="190"/>
      <c r="BN456" s="147"/>
      <c r="BQ456" s="191"/>
      <c r="BR456" s="147"/>
      <c r="BS456" s="192"/>
      <c r="BT456" s="147"/>
      <c r="BU456" s="193"/>
      <c r="BV456" s="147"/>
      <c r="BW456" s="192"/>
      <c r="BX456" s="147"/>
      <c r="BY456" s="196"/>
      <c r="BZ456" s="147"/>
      <c r="CA456" s="192"/>
      <c r="CB456" s="147"/>
      <c r="CC456" s="194"/>
      <c r="CD456" s="147"/>
      <c r="CL456" s="195"/>
      <c r="CM456" s="188"/>
    </row>
    <row r="457" spans="9:91" ht="15">
      <c r="M457" s="163"/>
      <c r="Q457" s="233"/>
      <c r="W457" s="183"/>
      <c r="AG457" s="184"/>
      <c r="AI457" s="185"/>
      <c r="AK457" s="186"/>
      <c r="BE457" s="187"/>
      <c r="BF457" s="188"/>
      <c r="BG457" s="189"/>
      <c r="BH457" s="147"/>
      <c r="BM457" s="190"/>
      <c r="BN457" s="147"/>
      <c r="BQ457" s="191"/>
      <c r="BR457" s="147"/>
      <c r="BS457" s="192"/>
      <c r="BT457" s="147"/>
      <c r="BU457" s="193"/>
      <c r="BV457" s="147"/>
      <c r="BW457" s="192"/>
      <c r="BX457" s="147"/>
      <c r="BY457" s="196"/>
      <c r="BZ457" s="147"/>
      <c r="CA457" s="192"/>
      <c r="CB457" s="147"/>
      <c r="CC457" s="194"/>
      <c r="CD457" s="147"/>
      <c r="CL457" s="195"/>
      <c r="CM457" s="188"/>
    </row>
    <row r="458" spans="9:91" ht="15">
      <c r="M458" s="163"/>
      <c r="Q458" s="233"/>
      <c r="W458" s="183"/>
      <c r="AG458" s="184"/>
      <c r="AI458" s="185"/>
      <c r="AK458" s="186"/>
      <c r="BE458" s="187"/>
      <c r="BF458" s="188"/>
      <c r="BG458" s="189"/>
      <c r="BH458" s="147"/>
      <c r="BM458" s="190"/>
      <c r="BN458" s="147"/>
      <c r="BQ458" s="191"/>
      <c r="BR458" s="147"/>
      <c r="BS458" s="192"/>
      <c r="BT458" s="147"/>
      <c r="BU458" s="193"/>
      <c r="BV458" s="147"/>
      <c r="BW458" s="192"/>
      <c r="BX458" s="147"/>
      <c r="BY458" s="196"/>
      <c r="BZ458" s="147"/>
      <c r="CA458" s="192"/>
      <c r="CB458" s="147"/>
      <c r="CC458" s="194"/>
      <c r="CD458" s="147"/>
      <c r="CL458" s="195"/>
      <c r="CM458" s="188"/>
    </row>
    <row r="459" spans="9:91" ht="15">
      <c r="M459" s="163"/>
      <c r="Q459" s="233"/>
      <c r="W459" s="183"/>
      <c r="AG459" s="184"/>
      <c r="AI459" s="185"/>
      <c r="AK459" s="186"/>
      <c r="BE459" s="187"/>
      <c r="BF459" s="188"/>
      <c r="BG459" s="189"/>
      <c r="BH459" s="147"/>
      <c r="BM459" s="190"/>
      <c r="BN459" s="147"/>
      <c r="BQ459" s="191"/>
      <c r="BR459" s="147"/>
      <c r="BS459" s="192"/>
      <c r="BT459" s="147"/>
      <c r="BU459" s="193"/>
      <c r="BV459" s="147"/>
      <c r="BW459" s="192"/>
      <c r="BX459" s="147"/>
      <c r="BY459" s="196"/>
      <c r="BZ459" s="147"/>
      <c r="CA459" s="192"/>
      <c r="CB459" s="147"/>
      <c r="CC459" s="194"/>
      <c r="CD459" s="147"/>
      <c r="CL459" s="195"/>
      <c r="CM459" s="188"/>
    </row>
    <row r="460" spans="9:91" ht="15">
      <c r="M460" s="163"/>
      <c r="Q460" s="233"/>
      <c r="W460" s="183"/>
      <c r="AG460" s="184"/>
      <c r="AI460" s="185"/>
      <c r="AK460" s="186"/>
      <c r="BE460" s="187"/>
      <c r="BF460" s="188"/>
      <c r="BG460" s="189"/>
      <c r="BH460" s="147"/>
      <c r="BM460" s="190"/>
      <c r="BN460" s="147"/>
      <c r="BQ460" s="191"/>
      <c r="BR460" s="147"/>
      <c r="BS460" s="192"/>
      <c r="BT460" s="147"/>
      <c r="BU460" s="193"/>
      <c r="BV460" s="147"/>
      <c r="BW460" s="192"/>
      <c r="BX460" s="147"/>
      <c r="BY460" s="196"/>
      <c r="BZ460" s="147"/>
      <c r="CA460" s="192"/>
      <c r="CB460" s="147"/>
      <c r="CC460" s="194"/>
      <c r="CD460" s="147"/>
      <c r="CL460" s="195"/>
      <c r="CM460" s="188"/>
    </row>
    <row r="461" spans="9:91" ht="15">
      <c r="M461" s="163"/>
      <c r="Q461" s="233"/>
      <c r="W461" s="183"/>
      <c r="AG461" s="184"/>
      <c r="AI461" s="185"/>
      <c r="AK461" s="186"/>
      <c r="BE461" s="187"/>
      <c r="BF461" s="188"/>
      <c r="BG461" s="189"/>
      <c r="BH461" s="147"/>
      <c r="BM461" s="190"/>
      <c r="BN461" s="147"/>
      <c r="BQ461" s="191"/>
      <c r="BR461" s="147"/>
      <c r="BS461" s="192"/>
      <c r="BT461" s="147"/>
      <c r="BU461" s="193"/>
      <c r="BV461" s="147"/>
      <c r="BW461" s="192"/>
      <c r="BX461" s="147"/>
      <c r="BY461" s="196"/>
      <c r="BZ461" s="147"/>
      <c r="CA461" s="192"/>
      <c r="CB461" s="147"/>
      <c r="CC461" s="194"/>
      <c r="CD461" s="147"/>
      <c r="CL461" s="195"/>
      <c r="CM461" s="188"/>
    </row>
    <row r="462" spans="9:91" ht="15">
      <c r="I462" s="177"/>
      <c r="M462" s="163"/>
      <c r="Q462" s="233"/>
      <c r="W462" s="183"/>
      <c r="AG462" s="184"/>
      <c r="AI462" s="185"/>
      <c r="AK462" s="186"/>
      <c r="BE462" s="187"/>
      <c r="BF462" s="188"/>
      <c r="BG462" s="189"/>
      <c r="BH462" s="147"/>
      <c r="BM462" s="190"/>
      <c r="BN462" s="147"/>
      <c r="BQ462" s="191"/>
      <c r="BR462" s="147"/>
      <c r="BS462" s="192"/>
      <c r="BT462" s="147"/>
      <c r="BU462" s="193"/>
      <c r="BV462" s="147"/>
      <c r="BW462" s="192"/>
      <c r="BX462" s="147"/>
      <c r="BY462" s="196"/>
      <c r="BZ462" s="147"/>
      <c r="CA462" s="192"/>
      <c r="CB462" s="147"/>
      <c r="CC462" s="194"/>
      <c r="CD462" s="147"/>
      <c r="CL462" s="195"/>
      <c r="CM462" s="188"/>
    </row>
    <row r="463" spans="9:91" ht="15">
      <c r="I463" s="177"/>
      <c r="M463" s="163"/>
      <c r="Q463" s="233"/>
      <c r="W463" s="183"/>
      <c r="AG463" s="184"/>
      <c r="AI463" s="185"/>
      <c r="AK463" s="186"/>
      <c r="BE463" s="187"/>
      <c r="BF463" s="188"/>
      <c r="BG463" s="189"/>
      <c r="BH463" s="147"/>
      <c r="BM463" s="190"/>
      <c r="BN463" s="147"/>
      <c r="BQ463" s="191"/>
      <c r="BR463" s="147"/>
      <c r="BS463" s="192"/>
      <c r="BT463" s="147"/>
      <c r="BU463" s="193"/>
      <c r="BV463" s="147"/>
      <c r="BW463" s="192"/>
      <c r="BX463" s="147"/>
      <c r="BY463" s="196"/>
      <c r="BZ463" s="147"/>
      <c r="CA463" s="192"/>
      <c r="CB463" s="147"/>
      <c r="CC463" s="194"/>
      <c r="CD463" s="147"/>
      <c r="CL463" s="195"/>
      <c r="CM463" s="188"/>
    </row>
    <row r="464" spans="9:91" ht="15">
      <c r="I464" s="177"/>
      <c r="K464" s="178"/>
      <c r="M464" s="163"/>
      <c r="Q464" s="233"/>
      <c r="W464" s="183"/>
      <c r="AG464" s="184"/>
      <c r="AI464" s="185"/>
      <c r="AK464" s="186"/>
      <c r="BE464" s="187"/>
      <c r="BF464" s="188"/>
      <c r="BG464" s="189"/>
      <c r="BH464" s="147"/>
      <c r="BM464" s="190"/>
      <c r="BN464" s="147"/>
      <c r="BQ464" s="191"/>
      <c r="BR464" s="147"/>
      <c r="BS464" s="192"/>
      <c r="BT464" s="147"/>
      <c r="BU464" s="193"/>
      <c r="BV464" s="147"/>
      <c r="BW464" s="192"/>
      <c r="BX464" s="147"/>
      <c r="BY464" s="196"/>
      <c r="BZ464" s="147"/>
      <c r="CA464" s="192"/>
      <c r="CB464" s="147"/>
      <c r="CC464" s="194"/>
      <c r="CD464" s="147"/>
      <c r="CL464" s="195"/>
      <c r="CM464" s="188"/>
    </row>
    <row r="465" spans="9:91" ht="15">
      <c r="M465" s="163"/>
      <c r="Q465" s="233"/>
      <c r="W465" s="183"/>
      <c r="AG465" s="184"/>
      <c r="AI465" s="185"/>
      <c r="AK465" s="186"/>
      <c r="BE465" s="187"/>
      <c r="BF465" s="188"/>
      <c r="BG465" s="189"/>
      <c r="BH465" s="147"/>
      <c r="BM465" s="190"/>
      <c r="BN465" s="147"/>
      <c r="BQ465" s="191"/>
      <c r="BR465" s="147"/>
      <c r="BS465" s="192"/>
      <c r="BT465" s="147"/>
      <c r="BU465" s="193"/>
      <c r="BV465" s="147"/>
      <c r="BW465" s="192"/>
      <c r="BX465" s="147"/>
      <c r="BY465" s="196"/>
      <c r="BZ465" s="147"/>
      <c r="CA465" s="192"/>
      <c r="CB465" s="147"/>
      <c r="CC465" s="194"/>
      <c r="CD465" s="147"/>
      <c r="CL465" s="195"/>
      <c r="CM465" s="188"/>
    </row>
    <row r="466" spans="9:91" ht="15">
      <c r="M466" s="163"/>
      <c r="Q466" s="233"/>
      <c r="W466" s="183"/>
      <c r="AG466" s="184"/>
      <c r="AI466" s="185"/>
      <c r="AK466" s="186"/>
      <c r="BE466" s="187"/>
      <c r="BF466" s="188"/>
      <c r="BG466" s="189"/>
      <c r="BH466" s="147"/>
      <c r="BM466" s="190"/>
      <c r="BN466" s="147"/>
      <c r="BQ466" s="191"/>
      <c r="BR466" s="147"/>
      <c r="BS466" s="192"/>
      <c r="BT466" s="147"/>
      <c r="BU466" s="193"/>
      <c r="BV466" s="147"/>
      <c r="BW466" s="192"/>
      <c r="BX466" s="147"/>
      <c r="BY466" s="196"/>
      <c r="BZ466" s="147"/>
      <c r="CA466" s="192"/>
      <c r="CB466" s="147"/>
      <c r="CC466" s="194"/>
      <c r="CD466" s="147"/>
      <c r="CL466" s="195"/>
      <c r="CM466" s="188"/>
    </row>
    <row r="467" spans="9:91" ht="15">
      <c r="M467" s="163"/>
      <c r="Q467" s="233"/>
      <c r="W467" s="183"/>
      <c r="AG467" s="184"/>
      <c r="AI467" s="185"/>
      <c r="AK467" s="186"/>
      <c r="BE467" s="187"/>
      <c r="BF467" s="188"/>
      <c r="BG467" s="189"/>
      <c r="BH467" s="147"/>
      <c r="BM467" s="190"/>
      <c r="BN467" s="147"/>
      <c r="BQ467" s="191"/>
      <c r="BR467" s="147"/>
      <c r="BS467" s="192"/>
      <c r="BT467" s="147"/>
      <c r="BU467" s="193"/>
      <c r="BV467" s="147"/>
      <c r="BW467" s="192"/>
      <c r="BX467" s="147"/>
      <c r="BY467" s="196"/>
      <c r="BZ467" s="147"/>
      <c r="CA467" s="192"/>
      <c r="CB467" s="147"/>
      <c r="CC467" s="194"/>
      <c r="CD467" s="147"/>
      <c r="CL467" s="195"/>
      <c r="CM467" s="188"/>
    </row>
    <row r="468" spans="9:91" ht="15">
      <c r="M468" s="163"/>
      <c r="Q468" s="233"/>
      <c r="W468" s="183"/>
      <c r="AG468" s="184"/>
      <c r="AI468" s="185"/>
      <c r="AK468" s="186"/>
      <c r="BE468" s="187"/>
      <c r="BF468" s="188"/>
      <c r="BG468" s="189"/>
      <c r="BH468" s="147"/>
      <c r="BM468" s="190"/>
      <c r="BN468" s="147"/>
      <c r="BQ468" s="191"/>
      <c r="BR468" s="147"/>
      <c r="BS468" s="192"/>
      <c r="BT468" s="147"/>
      <c r="BU468" s="193"/>
      <c r="BV468" s="147"/>
      <c r="BW468" s="192"/>
      <c r="BX468" s="147"/>
      <c r="BY468" s="196"/>
      <c r="BZ468" s="147"/>
      <c r="CA468" s="192"/>
      <c r="CB468" s="147"/>
      <c r="CC468" s="194"/>
      <c r="CD468" s="147"/>
      <c r="CL468" s="195"/>
      <c r="CM468" s="188"/>
    </row>
    <row r="469" spans="9:91" ht="15">
      <c r="M469" s="163"/>
      <c r="Q469" s="233"/>
      <c r="W469" s="183"/>
      <c r="AG469" s="184"/>
      <c r="AI469" s="185"/>
      <c r="AK469" s="186"/>
      <c r="BE469" s="187"/>
      <c r="BF469" s="188"/>
      <c r="BG469" s="189"/>
      <c r="BH469" s="147"/>
      <c r="BM469" s="190"/>
      <c r="BN469" s="147"/>
      <c r="BQ469" s="191"/>
      <c r="BR469" s="147"/>
      <c r="BS469" s="192"/>
      <c r="BT469" s="147"/>
      <c r="BU469" s="193"/>
      <c r="BV469" s="147"/>
      <c r="BW469" s="192"/>
      <c r="BX469" s="147"/>
      <c r="BY469" s="196"/>
      <c r="BZ469" s="147"/>
      <c r="CA469" s="192"/>
      <c r="CB469" s="147"/>
      <c r="CC469" s="194"/>
      <c r="CD469" s="147"/>
      <c r="CL469" s="195"/>
      <c r="CM469" s="188"/>
    </row>
    <row r="470" spans="9:91" ht="15">
      <c r="M470" s="163"/>
      <c r="Q470" s="233"/>
      <c r="W470" s="183"/>
      <c r="AG470" s="184"/>
      <c r="AI470" s="185"/>
      <c r="AK470" s="186"/>
      <c r="BE470" s="187"/>
      <c r="BF470" s="188"/>
      <c r="BG470" s="189"/>
      <c r="BH470" s="147"/>
      <c r="BM470" s="190"/>
      <c r="BN470" s="147"/>
      <c r="BQ470" s="191"/>
      <c r="BR470" s="147"/>
      <c r="BS470" s="192"/>
      <c r="BT470" s="147"/>
      <c r="BU470" s="193"/>
      <c r="BV470" s="147"/>
      <c r="BW470" s="192"/>
      <c r="BX470" s="147"/>
      <c r="BY470" s="196"/>
      <c r="BZ470" s="147"/>
      <c r="CA470" s="192"/>
      <c r="CB470" s="147"/>
      <c r="CC470" s="194"/>
      <c r="CD470" s="147"/>
      <c r="CL470" s="195"/>
      <c r="CM470" s="188"/>
    </row>
    <row r="471" spans="9:91" ht="15">
      <c r="M471" s="163"/>
      <c r="Q471" s="233"/>
      <c r="W471" s="183"/>
      <c r="AG471" s="184"/>
      <c r="AI471" s="185"/>
      <c r="AK471" s="186"/>
      <c r="BE471" s="187"/>
      <c r="BF471" s="188"/>
      <c r="BG471" s="189"/>
      <c r="BH471" s="147"/>
      <c r="BM471" s="190"/>
      <c r="BN471" s="147"/>
      <c r="BQ471" s="191"/>
      <c r="BR471" s="147"/>
      <c r="BS471" s="192"/>
      <c r="BT471" s="147"/>
      <c r="BU471" s="193"/>
      <c r="BV471" s="147"/>
      <c r="BW471" s="192"/>
      <c r="BX471" s="147"/>
      <c r="BY471" s="196"/>
      <c r="BZ471" s="147"/>
      <c r="CA471" s="192"/>
      <c r="CB471" s="147"/>
      <c r="CC471" s="194"/>
      <c r="CD471" s="147"/>
      <c r="CL471" s="195"/>
      <c r="CM471" s="188"/>
    </row>
    <row r="472" spans="9:91" ht="15">
      <c r="M472" s="163"/>
      <c r="Q472" s="233"/>
      <c r="W472" s="183"/>
      <c r="AG472" s="184"/>
      <c r="AI472" s="185"/>
      <c r="AK472" s="186"/>
      <c r="BE472" s="187"/>
      <c r="BF472" s="188"/>
      <c r="BG472" s="189"/>
      <c r="BH472" s="147"/>
      <c r="BM472" s="190"/>
      <c r="BN472" s="147"/>
      <c r="BQ472" s="191"/>
      <c r="BR472" s="147"/>
      <c r="BS472" s="192"/>
      <c r="BT472" s="147"/>
      <c r="BU472" s="193"/>
      <c r="BV472" s="147"/>
      <c r="BW472" s="192"/>
      <c r="BX472" s="147"/>
      <c r="BY472" s="196"/>
      <c r="BZ472" s="147"/>
      <c r="CA472" s="192"/>
      <c r="CB472" s="147"/>
      <c r="CC472" s="194"/>
      <c r="CD472" s="147"/>
      <c r="CL472" s="195"/>
      <c r="CM472" s="188"/>
    </row>
    <row r="473" spans="9:91" ht="15">
      <c r="M473" s="163"/>
      <c r="Q473" s="233"/>
      <c r="W473" s="183"/>
      <c r="AG473" s="184"/>
      <c r="AI473" s="185"/>
      <c r="AK473" s="186"/>
      <c r="BE473" s="187"/>
      <c r="BF473" s="188"/>
      <c r="BG473" s="189"/>
      <c r="BH473" s="147"/>
      <c r="BM473" s="190"/>
      <c r="BN473" s="147"/>
      <c r="BQ473" s="191"/>
      <c r="BR473" s="147"/>
      <c r="BS473" s="192"/>
      <c r="BT473" s="147"/>
      <c r="BU473" s="193"/>
      <c r="BV473" s="147"/>
      <c r="BW473" s="192"/>
      <c r="BX473" s="147"/>
      <c r="BY473" s="196"/>
      <c r="BZ473" s="147"/>
      <c r="CA473" s="192"/>
      <c r="CB473" s="147"/>
      <c r="CC473" s="194"/>
      <c r="CD473" s="147"/>
      <c r="CL473" s="195"/>
      <c r="CM473" s="188"/>
    </row>
    <row r="474" spans="9:91" ht="15">
      <c r="I474" s="177"/>
      <c r="K474" s="181"/>
      <c r="M474" s="163"/>
      <c r="Q474" s="233"/>
      <c r="W474" s="183"/>
      <c r="AG474" s="184"/>
      <c r="AI474" s="185"/>
      <c r="AK474" s="186"/>
      <c r="BE474" s="187"/>
      <c r="BF474" s="188"/>
      <c r="BG474" s="189"/>
      <c r="BH474" s="147"/>
      <c r="BM474" s="190"/>
      <c r="BN474" s="147"/>
      <c r="BQ474" s="191"/>
      <c r="BR474" s="147"/>
      <c r="BS474" s="192"/>
      <c r="BT474" s="147"/>
      <c r="BU474" s="193"/>
      <c r="BV474" s="147"/>
      <c r="BW474" s="192"/>
      <c r="BX474" s="147"/>
      <c r="BY474" s="196"/>
      <c r="BZ474" s="147"/>
      <c r="CA474" s="192"/>
      <c r="CB474" s="147"/>
      <c r="CC474" s="194"/>
      <c r="CD474" s="147"/>
      <c r="CL474" s="195"/>
      <c r="CM474" s="188"/>
    </row>
    <row r="475" spans="9:91" ht="15">
      <c r="K475" s="181"/>
      <c r="M475" s="163"/>
      <c r="Q475" s="233"/>
      <c r="W475" s="183"/>
      <c r="AG475" s="184"/>
      <c r="AI475" s="185"/>
      <c r="AK475" s="186"/>
      <c r="BE475" s="187"/>
      <c r="BF475" s="188"/>
      <c r="BG475" s="189"/>
      <c r="BH475" s="147"/>
      <c r="BM475" s="190"/>
      <c r="BN475" s="147"/>
      <c r="BQ475" s="191"/>
      <c r="BR475" s="147"/>
      <c r="BS475" s="192"/>
      <c r="BT475" s="147"/>
      <c r="BU475" s="193"/>
      <c r="BV475" s="147"/>
      <c r="BW475" s="192"/>
      <c r="BX475" s="147"/>
      <c r="BY475" s="196"/>
      <c r="BZ475" s="147"/>
      <c r="CA475" s="192"/>
      <c r="CB475" s="147"/>
      <c r="CC475" s="194"/>
      <c r="CD475" s="147"/>
      <c r="CL475" s="195"/>
      <c r="CM475" s="188"/>
    </row>
    <row r="476" spans="9:91" ht="15">
      <c r="K476" s="178"/>
      <c r="M476" s="163"/>
      <c r="Q476" s="233"/>
      <c r="W476" s="183"/>
      <c r="AG476" s="184"/>
      <c r="AI476" s="185"/>
      <c r="AK476" s="186"/>
      <c r="BE476" s="187"/>
      <c r="BF476" s="188"/>
      <c r="BG476" s="189"/>
      <c r="BH476" s="147"/>
      <c r="BM476" s="190"/>
      <c r="BN476" s="147"/>
      <c r="BQ476" s="191"/>
      <c r="BR476" s="147"/>
      <c r="BS476" s="192"/>
      <c r="BT476" s="147"/>
      <c r="BU476" s="193"/>
      <c r="BV476" s="147"/>
      <c r="BW476" s="192"/>
      <c r="BX476" s="147"/>
      <c r="BY476" s="196"/>
      <c r="BZ476" s="147"/>
      <c r="CA476" s="192"/>
      <c r="CB476" s="147"/>
      <c r="CC476" s="194"/>
      <c r="CD476" s="147"/>
      <c r="CL476" s="195"/>
      <c r="CM476" s="188"/>
    </row>
    <row r="477" spans="9:91" ht="15">
      <c r="I477" s="177"/>
      <c r="M477" s="163"/>
      <c r="Q477" s="233"/>
      <c r="W477" s="183"/>
      <c r="AG477" s="184"/>
      <c r="AI477" s="185"/>
      <c r="AK477" s="186"/>
      <c r="BE477" s="187"/>
      <c r="BF477" s="188"/>
      <c r="BG477" s="189"/>
      <c r="BH477" s="147"/>
      <c r="BM477" s="190"/>
      <c r="BN477" s="147"/>
      <c r="BQ477" s="191"/>
      <c r="BR477" s="147"/>
      <c r="BS477" s="192"/>
      <c r="BT477" s="147"/>
      <c r="BU477" s="193"/>
      <c r="BV477" s="147"/>
      <c r="BW477" s="192"/>
      <c r="BX477" s="147"/>
      <c r="BY477" s="196"/>
      <c r="BZ477" s="147"/>
      <c r="CA477" s="192"/>
      <c r="CB477" s="147"/>
      <c r="CC477" s="194"/>
      <c r="CD477" s="147"/>
      <c r="CL477" s="195"/>
      <c r="CM477" s="188"/>
    </row>
    <row r="478" spans="9:91" ht="15">
      <c r="I478" s="177"/>
      <c r="M478" s="163"/>
      <c r="Q478" s="233"/>
      <c r="W478" s="183"/>
      <c r="AG478" s="184"/>
      <c r="AI478" s="185"/>
      <c r="AK478" s="186"/>
      <c r="BE478" s="187"/>
      <c r="BF478" s="188"/>
      <c r="BG478" s="189"/>
      <c r="BH478" s="147"/>
      <c r="BM478" s="190"/>
      <c r="BN478" s="147"/>
      <c r="BQ478" s="191"/>
      <c r="BR478" s="147"/>
      <c r="BS478" s="192"/>
      <c r="BT478" s="147"/>
      <c r="BU478" s="193"/>
      <c r="BV478" s="147"/>
      <c r="BW478" s="192"/>
      <c r="BX478" s="147"/>
      <c r="BY478" s="196"/>
      <c r="BZ478" s="147"/>
      <c r="CA478" s="192"/>
      <c r="CB478" s="147"/>
      <c r="CC478" s="194"/>
      <c r="CD478" s="147"/>
      <c r="CL478" s="195"/>
      <c r="CM478" s="188"/>
    </row>
    <row r="479" spans="9:91" ht="15">
      <c r="I479" s="177"/>
      <c r="M479" s="163"/>
      <c r="Q479" s="233"/>
      <c r="W479" s="183"/>
      <c r="AG479" s="184"/>
      <c r="AI479" s="185"/>
      <c r="AK479" s="186"/>
      <c r="BE479" s="187"/>
      <c r="BF479" s="188"/>
      <c r="BG479" s="189"/>
      <c r="BH479" s="147"/>
      <c r="BM479" s="190"/>
      <c r="BN479" s="147"/>
      <c r="BQ479" s="191"/>
      <c r="BR479" s="147"/>
      <c r="BS479" s="192"/>
      <c r="BT479" s="147"/>
      <c r="BU479" s="193"/>
      <c r="BV479" s="147"/>
      <c r="BW479" s="192"/>
      <c r="BX479" s="147"/>
      <c r="BY479" s="196"/>
      <c r="BZ479" s="147"/>
      <c r="CA479" s="192"/>
      <c r="CB479" s="147"/>
      <c r="CC479" s="194"/>
      <c r="CD479" s="147"/>
      <c r="CL479" s="195"/>
      <c r="CM479" s="188"/>
    </row>
    <row r="480" spans="9:91" ht="15">
      <c r="M480" s="163"/>
      <c r="Q480" s="233"/>
      <c r="W480" s="183"/>
      <c r="AG480" s="184"/>
      <c r="AI480" s="185"/>
      <c r="AK480" s="186"/>
      <c r="BE480" s="187"/>
      <c r="BF480" s="188"/>
      <c r="BG480" s="189"/>
      <c r="BH480" s="147"/>
      <c r="BM480" s="190"/>
      <c r="BN480" s="147"/>
      <c r="BQ480" s="191"/>
      <c r="BR480" s="147"/>
      <c r="BS480" s="192"/>
      <c r="BT480" s="147"/>
      <c r="BU480" s="193"/>
      <c r="BV480" s="147"/>
      <c r="BW480" s="192"/>
      <c r="BX480" s="147"/>
      <c r="BY480" s="196"/>
      <c r="BZ480" s="147"/>
      <c r="CA480" s="192"/>
      <c r="CB480" s="147"/>
      <c r="CC480" s="194"/>
      <c r="CD480" s="147"/>
      <c r="CL480" s="195"/>
      <c r="CM480" s="188"/>
    </row>
    <row r="481" spans="1:91" ht="15">
      <c r="M481" s="163"/>
      <c r="Q481" s="233"/>
      <c r="W481" s="183"/>
      <c r="AG481" s="184"/>
      <c r="AI481" s="185"/>
      <c r="AK481" s="186"/>
      <c r="BE481" s="187"/>
      <c r="BF481" s="188"/>
      <c r="BG481" s="189"/>
      <c r="BH481" s="147"/>
      <c r="BM481" s="190"/>
      <c r="BN481" s="147"/>
      <c r="BQ481" s="191"/>
      <c r="BR481" s="147"/>
      <c r="BS481" s="192"/>
      <c r="BT481" s="147"/>
      <c r="BU481" s="193"/>
      <c r="BV481" s="147"/>
      <c r="BW481" s="192"/>
      <c r="BX481" s="147"/>
      <c r="BY481" s="196"/>
      <c r="BZ481" s="147"/>
      <c r="CA481" s="192"/>
      <c r="CB481" s="147"/>
      <c r="CC481" s="194"/>
      <c r="CD481" s="147"/>
      <c r="CL481" s="195"/>
      <c r="CM481" s="188"/>
    </row>
    <row r="482" spans="1:91" ht="15">
      <c r="M482" s="163"/>
      <c r="Q482" s="233"/>
      <c r="W482" s="183"/>
      <c r="AG482" s="184"/>
      <c r="AI482" s="185"/>
      <c r="AK482" s="186"/>
      <c r="BE482" s="187"/>
      <c r="BF482" s="188"/>
      <c r="BG482" s="189"/>
      <c r="BH482" s="147"/>
      <c r="BM482" s="190"/>
      <c r="BN482" s="147"/>
      <c r="BQ482" s="191"/>
      <c r="BR482" s="147"/>
      <c r="BS482" s="192"/>
      <c r="BT482" s="147"/>
      <c r="BU482" s="193"/>
      <c r="BV482" s="147"/>
      <c r="BW482" s="192"/>
      <c r="BX482" s="147"/>
      <c r="BY482" s="196"/>
      <c r="BZ482" s="147"/>
      <c r="CA482" s="192"/>
      <c r="CB482" s="147"/>
      <c r="CC482" s="194"/>
      <c r="CD482" s="147"/>
      <c r="CL482" s="195"/>
      <c r="CM482" s="188"/>
    </row>
    <row r="483" spans="1:91" ht="15">
      <c r="M483" s="163"/>
      <c r="Q483" s="233"/>
      <c r="W483" s="183"/>
      <c r="AG483" s="184"/>
      <c r="AI483" s="185"/>
      <c r="AK483" s="186"/>
      <c r="BE483" s="187"/>
      <c r="BF483" s="188"/>
      <c r="BG483" s="189"/>
      <c r="BH483" s="147"/>
      <c r="BM483" s="190"/>
      <c r="BN483" s="147"/>
      <c r="BQ483" s="191"/>
      <c r="BR483" s="147"/>
      <c r="BS483" s="192"/>
      <c r="BT483" s="147"/>
      <c r="BU483" s="193"/>
      <c r="BV483" s="147"/>
      <c r="BW483" s="192"/>
      <c r="BX483" s="147"/>
      <c r="BY483" s="196"/>
      <c r="BZ483" s="147"/>
      <c r="CA483" s="192"/>
      <c r="CB483" s="147"/>
      <c r="CC483" s="194"/>
      <c r="CD483" s="147"/>
      <c r="CL483" s="195"/>
      <c r="CM483" s="188"/>
    </row>
    <row r="484" spans="1:91" ht="15">
      <c r="M484" s="163"/>
      <c r="Q484" s="233"/>
      <c r="W484" s="183"/>
      <c r="AG484" s="184"/>
      <c r="AI484" s="185"/>
      <c r="AK484" s="186"/>
      <c r="BE484" s="187"/>
      <c r="BF484" s="188"/>
      <c r="BG484" s="189"/>
      <c r="BH484" s="147"/>
      <c r="BM484" s="190"/>
      <c r="BN484" s="147"/>
      <c r="BQ484" s="191"/>
      <c r="BR484" s="147"/>
      <c r="BS484" s="192"/>
      <c r="BT484" s="147"/>
      <c r="BU484" s="193"/>
      <c r="BV484" s="147"/>
      <c r="BW484" s="192"/>
      <c r="BX484" s="147"/>
      <c r="BY484" s="196"/>
      <c r="BZ484" s="147"/>
      <c r="CA484" s="192"/>
      <c r="CB484" s="147"/>
      <c r="CC484" s="194"/>
      <c r="CD484" s="147"/>
      <c r="CL484" s="195"/>
      <c r="CM484" s="188"/>
    </row>
    <row r="485" spans="1:91" ht="15">
      <c r="M485" s="163"/>
      <c r="Q485" s="233"/>
      <c r="W485" s="183"/>
      <c r="AG485" s="184"/>
      <c r="AI485" s="185"/>
      <c r="AK485" s="186"/>
      <c r="BE485" s="187"/>
      <c r="BF485" s="188"/>
      <c r="BG485" s="189"/>
      <c r="BH485" s="147"/>
      <c r="BM485" s="190"/>
      <c r="BN485" s="147"/>
      <c r="BQ485" s="191"/>
      <c r="BR485" s="147"/>
      <c r="BS485" s="192"/>
      <c r="BT485" s="147"/>
      <c r="BU485" s="193"/>
      <c r="BV485" s="147"/>
      <c r="BW485" s="192"/>
      <c r="BX485" s="147"/>
      <c r="BY485" s="196"/>
      <c r="BZ485" s="147"/>
      <c r="CA485" s="192"/>
      <c r="CB485" s="147"/>
      <c r="CC485" s="194"/>
      <c r="CD485" s="147"/>
      <c r="CL485" s="195"/>
      <c r="CM485" s="188"/>
    </row>
    <row r="486" spans="1:91" ht="15">
      <c r="I486" s="177"/>
      <c r="M486" s="163"/>
      <c r="Q486" s="233"/>
      <c r="W486" s="183"/>
      <c r="AG486" s="184"/>
      <c r="AI486" s="185"/>
      <c r="AK486" s="186"/>
      <c r="BE486" s="187"/>
      <c r="BF486" s="188"/>
      <c r="BG486" s="189"/>
      <c r="BH486" s="147"/>
      <c r="BM486" s="190"/>
      <c r="BN486" s="147"/>
      <c r="BQ486" s="191"/>
      <c r="BR486" s="147"/>
      <c r="BS486" s="192"/>
      <c r="BT486" s="147"/>
      <c r="BU486" s="193"/>
      <c r="BV486" s="147"/>
      <c r="BW486" s="192"/>
      <c r="BX486" s="147"/>
      <c r="BY486" s="196"/>
      <c r="BZ486" s="147"/>
      <c r="CA486" s="192"/>
      <c r="CB486" s="147"/>
      <c r="CC486" s="194"/>
      <c r="CD486" s="147"/>
      <c r="CL486" s="195"/>
      <c r="CM486" s="188"/>
    </row>
    <row r="487" spans="1:91" ht="15">
      <c r="I487" s="177"/>
      <c r="M487" s="163"/>
      <c r="Q487" s="233"/>
      <c r="W487" s="183"/>
      <c r="AG487" s="184"/>
      <c r="AI487" s="185"/>
      <c r="AK487" s="186"/>
      <c r="BE487" s="187"/>
      <c r="BF487" s="188"/>
      <c r="BG487" s="189"/>
      <c r="BH487" s="147"/>
      <c r="BM487" s="190"/>
      <c r="BN487" s="147"/>
      <c r="BQ487" s="191"/>
      <c r="BR487" s="147"/>
      <c r="BS487" s="192"/>
      <c r="BT487" s="147"/>
      <c r="BU487" s="193"/>
      <c r="BV487" s="147"/>
      <c r="BW487" s="192"/>
      <c r="BX487" s="147"/>
      <c r="BY487" s="196"/>
      <c r="BZ487" s="147"/>
      <c r="CA487" s="192"/>
      <c r="CB487" s="147"/>
      <c r="CC487" s="194"/>
      <c r="CD487" s="147"/>
      <c r="CL487" s="195"/>
      <c r="CM487" s="188"/>
    </row>
    <row r="488" spans="1:91" ht="15">
      <c r="M488" s="163"/>
      <c r="Q488" s="233"/>
      <c r="W488" s="183"/>
      <c r="AG488" s="184"/>
      <c r="AI488" s="185"/>
      <c r="AK488" s="186"/>
      <c r="BE488" s="187"/>
      <c r="BF488" s="188"/>
      <c r="BG488" s="189"/>
      <c r="BH488" s="147"/>
      <c r="BM488" s="190"/>
      <c r="BN488" s="147"/>
      <c r="BQ488" s="191"/>
      <c r="BR488" s="147"/>
      <c r="BS488" s="192"/>
      <c r="BT488" s="147"/>
      <c r="BU488" s="193"/>
      <c r="BV488" s="147"/>
      <c r="BW488" s="192"/>
      <c r="BX488" s="147"/>
      <c r="BY488" s="196"/>
      <c r="BZ488" s="147"/>
      <c r="CA488" s="192"/>
      <c r="CB488" s="147"/>
      <c r="CC488" s="194"/>
      <c r="CD488" s="147"/>
      <c r="CL488" s="195"/>
      <c r="CM488" s="188"/>
    </row>
    <row r="489" spans="1:91" ht="15">
      <c r="M489" s="163"/>
      <c r="Q489" s="233"/>
      <c r="W489" s="183"/>
      <c r="AG489" s="184"/>
      <c r="AI489" s="185"/>
      <c r="AK489" s="186"/>
      <c r="BE489" s="187"/>
      <c r="BF489" s="188"/>
      <c r="BG489" s="189"/>
      <c r="BH489" s="147"/>
      <c r="BM489" s="190"/>
      <c r="BN489" s="147"/>
      <c r="BQ489" s="191"/>
      <c r="BR489" s="147"/>
      <c r="BS489" s="192"/>
      <c r="BT489" s="147"/>
      <c r="BU489" s="193"/>
      <c r="BV489" s="147"/>
      <c r="BW489" s="192"/>
      <c r="BX489" s="147"/>
      <c r="BY489" s="196"/>
      <c r="BZ489" s="147"/>
      <c r="CA489" s="192"/>
      <c r="CB489" s="147"/>
      <c r="CC489" s="194"/>
      <c r="CD489" s="147"/>
      <c r="CL489" s="195"/>
      <c r="CM489" s="188"/>
    </row>
    <row r="490" spans="1:91" ht="15">
      <c r="M490" s="163"/>
      <c r="Q490" s="233"/>
      <c r="W490" s="183"/>
      <c r="AG490" s="184"/>
      <c r="AI490" s="185"/>
      <c r="AK490" s="186"/>
      <c r="BE490" s="187"/>
      <c r="BF490" s="188"/>
      <c r="BG490" s="189"/>
      <c r="BH490" s="147"/>
      <c r="BM490" s="190"/>
      <c r="BN490" s="147"/>
      <c r="BQ490" s="191"/>
      <c r="BR490" s="147"/>
      <c r="BS490" s="192"/>
      <c r="BT490" s="147"/>
      <c r="BU490" s="193"/>
      <c r="BV490" s="147"/>
      <c r="BW490" s="192"/>
      <c r="BX490" s="147"/>
      <c r="BY490" s="196"/>
      <c r="BZ490" s="147"/>
      <c r="CA490" s="192"/>
      <c r="CB490" s="147"/>
      <c r="CC490" s="194"/>
      <c r="CD490" s="147"/>
      <c r="CL490" s="195"/>
      <c r="CM490" s="188"/>
    </row>
    <row r="491" spans="1:91" ht="15">
      <c r="A491" s="221"/>
      <c r="B491" s="221"/>
      <c r="C491" s="222"/>
      <c r="D491" s="222"/>
      <c r="E491" s="222"/>
      <c r="G491" s="223"/>
      <c r="H491" s="223"/>
      <c r="I491" s="222"/>
      <c r="J491" s="222"/>
      <c r="K491" s="224"/>
      <c r="L491" s="225"/>
      <c r="M491" s="226"/>
      <c r="N491" s="225"/>
      <c r="O491" s="224"/>
      <c r="P491" s="225"/>
      <c r="Q491" s="233"/>
      <c r="R491" s="225"/>
      <c r="S491" s="224"/>
      <c r="T491" s="225"/>
      <c r="U491" s="224"/>
      <c r="V491" s="225"/>
      <c r="W491" s="226"/>
      <c r="X491" s="225"/>
      <c r="Z491" s="225"/>
      <c r="AA491" s="224"/>
      <c r="AB491" s="225"/>
      <c r="AC491" s="224"/>
      <c r="AD491" s="225"/>
      <c r="AE491" s="224"/>
      <c r="AF491" s="225"/>
      <c r="AG491" s="226"/>
      <c r="AH491" s="225"/>
      <c r="AI491" s="226"/>
      <c r="AJ491" s="225"/>
      <c r="AK491" s="226"/>
      <c r="AL491" s="225"/>
      <c r="AM491" s="224"/>
      <c r="AN491" s="225"/>
      <c r="AO491" s="224"/>
      <c r="AP491" s="224"/>
      <c r="AQ491" s="224"/>
      <c r="AR491" s="224"/>
      <c r="AS491" s="224"/>
      <c r="AT491" s="224"/>
      <c r="AU491" s="224"/>
      <c r="AV491" s="224"/>
      <c r="AW491" s="224"/>
      <c r="AX491" s="224"/>
      <c r="AY491" s="224"/>
      <c r="AZ491" s="224"/>
      <c r="BA491" s="224"/>
      <c r="BB491" s="224"/>
      <c r="BC491" s="224"/>
      <c r="BD491" s="224"/>
      <c r="BE491" s="226"/>
      <c r="BF491" s="227"/>
      <c r="BG491" s="228"/>
      <c r="BH491" s="225"/>
      <c r="BI491" s="229"/>
      <c r="BJ491" s="229"/>
      <c r="BK491" s="229"/>
      <c r="BL491" s="229"/>
      <c r="BM491" s="228"/>
      <c r="BN491" s="225"/>
      <c r="BO491" s="229"/>
      <c r="BP491" s="229"/>
      <c r="BQ491" s="228"/>
      <c r="BR491" s="225"/>
      <c r="BS491" s="228"/>
      <c r="BT491" s="225"/>
      <c r="BU491" s="228"/>
      <c r="BV491" s="225"/>
      <c r="BW491" s="228"/>
      <c r="BX491" s="225"/>
      <c r="BY491" s="228"/>
      <c r="BZ491" s="225"/>
      <c r="CA491" s="228"/>
      <c r="CB491" s="225"/>
      <c r="CC491" s="228"/>
      <c r="CD491" s="225"/>
      <c r="CE491" s="229"/>
      <c r="CF491" s="229"/>
      <c r="CG491" s="229"/>
      <c r="CH491" s="229"/>
      <c r="CI491" s="229"/>
      <c r="CJ491" s="229"/>
      <c r="CK491" s="229"/>
      <c r="CL491" s="228"/>
      <c r="CM491" s="227"/>
    </row>
    <row r="492" spans="1:91" ht="15">
      <c r="M492" s="163"/>
      <c r="Q492" s="233"/>
      <c r="W492" s="183"/>
      <c r="AG492" s="184"/>
      <c r="AI492" s="185"/>
      <c r="AK492" s="186"/>
      <c r="BE492" s="187"/>
      <c r="BF492" s="188"/>
      <c r="BG492" s="189"/>
      <c r="BH492" s="147"/>
      <c r="BM492" s="190"/>
      <c r="BN492" s="147"/>
      <c r="BQ492" s="191"/>
      <c r="BR492" s="147"/>
      <c r="BS492" s="192"/>
      <c r="BT492" s="147"/>
      <c r="BU492" s="193"/>
      <c r="BV492" s="147"/>
      <c r="BW492" s="192"/>
      <c r="BX492" s="147"/>
      <c r="BY492" s="196"/>
      <c r="BZ492" s="147"/>
      <c r="CA492" s="192"/>
      <c r="CB492" s="147"/>
      <c r="CC492" s="194"/>
      <c r="CD492" s="147"/>
      <c r="CL492" s="195"/>
      <c r="CM492" s="188"/>
    </row>
    <row r="493" spans="1:91" ht="15">
      <c r="I493" s="177"/>
      <c r="M493" s="163"/>
      <c r="Q493" s="233"/>
      <c r="W493" s="183"/>
      <c r="AG493" s="184"/>
      <c r="AI493" s="185"/>
      <c r="AK493" s="186"/>
      <c r="BE493" s="187"/>
      <c r="BF493" s="188"/>
      <c r="BG493" s="189"/>
      <c r="BH493" s="147"/>
      <c r="BM493" s="190"/>
      <c r="BN493" s="147"/>
      <c r="BQ493" s="191"/>
      <c r="BR493" s="147"/>
      <c r="BS493" s="192"/>
      <c r="BT493" s="147"/>
      <c r="BU493" s="193"/>
      <c r="BV493" s="147"/>
      <c r="BW493" s="192"/>
      <c r="BX493" s="147"/>
      <c r="BY493" s="196"/>
      <c r="BZ493" s="147"/>
      <c r="CA493" s="192"/>
      <c r="CB493" s="147"/>
      <c r="CC493" s="194"/>
      <c r="CD493" s="147"/>
      <c r="CL493" s="195"/>
      <c r="CM493" s="188"/>
    </row>
    <row r="494" spans="1:91" ht="15">
      <c r="I494" s="177"/>
      <c r="M494" s="163"/>
      <c r="Q494" s="233"/>
      <c r="W494" s="183"/>
      <c r="AG494" s="184"/>
      <c r="AI494" s="185"/>
      <c r="AK494" s="186"/>
      <c r="BE494" s="187"/>
      <c r="BF494" s="188"/>
      <c r="BG494" s="189"/>
      <c r="BH494" s="147"/>
      <c r="BM494" s="190"/>
      <c r="BN494" s="147"/>
      <c r="BQ494" s="191"/>
      <c r="BR494" s="147"/>
      <c r="BS494" s="192"/>
      <c r="BT494" s="147"/>
      <c r="BU494" s="193"/>
      <c r="BV494" s="147"/>
      <c r="BW494" s="192"/>
      <c r="BX494" s="147"/>
      <c r="BY494" s="196"/>
      <c r="BZ494" s="147"/>
      <c r="CA494" s="192"/>
      <c r="CB494" s="147"/>
      <c r="CC494" s="194"/>
      <c r="CD494" s="147"/>
      <c r="CL494" s="195"/>
      <c r="CM494" s="188"/>
    </row>
    <row r="495" spans="1:91" ht="15">
      <c r="M495" s="163"/>
      <c r="Q495" s="233"/>
      <c r="W495" s="183"/>
      <c r="AG495" s="184"/>
      <c r="AI495" s="185"/>
      <c r="AK495" s="186"/>
      <c r="BE495" s="187"/>
      <c r="BF495" s="188"/>
      <c r="BG495" s="189"/>
      <c r="BH495" s="147"/>
      <c r="BM495" s="190"/>
      <c r="BN495" s="147"/>
      <c r="BQ495" s="191"/>
      <c r="BR495" s="147"/>
      <c r="BS495" s="192"/>
      <c r="BT495" s="147"/>
      <c r="BU495" s="193"/>
      <c r="BV495" s="147"/>
      <c r="BW495" s="192"/>
      <c r="BX495" s="147"/>
      <c r="BY495" s="196"/>
      <c r="BZ495" s="147"/>
      <c r="CA495" s="192"/>
      <c r="CB495" s="147"/>
      <c r="CC495" s="194"/>
      <c r="CD495" s="147"/>
      <c r="CL495" s="195"/>
      <c r="CM495" s="188"/>
    </row>
    <row r="496" spans="1:91" ht="15">
      <c r="M496" s="163"/>
      <c r="Q496" s="233"/>
      <c r="W496" s="183"/>
      <c r="AG496" s="184"/>
      <c r="AI496" s="185"/>
      <c r="AK496" s="186"/>
      <c r="BE496" s="187"/>
      <c r="BF496" s="188"/>
      <c r="BG496" s="189"/>
      <c r="BH496" s="147"/>
      <c r="BM496" s="190"/>
      <c r="BN496" s="147"/>
      <c r="BQ496" s="191"/>
      <c r="BR496" s="147"/>
      <c r="BS496" s="192"/>
      <c r="BT496" s="147"/>
      <c r="BU496" s="193"/>
      <c r="BV496" s="147"/>
      <c r="BW496" s="192"/>
      <c r="BX496" s="147"/>
      <c r="BY496" s="196"/>
      <c r="BZ496" s="147"/>
      <c r="CA496" s="192"/>
      <c r="CB496" s="147"/>
      <c r="CC496" s="194"/>
      <c r="CD496" s="147"/>
      <c r="CL496" s="195"/>
      <c r="CM496" s="188"/>
    </row>
    <row r="497" spans="1:91" ht="15">
      <c r="M497" s="163"/>
      <c r="Q497" s="233"/>
      <c r="W497" s="183"/>
      <c r="AG497" s="184"/>
      <c r="AI497" s="185"/>
      <c r="AK497" s="186"/>
      <c r="BE497" s="187"/>
      <c r="BF497" s="188"/>
      <c r="BG497" s="189"/>
      <c r="BH497" s="147"/>
      <c r="BM497" s="190"/>
      <c r="BN497" s="147"/>
      <c r="BQ497" s="191"/>
      <c r="BR497" s="147"/>
      <c r="BS497" s="192"/>
      <c r="BT497" s="147"/>
      <c r="BU497" s="193"/>
      <c r="BV497" s="147"/>
      <c r="BW497" s="192"/>
      <c r="BX497" s="147"/>
      <c r="BY497" s="196"/>
      <c r="BZ497" s="147"/>
      <c r="CA497" s="192"/>
      <c r="CB497" s="147"/>
      <c r="CC497" s="194"/>
      <c r="CD497" s="147"/>
      <c r="CL497" s="195"/>
      <c r="CM497" s="188"/>
    </row>
    <row r="498" spans="1:91" ht="15">
      <c r="M498" s="163"/>
      <c r="Q498" s="233"/>
      <c r="W498" s="183"/>
      <c r="AG498" s="184"/>
      <c r="AI498" s="185"/>
      <c r="AK498" s="186"/>
      <c r="BE498" s="187"/>
      <c r="BF498" s="188"/>
      <c r="BG498" s="189"/>
      <c r="BH498" s="147"/>
      <c r="BM498" s="190"/>
      <c r="BN498" s="147"/>
      <c r="BQ498" s="191"/>
      <c r="BR498" s="147"/>
      <c r="BS498" s="192"/>
      <c r="BT498" s="147"/>
      <c r="BU498" s="193"/>
      <c r="BV498" s="147"/>
      <c r="BW498" s="192"/>
      <c r="BX498" s="147"/>
      <c r="BY498" s="196"/>
      <c r="BZ498" s="147"/>
      <c r="CA498" s="192"/>
      <c r="CB498" s="147"/>
      <c r="CC498" s="194"/>
      <c r="CD498" s="147"/>
      <c r="CL498" s="195"/>
      <c r="CM498" s="188"/>
    </row>
    <row r="499" spans="1:91" ht="15">
      <c r="M499" s="163"/>
      <c r="Q499" s="233"/>
      <c r="W499" s="183"/>
      <c r="AG499" s="184"/>
      <c r="AI499" s="185"/>
      <c r="AK499" s="186"/>
      <c r="BE499" s="187"/>
      <c r="BF499" s="188"/>
      <c r="BG499" s="189"/>
      <c r="BH499" s="147"/>
      <c r="BM499" s="190"/>
      <c r="BN499" s="147"/>
      <c r="BQ499" s="191"/>
      <c r="BR499" s="147"/>
      <c r="BS499" s="192"/>
      <c r="BT499" s="147"/>
      <c r="BU499" s="193"/>
      <c r="BV499" s="147"/>
      <c r="BW499" s="192"/>
      <c r="BX499" s="147"/>
      <c r="BY499" s="196"/>
      <c r="BZ499" s="147"/>
      <c r="CA499" s="192"/>
      <c r="CB499" s="147"/>
      <c r="CC499" s="194"/>
      <c r="CD499" s="147"/>
      <c r="CL499" s="195"/>
      <c r="CM499" s="188"/>
    </row>
    <row r="500" spans="1:91" ht="15">
      <c r="A500" s="221"/>
      <c r="B500" s="221"/>
      <c r="C500" s="222"/>
      <c r="D500" s="222"/>
      <c r="E500" s="222"/>
      <c r="G500" s="223"/>
      <c r="H500" s="223"/>
      <c r="I500" s="222"/>
      <c r="J500" s="222"/>
      <c r="K500" s="231"/>
      <c r="L500" s="225"/>
      <c r="M500" s="226"/>
      <c r="N500" s="225"/>
      <c r="O500" s="224"/>
      <c r="P500" s="225"/>
      <c r="Q500" s="233"/>
      <c r="R500" s="225"/>
      <c r="S500" s="224"/>
      <c r="T500" s="225"/>
      <c r="U500" s="224"/>
      <c r="V500" s="225"/>
      <c r="W500" s="226"/>
      <c r="X500" s="225"/>
      <c r="Z500" s="225"/>
      <c r="AA500" s="224"/>
      <c r="AB500" s="225"/>
      <c r="AC500" s="224"/>
      <c r="AD500" s="225"/>
      <c r="AE500" s="224"/>
      <c r="AF500" s="225"/>
      <c r="AG500" s="226"/>
      <c r="AH500" s="225"/>
      <c r="AI500" s="226"/>
      <c r="AJ500" s="225"/>
      <c r="AK500" s="226"/>
      <c r="AL500" s="225"/>
      <c r="AM500" s="224"/>
      <c r="AN500" s="225"/>
      <c r="AO500" s="224"/>
      <c r="AP500" s="224"/>
      <c r="AQ500" s="224"/>
      <c r="AR500" s="224"/>
      <c r="AS500" s="224"/>
      <c r="AT500" s="224"/>
      <c r="AU500" s="224"/>
      <c r="AV500" s="224"/>
      <c r="AW500" s="224"/>
      <c r="AX500" s="224"/>
      <c r="AY500" s="224"/>
      <c r="AZ500" s="224"/>
      <c r="BA500" s="224"/>
      <c r="BB500" s="224"/>
      <c r="BC500" s="224"/>
      <c r="BD500" s="224"/>
      <c r="BE500" s="226"/>
      <c r="BF500" s="227"/>
      <c r="BG500" s="228"/>
      <c r="BH500" s="225"/>
      <c r="BI500" s="229"/>
      <c r="BJ500" s="229"/>
      <c r="BK500" s="229"/>
      <c r="BL500" s="229"/>
      <c r="BM500" s="228"/>
      <c r="BN500" s="225"/>
      <c r="BO500" s="229"/>
      <c r="BP500" s="229"/>
      <c r="BQ500" s="228"/>
      <c r="BR500" s="225"/>
      <c r="BS500" s="228"/>
      <c r="BT500" s="225"/>
      <c r="BU500" s="228"/>
      <c r="BV500" s="225"/>
      <c r="BW500" s="228"/>
      <c r="BX500" s="225"/>
      <c r="BY500" s="228"/>
      <c r="BZ500" s="225"/>
      <c r="CA500" s="228"/>
      <c r="CB500" s="225"/>
      <c r="CC500" s="228"/>
      <c r="CD500" s="225"/>
      <c r="CE500" s="229"/>
      <c r="CF500" s="229"/>
      <c r="CG500" s="229"/>
      <c r="CH500" s="229"/>
      <c r="CI500" s="229"/>
      <c r="CJ500" s="229"/>
      <c r="CK500" s="229"/>
      <c r="CL500" s="228"/>
      <c r="CM500" s="227"/>
    </row>
    <row r="501" spans="1:91" ht="15">
      <c r="M501" s="163"/>
      <c r="Q501" s="233"/>
      <c r="W501" s="183"/>
      <c r="AG501" s="184"/>
      <c r="AI501" s="185"/>
      <c r="AK501" s="186"/>
      <c r="BE501" s="187"/>
      <c r="BF501" s="188"/>
      <c r="BG501" s="189"/>
      <c r="BH501" s="147"/>
      <c r="BM501" s="190"/>
      <c r="BN501" s="147"/>
      <c r="BQ501" s="191"/>
      <c r="BR501" s="147"/>
      <c r="BS501" s="192"/>
      <c r="BT501" s="147"/>
      <c r="BU501" s="193"/>
      <c r="BV501" s="147"/>
      <c r="BW501" s="192"/>
      <c r="BX501" s="147"/>
      <c r="BY501" s="196"/>
      <c r="BZ501" s="147"/>
      <c r="CA501" s="192"/>
      <c r="CB501" s="147"/>
      <c r="CC501" s="194"/>
      <c r="CD501" s="147"/>
      <c r="CL501" s="195"/>
      <c r="CM501" s="188"/>
    </row>
    <row r="502" spans="1:91" ht="15">
      <c r="M502" s="163"/>
      <c r="Q502" s="233"/>
      <c r="W502" s="183"/>
      <c r="AG502" s="184"/>
      <c r="AI502" s="185"/>
      <c r="AK502" s="186"/>
      <c r="BE502" s="187"/>
      <c r="BF502" s="188"/>
      <c r="BG502" s="189"/>
      <c r="BH502" s="147"/>
      <c r="BM502" s="190"/>
      <c r="BN502" s="147"/>
      <c r="BQ502" s="191"/>
      <c r="BR502" s="147"/>
      <c r="BS502" s="192"/>
      <c r="BT502" s="147"/>
      <c r="BU502" s="193"/>
      <c r="BV502" s="147"/>
      <c r="BW502" s="192"/>
      <c r="BX502" s="147"/>
      <c r="BY502" s="196"/>
      <c r="BZ502" s="147"/>
      <c r="CA502" s="192"/>
      <c r="CB502" s="147"/>
      <c r="CC502" s="194"/>
      <c r="CD502" s="147"/>
      <c r="CL502" s="195"/>
      <c r="CM502" s="188"/>
    </row>
    <row r="503" spans="1:91" ht="15">
      <c r="M503" s="163"/>
      <c r="Q503" s="233"/>
      <c r="W503" s="183"/>
      <c r="AG503" s="184"/>
      <c r="AI503" s="185"/>
      <c r="AK503" s="186"/>
      <c r="BE503" s="187"/>
      <c r="BF503" s="188"/>
      <c r="BG503" s="189"/>
      <c r="BH503" s="147"/>
      <c r="BM503" s="190"/>
      <c r="BN503" s="147"/>
      <c r="BQ503" s="191"/>
      <c r="BR503" s="147"/>
      <c r="BS503" s="192"/>
      <c r="BT503" s="147"/>
      <c r="BU503" s="193"/>
      <c r="BV503" s="147"/>
      <c r="BW503" s="192"/>
      <c r="BX503" s="147"/>
      <c r="BY503" s="196"/>
      <c r="BZ503" s="147"/>
      <c r="CA503" s="192"/>
      <c r="CB503" s="147"/>
      <c r="CC503" s="194"/>
      <c r="CD503" s="147"/>
      <c r="CL503" s="195"/>
      <c r="CM503" s="188"/>
    </row>
    <row r="504" spans="1:91" ht="15">
      <c r="M504" s="163"/>
      <c r="Q504" s="233"/>
      <c r="W504" s="183"/>
      <c r="AG504" s="184"/>
      <c r="AI504" s="185"/>
      <c r="AK504" s="186"/>
      <c r="BE504" s="187"/>
      <c r="BF504" s="188"/>
      <c r="BG504" s="189"/>
      <c r="BH504" s="147"/>
      <c r="BM504" s="190"/>
      <c r="BN504" s="147"/>
      <c r="BQ504" s="191"/>
      <c r="BR504" s="147"/>
      <c r="BS504" s="192"/>
      <c r="BT504" s="147"/>
      <c r="BU504" s="193"/>
      <c r="BV504" s="147"/>
      <c r="BW504" s="192"/>
      <c r="BX504" s="147"/>
      <c r="BY504" s="196"/>
      <c r="BZ504" s="147"/>
      <c r="CA504" s="192"/>
      <c r="CB504" s="147"/>
      <c r="CC504" s="194"/>
      <c r="CD504" s="147"/>
      <c r="CL504" s="195"/>
      <c r="CM504" s="188"/>
    </row>
    <row r="505" spans="1:91" ht="15">
      <c r="M505" s="163"/>
      <c r="Q505" s="233"/>
      <c r="W505" s="183"/>
      <c r="AG505" s="184"/>
      <c r="AI505" s="185"/>
      <c r="AK505" s="186"/>
      <c r="BE505" s="187"/>
      <c r="BF505" s="188"/>
      <c r="BG505" s="189"/>
      <c r="BH505" s="147"/>
      <c r="BM505" s="190"/>
      <c r="BN505" s="147"/>
      <c r="BQ505" s="191"/>
      <c r="BR505" s="147"/>
      <c r="BS505" s="192"/>
      <c r="BT505" s="147"/>
      <c r="BU505" s="193"/>
      <c r="BV505" s="147"/>
      <c r="BW505" s="192"/>
      <c r="BX505" s="147"/>
      <c r="BY505" s="196"/>
      <c r="BZ505" s="147"/>
      <c r="CA505" s="192"/>
      <c r="CB505" s="147"/>
      <c r="CC505" s="194"/>
      <c r="CD505" s="147"/>
      <c r="CL505" s="195"/>
      <c r="CM505" s="188"/>
    </row>
    <row r="506" spans="1:91" ht="15">
      <c r="I506" s="177"/>
      <c r="M506" s="163"/>
      <c r="Q506" s="233"/>
      <c r="W506" s="183"/>
      <c r="AG506" s="184"/>
      <c r="AI506" s="185"/>
      <c r="AK506" s="186"/>
      <c r="BE506" s="187"/>
      <c r="BF506" s="188"/>
      <c r="BG506" s="189"/>
      <c r="BH506" s="147"/>
      <c r="BM506" s="190"/>
      <c r="BN506" s="147"/>
      <c r="BQ506" s="191"/>
      <c r="BR506" s="147"/>
      <c r="BS506" s="192"/>
      <c r="BT506" s="147"/>
      <c r="BU506" s="193"/>
      <c r="BV506" s="147"/>
      <c r="BW506" s="192"/>
      <c r="BX506" s="147"/>
      <c r="BY506" s="196"/>
      <c r="BZ506" s="147"/>
      <c r="CA506" s="192"/>
      <c r="CB506" s="147"/>
      <c r="CC506" s="194"/>
      <c r="CD506" s="147"/>
      <c r="CL506" s="195"/>
      <c r="CM506" s="188"/>
    </row>
    <row r="507" spans="1:91" ht="15">
      <c r="M507" s="163"/>
      <c r="Q507" s="233"/>
      <c r="W507" s="183"/>
      <c r="AG507" s="184"/>
      <c r="AI507" s="185"/>
      <c r="AK507" s="186"/>
      <c r="BE507" s="187"/>
      <c r="BF507" s="188"/>
      <c r="BG507" s="189"/>
      <c r="BH507" s="147"/>
      <c r="BM507" s="190"/>
      <c r="BN507" s="147"/>
      <c r="BQ507" s="191"/>
      <c r="BR507" s="147"/>
      <c r="BS507" s="192"/>
      <c r="BT507" s="147"/>
      <c r="BU507" s="193"/>
      <c r="BV507" s="147"/>
      <c r="BW507" s="192"/>
      <c r="BX507" s="147"/>
      <c r="BY507" s="196"/>
      <c r="BZ507" s="147"/>
      <c r="CA507" s="192"/>
      <c r="CB507" s="147"/>
      <c r="CC507" s="194"/>
      <c r="CD507" s="147"/>
      <c r="CL507" s="195"/>
      <c r="CM507" s="188"/>
    </row>
    <row r="508" spans="1:91" ht="15">
      <c r="K508" s="181"/>
      <c r="M508" s="163"/>
      <c r="Q508" s="233"/>
      <c r="W508" s="183"/>
      <c r="AG508" s="184"/>
      <c r="AI508" s="185"/>
      <c r="AK508" s="186"/>
      <c r="BE508" s="187"/>
      <c r="BF508" s="188"/>
      <c r="BG508" s="189"/>
      <c r="BH508" s="147"/>
      <c r="BM508" s="190"/>
      <c r="BN508" s="147"/>
      <c r="BQ508" s="191"/>
      <c r="BR508" s="147"/>
      <c r="BS508" s="192"/>
      <c r="BT508" s="147"/>
      <c r="BU508" s="193"/>
      <c r="BV508" s="147"/>
      <c r="BW508" s="192"/>
      <c r="BX508" s="147"/>
      <c r="BY508" s="196"/>
      <c r="BZ508" s="147"/>
      <c r="CA508" s="192"/>
      <c r="CB508" s="147"/>
      <c r="CC508" s="194"/>
      <c r="CD508" s="147"/>
      <c r="CL508" s="195"/>
      <c r="CM508" s="188"/>
    </row>
    <row r="509" spans="1:91" ht="15">
      <c r="M509" s="163"/>
      <c r="Q509" s="233"/>
      <c r="W509" s="183"/>
      <c r="AG509" s="184"/>
      <c r="AI509" s="185"/>
      <c r="AK509" s="186"/>
      <c r="BE509" s="187"/>
      <c r="BF509" s="188"/>
      <c r="BG509" s="189"/>
      <c r="BH509" s="147"/>
      <c r="BM509" s="190"/>
      <c r="BN509" s="147"/>
      <c r="BQ509" s="191"/>
      <c r="BR509" s="147"/>
      <c r="BS509" s="192"/>
      <c r="BT509" s="147"/>
      <c r="BU509" s="193"/>
      <c r="BV509" s="147"/>
      <c r="BW509" s="192"/>
      <c r="BX509" s="147"/>
      <c r="BY509" s="196"/>
      <c r="BZ509" s="147"/>
      <c r="CA509" s="192"/>
      <c r="CB509" s="147"/>
      <c r="CC509" s="194"/>
      <c r="CD509" s="147"/>
      <c r="CL509" s="195"/>
      <c r="CM509" s="188"/>
    </row>
    <row r="510" spans="1:91" ht="15">
      <c r="I510" s="177"/>
      <c r="K510" s="181"/>
      <c r="M510" s="163"/>
      <c r="Q510" s="233"/>
      <c r="W510" s="183"/>
      <c r="AG510" s="184"/>
      <c r="AI510" s="185"/>
      <c r="AK510" s="186"/>
      <c r="BE510" s="187"/>
      <c r="BF510" s="188"/>
      <c r="BG510" s="189"/>
      <c r="BH510" s="147"/>
      <c r="BM510" s="190"/>
      <c r="BN510" s="147"/>
      <c r="BQ510" s="191"/>
      <c r="BR510" s="147"/>
      <c r="BS510" s="192"/>
      <c r="BT510" s="147"/>
      <c r="BU510" s="193"/>
      <c r="BV510" s="147"/>
      <c r="BW510" s="192"/>
      <c r="BX510" s="147"/>
      <c r="BY510" s="196"/>
      <c r="BZ510" s="147"/>
      <c r="CA510" s="192"/>
      <c r="CB510" s="147"/>
      <c r="CC510" s="194"/>
      <c r="CD510" s="147"/>
      <c r="CL510" s="195"/>
      <c r="CM510" s="188"/>
    </row>
    <row r="511" spans="1:91" ht="15">
      <c r="M511" s="163"/>
      <c r="Q511" s="233"/>
      <c r="W511" s="183"/>
      <c r="AG511" s="184"/>
      <c r="AI511" s="185"/>
      <c r="AK511" s="186"/>
      <c r="BE511" s="187"/>
      <c r="BF511" s="188"/>
      <c r="BG511" s="189"/>
      <c r="BH511" s="147"/>
      <c r="BM511" s="190"/>
      <c r="BN511" s="147"/>
      <c r="BQ511" s="191"/>
      <c r="BR511" s="147"/>
      <c r="BS511" s="192"/>
      <c r="BT511" s="147"/>
      <c r="BU511" s="193"/>
      <c r="BV511" s="147"/>
      <c r="BW511" s="192"/>
      <c r="BX511" s="147"/>
      <c r="BY511" s="196"/>
      <c r="BZ511" s="147"/>
      <c r="CA511" s="192"/>
      <c r="CB511" s="147"/>
      <c r="CC511" s="194"/>
      <c r="CD511" s="147"/>
      <c r="CL511" s="195"/>
      <c r="CM511" s="188"/>
    </row>
    <row r="512" spans="1:91" ht="15">
      <c r="K512" s="181"/>
      <c r="M512" s="163"/>
      <c r="Q512" s="233"/>
      <c r="W512" s="183"/>
      <c r="AG512" s="184"/>
      <c r="AI512" s="185"/>
      <c r="AK512" s="186"/>
      <c r="BE512" s="187"/>
      <c r="BF512" s="188"/>
      <c r="BG512" s="189"/>
      <c r="BH512" s="147"/>
      <c r="BM512" s="190"/>
      <c r="BN512" s="147"/>
      <c r="BQ512" s="191"/>
      <c r="BR512" s="147"/>
      <c r="BS512" s="192"/>
      <c r="BT512" s="147"/>
      <c r="BU512" s="193"/>
      <c r="BV512" s="147"/>
      <c r="BW512" s="192"/>
      <c r="BX512" s="147"/>
      <c r="BY512" s="196"/>
      <c r="BZ512" s="147"/>
      <c r="CA512" s="192"/>
      <c r="CB512" s="147"/>
      <c r="CC512" s="194"/>
      <c r="CD512" s="147"/>
      <c r="CL512" s="195"/>
      <c r="CM512" s="188"/>
    </row>
    <row r="513" spans="9:91" ht="15">
      <c r="I513" s="177"/>
      <c r="K513" s="181"/>
      <c r="M513" s="163"/>
      <c r="Q513" s="233"/>
      <c r="W513" s="183"/>
      <c r="AG513" s="184"/>
      <c r="AI513" s="185"/>
      <c r="AK513" s="186"/>
      <c r="BE513" s="187"/>
      <c r="BF513" s="188"/>
      <c r="BG513" s="189"/>
      <c r="BH513" s="147"/>
      <c r="BM513" s="190"/>
      <c r="BN513" s="147"/>
      <c r="BQ513" s="191"/>
      <c r="BR513" s="147"/>
      <c r="BS513" s="192"/>
      <c r="BT513" s="147"/>
      <c r="BU513" s="193"/>
      <c r="BV513" s="147"/>
      <c r="BW513" s="192"/>
      <c r="BX513" s="147"/>
      <c r="BY513" s="196"/>
      <c r="BZ513" s="147"/>
      <c r="CA513" s="192"/>
      <c r="CB513" s="147"/>
      <c r="CC513" s="194"/>
      <c r="CD513" s="147"/>
      <c r="CL513" s="195"/>
      <c r="CM513" s="188"/>
    </row>
    <row r="514" spans="9:91" ht="15">
      <c r="M514" s="163"/>
      <c r="Q514" s="233"/>
      <c r="W514" s="183"/>
      <c r="AG514" s="184"/>
      <c r="AI514" s="185"/>
      <c r="AK514" s="186"/>
      <c r="BE514" s="187"/>
      <c r="BF514" s="188"/>
      <c r="BG514" s="189"/>
      <c r="BH514" s="147"/>
      <c r="BM514" s="190"/>
      <c r="BN514" s="147"/>
      <c r="BQ514" s="191"/>
      <c r="BR514" s="147"/>
      <c r="BS514" s="192"/>
      <c r="BT514" s="147"/>
      <c r="BU514" s="193"/>
      <c r="BV514" s="147"/>
      <c r="BW514" s="192"/>
      <c r="BX514" s="147"/>
      <c r="BY514" s="196"/>
      <c r="BZ514" s="147"/>
      <c r="CA514" s="192"/>
      <c r="CB514" s="147"/>
      <c r="CC514" s="194"/>
      <c r="CD514" s="147"/>
      <c r="CL514" s="195"/>
      <c r="CM514" s="188"/>
    </row>
    <row r="515" spans="9:91" ht="15">
      <c r="M515" s="163"/>
      <c r="Q515" s="233"/>
      <c r="W515" s="183"/>
      <c r="AG515" s="184"/>
      <c r="AI515" s="185"/>
      <c r="AK515" s="186"/>
      <c r="BE515" s="187"/>
      <c r="BF515" s="188"/>
      <c r="BG515" s="189"/>
      <c r="BH515" s="147"/>
      <c r="BM515" s="190"/>
      <c r="BN515" s="147"/>
      <c r="BQ515" s="191"/>
      <c r="BR515" s="147"/>
      <c r="BS515" s="192"/>
      <c r="BT515" s="147"/>
      <c r="BU515" s="193"/>
      <c r="BV515" s="147"/>
      <c r="BW515" s="192"/>
      <c r="BX515" s="147"/>
      <c r="BY515" s="196"/>
      <c r="BZ515" s="147"/>
      <c r="CA515" s="192"/>
      <c r="CB515" s="147"/>
      <c r="CC515" s="194"/>
      <c r="CD515" s="147"/>
      <c r="CL515" s="195"/>
      <c r="CM515" s="188"/>
    </row>
    <row r="516" spans="9:91" ht="15">
      <c r="K516" s="181"/>
      <c r="M516" s="163"/>
      <c r="Q516" s="233"/>
      <c r="W516" s="183"/>
      <c r="AG516" s="184"/>
      <c r="AI516" s="185"/>
      <c r="AK516" s="186"/>
      <c r="BE516" s="187"/>
      <c r="BF516" s="188"/>
      <c r="BG516" s="189"/>
      <c r="BH516" s="147"/>
      <c r="BM516" s="190"/>
      <c r="BN516" s="147"/>
      <c r="BQ516" s="191"/>
      <c r="BR516" s="147"/>
      <c r="BS516" s="192"/>
      <c r="BT516" s="147"/>
      <c r="BU516" s="193"/>
      <c r="BV516" s="147"/>
      <c r="BW516" s="192"/>
      <c r="BX516" s="147"/>
      <c r="BY516" s="196"/>
      <c r="BZ516" s="147"/>
      <c r="CA516" s="192"/>
      <c r="CB516" s="147"/>
      <c r="CC516" s="194"/>
      <c r="CD516" s="147"/>
      <c r="CL516" s="195"/>
      <c r="CM516" s="188"/>
    </row>
    <row r="517" spans="9:91" ht="15">
      <c r="M517" s="163"/>
      <c r="Q517" s="233"/>
      <c r="W517" s="183"/>
      <c r="AG517" s="184"/>
      <c r="AI517" s="185"/>
      <c r="AK517" s="186"/>
      <c r="BE517" s="187"/>
      <c r="BF517" s="188"/>
      <c r="BG517" s="189"/>
      <c r="BH517" s="147"/>
      <c r="BM517" s="190"/>
      <c r="BN517" s="147"/>
      <c r="BQ517" s="191"/>
      <c r="BR517" s="147"/>
      <c r="BS517" s="192"/>
      <c r="BT517" s="147"/>
      <c r="BU517" s="193"/>
      <c r="BV517" s="147"/>
      <c r="BW517" s="192"/>
      <c r="BX517" s="147"/>
      <c r="BY517" s="196"/>
      <c r="BZ517" s="147"/>
      <c r="CA517" s="192"/>
      <c r="CB517" s="147"/>
      <c r="CC517" s="194"/>
      <c r="CD517" s="147"/>
      <c r="CL517" s="195"/>
      <c r="CM517" s="188"/>
    </row>
    <row r="518" spans="9:91" ht="15">
      <c r="K518" s="181"/>
      <c r="M518" s="163"/>
      <c r="Q518" s="233"/>
      <c r="W518" s="183"/>
      <c r="AG518" s="184"/>
      <c r="AI518" s="185"/>
      <c r="AK518" s="186"/>
      <c r="BE518" s="187"/>
      <c r="BF518" s="188"/>
      <c r="BG518" s="189"/>
      <c r="BH518" s="147"/>
      <c r="BM518" s="190"/>
      <c r="BN518" s="147"/>
      <c r="BQ518" s="191"/>
      <c r="BR518" s="147"/>
      <c r="BS518" s="192"/>
      <c r="BT518" s="147"/>
      <c r="BU518" s="193"/>
      <c r="BV518" s="147"/>
      <c r="BW518" s="192"/>
      <c r="BX518" s="147"/>
      <c r="BY518" s="196"/>
      <c r="BZ518" s="147"/>
      <c r="CA518" s="192"/>
      <c r="CB518" s="147"/>
      <c r="CC518" s="194"/>
      <c r="CD518" s="147"/>
      <c r="CL518" s="195"/>
      <c r="CM518" s="188"/>
    </row>
    <row r="519" spans="9:91" ht="15">
      <c r="J519" s="182"/>
      <c r="M519" s="163"/>
      <c r="Q519" s="233"/>
      <c r="W519" s="183"/>
      <c r="AG519" s="184"/>
      <c r="AI519" s="185"/>
      <c r="AK519" s="186"/>
      <c r="BE519" s="187"/>
      <c r="BF519" s="188"/>
      <c r="BG519" s="189"/>
      <c r="BH519" s="147"/>
      <c r="BM519" s="190"/>
      <c r="BN519" s="147"/>
      <c r="BQ519" s="191"/>
      <c r="BR519" s="147"/>
      <c r="BS519" s="192"/>
      <c r="BT519" s="147"/>
      <c r="BU519" s="193"/>
      <c r="BV519" s="147"/>
      <c r="BW519" s="192"/>
      <c r="BX519" s="147"/>
      <c r="BY519" s="196"/>
      <c r="BZ519" s="147"/>
      <c r="CA519" s="192"/>
      <c r="CB519" s="147"/>
      <c r="CC519" s="194"/>
      <c r="CD519" s="147"/>
      <c r="CL519" s="195"/>
      <c r="CM519" s="188"/>
    </row>
    <row r="520" spans="9:91" ht="15">
      <c r="M520" s="163"/>
      <c r="Q520" s="233"/>
      <c r="W520" s="183"/>
      <c r="AG520" s="184"/>
      <c r="AI520" s="185"/>
      <c r="AK520" s="186"/>
      <c r="BE520" s="187"/>
      <c r="BF520" s="188"/>
      <c r="BG520" s="189"/>
      <c r="BH520" s="147"/>
      <c r="BM520" s="190"/>
      <c r="BN520" s="147"/>
      <c r="BQ520" s="191"/>
      <c r="BR520" s="147"/>
      <c r="BS520" s="192"/>
      <c r="BT520" s="147"/>
      <c r="BU520" s="193"/>
      <c r="BV520" s="147"/>
      <c r="BW520" s="192"/>
      <c r="BX520" s="147"/>
      <c r="BY520" s="196"/>
      <c r="BZ520" s="147"/>
      <c r="CA520" s="192"/>
      <c r="CB520" s="147"/>
      <c r="CC520" s="194"/>
      <c r="CD520" s="147"/>
      <c r="CL520" s="195"/>
      <c r="CM520" s="188"/>
    </row>
    <row r="521" spans="9:91" ht="15">
      <c r="M521" s="163"/>
      <c r="Q521" s="233"/>
      <c r="W521" s="183"/>
      <c r="AG521" s="184"/>
      <c r="AI521" s="185"/>
      <c r="AK521" s="186"/>
      <c r="BE521" s="187"/>
      <c r="BF521" s="188"/>
      <c r="BG521" s="189"/>
      <c r="BH521" s="147"/>
      <c r="BM521" s="190"/>
      <c r="BN521" s="147"/>
      <c r="BQ521" s="191"/>
      <c r="BR521" s="147"/>
      <c r="BS521" s="192"/>
      <c r="BT521" s="147"/>
      <c r="BU521" s="193"/>
      <c r="BV521" s="147"/>
      <c r="BW521" s="192"/>
      <c r="BX521" s="147"/>
      <c r="BY521" s="196"/>
      <c r="BZ521" s="147"/>
      <c r="CA521" s="192"/>
      <c r="CB521" s="147"/>
      <c r="CC521" s="194"/>
      <c r="CD521" s="147"/>
      <c r="CL521" s="195"/>
      <c r="CM521" s="188"/>
    </row>
    <row r="522" spans="9:91" ht="15">
      <c r="I522" s="177"/>
      <c r="J522" s="177"/>
      <c r="M522" s="163"/>
      <c r="Q522" s="233"/>
      <c r="W522" s="183"/>
      <c r="AG522" s="184"/>
      <c r="AI522" s="185"/>
      <c r="AK522" s="186"/>
      <c r="BE522" s="187"/>
      <c r="BF522" s="188"/>
      <c r="BG522" s="189"/>
      <c r="BH522" s="147"/>
      <c r="BM522" s="190"/>
      <c r="BN522" s="147"/>
      <c r="BQ522" s="191"/>
      <c r="BR522" s="147"/>
      <c r="BS522" s="192"/>
      <c r="BT522" s="147"/>
      <c r="BU522" s="193"/>
      <c r="BV522" s="147"/>
      <c r="BW522" s="192"/>
      <c r="BX522" s="147"/>
      <c r="BY522" s="196"/>
      <c r="BZ522" s="147"/>
      <c r="CA522" s="192"/>
      <c r="CB522" s="147"/>
      <c r="CC522" s="194"/>
      <c r="CD522" s="147"/>
      <c r="CL522" s="195"/>
      <c r="CM522" s="188"/>
    </row>
    <row r="523" spans="9:91" ht="15">
      <c r="M523" s="163"/>
      <c r="Q523" s="233"/>
      <c r="W523" s="183"/>
      <c r="AG523" s="184"/>
      <c r="AI523" s="185"/>
      <c r="AK523" s="186"/>
      <c r="BE523" s="187"/>
      <c r="BF523" s="188"/>
      <c r="BG523" s="189"/>
      <c r="BH523" s="147"/>
      <c r="BM523" s="190"/>
      <c r="BN523" s="147"/>
      <c r="BQ523" s="191"/>
      <c r="BR523" s="147"/>
      <c r="BS523" s="192"/>
      <c r="BT523" s="147"/>
      <c r="BU523" s="193"/>
      <c r="BV523" s="147"/>
      <c r="BW523" s="192"/>
      <c r="BX523" s="147"/>
      <c r="BY523" s="196"/>
      <c r="BZ523" s="147"/>
      <c r="CA523" s="192"/>
      <c r="CB523" s="147"/>
      <c r="CC523" s="194"/>
      <c r="CD523" s="147"/>
      <c r="CL523" s="195"/>
      <c r="CM523" s="188"/>
    </row>
    <row r="524" spans="9:91" ht="15">
      <c r="M524" s="163"/>
      <c r="Q524" s="233"/>
      <c r="W524" s="183"/>
      <c r="AG524" s="184"/>
      <c r="AI524" s="185"/>
      <c r="AK524" s="186"/>
      <c r="BE524" s="187"/>
      <c r="BF524" s="188"/>
      <c r="BG524" s="189"/>
      <c r="BH524" s="147"/>
      <c r="BM524" s="190"/>
      <c r="BN524" s="147"/>
      <c r="BQ524" s="191"/>
      <c r="BR524" s="147"/>
      <c r="BS524" s="192"/>
      <c r="BT524" s="147"/>
      <c r="BU524" s="193"/>
      <c r="BV524" s="147"/>
      <c r="BW524" s="192"/>
      <c r="BX524" s="147"/>
      <c r="BY524" s="196"/>
      <c r="BZ524" s="147"/>
      <c r="CA524" s="192"/>
      <c r="CB524" s="147"/>
      <c r="CC524" s="194"/>
      <c r="CD524" s="147"/>
      <c r="CL524" s="195"/>
      <c r="CM524" s="188"/>
    </row>
    <row r="525" spans="9:91" ht="15">
      <c r="M525" s="163"/>
      <c r="Q525" s="233"/>
      <c r="W525" s="183"/>
      <c r="AG525" s="184"/>
      <c r="AI525" s="185"/>
      <c r="AK525" s="186"/>
      <c r="BE525" s="187"/>
      <c r="BF525" s="188"/>
      <c r="BG525" s="189"/>
      <c r="BH525" s="147"/>
      <c r="BM525" s="190"/>
      <c r="BN525" s="147"/>
      <c r="BQ525" s="191"/>
      <c r="BR525" s="147"/>
      <c r="BS525" s="192"/>
      <c r="BT525" s="147"/>
      <c r="BU525" s="193"/>
      <c r="BV525" s="147"/>
      <c r="BW525" s="192"/>
      <c r="BX525" s="147"/>
      <c r="BY525" s="196"/>
      <c r="BZ525" s="147"/>
      <c r="CA525" s="192"/>
      <c r="CB525" s="147"/>
      <c r="CC525" s="194"/>
      <c r="CD525" s="147"/>
      <c r="CL525" s="195"/>
      <c r="CM525" s="188"/>
    </row>
    <row r="526" spans="9:91" ht="15">
      <c r="I526" s="177"/>
      <c r="M526" s="163"/>
      <c r="Q526" s="233"/>
      <c r="W526" s="183"/>
      <c r="AG526" s="184"/>
      <c r="AI526" s="185"/>
      <c r="AK526" s="186"/>
      <c r="BE526" s="187"/>
      <c r="BF526" s="188"/>
      <c r="BG526" s="189"/>
      <c r="BH526" s="147"/>
      <c r="BM526" s="190"/>
      <c r="BN526" s="147"/>
      <c r="BQ526" s="191"/>
      <c r="BR526" s="147"/>
      <c r="BS526" s="192"/>
      <c r="BT526" s="147"/>
      <c r="BU526" s="193"/>
      <c r="BV526" s="147"/>
      <c r="BW526" s="192"/>
      <c r="BX526" s="147"/>
      <c r="BY526" s="196"/>
      <c r="BZ526" s="147"/>
      <c r="CA526" s="192"/>
      <c r="CB526" s="147"/>
      <c r="CC526" s="194"/>
      <c r="CD526" s="147"/>
      <c r="CL526" s="195"/>
      <c r="CM526" s="188"/>
    </row>
    <row r="527" spans="9:91" ht="15">
      <c r="K527" s="181"/>
      <c r="M527" s="163"/>
      <c r="Q527" s="233"/>
      <c r="W527" s="183"/>
      <c r="AG527" s="184"/>
      <c r="AI527" s="185"/>
      <c r="AK527" s="186"/>
      <c r="BE527" s="187"/>
      <c r="BF527" s="188"/>
      <c r="BG527" s="189"/>
      <c r="BH527" s="147"/>
      <c r="BM527" s="190"/>
      <c r="BN527" s="147"/>
      <c r="BQ527" s="191"/>
      <c r="BR527" s="147"/>
      <c r="BS527" s="192"/>
      <c r="BT527" s="147"/>
      <c r="BU527" s="193"/>
      <c r="BV527" s="147"/>
      <c r="BW527" s="192"/>
      <c r="BX527" s="147"/>
      <c r="BY527" s="196"/>
      <c r="BZ527" s="147"/>
      <c r="CA527" s="192"/>
      <c r="CB527" s="147"/>
      <c r="CC527" s="194"/>
      <c r="CD527" s="147"/>
      <c r="CL527" s="195"/>
      <c r="CM527" s="188"/>
    </row>
    <row r="528" spans="9:91" ht="15">
      <c r="M528" s="163"/>
      <c r="Q528" s="233"/>
      <c r="W528" s="183"/>
      <c r="AG528" s="184"/>
      <c r="AI528" s="185"/>
      <c r="AK528" s="186"/>
      <c r="BE528" s="187"/>
      <c r="BF528" s="188"/>
      <c r="BG528" s="189"/>
      <c r="BH528" s="147"/>
      <c r="BM528" s="190"/>
      <c r="BN528" s="147"/>
      <c r="BQ528" s="191"/>
      <c r="BR528" s="147"/>
      <c r="BS528" s="192"/>
      <c r="BT528" s="147"/>
      <c r="BU528" s="193"/>
      <c r="BV528" s="147"/>
      <c r="BW528" s="192"/>
      <c r="BX528" s="147"/>
      <c r="BY528" s="196"/>
      <c r="BZ528" s="147"/>
      <c r="CA528" s="192"/>
      <c r="CB528" s="147"/>
      <c r="CC528" s="194"/>
      <c r="CD528" s="147"/>
      <c r="CL528" s="195"/>
      <c r="CM528" s="188"/>
    </row>
    <row r="529" spans="9:91" ht="15">
      <c r="M529" s="163"/>
      <c r="Q529" s="233"/>
      <c r="W529" s="183"/>
      <c r="AG529" s="184"/>
      <c r="AI529" s="185"/>
      <c r="AK529" s="186"/>
      <c r="BE529" s="187"/>
      <c r="BF529" s="188"/>
      <c r="BG529" s="189"/>
      <c r="BH529" s="147"/>
      <c r="BM529" s="190"/>
      <c r="BN529" s="147"/>
      <c r="BQ529" s="191"/>
      <c r="BR529" s="147"/>
      <c r="BS529" s="192"/>
      <c r="BT529" s="147"/>
      <c r="BU529" s="193"/>
      <c r="BV529" s="147"/>
      <c r="BW529" s="192"/>
      <c r="BX529" s="147"/>
      <c r="BY529" s="196"/>
      <c r="BZ529" s="147"/>
      <c r="CA529" s="192"/>
      <c r="CB529" s="147"/>
      <c r="CC529" s="194"/>
      <c r="CD529" s="147"/>
      <c r="CL529" s="195"/>
      <c r="CM529" s="188"/>
    </row>
    <row r="530" spans="9:91" ht="15">
      <c r="I530" s="177"/>
      <c r="M530" s="163"/>
      <c r="Q530" s="233"/>
      <c r="W530" s="183"/>
      <c r="AG530" s="184"/>
      <c r="AI530" s="185"/>
      <c r="AK530" s="186"/>
      <c r="BE530" s="187"/>
      <c r="BF530" s="188"/>
      <c r="BG530" s="189"/>
      <c r="BH530" s="147"/>
      <c r="BM530" s="190"/>
      <c r="BN530" s="147"/>
      <c r="BQ530" s="191"/>
      <c r="BR530" s="147"/>
      <c r="BS530" s="192"/>
      <c r="BT530" s="147"/>
      <c r="BU530" s="193"/>
      <c r="BV530" s="147"/>
      <c r="BW530" s="192"/>
      <c r="BX530" s="147"/>
      <c r="BY530" s="196"/>
      <c r="BZ530" s="147"/>
      <c r="CA530" s="192"/>
      <c r="CB530" s="147"/>
      <c r="CC530" s="194"/>
      <c r="CD530" s="147"/>
      <c r="CL530" s="195"/>
      <c r="CM530" s="188"/>
    </row>
    <row r="531" spans="9:91" ht="15">
      <c r="M531" s="163"/>
      <c r="Q531" s="233"/>
      <c r="W531" s="183"/>
      <c r="AG531" s="184"/>
      <c r="AI531" s="185"/>
      <c r="AK531" s="186"/>
      <c r="BE531" s="187"/>
      <c r="BF531" s="188"/>
      <c r="BG531" s="189"/>
      <c r="BH531" s="147"/>
      <c r="BM531" s="190"/>
      <c r="BN531" s="147"/>
      <c r="BQ531" s="191"/>
      <c r="BR531" s="147"/>
      <c r="BS531" s="192"/>
      <c r="BT531" s="147"/>
      <c r="BU531" s="193"/>
      <c r="BV531" s="147"/>
      <c r="BW531" s="192"/>
      <c r="BX531" s="147"/>
      <c r="BY531" s="196"/>
      <c r="BZ531" s="147"/>
      <c r="CA531" s="192"/>
      <c r="CB531" s="147"/>
      <c r="CC531" s="194"/>
      <c r="CD531" s="147"/>
      <c r="CL531" s="195"/>
      <c r="CM531" s="188"/>
    </row>
    <row r="532" spans="9:91" ht="15">
      <c r="I532" s="177"/>
      <c r="M532" s="163"/>
      <c r="Q532" s="233"/>
      <c r="W532" s="183"/>
      <c r="AG532" s="184"/>
      <c r="AI532" s="185"/>
      <c r="AK532" s="186"/>
      <c r="BE532" s="187"/>
      <c r="BF532" s="188"/>
      <c r="BG532" s="189"/>
      <c r="BH532" s="147"/>
      <c r="BM532" s="190"/>
      <c r="BN532" s="147"/>
      <c r="BQ532" s="191"/>
      <c r="BR532" s="147"/>
      <c r="BS532" s="192"/>
      <c r="BT532" s="147"/>
      <c r="BU532" s="193"/>
      <c r="BV532" s="147"/>
      <c r="BW532" s="192"/>
      <c r="BX532" s="147"/>
      <c r="BY532" s="196"/>
      <c r="BZ532" s="147"/>
      <c r="CA532" s="192"/>
      <c r="CB532" s="147"/>
      <c r="CC532" s="194"/>
      <c r="CD532" s="147"/>
      <c r="CL532" s="195"/>
      <c r="CM532" s="188"/>
    </row>
    <row r="533" spans="9:91" ht="15">
      <c r="M533" s="163"/>
      <c r="Q533" s="233"/>
      <c r="W533" s="183"/>
      <c r="AG533" s="184"/>
      <c r="AI533" s="185"/>
      <c r="AK533" s="186"/>
      <c r="BE533" s="187"/>
      <c r="BF533" s="188"/>
      <c r="BG533" s="189"/>
      <c r="BH533" s="147"/>
      <c r="BM533" s="190"/>
      <c r="BN533" s="147"/>
      <c r="BQ533" s="191"/>
      <c r="BR533" s="147"/>
      <c r="BS533" s="192"/>
      <c r="BT533" s="147"/>
      <c r="BU533" s="193"/>
      <c r="BV533" s="147"/>
      <c r="BW533" s="192"/>
      <c r="BX533" s="147"/>
      <c r="BY533" s="196"/>
      <c r="BZ533" s="147"/>
      <c r="CA533" s="192"/>
      <c r="CB533" s="147"/>
      <c r="CC533" s="194"/>
      <c r="CD533" s="147"/>
      <c r="CL533" s="195"/>
      <c r="CM533" s="188"/>
    </row>
    <row r="534" spans="9:91" ht="15">
      <c r="M534" s="163"/>
      <c r="Q534" s="233"/>
      <c r="W534" s="183"/>
      <c r="AG534" s="184"/>
      <c r="AI534" s="185"/>
      <c r="AK534" s="186"/>
      <c r="BE534" s="187"/>
      <c r="BF534" s="188"/>
      <c r="BG534" s="189"/>
      <c r="BH534" s="147"/>
      <c r="BM534" s="190"/>
      <c r="BN534" s="147"/>
      <c r="BQ534" s="191"/>
      <c r="BR534" s="147"/>
      <c r="BS534" s="192"/>
      <c r="BT534" s="147"/>
      <c r="BU534" s="193"/>
      <c r="BV534" s="147"/>
      <c r="BW534" s="192"/>
      <c r="BX534" s="147"/>
      <c r="BY534" s="196"/>
      <c r="BZ534" s="147"/>
      <c r="CA534" s="192"/>
      <c r="CB534" s="147"/>
      <c r="CC534" s="194"/>
      <c r="CD534" s="147"/>
      <c r="CL534" s="195"/>
      <c r="CM534" s="188"/>
    </row>
    <row r="535" spans="9:91" ht="15">
      <c r="M535" s="163"/>
      <c r="Q535" s="233"/>
      <c r="W535" s="183"/>
      <c r="AG535" s="184"/>
      <c r="AI535" s="185"/>
      <c r="AK535" s="186"/>
      <c r="BE535" s="187"/>
      <c r="BF535" s="188"/>
      <c r="BG535" s="189"/>
      <c r="BH535" s="147"/>
      <c r="BM535" s="190"/>
      <c r="BN535" s="147"/>
      <c r="BQ535" s="191"/>
      <c r="BR535" s="147"/>
      <c r="BS535" s="192"/>
      <c r="BT535" s="147"/>
      <c r="BU535" s="193"/>
      <c r="BV535" s="147"/>
      <c r="BW535" s="192"/>
      <c r="BX535" s="147"/>
      <c r="BY535" s="196"/>
      <c r="BZ535" s="147"/>
      <c r="CA535" s="192"/>
      <c r="CB535" s="147"/>
      <c r="CC535" s="194"/>
      <c r="CD535" s="147"/>
      <c r="CL535" s="195"/>
      <c r="CM535" s="188"/>
    </row>
    <row r="536" spans="9:91" ht="15">
      <c r="I536" s="177"/>
      <c r="K536" s="181"/>
      <c r="M536" s="163"/>
      <c r="Q536" s="233"/>
      <c r="W536" s="183"/>
      <c r="AG536" s="184"/>
      <c r="AI536" s="185"/>
      <c r="AK536" s="186"/>
      <c r="BE536" s="187"/>
      <c r="BF536" s="188"/>
      <c r="BG536" s="189"/>
      <c r="BH536" s="147"/>
      <c r="BM536" s="190"/>
      <c r="BN536" s="147"/>
      <c r="BQ536" s="191"/>
      <c r="BR536" s="147"/>
      <c r="BS536" s="192"/>
      <c r="BT536" s="147"/>
      <c r="BU536" s="193"/>
      <c r="BV536" s="147"/>
      <c r="BW536" s="192"/>
      <c r="BX536" s="147"/>
      <c r="BY536" s="196"/>
      <c r="BZ536" s="147"/>
      <c r="CA536" s="192"/>
      <c r="CB536" s="147"/>
      <c r="CC536" s="194"/>
      <c r="CD536" s="147"/>
      <c r="CL536" s="195"/>
      <c r="CM536" s="188"/>
    </row>
    <row r="537" spans="9:91" ht="15">
      <c r="K537" s="181"/>
      <c r="M537" s="163"/>
      <c r="Q537" s="233"/>
      <c r="W537" s="183"/>
      <c r="AG537" s="184"/>
      <c r="AI537" s="185"/>
      <c r="AK537" s="186"/>
      <c r="BE537" s="187"/>
      <c r="BF537" s="188"/>
      <c r="BG537" s="189"/>
      <c r="BH537" s="147"/>
      <c r="BM537" s="190"/>
      <c r="BN537" s="147"/>
      <c r="BQ537" s="191"/>
      <c r="BR537" s="147"/>
      <c r="BS537" s="192"/>
      <c r="BT537" s="147"/>
      <c r="BU537" s="193"/>
      <c r="BV537" s="147"/>
      <c r="BW537" s="192"/>
      <c r="BX537" s="147"/>
      <c r="BY537" s="196"/>
      <c r="BZ537" s="147"/>
      <c r="CA537" s="192"/>
      <c r="CB537" s="147"/>
      <c r="CC537" s="194"/>
      <c r="CD537" s="147"/>
      <c r="CL537" s="195"/>
      <c r="CM537" s="188"/>
    </row>
    <row r="538" spans="9:91" ht="15">
      <c r="M538" s="163"/>
      <c r="Q538" s="233"/>
      <c r="W538" s="183"/>
      <c r="AG538" s="184"/>
      <c r="AI538" s="185"/>
      <c r="AK538" s="186"/>
      <c r="BE538" s="187"/>
      <c r="BF538" s="188"/>
      <c r="BG538" s="189"/>
      <c r="BH538" s="147"/>
      <c r="BM538" s="190"/>
      <c r="BN538" s="147"/>
      <c r="BQ538" s="191"/>
      <c r="BR538" s="147"/>
      <c r="BS538" s="192"/>
      <c r="BT538" s="147"/>
      <c r="BU538" s="193"/>
      <c r="BV538" s="147"/>
      <c r="BW538" s="192"/>
      <c r="BX538" s="147"/>
      <c r="BY538" s="196"/>
      <c r="BZ538" s="147"/>
      <c r="CA538" s="192"/>
      <c r="CB538" s="147"/>
      <c r="CC538" s="194"/>
      <c r="CD538" s="147"/>
      <c r="CL538" s="195"/>
      <c r="CM538" s="188"/>
    </row>
    <row r="539" spans="9:91" ht="15">
      <c r="K539" s="181"/>
      <c r="M539" s="163"/>
      <c r="Q539" s="233"/>
      <c r="W539" s="183"/>
      <c r="AG539" s="184"/>
      <c r="AI539" s="185"/>
      <c r="AK539" s="186"/>
      <c r="BE539" s="187"/>
      <c r="BF539" s="188"/>
      <c r="BG539" s="189"/>
      <c r="BH539" s="147"/>
      <c r="BM539" s="190"/>
      <c r="BN539" s="147"/>
      <c r="BQ539" s="191"/>
      <c r="BR539" s="147"/>
      <c r="BS539" s="192"/>
      <c r="BT539" s="147"/>
      <c r="BU539" s="193"/>
      <c r="BV539" s="147"/>
      <c r="BW539" s="192"/>
      <c r="BX539" s="147"/>
      <c r="BY539" s="196"/>
      <c r="BZ539" s="147"/>
      <c r="CA539" s="192"/>
      <c r="CB539" s="147"/>
      <c r="CC539" s="194"/>
      <c r="CD539" s="147"/>
      <c r="CL539" s="195"/>
      <c r="CM539" s="188"/>
    </row>
    <row r="540" spans="9:91" ht="15">
      <c r="K540" s="181"/>
      <c r="M540" s="163"/>
      <c r="Q540" s="233"/>
      <c r="W540" s="183"/>
      <c r="AG540" s="184"/>
      <c r="AI540" s="185"/>
      <c r="AK540" s="186"/>
      <c r="BE540" s="187"/>
      <c r="BF540" s="188"/>
      <c r="BG540" s="189"/>
      <c r="BH540" s="147"/>
      <c r="BM540" s="190"/>
      <c r="BN540" s="147"/>
      <c r="BQ540" s="191"/>
      <c r="BR540" s="147"/>
      <c r="BS540" s="192"/>
      <c r="BT540" s="147"/>
      <c r="BU540" s="193"/>
      <c r="BV540" s="147"/>
      <c r="BW540" s="192"/>
      <c r="BX540" s="147"/>
      <c r="BY540" s="196"/>
      <c r="BZ540" s="147"/>
      <c r="CA540" s="192"/>
      <c r="CB540" s="147"/>
      <c r="CC540" s="194"/>
      <c r="CD540" s="147"/>
      <c r="CL540" s="195"/>
      <c r="CM540" s="188"/>
    </row>
    <row r="541" spans="9:91" ht="15">
      <c r="I541" s="177"/>
      <c r="M541" s="163"/>
      <c r="Q541" s="233"/>
      <c r="W541" s="183"/>
      <c r="AG541" s="184"/>
      <c r="AI541" s="185"/>
      <c r="AK541" s="186"/>
      <c r="BE541" s="187"/>
      <c r="BF541" s="188"/>
      <c r="BG541" s="189"/>
      <c r="BH541" s="147"/>
      <c r="BM541" s="190"/>
      <c r="BN541" s="147"/>
      <c r="BQ541" s="191"/>
      <c r="BR541" s="147"/>
      <c r="BS541" s="192"/>
      <c r="BT541" s="147"/>
      <c r="BU541" s="193"/>
      <c r="BV541" s="147"/>
      <c r="BW541" s="192"/>
      <c r="BX541" s="147"/>
      <c r="BY541" s="196"/>
      <c r="BZ541" s="147"/>
      <c r="CA541" s="192"/>
      <c r="CB541" s="147"/>
      <c r="CC541" s="194"/>
      <c r="CD541" s="147"/>
      <c r="CL541" s="195"/>
      <c r="CM541" s="188"/>
    </row>
    <row r="542" spans="9:91" ht="15">
      <c r="M542" s="163"/>
      <c r="Q542" s="233"/>
      <c r="W542" s="183"/>
      <c r="AG542" s="184"/>
      <c r="AI542" s="185"/>
      <c r="AK542" s="186"/>
      <c r="BE542" s="187"/>
      <c r="BF542" s="188"/>
      <c r="BG542" s="189"/>
      <c r="BH542" s="147"/>
      <c r="BM542" s="190"/>
      <c r="BN542" s="147"/>
      <c r="BQ542" s="191"/>
      <c r="BR542" s="147"/>
      <c r="BS542" s="192"/>
      <c r="BT542" s="147"/>
      <c r="BU542" s="193"/>
      <c r="BV542" s="147"/>
      <c r="BW542" s="192"/>
      <c r="BX542" s="147"/>
      <c r="BY542" s="196"/>
      <c r="BZ542" s="147"/>
      <c r="CA542" s="192"/>
      <c r="CB542" s="147"/>
      <c r="CC542" s="194"/>
      <c r="CD542" s="147"/>
      <c r="CL542" s="195"/>
      <c r="CM542" s="188"/>
    </row>
    <row r="543" spans="9:91" ht="15">
      <c r="M543" s="163"/>
      <c r="Q543" s="233"/>
      <c r="W543" s="183"/>
      <c r="AG543" s="184"/>
      <c r="AI543" s="185"/>
      <c r="AK543" s="186"/>
      <c r="BE543" s="187"/>
      <c r="BF543" s="188"/>
      <c r="BG543" s="189"/>
      <c r="BH543" s="147"/>
      <c r="BM543" s="190"/>
      <c r="BN543" s="147"/>
      <c r="BQ543" s="191"/>
      <c r="BR543" s="147"/>
      <c r="BS543" s="192"/>
      <c r="BT543" s="147"/>
      <c r="BU543" s="193"/>
      <c r="BV543" s="147"/>
      <c r="BW543" s="192"/>
      <c r="BX543" s="147"/>
      <c r="BY543" s="196"/>
      <c r="BZ543" s="147"/>
      <c r="CA543" s="192"/>
      <c r="CB543" s="147"/>
      <c r="CC543" s="194"/>
      <c r="CD543" s="147"/>
      <c r="CL543" s="195"/>
      <c r="CM543" s="188"/>
    </row>
    <row r="544" spans="9:91" ht="15">
      <c r="M544" s="163"/>
      <c r="Q544" s="233"/>
      <c r="W544" s="183"/>
      <c r="AG544" s="184"/>
      <c r="AI544" s="185"/>
      <c r="AK544" s="186"/>
      <c r="BE544" s="187"/>
      <c r="BF544" s="188"/>
      <c r="BG544" s="189"/>
      <c r="BH544" s="147"/>
      <c r="BM544" s="190"/>
      <c r="BN544" s="147"/>
      <c r="BQ544" s="191"/>
      <c r="BR544" s="147"/>
      <c r="BS544" s="192"/>
      <c r="BT544" s="147"/>
      <c r="BU544" s="193"/>
      <c r="BV544" s="147"/>
      <c r="BW544" s="192"/>
      <c r="BX544" s="147"/>
      <c r="BY544" s="196"/>
      <c r="BZ544" s="147"/>
      <c r="CA544" s="192"/>
      <c r="CB544" s="147"/>
      <c r="CC544" s="194"/>
      <c r="CD544" s="147"/>
      <c r="CL544" s="195"/>
      <c r="CM544" s="188"/>
    </row>
    <row r="545" spans="1:91" ht="15">
      <c r="M545" s="163"/>
      <c r="Q545" s="233"/>
      <c r="W545" s="183"/>
      <c r="AG545" s="184"/>
      <c r="AI545" s="185"/>
      <c r="AK545" s="186"/>
      <c r="BE545" s="187"/>
      <c r="BF545" s="188"/>
      <c r="BG545" s="189"/>
      <c r="BH545" s="147"/>
      <c r="BM545" s="190"/>
      <c r="BN545" s="147"/>
      <c r="BQ545" s="191"/>
      <c r="BR545" s="147"/>
      <c r="BS545" s="192"/>
      <c r="BT545" s="147"/>
      <c r="BU545" s="193"/>
      <c r="BV545" s="147"/>
      <c r="BW545" s="192"/>
      <c r="BX545" s="147"/>
      <c r="BY545" s="196"/>
      <c r="BZ545" s="147"/>
      <c r="CA545" s="192"/>
      <c r="CB545" s="147"/>
      <c r="CC545" s="194"/>
      <c r="CD545" s="147"/>
      <c r="CL545" s="195"/>
      <c r="CM545" s="188"/>
    </row>
    <row r="546" spans="1:91" ht="15">
      <c r="M546" s="163"/>
      <c r="Q546" s="233"/>
      <c r="W546" s="183"/>
      <c r="AG546" s="184"/>
      <c r="AI546" s="185"/>
      <c r="AK546" s="186"/>
      <c r="BE546" s="187"/>
      <c r="BF546" s="188"/>
      <c r="BG546" s="189"/>
      <c r="BH546" s="147"/>
      <c r="BM546" s="190"/>
      <c r="BN546" s="147"/>
      <c r="BQ546" s="191"/>
      <c r="BR546" s="147"/>
      <c r="BS546" s="192"/>
      <c r="BT546" s="147"/>
      <c r="BU546" s="193"/>
      <c r="BV546" s="147"/>
      <c r="BW546" s="192"/>
      <c r="BX546" s="147"/>
      <c r="BY546" s="196"/>
      <c r="BZ546" s="147"/>
      <c r="CA546" s="192"/>
      <c r="CB546" s="147"/>
      <c r="CC546" s="194"/>
      <c r="CD546" s="147"/>
      <c r="CL546" s="195"/>
      <c r="CM546" s="188"/>
    </row>
    <row r="547" spans="1:91" ht="15">
      <c r="M547" s="163"/>
      <c r="Q547" s="233"/>
      <c r="W547" s="183"/>
      <c r="AG547" s="184"/>
      <c r="AI547" s="185"/>
      <c r="AK547" s="186"/>
      <c r="BE547" s="187"/>
      <c r="BF547" s="188"/>
      <c r="BG547" s="189"/>
      <c r="BH547" s="147"/>
      <c r="BM547" s="190"/>
      <c r="BN547" s="147"/>
      <c r="BQ547" s="191"/>
      <c r="BR547" s="147"/>
      <c r="BS547" s="192"/>
      <c r="BT547" s="147"/>
      <c r="BU547" s="193"/>
      <c r="BV547" s="147"/>
      <c r="BW547" s="192"/>
      <c r="BX547" s="147"/>
      <c r="BY547" s="196"/>
      <c r="BZ547" s="147"/>
      <c r="CA547" s="192"/>
      <c r="CB547" s="147"/>
      <c r="CC547" s="194"/>
      <c r="CD547" s="147"/>
      <c r="CL547" s="195"/>
      <c r="CM547" s="188"/>
    </row>
    <row r="548" spans="1:91" ht="15">
      <c r="M548" s="163"/>
      <c r="Q548" s="233"/>
      <c r="W548" s="183"/>
      <c r="AG548" s="184"/>
      <c r="AI548" s="185"/>
      <c r="AK548" s="186"/>
      <c r="BE548" s="187"/>
      <c r="BF548" s="188"/>
      <c r="BG548" s="189"/>
      <c r="BH548" s="147"/>
      <c r="BM548" s="190"/>
      <c r="BN548" s="147"/>
      <c r="BQ548" s="191"/>
      <c r="BR548" s="147"/>
      <c r="BS548" s="192"/>
      <c r="BT548" s="147"/>
      <c r="BU548" s="193"/>
      <c r="BV548" s="147"/>
      <c r="BW548" s="192"/>
      <c r="BX548" s="147"/>
      <c r="BY548" s="196"/>
      <c r="BZ548" s="147"/>
      <c r="CA548" s="192"/>
      <c r="CB548" s="147"/>
      <c r="CC548" s="194"/>
      <c r="CD548" s="147"/>
      <c r="CL548" s="195"/>
      <c r="CM548" s="188"/>
    </row>
    <row r="549" spans="1:91" ht="15">
      <c r="M549" s="163"/>
      <c r="Q549" s="233"/>
      <c r="W549" s="183"/>
      <c r="AG549" s="184"/>
      <c r="AI549" s="185"/>
      <c r="AK549" s="186"/>
      <c r="BE549" s="187"/>
      <c r="BF549" s="188"/>
      <c r="BG549" s="189"/>
      <c r="BH549" s="147"/>
      <c r="BM549" s="190"/>
      <c r="BN549" s="147"/>
      <c r="BQ549" s="191"/>
      <c r="BR549" s="147"/>
      <c r="BS549" s="192"/>
      <c r="BT549" s="147"/>
      <c r="BU549" s="193"/>
      <c r="BV549" s="147"/>
      <c r="BW549" s="192"/>
      <c r="BX549" s="147"/>
      <c r="BY549" s="196"/>
      <c r="BZ549" s="147"/>
      <c r="CA549" s="192"/>
      <c r="CB549" s="147"/>
      <c r="CC549" s="194"/>
      <c r="CD549" s="147"/>
      <c r="CL549" s="195"/>
      <c r="CM549" s="188"/>
    </row>
    <row r="550" spans="1:91" ht="15">
      <c r="M550" s="163"/>
      <c r="Q550" s="233"/>
      <c r="W550" s="183"/>
      <c r="AG550" s="184"/>
      <c r="AI550" s="185"/>
      <c r="AK550" s="186"/>
      <c r="BE550" s="187"/>
      <c r="BF550" s="188"/>
      <c r="BG550" s="189"/>
      <c r="BH550" s="147"/>
      <c r="BM550" s="190"/>
      <c r="BN550" s="147"/>
      <c r="BQ550" s="191"/>
      <c r="BR550" s="147"/>
      <c r="BS550" s="192"/>
      <c r="BT550" s="147"/>
      <c r="BU550" s="193"/>
      <c r="BV550" s="147"/>
      <c r="BW550" s="192"/>
      <c r="BX550" s="147"/>
      <c r="BY550" s="196"/>
      <c r="BZ550" s="147"/>
      <c r="CA550" s="192"/>
      <c r="CB550" s="147"/>
      <c r="CC550" s="194"/>
      <c r="CD550" s="147"/>
      <c r="CL550" s="195"/>
      <c r="CM550" s="188"/>
    </row>
    <row r="551" spans="1:91" ht="15">
      <c r="M551" s="163"/>
      <c r="Q551" s="233"/>
      <c r="W551" s="183"/>
      <c r="AG551" s="184"/>
      <c r="AI551" s="185"/>
      <c r="AK551" s="186"/>
      <c r="BE551" s="187"/>
      <c r="BF551" s="188"/>
      <c r="BG551" s="189"/>
      <c r="BH551" s="147"/>
      <c r="BM551" s="190"/>
      <c r="BN551" s="147"/>
      <c r="BQ551" s="191"/>
      <c r="BR551" s="147"/>
      <c r="BS551" s="192"/>
      <c r="BT551" s="147"/>
      <c r="BU551" s="193"/>
      <c r="BV551" s="147"/>
      <c r="BW551" s="192"/>
      <c r="BX551" s="147"/>
      <c r="BY551" s="196"/>
      <c r="BZ551" s="147"/>
      <c r="CA551" s="192"/>
      <c r="CB551" s="147"/>
      <c r="CC551" s="194"/>
      <c r="CD551" s="147"/>
      <c r="CL551" s="195"/>
      <c r="CM551" s="188"/>
    </row>
    <row r="552" spans="1:91" ht="15">
      <c r="M552" s="163"/>
      <c r="Q552" s="233"/>
      <c r="W552" s="183"/>
      <c r="AG552" s="184"/>
      <c r="AI552" s="185"/>
      <c r="AK552" s="186"/>
      <c r="BE552" s="187"/>
      <c r="BF552" s="188"/>
      <c r="BG552" s="189"/>
      <c r="BH552" s="147"/>
      <c r="BM552" s="190"/>
      <c r="BN552" s="147"/>
      <c r="BQ552" s="191"/>
      <c r="BR552" s="147"/>
      <c r="BS552" s="192"/>
      <c r="BT552" s="147"/>
      <c r="BU552" s="193"/>
      <c r="BV552" s="147"/>
      <c r="BW552" s="192"/>
      <c r="BX552" s="147"/>
      <c r="BY552" s="196"/>
      <c r="BZ552" s="147"/>
      <c r="CA552" s="192"/>
      <c r="CB552" s="147"/>
      <c r="CC552" s="194"/>
      <c r="CD552" s="147"/>
      <c r="CL552" s="195"/>
      <c r="CM552" s="188"/>
    </row>
    <row r="553" spans="1:91" ht="15">
      <c r="M553" s="163"/>
      <c r="Q553" s="233"/>
      <c r="W553" s="183"/>
      <c r="AG553" s="184"/>
      <c r="AI553" s="185"/>
      <c r="AK553" s="186"/>
      <c r="BE553" s="187"/>
      <c r="BF553" s="188"/>
      <c r="BG553" s="189"/>
      <c r="BH553" s="147"/>
      <c r="BM553" s="190"/>
      <c r="BN553" s="147"/>
      <c r="BQ553" s="191"/>
      <c r="BR553" s="147"/>
      <c r="BS553" s="192"/>
      <c r="BT553" s="147"/>
      <c r="BU553" s="193"/>
      <c r="BV553" s="147"/>
      <c r="BW553" s="192"/>
      <c r="BX553" s="147"/>
      <c r="BY553" s="196"/>
      <c r="BZ553" s="147"/>
      <c r="CA553" s="192"/>
      <c r="CB553" s="147"/>
      <c r="CC553" s="194"/>
      <c r="CD553" s="147"/>
      <c r="CL553" s="195"/>
      <c r="CM553" s="188"/>
    </row>
    <row r="554" spans="1:91" ht="15">
      <c r="M554" s="163"/>
      <c r="Q554" s="233"/>
      <c r="W554" s="183"/>
      <c r="AG554" s="184"/>
      <c r="AI554" s="185"/>
      <c r="AK554" s="186"/>
      <c r="BE554" s="187"/>
      <c r="BF554" s="188"/>
      <c r="BG554" s="189"/>
      <c r="BH554" s="147"/>
      <c r="BM554" s="190"/>
      <c r="BN554" s="147"/>
      <c r="BQ554" s="191"/>
      <c r="BR554" s="147"/>
      <c r="BS554" s="192"/>
      <c r="BT554" s="147"/>
      <c r="BU554" s="193"/>
      <c r="BV554" s="147"/>
      <c r="BW554" s="192"/>
      <c r="BX554" s="147"/>
      <c r="BY554" s="196"/>
      <c r="BZ554" s="147"/>
      <c r="CA554" s="192"/>
      <c r="CB554" s="147"/>
      <c r="CC554" s="194"/>
      <c r="CD554" s="147"/>
      <c r="CL554" s="195"/>
      <c r="CM554" s="188"/>
    </row>
    <row r="555" spans="1:91" ht="15">
      <c r="M555" s="163"/>
      <c r="Q555" s="233"/>
      <c r="W555" s="183"/>
      <c r="AG555" s="184"/>
      <c r="AI555" s="185"/>
      <c r="AK555" s="186"/>
      <c r="BE555" s="187"/>
      <c r="BF555" s="188"/>
      <c r="BG555" s="189"/>
      <c r="BH555" s="147"/>
      <c r="BM555" s="190"/>
      <c r="BN555" s="147"/>
      <c r="BQ555" s="191"/>
      <c r="BR555" s="147"/>
      <c r="BS555" s="192"/>
      <c r="BT555" s="147"/>
      <c r="BU555" s="193"/>
      <c r="BV555" s="147"/>
      <c r="BW555" s="192"/>
      <c r="BX555" s="147"/>
      <c r="BY555" s="196"/>
      <c r="BZ555" s="147"/>
      <c r="CA555" s="192"/>
      <c r="CB555" s="147"/>
      <c r="CC555" s="194"/>
      <c r="CD555" s="147"/>
      <c r="CL555" s="195"/>
      <c r="CM555" s="188"/>
    </row>
    <row r="556" spans="1:91" ht="15">
      <c r="M556" s="163"/>
      <c r="Q556" s="233"/>
      <c r="W556" s="183"/>
      <c r="AG556" s="184"/>
      <c r="AI556" s="185"/>
      <c r="AK556" s="186"/>
      <c r="BE556" s="187"/>
      <c r="BF556" s="188"/>
      <c r="BG556" s="189"/>
      <c r="BH556" s="147"/>
      <c r="BM556" s="190"/>
      <c r="BN556" s="147"/>
      <c r="BQ556" s="191"/>
      <c r="BR556" s="147"/>
      <c r="BS556" s="192"/>
      <c r="BT556" s="147"/>
      <c r="BU556" s="193"/>
      <c r="BV556" s="147"/>
      <c r="BW556" s="192"/>
      <c r="BX556" s="147"/>
      <c r="BY556" s="196"/>
      <c r="BZ556" s="147"/>
      <c r="CA556" s="192"/>
      <c r="CB556" s="147"/>
      <c r="CC556" s="194"/>
      <c r="CD556" s="147"/>
      <c r="CL556" s="195"/>
      <c r="CM556" s="188"/>
    </row>
    <row r="557" spans="1:91" ht="15">
      <c r="K557" s="181"/>
      <c r="M557" s="163"/>
      <c r="Q557" s="233"/>
      <c r="W557" s="183"/>
      <c r="AG557" s="184"/>
      <c r="AI557" s="185"/>
      <c r="AK557" s="186"/>
      <c r="BE557" s="187"/>
      <c r="BF557" s="188"/>
      <c r="BG557" s="189"/>
      <c r="BH557" s="147"/>
      <c r="BM557" s="190"/>
      <c r="BN557" s="147"/>
      <c r="BQ557" s="191"/>
      <c r="BR557" s="147"/>
      <c r="BS557" s="192"/>
      <c r="BT557" s="147"/>
      <c r="BU557" s="193"/>
      <c r="BV557" s="147"/>
      <c r="BW557" s="192"/>
      <c r="BX557" s="147"/>
      <c r="BY557" s="196"/>
      <c r="BZ557" s="147"/>
      <c r="CA557" s="192"/>
      <c r="CB557" s="147"/>
      <c r="CC557" s="194"/>
      <c r="CD557" s="147"/>
      <c r="CL557" s="195"/>
      <c r="CM557" s="188"/>
    </row>
    <row r="558" spans="1:91" ht="15">
      <c r="A558" s="221"/>
      <c r="B558" s="221"/>
      <c r="C558" s="222"/>
      <c r="D558" s="222"/>
      <c r="E558" s="222"/>
      <c r="G558" s="223"/>
      <c r="H558" s="223"/>
      <c r="I558" s="222"/>
      <c r="J558" s="222"/>
      <c r="K558" s="230"/>
      <c r="L558" s="225"/>
      <c r="M558" s="226"/>
      <c r="N558" s="225"/>
      <c r="O558" s="224"/>
      <c r="P558" s="225"/>
      <c r="Q558" s="233"/>
      <c r="R558" s="225"/>
      <c r="S558" s="224"/>
      <c r="T558" s="225"/>
      <c r="U558" s="224"/>
      <c r="V558" s="225"/>
      <c r="W558" s="226"/>
      <c r="X558" s="225"/>
      <c r="Z558" s="225"/>
      <c r="AA558" s="224"/>
      <c r="AB558" s="225"/>
      <c r="AC558" s="224"/>
      <c r="AD558" s="225"/>
      <c r="AE558" s="224"/>
      <c r="AF558" s="225"/>
      <c r="AG558" s="226"/>
      <c r="AH558" s="225"/>
      <c r="AI558" s="226"/>
      <c r="AJ558" s="225"/>
      <c r="AK558" s="226"/>
      <c r="AL558" s="225"/>
      <c r="AM558" s="224"/>
      <c r="AN558" s="225"/>
      <c r="AO558" s="224"/>
      <c r="AP558" s="224"/>
      <c r="AQ558" s="224"/>
      <c r="AR558" s="224"/>
      <c r="AS558" s="224"/>
      <c r="AT558" s="224"/>
      <c r="AU558" s="224"/>
      <c r="AV558" s="224"/>
      <c r="AW558" s="224"/>
      <c r="AX558" s="224"/>
      <c r="AY558" s="224"/>
      <c r="AZ558" s="224"/>
      <c r="BA558" s="224"/>
      <c r="BB558" s="224"/>
      <c r="BC558" s="224"/>
      <c r="BD558" s="224"/>
      <c r="BE558" s="226"/>
      <c r="BF558" s="227"/>
      <c r="BG558" s="228"/>
      <c r="BH558" s="225"/>
      <c r="BI558" s="229"/>
      <c r="BJ558" s="229"/>
      <c r="BK558" s="229"/>
      <c r="BL558" s="229"/>
      <c r="BM558" s="228"/>
      <c r="BN558" s="225"/>
      <c r="BO558" s="229"/>
      <c r="BP558" s="229"/>
      <c r="BQ558" s="228"/>
      <c r="BR558" s="225"/>
      <c r="BS558" s="228"/>
      <c r="BT558" s="225"/>
      <c r="BU558" s="228"/>
      <c r="BV558" s="225"/>
      <c r="BW558" s="228"/>
      <c r="BX558" s="225"/>
      <c r="BY558" s="228"/>
      <c r="BZ558" s="225"/>
      <c r="CA558" s="228"/>
      <c r="CB558" s="225"/>
      <c r="CC558" s="228"/>
      <c r="CD558" s="225"/>
      <c r="CE558" s="229"/>
      <c r="CF558" s="229"/>
      <c r="CG558" s="229"/>
      <c r="CH558" s="229"/>
      <c r="CI558" s="229"/>
      <c r="CJ558" s="229"/>
      <c r="CK558" s="229"/>
      <c r="CL558" s="228"/>
      <c r="CM558" s="227"/>
    </row>
    <row r="559" spans="1:91" ht="15">
      <c r="M559" s="163"/>
      <c r="Q559" s="233"/>
      <c r="W559" s="183"/>
      <c r="AG559" s="184"/>
      <c r="AI559" s="185"/>
      <c r="AK559" s="186"/>
      <c r="BE559" s="187"/>
      <c r="BF559" s="188"/>
      <c r="BG559" s="189"/>
      <c r="BH559" s="147"/>
      <c r="BM559" s="190"/>
      <c r="BN559" s="147"/>
      <c r="BQ559" s="191"/>
      <c r="BR559" s="147"/>
      <c r="BS559" s="192"/>
      <c r="BT559" s="147"/>
      <c r="BU559" s="193"/>
      <c r="BV559" s="147"/>
      <c r="BW559" s="192"/>
      <c r="BX559" s="147"/>
      <c r="BY559" s="196"/>
      <c r="BZ559" s="147"/>
      <c r="CA559" s="192"/>
      <c r="CB559" s="147"/>
      <c r="CC559" s="194"/>
      <c r="CD559" s="147"/>
      <c r="CL559" s="195"/>
      <c r="CM559" s="188"/>
    </row>
    <row r="560" spans="1:91" ht="15">
      <c r="I560" s="177"/>
      <c r="M560" s="163"/>
      <c r="Q560" s="233"/>
      <c r="W560" s="183"/>
      <c r="AG560" s="184"/>
      <c r="AI560" s="185"/>
      <c r="AK560" s="186"/>
      <c r="BE560" s="187"/>
      <c r="BF560" s="188"/>
      <c r="BG560" s="189"/>
      <c r="BH560" s="147"/>
      <c r="BM560" s="190"/>
      <c r="BN560" s="147"/>
      <c r="BQ560" s="191"/>
      <c r="BR560" s="147"/>
      <c r="BS560" s="192"/>
      <c r="BT560" s="147"/>
      <c r="BU560" s="193"/>
      <c r="BV560" s="147"/>
      <c r="BW560" s="192"/>
      <c r="BX560" s="147"/>
      <c r="BY560" s="196"/>
      <c r="BZ560" s="147"/>
      <c r="CA560" s="192"/>
      <c r="CB560" s="147"/>
      <c r="CC560" s="194"/>
      <c r="CD560" s="147"/>
      <c r="CL560" s="195"/>
      <c r="CM560" s="188"/>
    </row>
    <row r="561" spans="9:91" ht="15">
      <c r="M561" s="163"/>
      <c r="Q561" s="233"/>
      <c r="W561" s="183"/>
      <c r="AG561" s="184"/>
      <c r="AI561" s="185"/>
      <c r="AK561" s="186"/>
      <c r="BE561" s="187"/>
      <c r="BF561" s="188"/>
      <c r="BG561" s="189"/>
      <c r="BH561" s="147"/>
      <c r="BM561" s="190"/>
      <c r="BN561" s="147"/>
      <c r="BQ561" s="191"/>
      <c r="BR561" s="147"/>
      <c r="BS561" s="192"/>
      <c r="BT561" s="147"/>
      <c r="BU561" s="193"/>
      <c r="BV561" s="147"/>
      <c r="BW561" s="192"/>
      <c r="BX561" s="147"/>
      <c r="BY561" s="196"/>
      <c r="BZ561" s="147"/>
      <c r="CA561" s="192"/>
      <c r="CB561" s="147"/>
      <c r="CC561" s="194"/>
      <c r="CD561" s="147"/>
      <c r="CL561" s="195"/>
      <c r="CM561" s="188"/>
    </row>
    <row r="562" spans="9:91" ht="15">
      <c r="M562" s="163"/>
      <c r="Q562" s="233"/>
      <c r="W562" s="183"/>
      <c r="AG562" s="184"/>
      <c r="AI562" s="185"/>
      <c r="AK562" s="186"/>
      <c r="BE562" s="187"/>
      <c r="BF562" s="188"/>
      <c r="BG562" s="189"/>
      <c r="BH562" s="147"/>
      <c r="BM562" s="190"/>
      <c r="BN562" s="147"/>
      <c r="BQ562" s="191"/>
      <c r="BR562" s="147"/>
      <c r="BS562" s="192"/>
      <c r="BT562" s="147"/>
      <c r="BU562" s="193"/>
      <c r="BV562" s="147"/>
      <c r="BW562" s="192"/>
      <c r="BX562" s="147"/>
      <c r="BY562" s="196"/>
      <c r="BZ562" s="147"/>
      <c r="CA562" s="192"/>
      <c r="CB562" s="147"/>
      <c r="CC562" s="194"/>
      <c r="CD562" s="147"/>
      <c r="CL562" s="195"/>
      <c r="CM562" s="188"/>
    </row>
    <row r="563" spans="9:91" ht="15">
      <c r="I563" s="177"/>
      <c r="K563" s="181"/>
      <c r="M563" s="163"/>
      <c r="Q563" s="233"/>
      <c r="W563" s="183"/>
      <c r="AG563" s="184"/>
      <c r="AI563" s="185"/>
      <c r="AK563" s="186"/>
      <c r="BE563" s="187"/>
      <c r="BF563" s="188"/>
      <c r="BG563" s="189"/>
      <c r="BH563" s="147"/>
      <c r="BM563" s="190"/>
      <c r="BN563" s="147"/>
      <c r="BQ563" s="191"/>
      <c r="BR563" s="147"/>
      <c r="BS563" s="192"/>
      <c r="BT563" s="147"/>
      <c r="BU563" s="193"/>
      <c r="BV563" s="147"/>
      <c r="BW563" s="192"/>
      <c r="BX563" s="147"/>
      <c r="BY563" s="196"/>
      <c r="BZ563" s="147"/>
      <c r="CA563" s="192"/>
      <c r="CB563" s="147"/>
      <c r="CC563" s="194"/>
      <c r="CD563" s="147"/>
      <c r="CL563" s="195"/>
      <c r="CM563" s="188"/>
    </row>
    <row r="564" spans="9:91" ht="15">
      <c r="M564" s="163"/>
      <c r="Q564" s="233"/>
      <c r="W564" s="183"/>
      <c r="AG564" s="184"/>
      <c r="AI564" s="185"/>
      <c r="AK564" s="186"/>
      <c r="BE564" s="187"/>
      <c r="BF564" s="188"/>
      <c r="BG564" s="189"/>
      <c r="BH564" s="147"/>
      <c r="BM564" s="190"/>
      <c r="BN564" s="147"/>
      <c r="BQ564" s="191"/>
      <c r="BR564" s="147"/>
      <c r="BS564" s="192"/>
      <c r="BT564" s="147"/>
      <c r="BU564" s="193"/>
      <c r="BV564" s="147"/>
      <c r="BW564" s="192"/>
      <c r="BX564" s="147"/>
      <c r="BY564" s="196"/>
      <c r="BZ564" s="147"/>
      <c r="CA564" s="192"/>
      <c r="CB564" s="147"/>
      <c r="CC564" s="194"/>
      <c r="CD564" s="147"/>
      <c r="CL564" s="195"/>
      <c r="CM564" s="188"/>
    </row>
    <row r="565" spans="9:91" ht="15">
      <c r="I565" s="177"/>
      <c r="K565" s="181"/>
      <c r="M565" s="163"/>
      <c r="Q565" s="233"/>
      <c r="W565" s="183"/>
      <c r="AG565" s="184"/>
      <c r="AI565" s="185"/>
      <c r="AK565" s="186"/>
      <c r="BE565" s="187"/>
      <c r="BF565" s="188"/>
      <c r="BG565" s="189"/>
      <c r="BH565" s="147"/>
      <c r="BM565" s="190"/>
      <c r="BN565" s="147"/>
      <c r="BQ565" s="191"/>
      <c r="BR565" s="147"/>
      <c r="BS565" s="192"/>
      <c r="BT565" s="147"/>
      <c r="BU565" s="193"/>
      <c r="BV565" s="147"/>
      <c r="BW565" s="192"/>
      <c r="BX565" s="147"/>
      <c r="BY565" s="196"/>
      <c r="BZ565" s="147"/>
      <c r="CA565" s="192"/>
      <c r="CB565" s="147"/>
      <c r="CC565" s="194"/>
      <c r="CD565" s="147"/>
      <c r="CL565" s="195"/>
      <c r="CM565" s="188"/>
    </row>
    <row r="566" spans="9:91" ht="15">
      <c r="I566" s="177"/>
      <c r="M566" s="163"/>
      <c r="Q566" s="233"/>
      <c r="W566" s="183"/>
      <c r="AG566" s="184"/>
      <c r="AI566" s="185"/>
      <c r="AK566" s="186"/>
      <c r="BE566" s="187"/>
      <c r="BF566" s="188"/>
      <c r="BG566" s="189"/>
      <c r="BH566" s="147"/>
      <c r="BM566" s="190"/>
      <c r="BN566" s="147"/>
      <c r="BQ566" s="191"/>
      <c r="BR566" s="147"/>
      <c r="BS566" s="192"/>
      <c r="BT566" s="147"/>
      <c r="BU566" s="193"/>
      <c r="BV566" s="147"/>
      <c r="BW566" s="192"/>
      <c r="BX566" s="147"/>
      <c r="BY566" s="196"/>
      <c r="BZ566" s="147"/>
      <c r="CA566" s="192"/>
      <c r="CB566" s="147"/>
      <c r="CC566" s="194"/>
      <c r="CD566" s="147"/>
      <c r="CL566" s="195"/>
      <c r="CM566" s="188"/>
    </row>
    <row r="567" spans="9:91" ht="15">
      <c r="M567" s="163"/>
      <c r="Q567" s="233"/>
      <c r="W567" s="183"/>
      <c r="AG567" s="184"/>
      <c r="AI567" s="185"/>
      <c r="AK567" s="186"/>
      <c r="BE567" s="187"/>
      <c r="BF567" s="188"/>
      <c r="BG567" s="189"/>
      <c r="BH567" s="147"/>
      <c r="BM567" s="190"/>
      <c r="BN567" s="147"/>
      <c r="BQ567" s="191"/>
      <c r="BR567" s="147"/>
      <c r="BS567" s="192"/>
      <c r="BT567" s="147"/>
      <c r="BU567" s="193"/>
      <c r="BV567" s="147"/>
      <c r="BW567" s="192"/>
      <c r="BX567" s="147"/>
      <c r="BY567" s="196"/>
      <c r="BZ567" s="147"/>
      <c r="CA567" s="192"/>
      <c r="CB567" s="147"/>
      <c r="CC567" s="194"/>
      <c r="CD567" s="147"/>
      <c r="CL567" s="195"/>
      <c r="CM567" s="188"/>
    </row>
    <row r="568" spans="9:91" ht="15">
      <c r="K568" s="181"/>
      <c r="M568" s="163"/>
      <c r="Q568" s="233"/>
      <c r="W568" s="183"/>
      <c r="AG568" s="184"/>
      <c r="AI568" s="185"/>
      <c r="AK568" s="186"/>
      <c r="BE568" s="187"/>
      <c r="BF568" s="188"/>
      <c r="BG568" s="189"/>
      <c r="BH568" s="147"/>
      <c r="BM568" s="190"/>
      <c r="BN568" s="147"/>
      <c r="BQ568" s="191"/>
      <c r="BR568" s="147"/>
      <c r="BS568" s="192"/>
      <c r="BT568" s="147"/>
      <c r="BU568" s="193"/>
      <c r="BV568" s="147"/>
      <c r="BW568" s="192"/>
      <c r="BX568" s="147"/>
      <c r="BY568" s="196"/>
      <c r="BZ568" s="147"/>
      <c r="CA568" s="192"/>
      <c r="CB568" s="147"/>
      <c r="CC568" s="194"/>
      <c r="CD568" s="147"/>
      <c r="CL568" s="195"/>
      <c r="CM568" s="188"/>
    </row>
    <row r="569" spans="9:91" ht="15">
      <c r="M569" s="163"/>
      <c r="Q569" s="233"/>
      <c r="W569" s="183"/>
      <c r="AG569" s="184"/>
      <c r="AI569" s="185"/>
      <c r="AK569" s="186"/>
      <c r="BE569" s="187"/>
      <c r="BF569" s="188"/>
      <c r="BG569" s="189"/>
      <c r="BH569" s="147"/>
      <c r="BM569" s="190"/>
      <c r="BN569" s="147"/>
      <c r="BQ569" s="191"/>
      <c r="BR569" s="147"/>
      <c r="BS569" s="192"/>
      <c r="BT569" s="147"/>
      <c r="BU569" s="193"/>
      <c r="BV569" s="147"/>
      <c r="BW569" s="192"/>
      <c r="BX569" s="147"/>
      <c r="BY569" s="196"/>
      <c r="BZ569" s="147"/>
      <c r="CA569" s="192"/>
      <c r="CB569" s="147"/>
      <c r="CC569" s="194"/>
      <c r="CD569" s="147"/>
      <c r="CL569" s="195"/>
      <c r="CM569" s="188"/>
    </row>
    <row r="570" spans="9:91" ht="15">
      <c r="M570" s="163"/>
      <c r="Q570" s="233"/>
      <c r="W570" s="183"/>
      <c r="AG570" s="184"/>
      <c r="AI570" s="185"/>
      <c r="AK570" s="186"/>
      <c r="BE570" s="187"/>
      <c r="BF570" s="188"/>
      <c r="BG570" s="189"/>
      <c r="BH570" s="147"/>
      <c r="BM570" s="190"/>
      <c r="BN570" s="147"/>
      <c r="BQ570" s="191"/>
      <c r="BR570" s="147"/>
      <c r="BS570" s="192"/>
      <c r="BT570" s="147"/>
      <c r="BU570" s="193"/>
      <c r="BV570" s="147"/>
      <c r="BW570" s="192"/>
      <c r="BX570" s="147"/>
      <c r="BY570" s="196"/>
      <c r="BZ570" s="147"/>
      <c r="CA570" s="192"/>
      <c r="CB570" s="147"/>
      <c r="CC570" s="194"/>
      <c r="CD570" s="147"/>
      <c r="CL570" s="195"/>
      <c r="CM570" s="188"/>
    </row>
    <row r="571" spans="9:91" ht="15">
      <c r="I571" s="177"/>
      <c r="K571" s="181"/>
      <c r="M571" s="163"/>
      <c r="Q571" s="233"/>
      <c r="W571" s="183"/>
      <c r="AG571" s="184"/>
      <c r="AI571" s="185"/>
      <c r="AK571" s="186"/>
      <c r="BE571" s="187"/>
      <c r="BF571" s="188"/>
      <c r="BG571" s="189"/>
      <c r="BH571" s="147"/>
      <c r="BM571" s="190"/>
      <c r="BN571" s="147"/>
      <c r="BQ571" s="191"/>
      <c r="BR571" s="147"/>
      <c r="BS571" s="192"/>
      <c r="BT571" s="147"/>
      <c r="BU571" s="193"/>
      <c r="BV571" s="147"/>
      <c r="BW571" s="192"/>
      <c r="BX571" s="147"/>
      <c r="BY571" s="196"/>
      <c r="BZ571" s="147"/>
      <c r="CA571" s="192"/>
      <c r="CB571" s="147"/>
      <c r="CC571" s="194"/>
      <c r="CD571" s="147"/>
      <c r="CL571" s="195"/>
      <c r="CM571" s="188"/>
    </row>
    <row r="572" spans="9:91" ht="15">
      <c r="M572" s="163"/>
      <c r="Q572" s="233"/>
      <c r="W572" s="183"/>
      <c r="AG572" s="184"/>
      <c r="AI572" s="185"/>
      <c r="AK572" s="186"/>
      <c r="BE572" s="187"/>
      <c r="BF572" s="188"/>
      <c r="BG572" s="189"/>
      <c r="BH572" s="147"/>
      <c r="BM572" s="190"/>
      <c r="BN572" s="147"/>
      <c r="BQ572" s="191"/>
      <c r="BR572" s="147"/>
      <c r="BS572" s="192"/>
      <c r="BT572" s="147"/>
      <c r="BU572" s="193"/>
      <c r="BV572" s="147"/>
      <c r="BW572" s="192"/>
      <c r="BX572" s="147"/>
      <c r="BY572" s="196"/>
      <c r="BZ572" s="147"/>
      <c r="CA572" s="192"/>
      <c r="CB572" s="147"/>
      <c r="CC572" s="194"/>
      <c r="CD572" s="147"/>
      <c r="CL572" s="195"/>
      <c r="CM572" s="188"/>
    </row>
    <row r="573" spans="9:91" ht="15">
      <c r="M573" s="163"/>
      <c r="Q573" s="233"/>
      <c r="W573" s="183"/>
      <c r="AG573" s="184"/>
      <c r="AI573" s="185"/>
      <c r="AK573" s="186"/>
      <c r="BE573" s="187"/>
      <c r="BF573" s="188"/>
      <c r="BG573" s="189"/>
      <c r="BH573" s="147"/>
      <c r="BM573" s="190"/>
      <c r="BN573" s="147"/>
      <c r="BQ573" s="191"/>
      <c r="BR573" s="147"/>
      <c r="BS573" s="192"/>
      <c r="BT573" s="147"/>
      <c r="BU573" s="193"/>
      <c r="BV573" s="147"/>
      <c r="BW573" s="192"/>
      <c r="BX573" s="147"/>
      <c r="BY573" s="196"/>
      <c r="BZ573" s="147"/>
      <c r="CA573" s="192"/>
      <c r="CB573" s="147"/>
      <c r="CC573" s="194"/>
      <c r="CD573" s="147"/>
      <c r="CL573" s="195"/>
      <c r="CM573" s="188"/>
    </row>
    <row r="574" spans="9:91" ht="15">
      <c r="M574" s="163"/>
      <c r="Q574" s="233"/>
      <c r="W574" s="183"/>
      <c r="AG574" s="184"/>
      <c r="AI574" s="185"/>
      <c r="AK574" s="186"/>
      <c r="BE574" s="187"/>
      <c r="BF574" s="188"/>
      <c r="BG574" s="189"/>
      <c r="BH574" s="147"/>
      <c r="BM574" s="190"/>
      <c r="BN574" s="147"/>
      <c r="BQ574" s="191"/>
      <c r="BR574" s="147"/>
      <c r="BS574" s="192"/>
      <c r="BT574" s="147"/>
      <c r="BU574" s="193"/>
      <c r="BV574" s="147"/>
      <c r="BW574" s="192"/>
      <c r="BX574" s="147"/>
      <c r="BY574" s="196"/>
      <c r="BZ574" s="147"/>
      <c r="CA574" s="192"/>
      <c r="CB574" s="147"/>
      <c r="CC574" s="194"/>
      <c r="CD574" s="147"/>
      <c r="CL574" s="195"/>
      <c r="CM574" s="188"/>
    </row>
    <row r="575" spans="9:91" ht="15">
      <c r="M575" s="163"/>
      <c r="Q575" s="233"/>
      <c r="W575" s="183"/>
      <c r="AG575" s="184"/>
      <c r="AI575" s="185"/>
      <c r="AK575" s="186"/>
      <c r="BE575" s="187"/>
      <c r="BF575" s="188"/>
      <c r="BG575" s="189"/>
      <c r="BH575" s="147"/>
      <c r="BM575" s="190"/>
      <c r="BN575" s="147"/>
      <c r="BQ575" s="191"/>
      <c r="BR575" s="147"/>
      <c r="BS575" s="192"/>
      <c r="BT575" s="147"/>
      <c r="BU575" s="193"/>
      <c r="BV575" s="147"/>
      <c r="BW575" s="192"/>
      <c r="BX575" s="147"/>
      <c r="BY575" s="196"/>
      <c r="BZ575" s="147"/>
      <c r="CA575" s="192"/>
      <c r="CB575" s="147"/>
      <c r="CC575" s="194"/>
      <c r="CD575" s="147"/>
      <c r="CL575" s="195"/>
      <c r="CM575" s="188"/>
    </row>
    <row r="576" spans="9:91" ht="15">
      <c r="I576" s="177"/>
      <c r="M576" s="163"/>
      <c r="Q576" s="233"/>
      <c r="W576" s="183"/>
      <c r="AG576" s="184"/>
      <c r="AI576" s="185"/>
      <c r="AK576" s="186"/>
      <c r="BE576" s="187"/>
      <c r="BF576" s="188"/>
      <c r="BG576" s="189"/>
      <c r="BH576" s="147"/>
      <c r="BM576" s="190"/>
      <c r="BN576" s="147"/>
      <c r="BQ576" s="191"/>
      <c r="BR576" s="147"/>
      <c r="BS576" s="192"/>
      <c r="BT576" s="147"/>
      <c r="BU576" s="193"/>
      <c r="BV576" s="147"/>
      <c r="BW576" s="192"/>
      <c r="BX576" s="147"/>
      <c r="BY576" s="196"/>
      <c r="BZ576" s="147"/>
      <c r="CA576" s="192"/>
      <c r="CB576" s="147"/>
      <c r="CC576" s="194"/>
      <c r="CD576" s="147"/>
      <c r="CL576" s="195"/>
      <c r="CM576" s="188"/>
    </row>
    <row r="577" spans="9:91" ht="15">
      <c r="M577" s="163"/>
      <c r="Q577" s="233"/>
      <c r="W577" s="183"/>
      <c r="AG577" s="184"/>
      <c r="AI577" s="185"/>
      <c r="AK577" s="186"/>
      <c r="BE577" s="187"/>
      <c r="BF577" s="188"/>
      <c r="BG577" s="189"/>
      <c r="BH577" s="147"/>
      <c r="BM577" s="190"/>
      <c r="BN577" s="147"/>
      <c r="BQ577" s="191"/>
      <c r="BR577" s="147"/>
      <c r="BS577" s="192"/>
      <c r="BT577" s="147"/>
      <c r="BU577" s="193"/>
      <c r="BV577" s="147"/>
      <c r="BW577" s="192"/>
      <c r="BX577" s="147"/>
      <c r="BY577" s="196"/>
      <c r="BZ577" s="147"/>
      <c r="CA577" s="192"/>
      <c r="CB577" s="147"/>
      <c r="CC577" s="194"/>
      <c r="CD577" s="147"/>
      <c r="CL577" s="195"/>
      <c r="CM577" s="188"/>
    </row>
    <row r="578" spans="9:91" ht="15">
      <c r="M578" s="163"/>
      <c r="Q578" s="233"/>
      <c r="W578" s="183"/>
      <c r="AG578" s="184"/>
      <c r="AI578" s="185"/>
      <c r="AK578" s="186"/>
      <c r="BE578" s="187"/>
      <c r="BF578" s="188"/>
      <c r="BG578" s="189"/>
      <c r="BH578" s="147"/>
      <c r="BM578" s="190"/>
      <c r="BN578" s="147"/>
      <c r="BQ578" s="191"/>
      <c r="BR578" s="147"/>
      <c r="BS578" s="192"/>
      <c r="BT578" s="147"/>
      <c r="BU578" s="193"/>
      <c r="BV578" s="147"/>
      <c r="BW578" s="192"/>
      <c r="BX578" s="147"/>
      <c r="BY578" s="196"/>
      <c r="BZ578" s="147"/>
      <c r="CA578" s="192"/>
      <c r="CB578" s="147"/>
      <c r="CC578" s="194"/>
      <c r="CD578" s="147"/>
      <c r="CL578" s="195"/>
      <c r="CM578" s="188"/>
    </row>
    <row r="579" spans="9:91" ht="15">
      <c r="M579" s="163"/>
      <c r="Q579" s="233"/>
      <c r="W579" s="183"/>
      <c r="AG579" s="184"/>
      <c r="AI579" s="185"/>
      <c r="AK579" s="186"/>
      <c r="BE579" s="187"/>
      <c r="BF579" s="188"/>
      <c r="BG579" s="189"/>
      <c r="BH579" s="147"/>
      <c r="BM579" s="190"/>
      <c r="BN579" s="147"/>
      <c r="BQ579" s="191"/>
      <c r="BR579" s="147"/>
      <c r="BS579" s="192"/>
      <c r="BT579" s="147"/>
      <c r="BU579" s="193"/>
      <c r="BV579" s="147"/>
      <c r="BW579" s="192"/>
      <c r="BX579" s="147"/>
      <c r="BY579" s="196"/>
      <c r="BZ579" s="147"/>
      <c r="CA579" s="192"/>
      <c r="CB579" s="147"/>
      <c r="CC579" s="194"/>
      <c r="CD579" s="147"/>
      <c r="CL579" s="195"/>
      <c r="CM579" s="188"/>
    </row>
    <row r="580" spans="9:91" ht="15">
      <c r="M580" s="163"/>
      <c r="Q580" s="233"/>
      <c r="W580" s="183"/>
      <c r="AG580" s="184"/>
      <c r="AI580" s="185"/>
      <c r="AK580" s="186"/>
      <c r="BE580" s="187"/>
      <c r="BF580" s="188"/>
      <c r="BG580" s="189"/>
      <c r="BH580" s="147"/>
      <c r="BM580" s="190"/>
      <c r="BN580" s="147"/>
      <c r="BQ580" s="191"/>
      <c r="BR580" s="147"/>
      <c r="BS580" s="192"/>
      <c r="BT580" s="147"/>
      <c r="BU580" s="193"/>
      <c r="BV580" s="147"/>
      <c r="BW580" s="192"/>
      <c r="BX580" s="147"/>
      <c r="BY580" s="196"/>
      <c r="BZ580" s="147"/>
      <c r="CA580" s="192"/>
      <c r="CB580" s="147"/>
      <c r="CC580" s="194"/>
      <c r="CD580" s="147"/>
      <c r="CL580" s="195"/>
      <c r="CM580" s="188"/>
    </row>
    <row r="581" spans="9:91" ht="15">
      <c r="K581" s="178"/>
      <c r="M581" s="163"/>
      <c r="Q581" s="233"/>
      <c r="W581" s="183"/>
      <c r="AG581" s="184"/>
      <c r="AI581" s="185"/>
      <c r="AK581" s="186"/>
      <c r="BE581" s="187"/>
      <c r="BF581" s="188"/>
      <c r="BG581" s="189"/>
      <c r="BH581" s="147"/>
      <c r="BM581" s="190"/>
      <c r="BN581" s="147"/>
      <c r="BQ581" s="191"/>
      <c r="BR581" s="147"/>
      <c r="BS581" s="192"/>
      <c r="BT581" s="147"/>
      <c r="BU581" s="193"/>
      <c r="BV581" s="147"/>
      <c r="BW581" s="192"/>
      <c r="BX581" s="147"/>
      <c r="BY581" s="196"/>
      <c r="BZ581" s="147"/>
      <c r="CA581" s="192"/>
      <c r="CB581" s="147"/>
      <c r="CC581" s="194"/>
      <c r="CD581" s="147"/>
      <c r="CL581" s="195"/>
      <c r="CM581" s="188"/>
    </row>
    <row r="582" spans="9:91" ht="15">
      <c r="I582" s="177"/>
      <c r="M582" s="163"/>
      <c r="Q582" s="233"/>
      <c r="W582" s="183"/>
      <c r="AG582" s="184"/>
      <c r="AI582" s="185"/>
      <c r="AK582" s="186"/>
      <c r="BE582" s="187"/>
      <c r="BF582" s="188"/>
      <c r="BG582" s="189"/>
      <c r="BH582" s="147"/>
      <c r="BM582" s="190"/>
      <c r="BN582" s="147"/>
      <c r="BQ582" s="191"/>
      <c r="BR582" s="147"/>
      <c r="BS582" s="192"/>
      <c r="BT582" s="147"/>
      <c r="BU582" s="193"/>
      <c r="BV582" s="147"/>
      <c r="BW582" s="192"/>
      <c r="BX582" s="147"/>
      <c r="BY582" s="196"/>
      <c r="BZ582" s="147"/>
      <c r="CA582" s="192"/>
      <c r="CB582" s="147"/>
      <c r="CC582" s="194"/>
      <c r="CD582" s="147"/>
      <c r="CL582" s="195"/>
      <c r="CM582" s="188"/>
    </row>
    <row r="583" spans="9:91" ht="15">
      <c r="M583" s="163"/>
      <c r="Q583" s="233"/>
      <c r="W583" s="183"/>
      <c r="AG583" s="184"/>
      <c r="AI583" s="185"/>
      <c r="AK583" s="186"/>
      <c r="BE583" s="187"/>
      <c r="BF583" s="188"/>
      <c r="BG583" s="189"/>
      <c r="BH583" s="147"/>
      <c r="BM583" s="190"/>
      <c r="BN583" s="147"/>
      <c r="BQ583" s="191"/>
      <c r="BR583" s="147"/>
      <c r="BS583" s="192"/>
      <c r="BT583" s="147"/>
      <c r="BU583" s="193"/>
      <c r="BV583" s="147"/>
      <c r="BW583" s="192"/>
      <c r="BX583" s="147"/>
      <c r="BY583" s="196"/>
      <c r="BZ583" s="147"/>
      <c r="CA583" s="192"/>
      <c r="CB583" s="147"/>
      <c r="CC583" s="194"/>
      <c r="CD583" s="147"/>
      <c r="CL583" s="195"/>
      <c r="CM583" s="188"/>
    </row>
    <row r="584" spans="9:91" ht="15">
      <c r="M584" s="163"/>
      <c r="Q584" s="233"/>
      <c r="W584" s="183"/>
      <c r="AG584" s="184"/>
      <c r="AI584" s="185"/>
      <c r="AK584" s="186"/>
      <c r="BE584" s="187"/>
      <c r="BF584" s="188"/>
      <c r="BG584" s="189"/>
      <c r="BH584" s="147"/>
      <c r="BM584" s="190"/>
      <c r="BN584" s="147"/>
      <c r="BQ584" s="191"/>
      <c r="BR584" s="147"/>
      <c r="BS584" s="192"/>
      <c r="BT584" s="147"/>
      <c r="BU584" s="193"/>
      <c r="BV584" s="147"/>
      <c r="BW584" s="192"/>
      <c r="BX584" s="147"/>
      <c r="BY584" s="196"/>
      <c r="BZ584" s="147"/>
      <c r="CA584" s="192"/>
      <c r="CB584" s="147"/>
      <c r="CC584" s="194"/>
      <c r="CD584" s="147"/>
      <c r="CL584" s="195"/>
      <c r="CM584" s="188"/>
    </row>
    <row r="585" spans="9:91" ht="15">
      <c r="M585" s="163"/>
      <c r="Q585" s="233"/>
      <c r="W585" s="183"/>
      <c r="AG585" s="184"/>
      <c r="AI585" s="185"/>
      <c r="AK585" s="186"/>
      <c r="BE585" s="187"/>
      <c r="BF585" s="188"/>
      <c r="BG585" s="189"/>
      <c r="BH585" s="147"/>
      <c r="BM585" s="190"/>
      <c r="BN585" s="147"/>
      <c r="BQ585" s="191"/>
      <c r="BR585" s="147"/>
      <c r="BS585" s="192"/>
      <c r="BT585" s="147"/>
      <c r="BU585" s="193"/>
      <c r="BV585" s="147"/>
      <c r="BW585" s="192"/>
      <c r="BX585" s="147"/>
      <c r="BY585" s="196"/>
      <c r="BZ585" s="147"/>
      <c r="CA585" s="192"/>
      <c r="CB585" s="147"/>
      <c r="CC585" s="194"/>
      <c r="CD585" s="147"/>
      <c r="CL585" s="195"/>
      <c r="CM585" s="188"/>
    </row>
    <row r="586" spans="9:91" ht="15">
      <c r="I586" s="177"/>
      <c r="K586" s="181"/>
      <c r="M586" s="163"/>
      <c r="Q586" s="233"/>
      <c r="W586" s="183"/>
      <c r="AG586" s="184"/>
      <c r="AI586" s="185"/>
      <c r="AK586" s="186"/>
      <c r="BE586" s="187"/>
      <c r="BF586" s="188"/>
      <c r="BG586" s="189"/>
      <c r="BH586" s="147"/>
      <c r="BM586" s="190"/>
      <c r="BN586" s="147"/>
      <c r="BQ586" s="191"/>
      <c r="BR586" s="147"/>
      <c r="BS586" s="192"/>
      <c r="BT586" s="147"/>
      <c r="BU586" s="193"/>
      <c r="BV586" s="147"/>
      <c r="BW586" s="192"/>
      <c r="BX586" s="147"/>
      <c r="BY586" s="196"/>
      <c r="BZ586" s="147"/>
      <c r="CA586" s="192"/>
      <c r="CB586" s="147"/>
      <c r="CC586" s="194"/>
      <c r="CD586" s="147"/>
      <c r="CL586" s="195"/>
      <c r="CM586" s="188"/>
    </row>
    <row r="587" spans="9:91" ht="15">
      <c r="M587" s="163"/>
      <c r="Q587" s="233"/>
      <c r="W587" s="183"/>
      <c r="AG587" s="184"/>
      <c r="AI587" s="185"/>
      <c r="AK587" s="186"/>
      <c r="BE587" s="187"/>
      <c r="BF587" s="188"/>
      <c r="BG587" s="189"/>
      <c r="BH587" s="147"/>
      <c r="BM587" s="190"/>
      <c r="BN587" s="147"/>
      <c r="BQ587" s="191"/>
      <c r="BR587" s="147"/>
      <c r="BS587" s="192"/>
      <c r="BT587" s="147"/>
      <c r="BU587" s="193"/>
      <c r="BV587" s="147"/>
      <c r="BW587" s="192"/>
      <c r="BX587" s="147"/>
      <c r="BY587" s="196"/>
      <c r="BZ587" s="147"/>
      <c r="CA587" s="192"/>
      <c r="CB587" s="147"/>
      <c r="CC587" s="194"/>
      <c r="CD587" s="147"/>
      <c r="CL587" s="195"/>
      <c r="CM587" s="188"/>
    </row>
    <row r="588" spans="9:91" ht="15">
      <c r="M588" s="163"/>
      <c r="Q588" s="233"/>
      <c r="W588" s="183"/>
      <c r="AG588" s="184"/>
      <c r="AI588" s="185"/>
      <c r="AK588" s="186"/>
      <c r="BE588" s="187"/>
      <c r="BF588" s="188"/>
      <c r="BG588" s="189"/>
      <c r="BH588" s="147"/>
      <c r="BM588" s="190"/>
      <c r="BN588" s="147"/>
      <c r="BQ588" s="191"/>
      <c r="BR588" s="147"/>
      <c r="BS588" s="192"/>
      <c r="BT588" s="147"/>
      <c r="BU588" s="193"/>
      <c r="BV588" s="147"/>
      <c r="BW588" s="192"/>
      <c r="BX588" s="147"/>
      <c r="BY588" s="196"/>
      <c r="BZ588" s="147"/>
      <c r="CA588" s="192"/>
      <c r="CB588" s="147"/>
      <c r="CC588" s="194"/>
      <c r="CD588" s="147"/>
      <c r="CL588" s="195"/>
      <c r="CM588" s="188"/>
    </row>
    <row r="589" spans="9:91" ht="15">
      <c r="K589" s="181"/>
      <c r="M589" s="163"/>
      <c r="Q589" s="233"/>
      <c r="W589" s="183"/>
      <c r="AG589" s="184"/>
      <c r="AI589" s="185"/>
      <c r="AK589" s="186"/>
      <c r="BE589" s="187"/>
      <c r="BF589" s="188"/>
      <c r="BG589" s="189"/>
      <c r="BH589" s="147"/>
      <c r="BM589" s="190"/>
      <c r="BN589" s="147"/>
      <c r="BQ589" s="191"/>
      <c r="BR589" s="147"/>
      <c r="BS589" s="192"/>
      <c r="BT589" s="147"/>
      <c r="BU589" s="193"/>
      <c r="BV589" s="147"/>
      <c r="BW589" s="192"/>
      <c r="BX589" s="147"/>
      <c r="BY589" s="196"/>
      <c r="BZ589" s="147"/>
      <c r="CA589" s="192"/>
      <c r="CB589" s="147"/>
      <c r="CC589" s="194"/>
      <c r="CD589" s="147"/>
      <c r="CL589" s="195"/>
      <c r="CM589" s="188"/>
    </row>
    <row r="590" spans="9:91" ht="15">
      <c r="M590" s="163"/>
      <c r="Q590" s="233"/>
      <c r="W590" s="183"/>
      <c r="AG590" s="184"/>
      <c r="AI590" s="185"/>
      <c r="AK590" s="186"/>
      <c r="BE590" s="187"/>
      <c r="BF590" s="188"/>
      <c r="BG590" s="189"/>
      <c r="BH590" s="147"/>
      <c r="BM590" s="190"/>
      <c r="BN590" s="147"/>
      <c r="BQ590" s="191"/>
      <c r="BR590" s="147"/>
      <c r="BS590" s="192"/>
      <c r="BT590" s="147"/>
      <c r="BU590" s="193"/>
      <c r="BV590" s="147"/>
      <c r="BW590" s="192"/>
      <c r="BX590" s="147"/>
      <c r="BY590" s="196"/>
      <c r="BZ590" s="147"/>
      <c r="CA590" s="192"/>
      <c r="CB590" s="147"/>
      <c r="CC590" s="194"/>
      <c r="CD590" s="147"/>
      <c r="CL590" s="195"/>
      <c r="CM590" s="188"/>
    </row>
    <row r="591" spans="9:91" ht="15">
      <c r="K591" s="181"/>
      <c r="M591" s="163"/>
      <c r="Q591" s="233"/>
      <c r="W591" s="183"/>
      <c r="AG591" s="184"/>
      <c r="AI591" s="185"/>
      <c r="AK591" s="186"/>
      <c r="BE591" s="187"/>
      <c r="BF591" s="188"/>
      <c r="BG591" s="189"/>
      <c r="BH591" s="147"/>
      <c r="BM591" s="190"/>
      <c r="BN591" s="147"/>
      <c r="BQ591" s="191"/>
      <c r="BR591" s="147"/>
      <c r="BS591" s="192"/>
      <c r="BT591" s="147"/>
      <c r="BU591" s="193"/>
      <c r="BV591" s="147"/>
      <c r="BW591" s="192"/>
      <c r="BX591" s="147"/>
      <c r="BY591" s="196"/>
      <c r="BZ591" s="147"/>
      <c r="CA591" s="192"/>
      <c r="CB591" s="147"/>
      <c r="CC591" s="194"/>
      <c r="CD591" s="147"/>
      <c r="CL591" s="195"/>
      <c r="CM591" s="188"/>
    </row>
    <row r="592" spans="9:91" ht="15">
      <c r="M592" s="163"/>
      <c r="Q592" s="233"/>
      <c r="W592" s="183"/>
      <c r="AG592" s="184"/>
      <c r="AI592" s="185"/>
      <c r="AK592" s="186"/>
      <c r="BE592" s="187"/>
      <c r="BF592" s="188"/>
      <c r="BG592" s="189"/>
      <c r="BH592" s="147"/>
      <c r="BM592" s="190"/>
      <c r="BN592" s="147"/>
      <c r="BQ592" s="191"/>
      <c r="BR592" s="147"/>
      <c r="BS592" s="192"/>
      <c r="BT592" s="147"/>
      <c r="BU592" s="193"/>
      <c r="BV592" s="147"/>
      <c r="BW592" s="192"/>
      <c r="BX592" s="147"/>
      <c r="BY592" s="196"/>
      <c r="BZ592" s="147"/>
      <c r="CA592" s="192"/>
      <c r="CB592" s="147"/>
      <c r="CC592" s="194"/>
      <c r="CD592" s="147"/>
      <c r="CL592" s="195"/>
      <c r="CM592" s="188"/>
    </row>
    <row r="593" spans="1:91" ht="15">
      <c r="M593" s="163"/>
      <c r="Q593" s="233"/>
      <c r="W593" s="183"/>
      <c r="AG593" s="184"/>
      <c r="AI593" s="185"/>
      <c r="AK593" s="186"/>
      <c r="BE593" s="187"/>
      <c r="BF593" s="188"/>
      <c r="BG593" s="189"/>
      <c r="BH593" s="147"/>
      <c r="BM593" s="190"/>
      <c r="BN593" s="147"/>
      <c r="BQ593" s="191"/>
      <c r="BR593" s="147"/>
      <c r="BS593" s="192"/>
      <c r="BT593" s="147"/>
      <c r="BU593" s="193"/>
      <c r="BV593" s="147"/>
      <c r="BW593" s="192"/>
      <c r="BX593" s="147"/>
      <c r="BY593" s="196"/>
      <c r="BZ593" s="147"/>
      <c r="CA593" s="192"/>
      <c r="CB593" s="147"/>
      <c r="CC593" s="194"/>
      <c r="CD593" s="147"/>
      <c r="CL593" s="195"/>
      <c r="CM593" s="188"/>
    </row>
    <row r="594" spans="1:91" ht="15">
      <c r="I594" s="177"/>
      <c r="M594" s="163"/>
      <c r="Q594" s="233"/>
      <c r="W594" s="183"/>
      <c r="AG594" s="184"/>
      <c r="AI594" s="185"/>
      <c r="AK594" s="186"/>
      <c r="BE594" s="187"/>
      <c r="BF594" s="188"/>
      <c r="BG594" s="189"/>
      <c r="BH594" s="147"/>
      <c r="BM594" s="190"/>
      <c r="BN594" s="147"/>
      <c r="BQ594" s="191"/>
      <c r="BR594" s="147"/>
      <c r="BS594" s="192"/>
      <c r="BT594" s="147"/>
      <c r="BU594" s="193"/>
      <c r="BV594" s="147"/>
      <c r="BW594" s="192"/>
      <c r="BX594" s="147"/>
      <c r="BY594" s="196"/>
      <c r="BZ594" s="147"/>
      <c r="CA594" s="192"/>
      <c r="CB594" s="147"/>
      <c r="CC594" s="194"/>
      <c r="CD594" s="147"/>
      <c r="CL594" s="195"/>
      <c r="CM594" s="188"/>
    </row>
    <row r="595" spans="1:91" ht="15">
      <c r="M595" s="163"/>
      <c r="Q595" s="233"/>
      <c r="W595" s="183"/>
      <c r="AG595" s="184"/>
      <c r="AI595" s="185"/>
      <c r="AK595" s="186"/>
      <c r="BE595" s="187"/>
      <c r="BF595" s="188"/>
      <c r="BG595" s="189"/>
      <c r="BH595" s="147"/>
      <c r="BM595" s="190"/>
      <c r="BN595" s="147"/>
      <c r="BQ595" s="191"/>
      <c r="BR595" s="147"/>
      <c r="BS595" s="192"/>
      <c r="BT595" s="147"/>
      <c r="BU595" s="193"/>
      <c r="BV595" s="147"/>
      <c r="BW595" s="192"/>
      <c r="BX595" s="147"/>
      <c r="BY595" s="196"/>
      <c r="BZ595" s="147"/>
      <c r="CA595" s="192"/>
      <c r="CB595" s="147"/>
      <c r="CC595" s="194"/>
      <c r="CD595" s="147"/>
      <c r="CL595" s="195"/>
      <c r="CM595" s="188"/>
    </row>
    <row r="596" spans="1:91" ht="15">
      <c r="K596" s="181"/>
      <c r="M596" s="163"/>
      <c r="Q596" s="233"/>
      <c r="W596" s="183"/>
      <c r="AG596" s="184"/>
      <c r="AI596" s="185"/>
      <c r="AK596" s="186"/>
      <c r="BE596" s="187"/>
      <c r="BF596" s="188"/>
      <c r="BG596" s="189"/>
      <c r="BH596" s="147"/>
      <c r="BM596" s="190"/>
      <c r="BN596" s="147"/>
      <c r="BQ596" s="191"/>
      <c r="BR596" s="147"/>
      <c r="BS596" s="192"/>
      <c r="BT596" s="147"/>
      <c r="BU596" s="193"/>
      <c r="BV596" s="147"/>
      <c r="BW596" s="192"/>
      <c r="BX596" s="147"/>
      <c r="BY596" s="196"/>
      <c r="BZ596" s="147"/>
      <c r="CA596" s="192"/>
      <c r="CB596" s="147"/>
      <c r="CC596" s="194"/>
      <c r="CD596" s="147"/>
      <c r="CL596" s="195"/>
      <c r="CM596" s="188"/>
    </row>
    <row r="597" spans="1:91" ht="15">
      <c r="M597" s="163"/>
      <c r="Q597" s="233"/>
      <c r="W597" s="183"/>
      <c r="AG597" s="184"/>
      <c r="AI597" s="185"/>
      <c r="AK597" s="186"/>
      <c r="BE597" s="187"/>
      <c r="BF597" s="188"/>
      <c r="BG597" s="189"/>
      <c r="BH597" s="147"/>
      <c r="BM597" s="190"/>
      <c r="BN597" s="147"/>
      <c r="BQ597" s="191"/>
      <c r="BR597" s="147"/>
      <c r="BS597" s="192"/>
      <c r="BT597" s="147"/>
      <c r="BU597" s="193"/>
      <c r="BV597" s="147"/>
      <c r="BW597" s="192"/>
      <c r="BX597" s="147"/>
      <c r="BY597" s="196"/>
      <c r="BZ597" s="147"/>
      <c r="CA597" s="192"/>
      <c r="CB597" s="147"/>
      <c r="CC597" s="194"/>
      <c r="CD597" s="147"/>
      <c r="CL597" s="195"/>
      <c r="CM597" s="188"/>
    </row>
    <row r="598" spans="1:91" ht="15">
      <c r="I598" s="177"/>
      <c r="M598" s="163"/>
      <c r="Q598" s="233"/>
      <c r="W598" s="183"/>
      <c r="AG598" s="184"/>
      <c r="AI598" s="185"/>
      <c r="AK598" s="186"/>
      <c r="BE598" s="187"/>
      <c r="BF598" s="188"/>
      <c r="BG598" s="189"/>
      <c r="BH598" s="147"/>
      <c r="BM598" s="190"/>
      <c r="BN598" s="147"/>
      <c r="BQ598" s="191"/>
      <c r="BR598" s="147"/>
      <c r="BS598" s="192"/>
      <c r="BT598" s="147"/>
      <c r="BU598" s="193"/>
      <c r="BV598" s="147"/>
      <c r="BW598" s="192"/>
      <c r="BX598" s="147"/>
      <c r="BY598" s="196"/>
      <c r="BZ598" s="147"/>
      <c r="CA598" s="192"/>
      <c r="CB598" s="147"/>
      <c r="CC598" s="194"/>
      <c r="CD598" s="147"/>
      <c r="CL598" s="195"/>
      <c r="CM598" s="188"/>
    </row>
    <row r="599" spans="1:91" ht="15">
      <c r="I599" s="177"/>
      <c r="M599" s="163"/>
      <c r="Q599" s="233"/>
      <c r="W599" s="183"/>
      <c r="AG599" s="184"/>
      <c r="AI599" s="185"/>
      <c r="AK599" s="186"/>
      <c r="BE599" s="187"/>
      <c r="BF599" s="188"/>
      <c r="BG599" s="189"/>
      <c r="BH599" s="147"/>
      <c r="BM599" s="190"/>
      <c r="BN599" s="147"/>
      <c r="BQ599" s="191"/>
      <c r="BR599" s="147"/>
      <c r="BS599" s="192"/>
      <c r="BT599" s="147"/>
      <c r="BU599" s="193"/>
      <c r="BV599" s="147"/>
      <c r="BW599" s="192"/>
      <c r="BX599" s="147"/>
      <c r="BY599" s="196"/>
      <c r="BZ599" s="147"/>
      <c r="CA599" s="192"/>
      <c r="CB599" s="147"/>
      <c r="CC599" s="194"/>
      <c r="CD599" s="147"/>
      <c r="CL599" s="195"/>
      <c r="CM599" s="188"/>
    </row>
    <row r="600" spans="1:91" ht="15">
      <c r="M600" s="163"/>
      <c r="Q600" s="233"/>
      <c r="W600" s="183"/>
      <c r="AG600" s="184"/>
      <c r="AI600" s="185"/>
      <c r="AK600" s="186"/>
      <c r="BE600" s="187"/>
      <c r="BF600" s="188"/>
      <c r="BG600" s="189"/>
      <c r="BH600" s="147"/>
      <c r="BM600" s="190"/>
      <c r="BN600" s="147"/>
      <c r="BQ600" s="191"/>
      <c r="BR600" s="147"/>
      <c r="BS600" s="192"/>
      <c r="BT600" s="147"/>
      <c r="BU600" s="193"/>
      <c r="BV600" s="147"/>
      <c r="BW600" s="192"/>
      <c r="BX600" s="147"/>
      <c r="BY600" s="196"/>
      <c r="BZ600" s="147"/>
      <c r="CA600" s="192"/>
      <c r="CB600" s="147"/>
      <c r="CC600" s="194"/>
      <c r="CD600" s="147"/>
      <c r="CL600" s="195"/>
      <c r="CM600" s="188"/>
    </row>
    <row r="601" spans="1:91" ht="15">
      <c r="A601" s="221"/>
      <c r="B601" s="221"/>
      <c r="C601" s="222"/>
      <c r="D601" s="222"/>
      <c r="E601" s="222"/>
      <c r="G601" s="223"/>
      <c r="H601" s="223"/>
      <c r="I601" s="222"/>
      <c r="J601" s="222"/>
      <c r="K601" s="224"/>
      <c r="L601" s="225"/>
      <c r="M601" s="226"/>
      <c r="N601" s="225"/>
      <c r="O601" s="224"/>
      <c r="P601" s="225"/>
      <c r="Q601" s="233"/>
      <c r="R601" s="225"/>
      <c r="S601" s="224"/>
      <c r="T601" s="225"/>
      <c r="U601" s="224"/>
      <c r="V601" s="225"/>
      <c r="W601" s="226"/>
      <c r="X601" s="225"/>
      <c r="Z601" s="225"/>
      <c r="AA601" s="224"/>
      <c r="AB601" s="225"/>
      <c r="AC601" s="224"/>
      <c r="AD601" s="225"/>
      <c r="AE601" s="224"/>
      <c r="AF601" s="225"/>
      <c r="AG601" s="226"/>
      <c r="AH601" s="225"/>
      <c r="AI601" s="226"/>
      <c r="AJ601" s="225"/>
      <c r="AK601" s="226"/>
      <c r="AL601" s="225"/>
      <c r="AM601" s="224"/>
      <c r="AN601" s="225"/>
      <c r="AO601" s="224"/>
      <c r="AP601" s="224"/>
      <c r="AQ601" s="224"/>
      <c r="AR601" s="224"/>
      <c r="AS601" s="224"/>
      <c r="AT601" s="224"/>
      <c r="AU601" s="224"/>
      <c r="AV601" s="224"/>
      <c r="AW601" s="224"/>
      <c r="AX601" s="224"/>
      <c r="AY601" s="224"/>
      <c r="AZ601" s="224"/>
      <c r="BA601" s="224"/>
      <c r="BB601" s="224"/>
      <c r="BC601" s="224"/>
      <c r="BD601" s="224"/>
      <c r="BE601" s="226"/>
      <c r="BF601" s="227"/>
      <c r="BG601" s="228"/>
      <c r="BH601" s="225"/>
      <c r="BI601" s="229"/>
      <c r="BJ601" s="229"/>
      <c r="BK601" s="229"/>
      <c r="BL601" s="229"/>
      <c r="BM601" s="228"/>
      <c r="BN601" s="225"/>
      <c r="BO601" s="229"/>
      <c r="BP601" s="229"/>
      <c r="BQ601" s="228"/>
      <c r="BR601" s="225"/>
      <c r="BS601" s="228"/>
      <c r="BT601" s="225"/>
      <c r="BU601" s="228"/>
      <c r="BV601" s="225"/>
      <c r="BW601" s="228"/>
      <c r="BX601" s="225"/>
      <c r="BY601" s="228"/>
      <c r="BZ601" s="225"/>
      <c r="CA601" s="228"/>
      <c r="CB601" s="225"/>
      <c r="CC601" s="228"/>
      <c r="CD601" s="225"/>
      <c r="CE601" s="229"/>
      <c r="CF601" s="229"/>
      <c r="CG601" s="229"/>
      <c r="CH601" s="229"/>
      <c r="CI601" s="229"/>
      <c r="CJ601" s="229"/>
      <c r="CK601" s="229"/>
      <c r="CL601" s="228"/>
      <c r="CM601" s="227"/>
    </row>
    <row r="602" spans="1:91" ht="15">
      <c r="I602" s="177"/>
      <c r="K602" s="181"/>
      <c r="M602" s="163"/>
      <c r="Q602" s="233"/>
      <c r="W602" s="183"/>
      <c r="AG602" s="184"/>
      <c r="AI602" s="185"/>
      <c r="AK602" s="186"/>
      <c r="BE602" s="187"/>
      <c r="BF602" s="188"/>
      <c r="BG602" s="189"/>
      <c r="BH602" s="147"/>
      <c r="BM602" s="190"/>
      <c r="BN602" s="147"/>
      <c r="BQ602" s="191"/>
      <c r="BR602" s="147"/>
      <c r="BS602" s="192"/>
      <c r="BT602" s="147"/>
      <c r="BU602" s="193"/>
      <c r="BV602" s="147"/>
      <c r="BW602" s="192"/>
      <c r="BX602" s="147"/>
      <c r="BY602" s="196"/>
      <c r="BZ602" s="147"/>
      <c r="CA602" s="192"/>
      <c r="CB602" s="147"/>
      <c r="CC602" s="194"/>
      <c r="CD602" s="147"/>
      <c r="CL602" s="195"/>
      <c r="CM602" s="188"/>
    </row>
    <row r="603" spans="1:91" ht="15">
      <c r="K603" s="181"/>
      <c r="M603" s="163"/>
      <c r="Q603" s="233"/>
      <c r="W603" s="183"/>
      <c r="AG603" s="184"/>
      <c r="AI603" s="185"/>
      <c r="AK603" s="186"/>
      <c r="BE603" s="187"/>
      <c r="BF603" s="188"/>
      <c r="BG603" s="189"/>
      <c r="BH603" s="147"/>
      <c r="BM603" s="190"/>
      <c r="BN603" s="147"/>
      <c r="BQ603" s="191"/>
      <c r="BR603" s="147"/>
      <c r="BS603" s="192"/>
      <c r="BT603" s="147"/>
      <c r="BU603" s="193"/>
      <c r="BV603" s="147"/>
      <c r="BW603" s="192"/>
      <c r="BX603" s="147"/>
      <c r="BY603" s="196"/>
      <c r="BZ603" s="147"/>
      <c r="CA603" s="192"/>
      <c r="CB603" s="147"/>
      <c r="CC603" s="194"/>
      <c r="CD603" s="147"/>
      <c r="CL603" s="195"/>
      <c r="CM603" s="188"/>
    </row>
    <row r="604" spans="1:91" ht="15">
      <c r="K604" s="181"/>
      <c r="M604" s="163"/>
      <c r="Q604" s="233"/>
      <c r="W604" s="183"/>
      <c r="AG604" s="184"/>
      <c r="AI604" s="185"/>
      <c r="AK604" s="186"/>
      <c r="BE604" s="187"/>
      <c r="BF604" s="188"/>
      <c r="BG604" s="189"/>
      <c r="BH604" s="147"/>
      <c r="BM604" s="190"/>
      <c r="BN604" s="147"/>
      <c r="BQ604" s="191"/>
      <c r="BR604" s="147"/>
      <c r="BS604" s="192"/>
      <c r="BT604" s="147"/>
      <c r="BU604" s="193"/>
      <c r="BV604" s="147"/>
      <c r="BW604" s="192"/>
      <c r="BX604" s="147"/>
      <c r="BY604" s="196"/>
      <c r="BZ604" s="147"/>
      <c r="CA604" s="192"/>
      <c r="CB604" s="147"/>
      <c r="CC604" s="194"/>
      <c r="CD604" s="147"/>
      <c r="CL604" s="195"/>
      <c r="CM604" s="188"/>
    </row>
    <row r="605" spans="1:91" ht="15">
      <c r="K605" s="181"/>
      <c r="M605" s="163"/>
      <c r="Q605" s="233"/>
      <c r="W605" s="183"/>
      <c r="AG605" s="184"/>
      <c r="AI605" s="185"/>
      <c r="AK605" s="186"/>
      <c r="BE605" s="187"/>
      <c r="BF605" s="188"/>
      <c r="BG605" s="189"/>
      <c r="BH605" s="147"/>
      <c r="BM605" s="190"/>
      <c r="BN605" s="147"/>
      <c r="BQ605" s="191"/>
      <c r="BR605" s="147"/>
      <c r="BS605" s="192"/>
      <c r="BT605" s="147"/>
      <c r="BU605" s="193"/>
      <c r="BV605" s="147"/>
      <c r="BW605" s="192"/>
      <c r="BX605" s="147"/>
      <c r="BY605" s="196"/>
      <c r="BZ605" s="147"/>
      <c r="CA605" s="192"/>
      <c r="CB605" s="147"/>
      <c r="CC605" s="194"/>
      <c r="CD605" s="147"/>
      <c r="CL605" s="195"/>
      <c r="CM605" s="188"/>
    </row>
    <row r="606" spans="1:91" ht="15">
      <c r="I606" s="177"/>
      <c r="M606" s="163"/>
      <c r="Q606" s="233"/>
      <c r="W606" s="183"/>
      <c r="AG606" s="184"/>
      <c r="AI606" s="185"/>
      <c r="AK606" s="186"/>
      <c r="BE606" s="187"/>
      <c r="BF606" s="188"/>
      <c r="BG606" s="189"/>
      <c r="BH606" s="147"/>
      <c r="BM606" s="190"/>
      <c r="BN606" s="147"/>
      <c r="BQ606" s="191"/>
      <c r="BR606" s="147"/>
      <c r="BS606" s="192"/>
      <c r="BT606" s="147"/>
      <c r="BU606" s="193"/>
      <c r="BV606" s="147"/>
      <c r="BW606" s="192"/>
      <c r="BX606" s="147"/>
      <c r="BY606" s="196"/>
      <c r="BZ606" s="147"/>
      <c r="CA606" s="192"/>
      <c r="CB606" s="147"/>
      <c r="CC606" s="194"/>
      <c r="CD606" s="147"/>
      <c r="CL606" s="195"/>
      <c r="CM606" s="188"/>
    </row>
    <row r="607" spans="1:91" ht="15">
      <c r="I607" s="177"/>
      <c r="J607" s="177"/>
      <c r="M607" s="163"/>
      <c r="Q607" s="233"/>
      <c r="W607" s="183"/>
      <c r="AG607" s="184"/>
      <c r="AI607" s="185"/>
      <c r="AK607" s="186"/>
      <c r="BE607" s="187"/>
      <c r="BF607" s="188"/>
      <c r="BG607" s="189"/>
      <c r="BH607" s="147"/>
      <c r="BM607" s="190"/>
      <c r="BN607" s="147"/>
      <c r="BQ607" s="191"/>
      <c r="BR607" s="147"/>
      <c r="BS607" s="192"/>
      <c r="BT607" s="147"/>
      <c r="BU607" s="193"/>
      <c r="BV607" s="147"/>
      <c r="BW607" s="192"/>
      <c r="BX607" s="147"/>
      <c r="BY607" s="196"/>
      <c r="BZ607" s="147"/>
      <c r="CA607" s="192"/>
      <c r="CB607" s="147"/>
      <c r="CC607" s="194"/>
      <c r="CD607" s="147"/>
      <c r="CL607" s="195"/>
      <c r="CM607" s="188"/>
    </row>
    <row r="608" spans="1:91" ht="15">
      <c r="M608" s="163"/>
      <c r="Q608" s="233"/>
      <c r="W608" s="183"/>
      <c r="AG608" s="184"/>
      <c r="AI608" s="185"/>
      <c r="AK608" s="186"/>
      <c r="BE608" s="187"/>
      <c r="BF608" s="188"/>
      <c r="BG608" s="189"/>
      <c r="BH608" s="147"/>
      <c r="BM608" s="190"/>
      <c r="BN608" s="147"/>
      <c r="BQ608" s="191"/>
      <c r="BR608" s="147"/>
      <c r="BS608" s="192"/>
      <c r="BT608" s="147"/>
      <c r="BU608" s="193"/>
      <c r="BV608" s="147"/>
      <c r="BW608" s="192"/>
      <c r="BX608" s="147"/>
      <c r="BY608" s="196"/>
      <c r="BZ608" s="147"/>
      <c r="CA608" s="192"/>
      <c r="CB608" s="147"/>
      <c r="CC608" s="194"/>
      <c r="CD608" s="147"/>
      <c r="CL608" s="195"/>
      <c r="CM608" s="188"/>
    </row>
    <row r="609" spans="9:91" ht="15">
      <c r="M609" s="163"/>
      <c r="Q609" s="233"/>
      <c r="W609" s="183"/>
      <c r="AG609" s="184"/>
      <c r="AI609" s="185"/>
      <c r="AK609" s="186"/>
      <c r="BE609" s="187"/>
      <c r="BF609" s="188"/>
      <c r="BG609" s="189"/>
      <c r="BH609" s="147"/>
      <c r="BM609" s="190"/>
      <c r="BN609" s="147"/>
      <c r="BQ609" s="191"/>
      <c r="BR609" s="147"/>
      <c r="BS609" s="192"/>
      <c r="BT609" s="147"/>
      <c r="BU609" s="193"/>
      <c r="BV609" s="147"/>
      <c r="BW609" s="192"/>
      <c r="BX609" s="147"/>
      <c r="BY609" s="196"/>
      <c r="BZ609" s="147"/>
      <c r="CA609" s="192"/>
      <c r="CB609" s="147"/>
      <c r="CC609" s="194"/>
      <c r="CD609" s="147"/>
      <c r="CL609" s="195"/>
      <c r="CM609" s="188"/>
    </row>
    <row r="610" spans="9:91" ht="15">
      <c r="I610" s="177"/>
      <c r="M610" s="163"/>
      <c r="Q610" s="233"/>
      <c r="W610" s="183"/>
      <c r="AG610" s="184"/>
      <c r="AI610" s="185"/>
      <c r="AK610" s="186"/>
      <c r="BE610" s="187"/>
      <c r="BF610" s="188"/>
      <c r="BG610" s="189"/>
      <c r="BH610" s="147"/>
      <c r="BM610" s="190"/>
      <c r="BN610" s="147"/>
      <c r="BQ610" s="191"/>
      <c r="BR610" s="147"/>
      <c r="BS610" s="192"/>
      <c r="BT610" s="147"/>
      <c r="BU610" s="193"/>
      <c r="BV610" s="147"/>
      <c r="BW610" s="192"/>
      <c r="BX610" s="147"/>
      <c r="BY610" s="196"/>
      <c r="BZ610" s="147"/>
      <c r="CA610" s="192"/>
      <c r="CB610" s="147"/>
      <c r="CC610" s="194"/>
      <c r="CD610" s="147"/>
      <c r="CL610" s="195"/>
      <c r="CM610" s="188"/>
    </row>
    <row r="611" spans="9:91" ht="15">
      <c r="M611" s="163"/>
      <c r="Q611" s="233"/>
      <c r="W611" s="183"/>
      <c r="AG611" s="184"/>
      <c r="AI611" s="185"/>
      <c r="AK611" s="186"/>
      <c r="BE611" s="187"/>
      <c r="BF611" s="188"/>
      <c r="BG611" s="189"/>
      <c r="BH611" s="147"/>
      <c r="BM611" s="190"/>
      <c r="BN611" s="147"/>
      <c r="BQ611" s="191"/>
      <c r="BR611" s="147"/>
      <c r="BS611" s="192"/>
      <c r="BT611" s="147"/>
      <c r="BU611" s="193"/>
      <c r="BV611" s="147"/>
      <c r="BW611" s="192"/>
      <c r="BX611" s="147"/>
      <c r="BY611" s="196"/>
      <c r="BZ611" s="147"/>
      <c r="CA611" s="192"/>
      <c r="CB611" s="147"/>
      <c r="CC611" s="194"/>
      <c r="CD611" s="147"/>
      <c r="CL611" s="195"/>
      <c r="CM611" s="188"/>
    </row>
    <row r="612" spans="9:91" ht="15">
      <c r="M612" s="163"/>
      <c r="Q612" s="233"/>
      <c r="W612" s="183"/>
      <c r="AG612" s="184"/>
      <c r="AI612" s="185"/>
      <c r="AK612" s="186"/>
      <c r="BE612" s="187"/>
      <c r="BF612" s="188"/>
      <c r="BG612" s="189"/>
      <c r="BH612" s="147"/>
      <c r="BM612" s="190"/>
      <c r="BN612" s="147"/>
      <c r="BQ612" s="191"/>
      <c r="BR612" s="147"/>
      <c r="BS612" s="192"/>
      <c r="BT612" s="147"/>
      <c r="BU612" s="193"/>
      <c r="BV612" s="147"/>
      <c r="BW612" s="192"/>
      <c r="BX612" s="147"/>
      <c r="BY612" s="196"/>
      <c r="BZ612" s="147"/>
      <c r="CA612" s="192"/>
      <c r="CB612" s="147"/>
      <c r="CC612" s="194"/>
      <c r="CD612" s="147"/>
      <c r="CL612" s="195"/>
      <c r="CM612" s="188"/>
    </row>
    <row r="613" spans="9:91" ht="15">
      <c r="M613" s="163"/>
      <c r="Q613" s="233"/>
      <c r="W613" s="183"/>
      <c r="AG613" s="184"/>
      <c r="AI613" s="185"/>
      <c r="AK613" s="186"/>
      <c r="BE613" s="187"/>
      <c r="BF613" s="188"/>
      <c r="BG613" s="189"/>
      <c r="BH613" s="147"/>
      <c r="BM613" s="190"/>
      <c r="BN613" s="147"/>
      <c r="BQ613" s="191"/>
      <c r="BR613" s="147"/>
      <c r="BS613" s="192"/>
      <c r="BT613" s="147"/>
      <c r="BU613" s="193"/>
      <c r="BV613" s="147"/>
      <c r="BW613" s="192"/>
      <c r="BX613" s="147"/>
      <c r="BY613" s="196"/>
      <c r="BZ613" s="147"/>
      <c r="CA613" s="192"/>
      <c r="CB613" s="147"/>
      <c r="CC613" s="194"/>
      <c r="CD613" s="147"/>
      <c r="CL613" s="195"/>
      <c r="CM613" s="188"/>
    </row>
    <row r="614" spans="9:91" ht="15">
      <c r="M614" s="163"/>
      <c r="Q614" s="233"/>
      <c r="W614" s="183"/>
      <c r="AG614" s="184"/>
      <c r="AI614" s="185"/>
      <c r="AK614" s="186"/>
      <c r="BE614" s="187"/>
      <c r="BF614" s="188"/>
      <c r="BG614" s="189"/>
      <c r="BH614" s="147"/>
      <c r="BM614" s="190"/>
      <c r="BN614" s="147"/>
      <c r="BQ614" s="191"/>
      <c r="BR614" s="147"/>
      <c r="BS614" s="192"/>
      <c r="BT614" s="147"/>
      <c r="BU614" s="193"/>
      <c r="BV614" s="147"/>
      <c r="BW614" s="192"/>
      <c r="BX614" s="147"/>
      <c r="BY614" s="196"/>
      <c r="BZ614" s="147"/>
      <c r="CA614" s="192"/>
      <c r="CB614" s="147"/>
      <c r="CC614" s="194"/>
      <c r="CD614" s="147"/>
      <c r="CL614" s="195"/>
      <c r="CM614" s="188"/>
    </row>
    <row r="615" spans="9:91" ht="15">
      <c r="J615" s="182"/>
      <c r="M615" s="163"/>
      <c r="Q615" s="233"/>
      <c r="W615" s="183"/>
      <c r="AG615" s="184"/>
      <c r="AI615" s="185"/>
      <c r="AK615" s="186"/>
      <c r="BE615" s="187"/>
      <c r="BF615" s="188"/>
      <c r="BG615" s="189"/>
      <c r="BH615" s="147"/>
      <c r="BM615" s="190"/>
      <c r="BN615" s="147"/>
      <c r="BQ615" s="191"/>
      <c r="BR615" s="147"/>
      <c r="BS615" s="192"/>
      <c r="BT615" s="147"/>
      <c r="BU615" s="193"/>
      <c r="BV615" s="147"/>
      <c r="BW615" s="192"/>
      <c r="BX615" s="147"/>
      <c r="BY615" s="196"/>
      <c r="BZ615" s="147"/>
      <c r="CA615" s="192"/>
      <c r="CB615" s="147"/>
      <c r="CC615" s="194"/>
      <c r="CD615" s="147"/>
      <c r="CL615" s="195"/>
      <c r="CM615" s="188"/>
    </row>
    <row r="616" spans="9:91" ht="15">
      <c r="M616" s="163"/>
      <c r="Q616" s="233"/>
      <c r="W616" s="183"/>
      <c r="AG616" s="184"/>
      <c r="AI616" s="185"/>
      <c r="AK616" s="186"/>
      <c r="BE616" s="187"/>
      <c r="BF616" s="188"/>
      <c r="BG616" s="189"/>
      <c r="BH616" s="147"/>
      <c r="BM616" s="190"/>
      <c r="BN616" s="147"/>
      <c r="BQ616" s="191"/>
      <c r="BR616" s="147"/>
      <c r="BS616" s="192"/>
      <c r="BT616" s="147"/>
      <c r="BU616" s="193"/>
      <c r="BV616" s="147"/>
      <c r="BW616" s="192"/>
      <c r="BX616" s="147"/>
      <c r="BY616" s="196"/>
      <c r="BZ616" s="147"/>
      <c r="CA616" s="192"/>
      <c r="CB616" s="147"/>
      <c r="CC616" s="194"/>
      <c r="CD616" s="147"/>
      <c r="CL616" s="195"/>
      <c r="CM616" s="188"/>
    </row>
    <row r="617" spans="9:91" ht="15">
      <c r="M617" s="163"/>
      <c r="Q617" s="233"/>
      <c r="W617" s="183"/>
      <c r="AG617" s="184"/>
      <c r="AI617" s="185"/>
      <c r="AK617" s="186"/>
      <c r="BE617" s="187"/>
      <c r="BF617" s="188"/>
      <c r="BG617" s="189"/>
      <c r="BH617" s="147"/>
      <c r="BM617" s="190"/>
      <c r="BN617" s="147"/>
      <c r="BQ617" s="191"/>
      <c r="BR617" s="147"/>
      <c r="BS617" s="192"/>
      <c r="BT617" s="147"/>
      <c r="BU617" s="193"/>
      <c r="BV617" s="147"/>
      <c r="BW617" s="192"/>
      <c r="BX617" s="147"/>
      <c r="BY617" s="196"/>
      <c r="BZ617" s="147"/>
      <c r="CA617" s="192"/>
      <c r="CB617" s="147"/>
      <c r="CC617" s="194"/>
      <c r="CD617" s="147"/>
      <c r="CL617" s="195"/>
      <c r="CM617" s="188"/>
    </row>
    <row r="618" spans="9:91" ht="15">
      <c r="I618" s="177"/>
      <c r="M618" s="163"/>
      <c r="Q618" s="233"/>
      <c r="W618" s="183"/>
      <c r="AG618" s="184"/>
      <c r="AI618" s="185"/>
      <c r="AK618" s="186"/>
      <c r="BE618" s="187"/>
      <c r="BF618" s="188"/>
      <c r="BG618" s="189"/>
      <c r="BH618" s="147"/>
      <c r="BM618" s="190"/>
      <c r="BN618" s="147"/>
      <c r="BQ618" s="191"/>
      <c r="BR618" s="147"/>
      <c r="BS618" s="192"/>
      <c r="BT618" s="147"/>
      <c r="BU618" s="193"/>
      <c r="BV618" s="147"/>
      <c r="BW618" s="192"/>
      <c r="BX618" s="147"/>
      <c r="BY618" s="196"/>
      <c r="BZ618" s="147"/>
      <c r="CA618" s="192"/>
      <c r="CB618" s="147"/>
      <c r="CC618" s="194"/>
      <c r="CD618" s="147"/>
      <c r="CL618" s="195"/>
      <c r="CM618" s="188"/>
    </row>
    <row r="619" spans="9:91" ht="15">
      <c r="K619" s="178"/>
      <c r="M619" s="163"/>
      <c r="Q619" s="233"/>
      <c r="W619" s="183"/>
      <c r="AG619" s="184"/>
      <c r="AI619" s="185"/>
      <c r="AK619" s="186"/>
      <c r="BE619" s="187"/>
      <c r="BF619" s="188"/>
      <c r="BG619" s="189"/>
      <c r="BH619" s="147"/>
      <c r="BM619" s="190"/>
      <c r="BN619" s="147"/>
      <c r="BQ619" s="191"/>
      <c r="BR619" s="147"/>
      <c r="BS619" s="192"/>
      <c r="BT619" s="147"/>
      <c r="BU619" s="193"/>
      <c r="BV619" s="147"/>
      <c r="BW619" s="192"/>
      <c r="BX619" s="147"/>
      <c r="BY619" s="196"/>
      <c r="BZ619" s="147"/>
      <c r="CA619" s="192"/>
      <c r="CB619" s="147"/>
      <c r="CC619" s="194"/>
      <c r="CD619" s="147"/>
      <c r="CL619" s="195"/>
      <c r="CM619" s="188"/>
    </row>
    <row r="620" spans="9:91" ht="15">
      <c r="M620" s="163"/>
      <c r="Q620" s="233"/>
      <c r="W620" s="183"/>
      <c r="AG620" s="184"/>
      <c r="AI620" s="185"/>
      <c r="AK620" s="186"/>
      <c r="BE620" s="187"/>
      <c r="BF620" s="188"/>
      <c r="BG620" s="189"/>
      <c r="BH620" s="147"/>
      <c r="BM620" s="190"/>
      <c r="BN620" s="147"/>
      <c r="BQ620" s="191"/>
      <c r="BR620" s="147"/>
      <c r="BS620" s="192"/>
      <c r="BT620" s="147"/>
      <c r="BU620" s="193"/>
      <c r="BV620" s="147"/>
      <c r="BW620" s="192"/>
      <c r="BX620" s="147"/>
      <c r="BY620" s="196"/>
      <c r="BZ620" s="147"/>
      <c r="CA620" s="192"/>
      <c r="CB620" s="147"/>
      <c r="CC620" s="194"/>
      <c r="CD620" s="147"/>
      <c r="CL620" s="195"/>
      <c r="CM620" s="188"/>
    </row>
    <row r="621" spans="9:91" ht="15">
      <c r="M621" s="163"/>
      <c r="Q621" s="233"/>
      <c r="W621" s="183"/>
      <c r="AG621" s="184"/>
      <c r="AI621" s="185"/>
      <c r="AK621" s="186"/>
      <c r="BE621" s="187"/>
      <c r="BF621" s="188"/>
      <c r="BG621" s="189"/>
      <c r="BH621" s="147"/>
      <c r="BM621" s="190"/>
      <c r="BN621" s="147"/>
      <c r="BQ621" s="191"/>
      <c r="BR621" s="147"/>
      <c r="BS621" s="192"/>
      <c r="BT621" s="147"/>
      <c r="BU621" s="193"/>
      <c r="BV621" s="147"/>
      <c r="BW621" s="192"/>
      <c r="BX621" s="147"/>
      <c r="BY621" s="196"/>
      <c r="BZ621" s="147"/>
      <c r="CA621" s="192"/>
      <c r="CB621" s="147"/>
      <c r="CC621" s="194"/>
      <c r="CD621" s="147"/>
      <c r="CL621" s="195"/>
      <c r="CM621" s="188"/>
    </row>
    <row r="622" spans="9:91" ht="15">
      <c r="K622" s="178"/>
      <c r="M622" s="163"/>
      <c r="Q622" s="233"/>
      <c r="W622" s="183"/>
      <c r="AG622" s="184"/>
      <c r="AI622" s="185"/>
      <c r="AK622" s="186"/>
      <c r="BE622" s="187"/>
      <c r="BF622" s="188"/>
      <c r="BG622" s="189"/>
      <c r="BH622" s="147"/>
      <c r="BM622" s="190"/>
      <c r="BN622" s="147"/>
      <c r="BQ622" s="191"/>
      <c r="BR622" s="147"/>
      <c r="BS622" s="192"/>
      <c r="BT622" s="147"/>
      <c r="BU622" s="193"/>
      <c r="BV622" s="147"/>
      <c r="BW622" s="192"/>
      <c r="BX622" s="147"/>
      <c r="BY622" s="196"/>
      <c r="BZ622" s="147"/>
      <c r="CA622" s="192"/>
      <c r="CB622" s="147"/>
      <c r="CC622" s="194"/>
      <c r="CD622" s="147"/>
      <c r="CL622" s="195"/>
      <c r="CM622" s="188"/>
    </row>
    <row r="623" spans="9:91" ht="15">
      <c r="M623" s="163"/>
      <c r="Q623" s="233"/>
      <c r="W623" s="183"/>
      <c r="AG623" s="184"/>
      <c r="AI623" s="185"/>
      <c r="AK623" s="186"/>
      <c r="BE623" s="187"/>
      <c r="BF623" s="188"/>
      <c r="BG623" s="189"/>
      <c r="BH623" s="147"/>
      <c r="BM623" s="190"/>
      <c r="BN623" s="147"/>
      <c r="BQ623" s="191"/>
      <c r="BR623" s="147"/>
      <c r="BS623" s="192"/>
      <c r="BT623" s="147"/>
      <c r="BU623" s="193"/>
      <c r="BV623" s="147"/>
      <c r="BW623" s="192"/>
      <c r="BX623" s="147"/>
      <c r="BY623" s="196"/>
      <c r="BZ623" s="147"/>
      <c r="CA623" s="192"/>
      <c r="CB623" s="147"/>
      <c r="CC623" s="194"/>
      <c r="CD623" s="147"/>
      <c r="CL623" s="195"/>
      <c r="CM623" s="188"/>
    </row>
    <row r="624" spans="9:91" ht="15">
      <c r="M624" s="163"/>
      <c r="Q624" s="233"/>
      <c r="W624" s="183"/>
      <c r="AG624" s="184"/>
      <c r="AI624" s="185"/>
      <c r="AK624" s="186"/>
      <c r="BE624" s="187"/>
      <c r="BF624" s="188"/>
      <c r="BG624" s="189"/>
      <c r="BH624" s="147"/>
      <c r="BM624" s="190"/>
      <c r="BN624" s="147"/>
      <c r="BQ624" s="191"/>
      <c r="BR624" s="147"/>
      <c r="BS624" s="192"/>
      <c r="BT624" s="147"/>
      <c r="BU624" s="193"/>
      <c r="BV624" s="147"/>
      <c r="BW624" s="192"/>
      <c r="BX624" s="147"/>
      <c r="BY624" s="196"/>
      <c r="BZ624" s="147"/>
      <c r="CA624" s="192"/>
      <c r="CB624" s="147"/>
      <c r="CC624" s="194"/>
      <c r="CD624" s="147"/>
      <c r="CL624" s="195"/>
      <c r="CM624" s="188"/>
    </row>
    <row r="625" spans="9:91" ht="15">
      <c r="M625" s="163"/>
      <c r="Q625" s="233"/>
      <c r="W625" s="183"/>
      <c r="AG625" s="184"/>
      <c r="AI625" s="185"/>
      <c r="AK625" s="186"/>
      <c r="BE625" s="187"/>
      <c r="BF625" s="188"/>
      <c r="BG625" s="189"/>
      <c r="BH625" s="147"/>
      <c r="BM625" s="190"/>
      <c r="BN625" s="147"/>
      <c r="BQ625" s="191"/>
      <c r="BR625" s="147"/>
      <c r="BS625" s="192"/>
      <c r="BT625" s="147"/>
      <c r="BU625" s="193"/>
      <c r="BV625" s="147"/>
      <c r="BW625" s="192"/>
      <c r="BX625" s="147"/>
      <c r="BY625" s="196"/>
      <c r="BZ625" s="147"/>
      <c r="CA625" s="192"/>
      <c r="CB625" s="147"/>
      <c r="CC625" s="194"/>
      <c r="CD625" s="147"/>
      <c r="CL625" s="195"/>
      <c r="CM625" s="188"/>
    </row>
    <row r="626" spans="9:91" ht="15">
      <c r="I626" s="177"/>
      <c r="M626" s="163"/>
      <c r="Q626" s="233"/>
      <c r="W626" s="183"/>
      <c r="AG626" s="184"/>
      <c r="AI626" s="185"/>
      <c r="AK626" s="186"/>
      <c r="BE626" s="187"/>
      <c r="BF626" s="188"/>
      <c r="BG626" s="189"/>
      <c r="BH626" s="147"/>
      <c r="BM626" s="190"/>
      <c r="BN626" s="147"/>
      <c r="BQ626" s="191"/>
      <c r="BR626" s="147"/>
      <c r="BS626" s="192"/>
      <c r="BT626" s="147"/>
      <c r="BU626" s="193"/>
      <c r="BV626" s="147"/>
      <c r="BW626" s="192"/>
      <c r="BX626" s="147"/>
      <c r="BY626" s="196"/>
      <c r="BZ626" s="147"/>
      <c r="CA626" s="192"/>
      <c r="CB626" s="147"/>
      <c r="CC626" s="194"/>
      <c r="CD626" s="147"/>
      <c r="CL626" s="195"/>
      <c r="CM626" s="188"/>
    </row>
    <row r="627" spans="9:91" ht="15">
      <c r="M627" s="163"/>
      <c r="Q627" s="233"/>
      <c r="W627" s="183"/>
      <c r="AG627" s="184"/>
      <c r="AI627" s="185"/>
      <c r="AK627" s="186"/>
      <c r="BE627" s="187"/>
      <c r="BF627" s="188"/>
      <c r="BG627" s="189"/>
      <c r="BH627" s="147"/>
      <c r="BM627" s="190"/>
      <c r="BN627" s="147"/>
      <c r="BQ627" s="191"/>
      <c r="BR627" s="147"/>
      <c r="BS627" s="192"/>
      <c r="BT627" s="147"/>
      <c r="BU627" s="193"/>
      <c r="BV627" s="147"/>
      <c r="BW627" s="192"/>
      <c r="BX627" s="147"/>
      <c r="BY627" s="196"/>
      <c r="BZ627" s="147"/>
      <c r="CA627" s="192"/>
      <c r="CB627" s="147"/>
      <c r="CC627" s="194"/>
      <c r="CD627" s="147"/>
      <c r="CL627" s="195"/>
      <c r="CM627" s="188"/>
    </row>
    <row r="628" spans="9:91" ht="15">
      <c r="K628" s="178"/>
      <c r="M628" s="163"/>
      <c r="Q628" s="233"/>
      <c r="W628" s="183"/>
      <c r="AG628" s="184"/>
      <c r="AI628" s="185"/>
      <c r="AK628" s="186"/>
      <c r="BE628" s="187"/>
      <c r="BF628" s="188"/>
      <c r="BG628" s="189"/>
      <c r="BH628" s="147"/>
      <c r="BM628" s="190"/>
      <c r="BN628" s="147"/>
      <c r="BQ628" s="191"/>
      <c r="BR628" s="147"/>
      <c r="BS628" s="192"/>
      <c r="BT628" s="147"/>
      <c r="BU628" s="193"/>
      <c r="BV628" s="147"/>
      <c r="BW628" s="192"/>
      <c r="BX628" s="147"/>
      <c r="BY628" s="196"/>
      <c r="BZ628" s="147"/>
      <c r="CA628" s="192"/>
      <c r="CB628" s="147"/>
      <c r="CC628" s="194"/>
      <c r="CD628" s="147"/>
      <c r="CL628" s="195"/>
      <c r="CM628" s="188"/>
    </row>
    <row r="629" spans="9:91" ht="15">
      <c r="M629" s="163"/>
      <c r="Q629" s="233"/>
      <c r="W629" s="183"/>
      <c r="AG629" s="184"/>
      <c r="AI629" s="185"/>
      <c r="AK629" s="186"/>
      <c r="BE629" s="187"/>
      <c r="BF629" s="188"/>
      <c r="BG629" s="189"/>
      <c r="BH629" s="147"/>
      <c r="BM629" s="190"/>
      <c r="BN629" s="147"/>
      <c r="BQ629" s="191"/>
      <c r="BR629" s="147"/>
      <c r="BS629" s="192"/>
      <c r="BT629" s="147"/>
      <c r="BU629" s="193"/>
      <c r="BV629" s="147"/>
      <c r="BW629" s="192"/>
      <c r="BX629" s="147"/>
      <c r="BY629" s="196"/>
      <c r="BZ629" s="147"/>
      <c r="CA629" s="192"/>
      <c r="CB629" s="147"/>
      <c r="CC629" s="194"/>
      <c r="CD629" s="147"/>
      <c r="CL629" s="195"/>
      <c r="CM629" s="188"/>
    </row>
    <row r="630" spans="9:91" ht="15">
      <c r="I630" s="177"/>
      <c r="M630" s="163"/>
      <c r="Q630" s="233"/>
      <c r="W630" s="183"/>
      <c r="AG630" s="184"/>
      <c r="AI630" s="185"/>
      <c r="AK630" s="186"/>
      <c r="BE630" s="187"/>
      <c r="BF630" s="188"/>
      <c r="BG630" s="189"/>
      <c r="BH630" s="147"/>
      <c r="BM630" s="190"/>
      <c r="BN630" s="147"/>
      <c r="BQ630" s="191"/>
      <c r="BR630" s="147"/>
      <c r="BS630" s="192"/>
      <c r="BT630" s="147"/>
      <c r="BU630" s="193"/>
      <c r="BV630" s="147"/>
      <c r="BW630" s="192"/>
      <c r="BX630" s="147"/>
      <c r="BY630" s="196"/>
      <c r="BZ630" s="147"/>
      <c r="CA630" s="192"/>
      <c r="CB630" s="147"/>
      <c r="CC630" s="194"/>
      <c r="CD630" s="147"/>
      <c r="CL630" s="195"/>
      <c r="CM630" s="188"/>
    </row>
    <row r="631" spans="9:91" ht="15">
      <c r="M631" s="163"/>
      <c r="Q631" s="233"/>
      <c r="W631" s="183"/>
      <c r="AG631" s="184"/>
      <c r="AI631" s="185"/>
      <c r="AK631" s="186"/>
      <c r="BE631" s="187"/>
      <c r="BF631" s="188"/>
      <c r="BG631" s="189"/>
      <c r="BH631" s="147"/>
      <c r="BM631" s="190"/>
      <c r="BN631" s="147"/>
      <c r="BQ631" s="191"/>
      <c r="BR631" s="147"/>
      <c r="BS631" s="192"/>
      <c r="BT631" s="147"/>
      <c r="BU631" s="193"/>
      <c r="BV631" s="147"/>
      <c r="BW631" s="192"/>
      <c r="BX631" s="147"/>
      <c r="BY631" s="196"/>
      <c r="BZ631" s="147"/>
      <c r="CA631" s="192"/>
      <c r="CB631" s="147"/>
      <c r="CC631" s="194"/>
      <c r="CD631" s="147"/>
      <c r="CL631" s="195"/>
      <c r="CM631" s="188"/>
    </row>
    <row r="632" spans="9:91" ht="15">
      <c r="M632" s="163"/>
      <c r="Q632" s="233"/>
      <c r="W632" s="183"/>
      <c r="AG632" s="184"/>
      <c r="AI632" s="185"/>
      <c r="AK632" s="186"/>
      <c r="BE632" s="187"/>
      <c r="BF632" s="188"/>
      <c r="BG632" s="189"/>
      <c r="BH632" s="147"/>
      <c r="BM632" s="190"/>
      <c r="BN632" s="147"/>
      <c r="BQ632" s="191"/>
      <c r="BR632" s="147"/>
      <c r="BS632" s="192"/>
      <c r="BT632" s="147"/>
      <c r="BU632" s="193"/>
      <c r="BV632" s="147"/>
      <c r="BW632" s="192"/>
      <c r="BX632" s="147"/>
      <c r="BY632" s="196"/>
      <c r="BZ632" s="147"/>
      <c r="CA632" s="192"/>
      <c r="CB632" s="147"/>
      <c r="CC632" s="194"/>
      <c r="CD632" s="147"/>
      <c r="CL632" s="195"/>
      <c r="CM632" s="188"/>
    </row>
    <row r="633" spans="9:91" ht="15">
      <c r="M633" s="163"/>
      <c r="Q633" s="233"/>
      <c r="W633" s="183"/>
      <c r="AG633" s="184"/>
      <c r="AI633" s="185"/>
      <c r="AK633" s="186"/>
      <c r="BE633" s="187"/>
      <c r="BF633" s="188"/>
      <c r="BG633" s="189"/>
      <c r="BH633" s="147"/>
      <c r="BM633" s="190"/>
      <c r="BN633" s="147"/>
      <c r="BQ633" s="191"/>
      <c r="BR633" s="147"/>
      <c r="BS633" s="192"/>
      <c r="BT633" s="147"/>
      <c r="BU633" s="193"/>
      <c r="BV633" s="147"/>
      <c r="BW633" s="192"/>
      <c r="BX633" s="147"/>
      <c r="BY633" s="196"/>
      <c r="BZ633" s="147"/>
      <c r="CA633" s="192"/>
      <c r="CB633" s="147"/>
      <c r="CC633" s="194"/>
      <c r="CD633" s="147"/>
      <c r="CL633" s="195"/>
      <c r="CM633" s="188"/>
    </row>
    <row r="634" spans="9:91" ht="15">
      <c r="M634" s="163"/>
      <c r="Q634" s="233"/>
      <c r="W634" s="183"/>
      <c r="AG634" s="184"/>
      <c r="AI634" s="185"/>
      <c r="AK634" s="186"/>
      <c r="BE634" s="187"/>
      <c r="BF634" s="188"/>
      <c r="BG634" s="189"/>
      <c r="BH634" s="147"/>
      <c r="BM634" s="190"/>
      <c r="BN634" s="147"/>
      <c r="BQ634" s="191"/>
      <c r="BR634" s="147"/>
      <c r="BS634" s="192"/>
      <c r="BT634" s="147"/>
      <c r="BU634" s="193"/>
      <c r="BV634" s="147"/>
      <c r="BW634" s="192"/>
      <c r="BX634" s="147"/>
      <c r="BY634" s="196"/>
      <c r="BZ634" s="147"/>
      <c r="CA634" s="192"/>
      <c r="CB634" s="147"/>
      <c r="CC634" s="194"/>
      <c r="CD634" s="147"/>
      <c r="CL634" s="195"/>
      <c r="CM634" s="188"/>
    </row>
    <row r="635" spans="9:91" ht="15">
      <c r="M635" s="163"/>
      <c r="Q635" s="233"/>
      <c r="W635" s="183"/>
      <c r="AG635" s="184"/>
      <c r="AI635" s="185"/>
      <c r="AK635" s="186"/>
      <c r="BE635" s="187"/>
      <c r="BF635" s="188"/>
      <c r="BG635" s="189"/>
      <c r="BH635" s="147"/>
      <c r="BM635" s="190"/>
      <c r="BN635" s="147"/>
      <c r="BQ635" s="191"/>
      <c r="BR635" s="147"/>
      <c r="BS635" s="192"/>
      <c r="BT635" s="147"/>
      <c r="BU635" s="193"/>
      <c r="BV635" s="147"/>
      <c r="BW635" s="192"/>
      <c r="BX635" s="147"/>
      <c r="BY635" s="196"/>
      <c r="BZ635" s="147"/>
      <c r="CA635" s="192"/>
      <c r="CB635" s="147"/>
      <c r="CC635" s="194"/>
      <c r="CD635" s="147"/>
      <c r="CL635" s="195"/>
      <c r="CM635" s="188"/>
    </row>
    <row r="636" spans="9:91" ht="15">
      <c r="M636" s="163"/>
      <c r="Q636" s="233"/>
      <c r="W636" s="183"/>
      <c r="AG636" s="184"/>
      <c r="AI636" s="185"/>
      <c r="AK636" s="186"/>
      <c r="BE636" s="187"/>
      <c r="BF636" s="188"/>
      <c r="BG636" s="189"/>
      <c r="BH636" s="147"/>
      <c r="BM636" s="190"/>
      <c r="BN636" s="147"/>
      <c r="BQ636" s="191"/>
      <c r="BR636" s="147"/>
      <c r="BS636" s="192"/>
      <c r="BT636" s="147"/>
      <c r="BU636" s="193"/>
      <c r="BV636" s="147"/>
      <c r="BW636" s="192"/>
      <c r="BX636" s="147"/>
      <c r="BY636" s="196"/>
      <c r="BZ636" s="147"/>
      <c r="CA636" s="192"/>
      <c r="CB636" s="147"/>
      <c r="CC636" s="194"/>
      <c r="CD636" s="147"/>
      <c r="CL636" s="195"/>
      <c r="CM636" s="188"/>
    </row>
    <row r="637" spans="9:91" ht="15">
      <c r="M637" s="163"/>
      <c r="Q637" s="233"/>
      <c r="W637" s="183"/>
      <c r="AG637" s="184"/>
      <c r="AI637" s="185"/>
      <c r="AK637" s="186"/>
      <c r="BE637" s="187"/>
      <c r="BF637" s="188"/>
      <c r="BG637" s="189"/>
      <c r="BH637" s="147"/>
      <c r="BM637" s="190"/>
      <c r="BN637" s="147"/>
      <c r="BQ637" s="191"/>
      <c r="BR637" s="147"/>
      <c r="BS637" s="192"/>
      <c r="BT637" s="147"/>
      <c r="BU637" s="193"/>
      <c r="BV637" s="147"/>
      <c r="BW637" s="192"/>
      <c r="BX637" s="147"/>
      <c r="BY637" s="196"/>
      <c r="BZ637" s="147"/>
      <c r="CA637" s="192"/>
      <c r="CB637" s="147"/>
      <c r="CC637" s="194"/>
      <c r="CD637" s="147"/>
      <c r="CL637" s="195"/>
      <c r="CM637" s="188"/>
    </row>
    <row r="638" spans="9:91" ht="15">
      <c r="I638" s="177"/>
      <c r="K638" s="178"/>
      <c r="M638" s="163"/>
      <c r="Q638" s="233"/>
      <c r="W638" s="183"/>
      <c r="AG638" s="184"/>
      <c r="AI638" s="185"/>
      <c r="AK638" s="186"/>
      <c r="BE638" s="187"/>
      <c r="BF638" s="188"/>
      <c r="BG638" s="189"/>
      <c r="BH638" s="147"/>
      <c r="BM638" s="190"/>
      <c r="BN638" s="147"/>
      <c r="BQ638" s="191"/>
      <c r="BR638" s="147"/>
      <c r="BS638" s="192"/>
      <c r="BT638" s="147"/>
      <c r="BU638" s="193"/>
      <c r="BV638" s="147"/>
      <c r="BW638" s="192"/>
      <c r="BX638" s="147"/>
      <c r="BY638" s="196"/>
      <c r="BZ638" s="147"/>
      <c r="CA638" s="192"/>
      <c r="CB638" s="147"/>
      <c r="CC638" s="194"/>
      <c r="CD638" s="147"/>
      <c r="CL638" s="195"/>
      <c r="CM638" s="188"/>
    </row>
    <row r="639" spans="9:91" ht="15">
      <c r="M639" s="163"/>
      <c r="Q639" s="233"/>
      <c r="W639" s="183"/>
      <c r="AG639" s="184"/>
      <c r="AI639" s="185"/>
      <c r="AK639" s="186"/>
      <c r="BE639" s="187"/>
      <c r="BF639" s="188"/>
      <c r="BG639" s="189"/>
      <c r="BH639" s="147"/>
      <c r="BM639" s="190"/>
      <c r="BN639" s="147"/>
      <c r="BQ639" s="191"/>
      <c r="BR639" s="147"/>
      <c r="BS639" s="192"/>
      <c r="BT639" s="147"/>
      <c r="BU639" s="193"/>
      <c r="BV639" s="147"/>
      <c r="BW639" s="192"/>
      <c r="BX639" s="147"/>
      <c r="BY639" s="196"/>
      <c r="BZ639" s="147"/>
      <c r="CA639" s="192"/>
      <c r="CB639" s="147"/>
      <c r="CC639" s="194"/>
      <c r="CD639" s="147"/>
      <c r="CL639" s="195"/>
      <c r="CM639" s="188"/>
    </row>
    <row r="640" spans="9:91" ht="15">
      <c r="M640" s="163"/>
      <c r="Q640" s="233"/>
      <c r="W640" s="183"/>
      <c r="AG640" s="184"/>
      <c r="AI640" s="185"/>
      <c r="AK640" s="186"/>
      <c r="BE640" s="187"/>
      <c r="BF640" s="188"/>
      <c r="BG640" s="189"/>
      <c r="BH640" s="147"/>
      <c r="BM640" s="190"/>
      <c r="BN640" s="147"/>
      <c r="BQ640" s="191"/>
      <c r="BR640" s="147"/>
      <c r="BS640" s="192"/>
      <c r="BT640" s="147"/>
      <c r="BU640" s="193"/>
      <c r="BV640" s="147"/>
      <c r="BW640" s="192"/>
      <c r="BX640" s="147"/>
      <c r="BY640" s="196"/>
      <c r="BZ640" s="147"/>
      <c r="CA640" s="192"/>
      <c r="CB640" s="147"/>
      <c r="CC640" s="194"/>
      <c r="CD640" s="147"/>
      <c r="CL640" s="195"/>
      <c r="CM640" s="188"/>
    </row>
    <row r="641" spans="1:91" ht="15">
      <c r="M641" s="163"/>
      <c r="Q641" s="233"/>
      <c r="W641" s="183"/>
      <c r="AG641" s="184"/>
      <c r="AI641" s="185"/>
      <c r="AK641" s="186"/>
      <c r="BE641" s="187"/>
      <c r="BF641" s="188"/>
      <c r="BG641" s="189"/>
      <c r="BH641" s="147"/>
      <c r="BM641" s="190"/>
      <c r="BN641" s="147"/>
      <c r="BQ641" s="191"/>
      <c r="BR641" s="147"/>
      <c r="BS641" s="192"/>
      <c r="BT641" s="147"/>
      <c r="BU641" s="193"/>
      <c r="BV641" s="147"/>
      <c r="BW641" s="192"/>
      <c r="BX641" s="147"/>
      <c r="BY641" s="196"/>
      <c r="BZ641" s="147"/>
      <c r="CA641" s="192"/>
      <c r="CB641" s="147"/>
      <c r="CC641" s="194"/>
      <c r="CD641" s="147"/>
      <c r="CL641" s="195"/>
      <c r="CM641" s="188"/>
    </row>
    <row r="642" spans="1:91" ht="15">
      <c r="K642" s="178"/>
      <c r="M642" s="163"/>
      <c r="Q642" s="233"/>
      <c r="W642" s="183"/>
      <c r="AG642" s="184"/>
      <c r="AI642" s="185"/>
      <c r="AK642" s="186"/>
      <c r="BE642" s="187"/>
      <c r="BF642" s="188"/>
      <c r="BG642" s="189"/>
      <c r="BH642" s="147"/>
      <c r="BM642" s="190"/>
      <c r="BN642" s="147"/>
      <c r="BQ642" s="191"/>
      <c r="BR642" s="147"/>
      <c r="BS642" s="192"/>
      <c r="BT642" s="147"/>
      <c r="BU642" s="193"/>
      <c r="BV642" s="147"/>
      <c r="BW642" s="192"/>
      <c r="BX642" s="147"/>
      <c r="BY642" s="196"/>
      <c r="BZ642" s="147"/>
      <c r="CA642" s="192"/>
      <c r="CB642" s="147"/>
      <c r="CC642" s="194"/>
      <c r="CD642" s="147"/>
      <c r="CL642" s="195"/>
      <c r="CM642" s="188"/>
    </row>
    <row r="643" spans="1:91" ht="15">
      <c r="I643" s="177"/>
      <c r="K643" s="178"/>
      <c r="M643" s="163"/>
      <c r="Q643" s="233"/>
      <c r="W643" s="183"/>
      <c r="AG643" s="184"/>
      <c r="AI643" s="185"/>
      <c r="AK643" s="186"/>
      <c r="BE643" s="187"/>
      <c r="BF643" s="188"/>
      <c r="BG643" s="189"/>
      <c r="BH643" s="147"/>
      <c r="BM643" s="190"/>
      <c r="BN643" s="147"/>
      <c r="BQ643" s="191"/>
      <c r="BR643" s="147"/>
      <c r="BS643" s="192"/>
      <c r="BT643" s="147"/>
      <c r="BU643" s="193"/>
      <c r="BV643" s="147"/>
      <c r="BW643" s="192"/>
      <c r="BX643" s="147"/>
      <c r="BY643" s="196"/>
      <c r="BZ643" s="147"/>
      <c r="CA643" s="192"/>
      <c r="CB643" s="147"/>
      <c r="CC643" s="194"/>
      <c r="CD643" s="147"/>
      <c r="CL643" s="195"/>
      <c r="CM643" s="188"/>
    </row>
    <row r="644" spans="1:91" ht="15">
      <c r="I644" s="177"/>
      <c r="M644" s="163"/>
      <c r="Q644" s="233"/>
      <c r="W644" s="183"/>
      <c r="AG644" s="184"/>
      <c r="AI644" s="185"/>
      <c r="AK644" s="186"/>
      <c r="BE644" s="187"/>
      <c r="BF644" s="188"/>
      <c r="BG644" s="189"/>
      <c r="BH644" s="147"/>
      <c r="BM644" s="190"/>
      <c r="BN644" s="147"/>
      <c r="BQ644" s="191"/>
      <c r="BR644" s="147"/>
      <c r="BS644" s="192"/>
      <c r="BT644" s="147"/>
      <c r="BU644" s="193"/>
      <c r="BV644" s="147"/>
      <c r="BW644" s="192"/>
      <c r="BX644" s="147"/>
      <c r="BY644" s="196"/>
      <c r="BZ644" s="147"/>
      <c r="CA644" s="192"/>
      <c r="CB644" s="147"/>
      <c r="CC644" s="194"/>
      <c r="CD644" s="147"/>
      <c r="CL644" s="195"/>
      <c r="CM644" s="188"/>
    </row>
    <row r="645" spans="1:91" ht="15">
      <c r="M645" s="163"/>
      <c r="Q645" s="233"/>
      <c r="W645" s="183"/>
      <c r="AG645" s="184"/>
      <c r="AI645" s="185"/>
      <c r="AK645" s="186"/>
      <c r="BE645" s="187"/>
      <c r="BF645" s="188"/>
      <c r="BG645" s="189"/>
      <c r="BH645" s="147"/>
      <c r="BM645" s="190"/>
      <c r="BN645" s="147"/>
      <c r="BQ645" s="191"/>
      <c r="BR645" s="147"/>
      <c r="BS645" s="192"/>
      <c r="BT645" s="147"/>
      <c r="BU645" s="193"/>
      <c r="BV645" s="147"/>
      <c r="BW645" s="192"/>
      <c r="BX645" s="147"/>
      <c r="BY645" s="196"/>
      <c r="BZ645" s="147"/>
      <c r="CA645" s="192"/>
      <c r="CB645" s="147"/>
      <c r="CC645" s="194"/>
      <c r="CD645" s="147"/>
      <c r="CL645" s="195"/>
      <c r="CM645" s="188"/>
    </row>
    <row r="646" spans="1:91" ht="15">
      <c r="I646" s="177"/>
      <c r="M646" s="163"/>
      <c r="Q646" s="233"/>
      <c r="W646" s="183"/>
      <c r="AG646" s="184"/>
      <c r="AI646" s="185"/>
      <c r="AK646" s="186"/>
      <c r="BE646" s="187"/>
      <c r="BF646" s="188"/>
      <c r="BG646" s="189"/>
      <c r="BH646" s="147"/>
      <c r="BM646" s="190"/>
      <c r="BN646" s="147"/>
      <c r="BQ646" s="191"/>
      <c r="BR646" s="147"/>
      <c r="BS646" s="192"/>
      <c r="BT646" s="147"/>
      <c r="BU646" s="193"/>
      <c r="BV646" s="147"/>
      <c r="BW646" s="192"/>
      <c r="BX646" s="147"/>
      <c r="BY646" s="196"/>
      <c r="BZ646" s="147"/>
      <c r="CA646" s="192"/>
      <c r="CB646" s="147"/>
      <c r="CC646" s="194"/>
      <c r="CD646" s="147"/>
      <c r="CL646" s="195"/>
      <c r="CM646" s="188"/>
    </row>
    <row r="647" spans="1:91" ht="15">
      <c r="A647" s="221"/>
      <c r="B647" s="221"/>
      <c r="C647" s="222"/>
      <c r="D647" s="222"/>
      <c r="E647" s="222"/>
      <c r="G647" s="223"/>
      <c r="H647" s="223"/>
      <c r="I647" s="222"/>
      <c r="J647" s="222"/>
      <c r="K647" s="224"/>
      <c r="L647" s="225"/>
      <c r="M647" s="226"/>
      <c r="N647" s="225"/>
      <c r="O647" s="224"/>
      <c r="P647" s="225"/>
      <c r="Q647" s="233"/>
      <c r="R647" s="225"/>
      <c r="S647" s="224"/>
      <c r="T647" s="225"/>
      <c r="U647" s="224"/>
      <c r="V647" s="225"/>
      <c r="W647" s="226"/>
      <c r="X647" s="225"/>
      <c r="Z647" s="225"/>
      <c r="AA647" s="224"/>
      <c r="AB647" s="225"/>
      <c r="AC647" s="224"/>
      <c r="AD647" s="225"/>
      <c r="AE647" s="224"/>
      <c r="AF647" s="225"/>
      <c r="AG647" s="226"/>
      <c r="AH647" s="225"/>
      <c r="AI647" s="226"/>
      <c r="AJ647" s="225"/>
      <c r="AK647" s="226"/>
      <c r="AL647" s="225"/>
      <c r="AM647" s="224"/>
      <c r="AN647" s="225"/>
      <c r="AO647" s="224"/>
      <c r="AP647" s="224"/>
      <c r="AQ647" s="224"/>
      <c r="AR647" s="224"/>
      <c r="AS647" s="224"/>
      <c r="AT647" s="224"/>
      <c r="AU647" s="224"/>
      <c r="AV647" s="224"/>
      <c r="AW647" s="224"/>
      <c r="AX647" s="224"/>
      <c r="AY647" s="224"/>
      <c r="AZ647" s="224"/>
      <c r="BA647" s="224"/>
      <c r="BB647" s="224"/>
      <c r="BC647" s="224"/>
      <c r="BD647" s="224"/>
      <c r="BE647" s="226"/>
      <c r="BF647" s="227"/>
      <c r="BG647" s="228"/>
      <c r="BH647" s="225"/>
      <c r="BI647" s="229"/>
      <c r="BJ647" s="229"/>
      <c r="BK647" s="229"/>
      <c r="BL647" s="229"/>
      <c r="BM647" s="228"/>
      <c r="BN647" s="225"/>
      <c r="BO647" s="229"/>
      <c r="BP647" s="229"/>
      <c r="BQ647" s="228"/>
      <c r="BR647" s="225"/>
      <c r="BS647" s="228"/>
      <c r="BT647" s="225"/>
      <c r="BU647" s="228"/>
      <c r="BV647" s="225"/>
      <c r="BW647" s="228"/>
      <c r="BX647" s="225"/>
      <c r="BY647" s="228"/>
      <c r="BZ647" s="225"/>
      <c r="CA647" s="228"/>
      <c r="CB647" s="225"/>
      <c r="CC647" s="228"/>
      <c r="CD647" s="225"/>
      <c r="CE647" s="229"/>
      <c r="CF647" s="229"/>
      <c r="CG647" s="229"/>
      <c r="CH647" s="229"/>
      <c r="CI647" s="229"/>
      <c r="CJ647" s="229"/>
      <c r="CK647" s="229"/>
      <c r="CL647" s="228"/>
      <c r="CM647" s="227"/>
    </row>
    <row r="648" spans="1:91" ht="15">
      <c r="M648" s="163"/>
      <c r="Q648" s="233"/>
      <c r="W648" s="183"/>
      <c r="AG648" s="184"/>
      <c r="AI648" s="185"/>
      <c r="AK648" s="186"/>
      <c r="BE648" s="187"/>
      <c r="BF648" s="188"/>
      <c r="BG648" s="189"/>
      <c r="BH648" s="147"/>
      <c r="BM648" s="190"/>
      <c r="BN648" s="147"/>
      <c r="BQ648" s="191"/>
      <c r="BR648" s="147"/>
      <c r="BS648" s="192"/>
      <c r="BT648" s="147"/>
      <c r="BU648" s="193"/>
      <c r="BV648" s="147"/>
      <c r="BW648" s="192"/>
      <c r="BX648" s="147"/>
      <c r="BY648" s="196"/>
      <c r="BZ648" s="147"/>
      <c r="CA648" s="192"/>
      <c r="CB648" s="147"/>
      <c r="CC648" s="194"/>
      <c r="CD648" s="147"/>
      <c r="CL648" s="195"/>
      <c r="CM648" s="188"/>
    </row>
    <row r="649" spans="1:91" ht="15">
      <c r="J649" s="182"/>
      <c r="M649" s="163"/>
      <c r="Q649" s="233"/>
      <c r="W649" s="183"/>
      <c r="AG649" s="184"/>
      <c r="AI649" s="185"/>
      <c r="AK649" s="186"/>
      <c r="BE649" s="187"/>
      <c r="BF649" s="188"/>
      <c r="BG649" s="189"/>
      <c r="BH649" s="147"/>
      <c r="BM649" s="190"/>
      <c r="BN649" s="147"/>
      <c r="BQ649" s="191"/>
      <c r="BR649" s="147"/>
      <c r="BS649" s="192"/>
      <c r="BT649" s="147"/>
      <c r="BU649" s="193"/>
      <c r="BV649" s="147"/>
      <c r="BW649" s="192"/>
      <c r="BX649" s="147"/>
      <c r="BY649" s="196"/>
      <c r="BZ649" s="147"/>
      <c r="CA649" s="192"/>
      <c r="CB649" s="147"/>
      <c r="CC649" s="194"/>
      <c r="CD649" s="147"/>
      <c r="CL649" s="195"/>
      <c r="CM649" s="188"/>
    </row>
    <row r="650" spans="1:91" ht="15">
      <c r="M650" s="163"/>
      <c r="Q650" s="233"/>
      <c r="W650" s="183"/>
      <c r="AG650" s="184"/>
      <c r="AI650" s="185"/>
      <c r="AK650" s="186"/>
      <c r="BE650" s="187"/>
      <c r="BF650" s="188"/>
      <c r="BG650" s="189"/>
      <c r="BH650" s="147"/>
      <c r="BM650" s="190"/>
      <c r="BN650" s="147"/>
      <c r="BQ650" s="191"/>
      <c r="BR650" s="147"/>
      <c r="BS650" s="192"/>
      <c r="BT650" s="147"/>
      <c r="BU650" s="193"/>
      <c r="BV650" s="147"/>
      <c r="BW650" s="192"/>
      <c r="BX650" s="147"/>
      <c r="BY650" s="196"/>
      <c r="BZ650" s="147"/>
      <c r="CA650" s="192"/>
      <c r="CB650" s="147"/>
      <c r="CC650" s="194"/>
      <c r="CD650" s="147"/>
      <c r="CL650" s="195"/>
      <c r="CM650" s="188"/>
    </row>
    <row r="651" spans="1:91" ht="15">
      <c r="M651" s="163"/>
      <c r="Q651" s="233"/>
      <c r="W651" s="183"/>
      <c r="AG651" s="184"/>
      <c r="AI651" s="185"/>
      <c r="AK651" s="186"/>
      <c r="BE651" s="187"/>
      <c r="BF651" s="188"/>
      <c r="BG651" s="189"/>
      <c r="BH651" s="147"/>
      <c r="BM651" s="190"/>
      <c r="BN651" s="147"/>
      <c r="BQ651" s="191"/>
      <c r="BR651" s="147"/>
      <c r="BS651" s="192"/>
      <c r="BT651" s="147"/>
      <c r="BU651" s="193"/>
      <c r="BV651" s="147"/>
      <c r="BW651" s="192"/>
      <c r="BX651" s="147"/>
      <c r="BY651" s="196"/>
      <c r="BZ651" s="147"/>
      <c r="CA651" s="192"/>
      <c r="CB651" s="147"/>
      <c r="CC651" s="194"/>
      <c r="CD651" s="147"/>
      <c r="CL651" s="195"/>
      <c r="CM651" s="188"/>
    </row>
    <row r="652" spans="1:91" ht="15">
      <c r="A652" s="221"/>
      <c r="B652" s="221"/>
      <c r="C652" s="222"/>
      <c r="D652" s="222"/>
      <c r="E652" s="222"/>
      <c r="G652" s="223"/>
      <c r="H652" s="223"/>
      <c r="I652" s="222"/>
      <c r="J652" s="222"/>
      <c r="K652" s="224"/>
      <c r="L652" s="225"/>
      <c r="M652" s="226"/>
      <c r="N652" s="225"/>
      <c r="O652" s="224"/>
      <c r="P652" s="225"/>
      <c r="Q652" s="233"/>
      <c r="R652" s="225"/>
      <c r="S652" s="224"/>
      <c r="T652" s="225"/>
      <c r="U652" s="224"/>
      <c r="V652" s="225"/>
      <c r="W652" s="226"/>
      <c r="X652" s="225"/>
      <c r="Z652" s="225"/>
      <c r="AA652" s="224"/>
      <c r="AB652" s="225"/>
      <c r="AC652" s="224"/>
      <c r="AD652" s="225"/>
      <c r="AE652" s="224"/>
      <c r="AF652" s="225"/>
      <c r="AG652" s="226"/>
      <c r="AH652" s="225"/>
      <c r="AI652" s="226"/>
      <c r="AJ652" s="225"/>
      <c r="AK652" s="226"/>
      <c r="AL652" s="225"/>
      <c r="AM652" s="224"/>
      <c r="AN652" s="225"/>
      <c r="AO652" s="224"/>
      <c r="AP652" s="224"/>
      <c r="AQ652" s="224"/>
      <c r="AR652" s="224"/>
      <c r="AS652" s="224"/>
      <c r="AT652" s="224"/>
      <c r="AU652" s="224"/>
      <c r="AV652" s="224"/>
      <c r="AW652" s="224"/>
      <c r="AX652" s="224"/>
      <c r="AY652" s="224"/>
      <c r="AZ652" s="224"/>
      <c r="BA652" s="224"/>
      <c r="BB652" s="224"/>
      <c r="BC652" s="224"/>
      <c r="BD652" s="224"/>
      <c r="BE652" s="226"/>
      <c r="BF652" s="227"/>
      <c r="BG652" s="228"/>
      <c r="BH652" s="225"/>
      <c r="BI652" s="229"/>
      <c r="BJ652" s="229"/>
      <c r="BK652" s="229"/>
      <c r="BL652" s="229"/>
      <c r="BM652" s="228"/>
      <c r="BN652" s="225"/>
      <c r="BO652" s="229"/>
      <c r="BP652" s="229"/>
      <c r="BQ652" s="228"/>
      <c r="BR652" s="225"/>
      <c r="BS652" s="228"/>
      <c r="BT652" s="225"/>
      <c r="BU652" s="228"/>
      <c r="BV652" s="225"/>
      <c r="BW652" s="228"/>
      <c r="BX652" s="225"/>
      <c r="BY652" s="228"/>
      <c r="BZ652" s="225"/>
      <c r="CA652" s="228"/>
      <c r="CB652" s="225"/>
      <c r="CC652" s="228"/>
      <c r="CD652" s="225"/>
      <c r="CE652" s="229"/>
      <c r="CF652" s="229"/>
      <c r="CG652" s="229"/>
      <c r="CH652" s="229"/>
      <c r="CI652" s="229"/>
      <c r="CJ652" s="229"/>
      <c r="CK652" s="229"/>
      <c r="CL652" s="228"/>
      <c r="CM652" s="227"/>
    </row>
    <row r="653" spans="1:91" ht="15">
      <c r="M653" s="163"/>
      <c r="Q653" s="233"/>
      <c r="W653" s="183"/>
      <c r="AG653" s="184"/>
      <c r="AI653" s="185"/>
      <c r="AK653" s="186"/>
      <c r="BE653" s="187"/>
      <c r="BF653" s="188"/>
      <c r="BG653" s="189"/>
      <c r="BH653" s="147"/>
      <c r="BM653" s="190"/>
      <c r="BN653" s="147"/>
      <c r="BQ653" s="191"/>
      <c r="BR653" s="147"/>
      <c r="BS653" s="192"/>
      <c r="BT653" s="147"/>
      <c r="BU653" s="193"/>
      <c r="BV653" s="147"/>
      <c r="BW653" s="192"/>
      <c r="BX653" s="147"/>
      <c r="BY653" s="196"/>
      <c r="BZ653" s="147"/>
      <c r="CA653" s="192"/>
      <c r="CB653" s="147"/>
      <c r="CC653" s="194"/>
      <c r="CD653" s="147"/>
      <c r="CL653" s="195"/>
      <c r="CM653" s="188"/>
    </row>
    <row r="654" spans="1:91" ht="15">
      <c r="I654" s="177"/>
      <c r="K654" s="181"/>
      <c r="M654" s="163"/>
      <c r="Q654" s="233"/>
      <c r="W654" s="183"/>
      <c r="AG654" s="184"/>
      <c r="AI654" s="185"/>
      <c r="AK654" s="186"/>
      <c r="BE654" s="187"/>
      <c r="BF654" s="188"/>
      <c r="BG654" s="189"/>
      <c r="BH654" s="147"/>
      <c r="BM654" s="190"/>
      <c r="BN654" s="147"/>
      <c r="BQ654" s="191"/>
      <c r="BR654" s="147"/>
      <c r="BS654" s="192"/>
      <c r="BT654" s="147"/>
      <c r="BU654" s="193"/>
      <c r="BV654" s="147"/>
      <c r="BW654" s="192"/>
      <c r="BX654" s="147"/>
      <c r="BY654" s="196"/>
      <c r="BZ654" s="147"/>
      <c r="CA654" s="192"/>
      <c r="CB654" s="147"/>
      <c r="CC654" s="194"/>
      <c r="CD654" s="147"/>
      <c r="CL654" s="195"/>
      <c r="CM654" s="188"/>
    </row>
    <row r="655" spans="1:91" ht="15">
      <c r="M655" s="163"/>
      <c r="Q655" s="233"/>
      <c r="W655" s="183"/>
      <c r="AG655" s="184"/>
      <c r="AI655" s="185"/>
      <c r="AK655" s="186"/>
      <c r="BE655" s="187"/>
      <c r="BF655" s="188"/>
      <c r="BG655" s="189"/>
      <c r="BH655" s="147"/>
      <c r="BM655" s="190"/>
      <c r="BN655" s="147"/>
      <c r="BQ655" s="191"/>
      <c r="BR655" s="147"/>
      <c r="BS655" s="192"/>
      <c r="BT655" s="147"/>
      <c r="BU655" s="193"/>
      <c r="BV655" s="147"/>
      <c r="BW655" s="192"/>
      <c r="BX655" s="147"/>
      <c r="BY655" s="196"/>
      <c r="BZ655" s="147"/>
      <c r="CA655" s="192"/>
      <c r="CB655" s="147"/>
      <c r="CC655" s="194"/>
      <c r="CD655" s="147"/>
      <c r="CL655" s="195"/>
      <c r="CM655" s="188"/>
    </row>
    <row r="656" spans="1:91" ht="15">
      <c r="M656" s="163"/>
      <c r="Q656" s="233"/>
      <c r="W656" s="183"/>
      <c r="AG656" s="184"/>
      <c r="AI656" s="185"/>
      <c r="AK656" s="186"/>
      <c r="BE656" s="187"/>
      <c r="BF656" s="188"/>
      <c r="BG656" s="189"/>
      <c r="BH656" s="147"/>
      <c r="BM656" s="190"/>
      <c r="BN656" s="147"/>
      <c r="BQ656" s="191"/>
      <c r="BR656" s="147"/>
      <c r="BS656" s="192"/>
      <c r="BT656" s="147"/>
      <c r="BU656" s="193"/>
      <c r="BV656" s="147"/>
      <c r="BW656" s="192"/>
      <c r="BX656" s="147"/>
      <c r="BY656" s="196"/>
      <c r="BZ656" s="147"/>
      <c r="CA656" s="192"/>
      <c r="CB656" s="147"/>
      <c r="CC656" s="194"/>
      <c r="CD656" s="147"/>
      <c r="CL656" s="195"/>
      <c r="CM656" s="188"/>
    </row>
    <row r="657" spans="10:91" ht="15">
      <c r="M657" s="163"/>
      <c r="Q657" s="233"/>
      <c r="W657" s="183"/>
      <c r="AG657" s="184"/>
      <c r="AI657" s="185"/>
      <c r="AK657" s="186"/>
      <c r="BE657" s="187"/>
      <c r="BF657" s="188"/>
      <c r="BG657" s="189"/>
      <c r="BH657" s="147"/>
      <c r="BM657" s="190"/>
      <c r="BN657" s="147"/>
      <c r="BQ657" s="191"/>
      <c r="BR657" s="147"/>
      <c r="BS657" s="192"/>
      <c r="BT657" s="147"/>
      <c r="BU657" s="193"/>
      <c r="BV657" s="147"/>
      <c r="BW657" s="192"/>
      <c r="BX657" s="147"/>
      <c r="BY657" s="196"/>
      <c r="BZ657" s="147"/>
      <c r="CA657" s="192"/>
      <c r="CB657" s="147"/>
      <c r="CC657" s="194"/>
      <c r="CD657" s="147"/>
      <c r="CL657" s="195"/>
      <c r="CM657" s="188"/>
    </row>
    <row r="658" spans="10:91" ht="15">
      <c r="M658" s="163"/>
      <c r="Q658" s="233"/>
      <c r="W658" s="183"/>
      <c r="AG658" s="184"/>
      <c r="AI658" s="185"/>
      <c r="AK658" s="186"/>
      <c r="BE658" s="187"/>
      <c r="BF658" s="188"/>
      <c r="BG658" s="189"/>
      <c r="BH658" s="147"/>
      <c r="BM658" s="190"/>
      <c r="BN658" s="147"/>
      <c r="BQ658" s="191"/>
      <c r="BR658" s="147"/>
      <c r="BS658" s="192"/>
      <c r="BT658" s="147"/>
      <c r="BU658" s="193"/>
      <c r="BV658" s="147"/>
      <c r="BW658" s="192"/>
      <c r="BX658" s="147"/>
      <c r="BY658" s="196"/>
      <c r="BZ658" s="147"/>
      <c r="CA658" s="192"/>
      <c r="CB658" s="147"/>
      <c r="CC658" s="194"/>
      <c r="CD658" s="147"/>
      <c r="CL658" s="195"/>
      <c r="CM658" s="188"/>
    </row>
    <row r="659" spans="10:91" ht="15">
      <c r="M659" s="163"/>
      <c r="Q659" s="233"/>
      <c r="W659" s="183"/>
      <c r="AG659" s="184"/>
      <c r="AI659" s="185"/>
      <c r="AK659" s="186"/>
      <c r="BE659" s="187"/>
      <c r="BF659" s="188"/>
      <c r="BG659" s="189"/>
      <c r="BH659" s="147"/>
      <c r="BM659" s="190"/>
      <c r="BN659" s="147"/>
      <c r="BQ659" s="191"/>
      <c r="BR659" s="147"/>
      <c r="BS659" s="192"/>
      <c r="BT659" s="147"/>
      <c r="BU659" s="193"/>
      <c r="BV659" s="147"/>
      <c r="BW659" s="192"/>
      <c r="BX659" s="147"/>
      <c r="BY659" s="196"/>
      <c r="BZ659" s="147"/>
      <c r="CA659" s="192"/>
      <c r="CB659" s="147"/>
      <c r="CC659" s="194"/>
      <c r="CD659" s="147"/>
      <c r="CL659" s="195"/>
      <c r="CM659" s="188"/>
    </row>
    <row r="660" spans="10:91" ht="15">
      <c r="K660" s="181"/>
      <c r="M660" s="163"/>
      <c r="Q660" s="233"/>
      <c r="W660" s="183"/>
      <c r="AG660" s="184"/>
      <c r="AI660" s="185"/>
      <c r="AK660" s="186"/>
      <c r="BE660" s="187"/>
      <c r="BF660" s="188"/>
      <c r="BG660" s="189"/>
      <c r="BH660" s="147"/>
      <c r="BM660" s="190"/>
      <c r="BN660" s="147"/>
      <c r="BQ660" s="191"/>
      <c r="BR660" s="147"/>
      <c r="BS660" s="192"/>
      <c r="BT660" s="147"/>
      <c r="BU660" s="193"/>
      <c r="BV660" s="147"/>
      <c r="BW660" s="192"/>
      <c r="BX660" s="147"/>
      <c r="BY660" s="196"/>
      <c r="BZ660" s="147"/>
      <c r="CA660" s="192"/>
      <c r="CB660" s="147"/>
      <c r="CC660" s="194"/>
      <c r="CD660" s="147"/>
      <c r="CL660" s="195"/>
      <c r="CM660" s="188"/>
    </row>
    <row r="661" spans="10:91" ht="15">
      <c r="K661" s="181"/>
      <c r="M661" s="163"/>
      <c r="Q661" s="233"/>
      <c r="W661" s="183"/>
      <c r="AG661" s="184"/>
      <c r="AI661" s="185"/>
      <c r="AK661" s="186"/>
      <c r="BE661" s="187"/>
      <c r="BF661" s="188"/>
      <c r="BG661" s="189"/>
      <c r="BH661" s="147"/>
      <c r="BM661" s="190"/>
      <c r="BN661" s="147"/>
      <c r="BQ661" s="191"/>
      <c r="BR661" s="147"/>
      <c r="BS661" s="192"/>
      <c r="BT661" s="147"/>
      <c r="BU661" s="193"/>
      <c r="BV661" s="147"/>
      <c r="BW661" s="192"/>
      <c r="BX661" s="147"/>
      <c r="BY661" s="196"/>
      <c r="BZ661" s="147"/>
      <c r="CA661" s="192"/>
      <c r="CB661" s="147"/>
      <c r="CC661" s="194"/>
      <c r="CD661" s="147"/>
      <c r="CL661" s="195"/>
      <c r="CM661" s="188"/>
    </row>
    <row r="662" spans="10:91" ht="15">
      <c r="M662" s="163"/>
      <c r="Q662" s="233"/>
      <c r="W662" s="183"/>
      <c r="AG662" s="184"/>
      <c r="AI662" s="185"/>
      <c r="AK662" s="186"/>
      <c r="BE662" s="187"/>
      <c r="BF662" s="188"/>
      <c r="BG662" s="189"/>
      <c r="BH662" s="147"/>
      <c r="BM662" s="190"/>
      <c r="BN662" s="147"/>
      <c r="BQ662" s="191"/>
      <c r="BR662" s="147"/>
      <c r="BS662" s="192"/>
      <c r="BT662" s="147"/>
      <c r="BU662" s="193"/>
      <c r="BV662" s="147"/>
      <c r="BW662" s="192"/>
      <c r="BX662" s="147"/>
      <c r="BY662" s="196"/>
      <c r="BZ662" s="147"/>
      <c r="CA662" s="192"/>
      <c r="CB662" s="147"/>
      <c r="CC662" s="194"/>
      <c r="CD662" s="147"/>
      <c r="CL662" s="195"/>
      <c r="CM662" s="188"/>
    </row>
    <row r="663" spans="10:91" ht="15">
      <c r="M663" s="163"/>
      <c r="Q663" s="233"/>
      <c r="W663" s="183"/>
      <c r="AG663" s="184"/>
      <c r="AI663" s="185"/>
      <c r="AK663" s="186"/>
      <c r="BE663" s="187"/>
      <c r="BF663" s="188"/>
      <c r="BG663" s="189"/>
      <c r="BH663" s="147"/>
      <c r="BM663" s="190"/>
      <c r="BN663" s="147"/>
      <c r="BQ663" s="191"/>
      <c r="BR663" s="147"/>
      <c r="BS663" s="192"/>
      <c r="BT663" s="147"/>
      <c r="BU663" s="193"/>
      <c r="BV663" s="147"/>
      <c r="BW663" s="192"/>
      <c r="BX663" s="147"/>
      <c r="BY663" s="196"/>
      <c r="BZ663" s="147"/>
      <c r="CA663" s="192"/>
      <c r="CB663" s="147"/>
      <c r="CC663" s="194"/>
      <c r="CD663" s="147"/>
      <c r="CL663" s="195"/>
      <c r="CM663" s="188"/>
    </row>
    <row r="664" spans="10:91" ht="15">
      <c r="M664" s="163"/>
      <c r="Q664" s="233"/>
      <c r="W664" s="183"/>
      <c r="AG664" s="184"/>
      <c r="AI664" s="185"/>
      <c r="AK664" s="186"/>
      <c r="BE664" s="187"/>
      <c r="BF664" s="188"/>
      <c r="BG664" s="189"/>
      <c r="BH664" s="147"/>
      <c r="BM664" s="190"/>
      <c r="BN664" s="147"/>
      <c r="BQ664" s="191"/>
      <c r="BR664" s="147"/>
      <c r="BS664" s="192"/>
      <c r="BT664" s="147"/>
      <c r="BU664" s="193"/>
      <c r="BV664" s="147"/>
      <c r="BW664" s="192"/>
      <c r="BX664" s="147"/>
      <c r="BY664" s="196"/>
      <c r="BZ664" s="147"/>
      <c r="CA664" s="192"/>
      <c r="CB664" s="147"/>
      <c r="CC664" s="194"/>
      <c r="CD664" s="147"/>
      <c r="CL664" s="195"/>
      <c r="CM664" s="188"/>
    </row>
    <row r="665" spans="10:91" ht="15">
      <c r="M665" s="163"/>
      <c r="Q665" s="233"/>
      <c r="W665" s="183"/>
      <c r="AG665" s="184"/>
      <c r="AI665" s="185"/>
      <c r="AK665" s="186"/>
      <c r="BE665" s="187"/>
      <c r="BF665" s="188"/>
      <c r="BG665" s="189"/>
      <c r="BH665" s="147"/>
      <c r="BM665" s="190"/>
      <c r="BN665" s="147"/>
      <c r="BQ665" s="191"/>
      <c r="BR665" s="147"/>
      <c r="BS665" s="192"/>
      <c r="BT665" s="147"/>
      <c r="BU665" s="193"/>
      <c r="BV665" s="147"/>
      <c r="BW665" s="192"/>
      <c r="BX665" s="147"/>
      <c r="BY665" s="196"/>
      <c r="BZ665" s="147"/>
      <c r="CA665" s="192"/>
      <c r="CB665" s="147"/>
      <c r="CC665" s="194"/>
      <c r="CD665" s="147"/>
      <c r="CL665" s="195"/>
      <c r="CM665" s="188"/>
    </row>
    <row r="666" spans="10:91" ht="15">
      <c r="M666" s="163"/>
      <c r="Q666" s="233"/>
      <c r="W666" s="183"/>
      <c r="AG666" s="184"/>
      <c r="AI666" s="185"/>
      <c r="AK666" s="186"/>
      <c r="BE666" s="187"/>
      <c r="BF666" s="188"/>
      <c r="BG666" s="189"/>
      <c r="BH666" s="147"/>
      <c r="BM666" s="190"/>
      <c r="BN666" s="147"/>
      <c r="BQ666" s="191"/>
      <c r="BR666" s="147"/>
      <c r="BS666" s="192"/>
      <c r="BT666" s="147"/>
      <c r="BU666" s="193"/>
      <c r="BV666" s="147"/>
      <c r="BW666" s="192"/>
      <c r="BX666" s="147"/>
      <c r="BY666" s="196"/>
      <c r="BZ666" s="147"/>
      <c r="CA666" s="192"/>
      <c r="CB666" s="147"/>
      <c r="CC666" s="194"/>
      <c r="CD666" s="147"/>
      <c r="CL666" s="195"/>
      <c r="CM666" s="188"/>
    </row>
    <row r="667" spans="10:91" ht="15">
      <c r="M667" s="163"/>
      <c r="Q667" s="233"/>
      <c r="W667" s="183"/>
      <c r="AG667" s="184"/>
      <c r="AI667" s="185"/>
      <c r="AK667" s="186"/>
      <c r="BE667" s="187"/>
      <c r="BF667" s="188"/>
      <c r="BG667" s="189"/>
      <c r="BH667" s="147"/>
      <c r="BM667" s="190"/>
      <c r="BN667" s="147"/>
      <c r="BQ667" s="191"/>
      <c r="BR667" s="147"/>
      <c r="BS667" s="192"/>
      <c r="BT667" s="147"/>
      <c r="BU667" s="193"/>
      <c r="BV667" s="147"/>
      <c r="BW667" s="192"/>
      <c r="BX667" s="147"/>
      <c r="BY667" s="196"/>
      <c r="BZ667" s="147"/>
      <c r="CA667" s="192"/>
      <c r="CB667" s="147"/>
      <c r="CC667" s="194"/>
      <c r="CD667" s="147"/>
      <c r="CL667" s="195"/>
      <c r="CM667" s="188"/>
    </row>
    <row r="668" spans="10:91" ht="15">
      <c r="M668" s="163"/>
      <c r="Q668" s="233"/>
      <c r="W668" s="183"/>
      <c r="AG668" s="184"/>
      <c r="AI668" s="185"/>
      <c r="AK668" s="186"/>
      <c r="BE668" s="187"/>
      <c r="BF668" s="188"/>
      <c r="BG668" s="189"/>
      <c r="BH668" s="147"/>
      <c r="BM668" s="190"/>
      <c r="BN668" s="147"/>
      <c r="BQ668" s="191"/>
      <c r="BR668" s="147"/>
      <c r="BS668" s="192"/>
      <c r="BT668" s="147"/>
      <c r="BU668" s="193"/>
      <c r="BV668" s="147"/>
      <c r="BW668" s="192"/>
      <c r="BX668" s="147"/>
      <c r="BY668" s="196"/>
      <c r="BZ668" s="147"/>
      <c r="CA668" s="192"/>
      <c r="CB668" s="147"/>
      <c r="CC668" s="194"/>
      <c r="CD668" s="147"/>
      <c r="CL668" s="195"/>
      <c r="CM668" s="188"/>
    </row>
    <row r="669" spans="10:91" ht="15">
      <c r="J669" s="182"/>
      <c r="M669" s="163"/>
      <c r="Q669" s="233"/>
      <c r="W669" s="183"/>
      <c r="AG669" s="184"/>
      <c r="AI669" s="185"/>
      <c r="AK669" s="186"/>
      <c r="BE669" s="187"/>
      <c r="BF669" s="188"/>
      <c r="BG669" s="189"/>
      <c r="BH669" s="147"/>
      <c r="BM669" s="190"/>
      <c r="BN669" s="147"/>
      <c r="BQ669" s="191"/>
      <c r="BR669" s="147"/>
      <c r="BS669" s="192"/>
      <c r="BT669" s="147"/>
      <c r="BU669" s="193"/>
      <c r="BV669" s="147"/>
      <c r="BW669" s="192"/>
      <c r="BX669" s="147"/>
      <c r="BY669" s="196"/>
      <c r="BZ669" s="147"/>
      <c r="CA669" s="192"/>
      <c r="CB669" s="147"/>
      <c r="CC669" s="194"/>
      <c r="CD669" s="147"/>
      <c r="CL669" s="195"/>
      <c r="CM669" s="188"/>
    </row>
    <row r="670" spans="10:91" ht="15">
      <c r="M670" s="163"/>
      <c r="Q670" s="233"/>
      <c r="W670" s="183"/>
      <c r="AG670" s="184"/>
      <c r="AI670" s="185"/>
      <c r="AK670" s="186"/>
      <c r="BE670" s="187"/>
      <c r="BF670" s="188"/>
      <c r="BG670" s="189"/>
      <c r="BH670" s="147"/>
      <c r="BM670" s="190"/>
      <c r="BN670" s="147"/>
      <c r="BQ670" s="191"/>
      <c r="BR670" s="147"/>
      <c r="BS670" s="192"/>
      <c r="BT670" s="147"/>
      <c r="BU670" s="193"/>
      <c r="BV670" s="147"/>
      <c r="BW670" s="192"/>
      <c r="BX670" s="147"/>
      <c r="BY670" s="196"/>
      <c r="BZ670" s="147"/>
      <c r="CA670" s="192"/>
      <c r="CB670" s="147"/>
      <c r="CC670" s="194"/>
      <c r="CD670" s="147"/>
      <c r="CL670" s="195"/>
      <c r="CM670" s="188"/>
    </row>
    <row r="671" spans="10:91" ht="15">
      <c r="K671" s="178"/>
      <c r="M671" s="163"/>
      <c r="Q671" s="233"/>
      <c r="W671" s="183"/>
      <c r="AG671" s="184"/>
      <c r="AI671" s="185"/>
      <c r="AK671" s="186"/>
      <c r="BE671" s="187"/>
      <c r="BF671" s="188"/>
      <c r="BG671" s="189"/>
      <c r="BH671" s="147"/>
      <c r="BM671" s="190"/>
      <c r="BN671" s="147"/>
      <c r="BQ671" s="191"/>
      <c r="BR671" s="147"/>
      <c r="BS671" s="192"/>
      <c r="BT671" s="147"/>
      <c r="BU671" s="193"/>
      <c r="BV671" s="147"/>
      <c r="BW671" s="192"/>
      <c r="BX671" s="147"/>
      <c r="BY671" s="196"/>
      <c r="BZ671" s="147"/>
      <c r="CA671" s="192"/>
      <c r="CB671" s="147"/>
      <c r="CC671" s="194"/>
      <c r="CD671" s="147"/>
      <c r="CL671" s="195"/>
      <c r="CM671" s="188"/>
    </row>
    <row r="672" spans="10:91" ht="15">
      <c r="M672" s="163"/>
      <c r="Q672" s="233"/>
      <c r="W672" s="183"/>
      <c r="AG672" s="184"/>
      <c r="AI672" s="185"/>
      <c r="AK672" s="186"/>
      <c r="BE672" s="187"/>
      <c r="BF672" s="188"/>
      <c r="BG672" s="189"/>
      <c r="BH672" s="147"/>
      <c r="BM672" s="190"/>
      <c r="BN672" s="147"/>
      <c r="BQ672" s="191"/>
      <c r="BR672" s="147"/>
      <c r="BS672" s="192"/>
      <c r="BT672" s="147"/>
      <c r="BU672" s="193"/>
      <c r="BV672" s="147"/>
      <c r="BW672" s="192"/>
      <c r="BX672" s="147"/>
      <c r="BY672" s="196"/>
      <c r="BZ672" s="147"/>
      <c r="CA672" s="192"/>
      <c r="CB672" s="147"/>
      <c r="CC672" s="194"/>
      <c r="CD672" s="147"/>
      <c r="CL672" s="195"/>
      <c r="CM672" s="188"/>
    </row>
    <row r="673" spans="1:91" ht="15">
      <c r="I673" s="177"/>
      <c r="M673" s="163"/>
      <c r="Q673" s="233"/>
      <c r="W673" s="183"/>
      <c r="AG673" s="184"/>
      <c r="AI673" s="185"/>
      <c r="AK673" s="186"/>
      <c r="BE673" s="187"/>
      <c r="BF673" s="188"/>
      <c r="BG673" s="189"/>
      <c r="BH673" s="147"/>
      <c r="BM673" s="190"/>
      <c r="BN673" s="147"/>
      <c r="BQ673" s="191"/>
      <c r="BR673" s="147"/>
      <c r="BS673" s="192"/>
      <c r="BT673" s="147"/>
      <c r="BU673" s="193"/>
      <c r="BV673" s="147"/>
      <c r="BW673" s="192"/>
      <c r="BX673" s="147"/>
      <c r="BY673" s="196"/>
      <c r="BZ673" s="147"/>
      <c r="CA673" s="192"/>
      <c r="CB673" s="147"/>
      <c r="CC673" s="194"/>
      <c r="CD673" s="147"/>
      <c r="CL673" s="195"/>
      <c r="CM673" s="188"/>
    </row>
    <row r="674" spans="1:91" ht="15">
      <c r="M674" s="163"/>
      <c r="Q674" s="233"/>
      <c r="W674" s="183"/>
      <c r="AG674" s="184"/>
      <c r="AI674" s="185"/>
      <c r="AK674" s="186"/>
      <c r="BE674" s="187"/>
      <c r="BF674" s="188"/>
      <c r="BG674" s="189"/>
      <c r="BH674" s="147"/>
      <c r="BM674" s="190"/>
      <c r="BN674" s="147"/>
      <c r="BQ674" s="191"/>
      <c r="BR674" s="147"/>
      <c r="BS674" s="192"/>
      <c r="BT674" s="147"/>
      <c r="BU674" s="193"/>
      <c r="BV674" s="147"/>
      <c r="BW674" s="192"/>
      <c r="BX674" s="147"/>
      <c r="BY674" s="196"/>
      <c r="BZ674" s="147"/>
      <c r="CA674" s="192"/>
      <c r="CB674" s="147"/>
      <c r="CC674" s="194"/>
      <c r="CD674" s="147"/>
      <c r="CL674" s="195"/>
      <c r="CM674" s="188"/>
    </row>
    <row r="675" spans="1:91" ht="15">
      <c r="I675" s="177"/>
      <c r="M675" s="163"/>
      <c r="Q675" s="233"/>
      <c r="W675" s="183"/>
      <c r="AG675" s="184"/>
      <c r="AI675" s="185"/>
      <c r="AK675" s="186"/>
      <c r="BE675" s="187"/>
      <c r="BF675" s="188"/>
      <c r="BG675" s="189"/>
      <c r="BH675" s="147"/>
      <c r="BM675" s="190"/>
      <c r="BN675" s="147"/>
      <c r="BQ675" s="191"/>
      <c r="BR675" s="147"/>
      <c r="BS675" s="192"/>
      <c r="BT675" s="147"/>
      <c r="BU675" s="193"/>
      <c r="BV675" s="147"/>
      <c r="BW675" s="192"/>
      <c r="BX675" s="147"/>
      <c r="BY675" s="196"/>
      <c r="BZ675" s="147"/>
      <c r="CA675" s="192"/>
      <c r="CB675" s="147"/>
      <c r="CC675" s="194"/>
      <c r="CD675" s="147"/>
      <c r="CL675" s="195"/>
      <c r="CM675" s="188"/>
    </row>
    <row r="676" spans="1:91" ht="15">
      <c r="M676" s="163"/>
      <c r="Q676" s="233"/>
      <c r="W676" s="183"/>
      <c r="AG676" s="184"/>
      <c r="AI676" s="185"/>
      <c r="AK676" s="186"/>
      <c r="BE676" s="187"/>
      <c r="BF676" s="188"/>
      <c r="BG676" s="189"/>
      <c r="BH676" s="147"/>
      <c r="BM676" s="190"/>
      <c r="BN676" s="147"/>
      <c r="BQ676" s="191"/>
      <c r="BR676" s="147"/>
      <c r="BS676" s="192"/>
      <c r="BT676" s="147"/>
      <c r="BU676" s="193"/>
      <c r="BV676" s="147"/>
      <c r="BW676" s="192"/>
      <c r="BX676" s="147"/>
      <c r="BY676" s="196"/>
      <c r="BZ676" s="147"/>
      <c r="CA676" s="192"/>
      <c r="CB676" s="147"/>
      <c r="CC676" s="194"/>
      <c r="CD676" s="147"/>
      <c r="CL676" s="195"/>
      <c r="CM676" s="188"/>
    </row>
    <row r="677" spans="1:91" ht="15">
      <c r="M677" s="163"/>
      <c r="Q677" s="233"/>
      <c r="W677" s="183"/>
      <c r="AG677" s="184"/>
      <c r="AI677" s="185"/>
      <c r="AK677" s="186"/>
      <c r="BE677" s="187"/>
      <c r="BF677" s="188"/>
      <c r="BG677" s="189"/>
      <c r="BH677" s="147"/>
      <c r="BM677" s="190"/>
      <c r="BN677" s="147"/>
      <c r="BQ677" s="191"/>
      <c r="BR677" s="147"/>
      <c r="BS677" s="192"/>
      <c r="BT677" s="147"/>
      <c r="BU677" s="193"/>
      <c r="BV677" s="147"/>
      <c r="BW677" s="192"/>
      <c r="BX677" s="147"/>
      <c r="BY677" s="196"/>
      <c r="BZ677" s="147"/>
      <c r="CA677" s="192"/>
      <c r="CB677" s="147"/>
      <c r="CC677" s="194"/>
      <c r="CD677" s="147"/>
      <c r="CL677" s="195"/>
      <c r="CM677" s="188"/>
    </row>
    <row r="678" spans="1:91" ht="15">
      <c r="K678" s="181"/>
      <c r="M678" s="163"/>
      <c r="Q678" s="233"/>
      <c r="W678" s="183"/>
      <c r="AG678" s="184"/>
      <c r="AI678" s="185"/>
      <c r="AK678" s="186"/>
      <c r="BE678" s="187"/>
      <c r="BF678" s="188"/>
      <c r="BG678" s="189"/>
      <c r="BH678" s="147"/>
      <c r="BM678" s="190"/>
      <c r="BN678" s="147"/>
      <c r="BQ678" s="191"/>
      <c r="BR678" s="147"/>
      <c r="BS678" s="192"/>
      <c r="BT678" s="147"/>
      <c r="BU678" s="193"/>
      <c r="BV678" s="147"/>
      <c r="BW678" s="192"/>
      <c r="BX678" s="147"/>
      <c r="BY678" s="196"/>
      <c r="BZ678" s="147"/>
      <c r="CA678" s="192"/>
      <c r="CB678" s="147"/>
      <c r="CC678" s="194"/>
      <c r="CD678" s="147"/>
      <c r="CL678" s="195"/>
      <c r="CM678" s="188"/>
    </row>
    <row r="679" spans="1:91" ht="15">
      <c r="K679" s="181"/>
      <c r="M679" s="163"/>
      <c r="Q679" s="233"/>
      <c r="W679" s="183"/>
      <c r="AG679" s="184"/>
      <c r="AI679" s="185"/>
      <c r="AK679" s="186"/>
      <c r="BE679" s="187"/>
      <c r="BF679" s="188"/>
      <c r="BG679" s="189"/>
      <c r="BH679" s="147"/>
      <c r="BM679" s="190"/>
      <c r="BN679" s="147"/>
      <c r="BQ679" s="191"/>
      <c r="BR679" s="147"/>
      <c r="BS679" s="192"/>
      <c r="BT679" s="147"/>
      <c r="BU679" s="193"/>
      <c r="BV679" s="147"/>
      <c r="BW679" s="192"/>
      <c r="BX679" s="147"/>
      <c r="BY679" s="196"/>
      <c r="BZ679" s="147"/>
      <c r="CA679" s="192"/>
      <c r="CB679" s="147"/>
      <c r="CC679" s="194"/>
      <c r="CD679" s="147"/>
      <c r="CL679" s="195"/>
      <c r="CM679" s="188"/>
    </row>
    <row r="680" spans="1:91" ht="15">
      <c r="M680" s="163"/>
      <c r="Q680" s="233"/>
      <c r="W680" s="183"/>
      <c r="AG680" s="184"/>
      <c r="AI680" s="185"/>
      <c r="AK680" s="186"/>
      <c r="BE680" s="187"/>
      <c r="BF680" s="188"/>
      <c r="BG680" s="189"/>
      <c r="BH680" s="147"/>
      <c r="BM680" s="190"/>
      <c r="BN680" s="147"/>
      <c r="BQ680" s="191"/>
      <c r="BR680" s="147"/>
      <c r="BS680" s="192"/>
      <c r="BT680" s="147"/>
      <c r="BU680" s="193"/>
      <c r="BV680" s="147"/>
      <c r="BW680" s="192"/>
      <c r="BX680" s="147"/>
      <c r="BY680" s="196"/>
      <c r="BZ680" s="147"/>
      <c r="CA680" s="192"/>
      <c r="CB680" s="147"/>
      <c r="CC680" s="194"/>
      <c r="CD680" s="147"/>
      <c r="CL680" s="195"/>
      <c r="CM680" s="188"/>
    </row>
    <row r="681" spans="1:91" ht="15">
      <c r="M681" s="163"/>
      <c r="Q681" s="233"/>
      <c r="W681" s="183"/>
      <c r="AG681" s="184"/>
      <c r="AI681" s="185"/>
      <c r="AK681" s="186"/>
      <c r="BE681" s="187"/>
      <c r="BF681" s="188"/>
      <c r="BG681" s="189"/>
      <c r="BH681" s="147"/>
      <c r="BM681" s="190"/>
      <c r="BN681" s="147"/>
      <c r="BQ681" s="191"/>
      <c r="BR681" s="147"/>
      <c r="BS681" s="192"/>
      <c r="BT681" s="147"/>
      <c r="BU681" s="193"/>
      <c r="BV681" s="147"/>
      <c r="BW681" s="192"/>
      <c r="BX681" s="147"/>
      <c r="BY681" s="196"/>
      <c r="BZ681" s="147"/>
      <c r="CA681" s="192"/>
      <c r="CB681" s="147"/>
      <c r="CC681" s="194"/>
      <c r="CD681" s="147"/>
      <c r="CL681" s="195"/>
      <c r="CM681" s="188"/>
    </row>
    <row r="682" spans="1:91" ht="15">
      <c r="M682" s="163"/>
      <c r="Q682" s="233"/>
      <c r="W682" s="183"/>
      <c r="AG682" s="184"/>
      <c r="AI682" s="185"/>
      <c r="AK682" s="186"/>
      <c r="BE682" s="187"/>
      <c r="BF682" s="188"/>
      <c r="BG682" s="189"/>
      <c r="BH682" s="147"/>
      <c r="BM682" s="190"/>
      <c r="BN682" s="147"/>
      <c r="BQ682" s="191"/>
      <c r="BR682" s="147"/>
      <c r="BS682" s="192"/>
      <c r="BT682" s="147"/>
      <c r="BU682" s="193"/>
      <c r="BV682" s="147"/>
      <c r="BW682" s="192"/>
      <c r="BX682" s="147"/>
      <c r="BY682" s="196"/>
      <c r="BZ682" s="147"/>
      <c r="CA682" s="192"/>
      <c r="CB682" s="147"/>
      <c r="CC682" s="194"/>
      <c r="CD682" s="147"/>
      <c r="CL682" s="195"/>
      <c r="CM682" s="188"/>
    </row>
    <row r="683" spans="1:91" ht="15">
      <c r="K683" s="181"/>
      <c r="M683" s="163"/>
      <c r="Q683" s="233"/>
      <c r="W683" s="183"/>
      <c r="AG683" s="184"/>
      <c r="AI683" s="185"/>
      <c r="AK683" s="186"/>
      <c r="BE683" s="187"/>
      <c r="BF683" s="188"/>
      <c r="BG683" s="189"/>
      <c r="BH683" s="147"/>
      <c r="BM683" s="190"/>
      <c r="BN683" s="147"/>
      <c r="BQ683" s="191"/>
      <c r="BR683" s="147"/>
      <c r="BS683" s="192"/>
      <c r="BT683" s="147"/>
      <c r="BU683" s="193"/>
      <c r="BV683" s="147"/>
      <c r="BW683" s="192"/>
      <c r="BX683" s="147"/>
      <c r="BY683" s="196"/>
      <c r="BZ683" s="147"/>
      <c r="CA683" s="192"/>
      <c r="CB683" s="147"/>
      <c r="CC683" s="194"/>
      <c r="CD683" s="147"/>
      <c r="CL683" s="195"/>
      <c r="CM683" s="188"/>
    </row>
    <row r="684" spans="1:91" ht="15">
      <c r="M684" s="163"/>
      <c r="Q684" s="233"/>
      <c r="W684" s="183"/>
      <c r="AG684" s="184"/>
      <c r="AI684" s="185"/>
      <c r="AK684" s="186"/>
      <c r="BE684" s="187"/>
      <c r="BF684" s="188"/>
      <c r="BG684" s="189"/>
      <c r="BH684" s="147"/>
      <c r="BM684" s="190"/>
      <c r="BN684" s="147"/>
      <c r="BQ684" s="191"/>
      <c r="BR684" s="147"/>
      <c r="BS684" s="192"/>
      <c r="BT684" s="147"/>
      <c r="BU684" s="193"/>
      <c r="BV684" s="147"/>
      <c r="BW684" s="192"/>
      <c r="BX684" s="147"/>
      <c r="BY684" s="196"/>
      <c r="BZ684" s="147"/>
      <c r="CA684" s="192"/>
      <c r="CB684" s="147"/>
      <c r="CC684" s="194"/>
      <c r="CD684" s="147"/>
      <c r="CL684" s="195"/>
      <c r="CM684" s="188"/>
    </row>
    <row r="685" spans="1:91" ht="15">
      <c r="A685" s="221"/>
      <c r="B685" s="221"/>
      <c r="C685" s="222"/>
      <c r="D685" s="222"/>
      <c r="E685" s="222"/>
      <c r="G685" s="223"/>
      <c r="H685" s="223"/>
      <c r="I685" s="222"/>
      <c r="J685" s="222"/>
      <c r="K685" s="224"/>
      <c r="L685" s="225"/>
      <c r="M685" s="226"/>
      <c r="N685" s="225"/>
      <c r="O685" s="224"/>
      <c r="P685" s="225"/>
      <c r="Q685" s="233"/>
      <c r="R685" s="225"/>
      <c r="S685" s="224"/>
      <c r="T685" s="225"/>
      <c r="U685" s="224"/>
      <c r="V685" s="225"/>
      <c r="W685" s="226"/>
      <c r="X685" s="225"/>
      <c r="Z685" s="225"/>
      <c r="AA685" s="224"/>
      <c r="AB685" s="225"/>
      <c r="AC685" s="224"/>
      <c r="AD685" s="225"/>
      <c r="AE685" s="224"/>
      <c r="AF685" s="225"/>
      <c r="AG685" s="226"/>
      <c r="AH685" s="225"/>
      <c r="AI685" s="226"/>
      <c r="AJ685" s="225"/>
      <c r="AK685" s="226"/>
      <c r="AL685" s="225"/>
      <c r="AM685" s="224"/>
      <c r="AN685" s="225"/>
      <c r="AO685" s="224"/>
      <c r="AP685" s="224"/>
      <c r="AQ685" s="224"/>
      <c r="AR685" s="224"/>
      <c r="AS685" s="224"/>
      <c r="AT685" s="224"/>
      <c r="AU685" s="224"/>
      <c r="AV685" s="224"/>
      <c r="AW685" s="224"/>
      <c r="AX685" s="224"/>
      <c r="AY685" s="224"/>
      <c r="AZ685" s="224"/>
      <c r="BA685" s="224"/>
      <c r="BB685" s="224"/>
      <c r="BC685" s="224"/>
      <c r="BD685" s="224"/>
      <c r="BE685" s="226"/>
      <c r="BF685" s="227"/>
      <c r="BG685" s="228"/>
      <c r="BH685" s="225"/>
      <c r="BI685" s="229"/>
      <c r="BJ685" s="229"/>
      <c r="BK685" s="229"/>
      <c r="BL685" s="229"/>
      <c r="BM685" s="228"/>
      <c r="BN685" s="225"/>
      <c r="BO685" s="229"/>
      <c r="BP685" s="229"/>
      <c r="BQ685" s="228"/>
      <c r="BR685" s="225"/>
      <c r="BS685" s="228"/>
      <c r="BT685" s="225"/>
      <c r="BU685" s="228"/>
      <c r="BV685" s="225"/>
      <c r="BW685" s="228"/>
      <c r="BX685" s="225"/>
      <c r="BY685" s="228"/>
      <c r="BZ685" s="225"/>
      <c r="CA685" s="228"/>
      <c r="CB685" s="225"/>
      <c r="CC685" s="228"/>
      <c r="CD685" s="225"/>
      <c r="CE685" s="229"/>
      <c r="CF685" s="229"/>
      <c r="CG685" s="229"/>
      <c r="CH685" s="229"/>
      <c r="CI685" s="229"/>
      <c r="CJ685" s="229"/>
      <c r="CK685" s="229"/>
      <c r="CL685" s="228"/>
      <c r="CM685" s="227"/>
    </row>
    <row r="686" spans="1:91" ht="15">
      <c r="M686" s="163"/>
      <c r="Q686" s="233"/>
      <c r="W686" s="183"/>
      <c r="AG686" s="184"/>
      <c r="AI686" s="185"/>
      <c r="AK686" s="186"/>
      <c r="BE686" s="187"/>
      <c r="BF686" s="188"/>
      <c r="BG686" s="189"/>
      <c r="BH686" s="147"/>
      <c r="BM686" s="190"/>
      <c r="BN686" s="147"/>
      <c r="BQ686" s="191"/>
      <c r="BR686" s="147"/>
      <c r="BS686" s="192"/>
      <c r="BT686" s="147"/>
      <c r="BU686" s="193"/>
      <c r="BV686" s="147"/>
      <c r="BW686" s="192"/>
      <c r="BX686" s="147"/>
      <c r="BY686" s="196"/>
      <c r="BZ686" s="147"/>
      <c r="CA686" s="192"/>
      <c r="CB686" s="147"/>
      <c r="CC686" s="194"/>
      <c r="CD686" s="147"/>
      <c r="CL686" s="195"/>
      <c r="CM686" s="188"/>
    </row>
    <row r="687" spans="1:91" ht="15">
      <c r="M687" s="163"/>
      <c r="Q687" s="233"/>
      <c r="W687" s="183"/>
      <c r="AG687" s="184"/>
      <c r="AI687" s="185"/>
      <c r="AK687" s="186"/>
      <c r="BE687" s="187"/>
      <c r="BF687" s="188"/>
      <c r="BG687" s="189"/>
      <c r="BH687" s="147"/>
      <c r="BM687" s="190"/>
      <c r="BN687" s="147"/>
      <c r="BQ687" s="191"/>
      <c r="BR687" s="147"/>
      <c r="BS687" s="192"/>
      <c r="BT687" s="147"/>
      <c r="BU687" s="193"/>
      <c r="BV687" s="147"/>
      <c r="BW687" s="192"/>
      <c r="BX687" s="147"/>
      <c r="BY687" s="196"/>
      <c r="BZ687" s="147"/>
      <c r="CA687" s="192"/>
      <c r="CB687" s="147"/>
      <c r="CC687" s="194"/>
      <c r="CD687" s="147"/>
      <c r="CL687" s="195"/>
      <c r="CM687" s="188"/>
    </row>
    <row r="688" spans="1:91" ht="15">
      <c r="M688" s="163"/>
      <c r="Q688" s="233"/>
      <c r="W688" s="183"/>
      <c r="AG688" s="184"/>
      <c r="AI688" s="185"/>
      <c r="AK688" s="186"/>
      <c r="BE688" s="187"/>
      <c r="BF688" s="188"/>
      <c r="BG688" s="189"/>
      <c r="BH688" s="147"/>
      <c r="BM688" s="190"/>
      <c r="BN688" s="147"/>
      <c r="BQ688" s="191"/>
      <c r="BR688" s="147"/>
      <c r="BS688" s="192"/>
      <c r="BT688" s="147"/>
      <c r="BU688" s="193"/>
      <c r="BV688" s="147"/>
      <c r="BW688" s="192"/>
      <c r="BX688" s="147"/>
      <c r="BY688" s="196"/>
      <c r="BZ688" s="147"/>
      <c r="CA688" s="192"/>
      <c r="CB688" s="147"/>
      <c r="CC688" s="194"/>
      <c r="CD688" s="147"/>
      <c r="CL688" s="195"/>
      <c r="CM688" s="188"/>
    </row>
    <row r="689" spans="9:91" ht="15">
      <c r="M689" s="163"/>
      <c r="Q689" s="233"/>
      <c r="W689" s="183"/>
      <c r="AG689" s="184"/>
      <c r="AI689" s="185"/>
      <c r="AK689" s="186"/>
      <c r="BE689" s="187"/>
      <c r="BF689" s="188"/>
      <c r="BG689" s="189"/>
      <c r="BH689" s="147"/>
      <c r="BM689" s="190"/>
      <c r="BN689" s="147"/>
      <c r="BQ689" s="191"/>
      <c r="BR689" s="147"/>
      <c r="BS689" s="192"/>
      <c r="BT689" s="147"/>
      <c r="BU689" s="193"/>
      <c r="BV689" s="147"/>
      <c r="BW689" s="192"/>
      <c r="BX689" s="147"/>
      <c r="BY689" s="196"/>
      <c r="BZ689" s="147"/>
      <c r="CA689" s="192"/>
      <c r="CB689" s="147"/>
      <c r="CC689" s="194"/>
      <c r="CD689" s="147"/>
      <c r="CL689" s="195"/>
      <c r="CM689" s="188"/>
    </row>
    <row r="690" spans="9:91" ht="15">
      <c r="I690" s="177"/>
      <c r="M690" s="163"/>
      <c r="Q690" s="233"/>
      <c r="W690" s="183"/>
      <c r="AG690" s="184"/>
      <c r="AI690" s="185"/>
      <c r="AK690" s="186"/>
      <c r="BE690" s="187"/>
      <c r="BF690" s="188"/>
      <c r="BG690" s="189"/>
      <c r="BH690" s="147"/>
      <c r="BM690" s="190"/>
      <c r="BN690" s="147"/>
      <c r="BQ690" s="191"/>
      <c r="BR690" s="147"/>
      <c r="BS690" s="192"/>
      <c r="BT690" s="147"/>
      <c r="BU690" s="193"/>
      <c r="BV690" s="147"/>
      <c r="BW690" s="192"/>
      <c r="BX690" s="147"/>
      <c r="BY690" s="196"/>
      <c r="BZ690" s="147"/>
      <c r="CA690" s="192"/>
      <c r="CB690" s="147"/>
      <c r="CC690" s="194"/>
      <c r="CD690" s="147"/>
      <c r="CL690" s="195"/>
      <c r="CM690" s="188"/>
    </row>
    <row r="691" spans="9:91" ht="15">
      <c r="M691" s="163"/>
      <c r="Q691" s="233"/>
      <c r="W691" s="183"/>
      <c r="AG691" s="184"/>
      <c r="AI691" s="185"/>
      <c r="AK691" s="186"/>
      <c r="BE691" s="187"/>
      <c r="BF691" s="188"/>
      <c r="BG691" s="189"/>
      <c r="BH691" s="147"/>
      <c r="BM691" s="190"/>
      <c r="BN691" s="147"/>
      <c r="BQ691" s="191"/>
      <c r="BR691" s="147"/>
      <c r="BS691" s="192"/>
      <c r="BT691" s="147"/>
      <c r="BU691" s="193"/>
      <c r="BV691" s="147"/>
      <c r="BW691" s="192"/>
      <c r="BX691" s="147"/>
      <c r="BY691" s="196"/>
      <c r="BZ691" s="147"/>
      <c r="CA691" s="192"/>
      <c r="CB691" s="147"/>
      <c r="CC691" s="194"/>
      <c r="CD691" s="147"/>
      <c r="CL691" s="195"/>
      <c r="CM691" s="188"/>
    </row>
    <row r="692" spans="9:91" ht="15">
      <c r="M692" s="163"/>
      <c r="Q692" s="233"/>
      <c r="W692" s="183"/>
      <c r="AG692" s="184"/>
      <c r="AI692" s="185"/>
      <c r="AK692" s="186"/>
      <c r="BE692" s="187"/>
      <c r="BF692" s="188"/>
      <c r="BG692" s="189"/>
      <c r="BH692" s="147"/>
      <c r="BM692" s="190"/>
      <c r="BN692" s="147"/>
      <c r="BQ692" s="191"/>
      <c r="BR692" s="147"/>
      <c r="BS692" s="192"/>
      <c r="BT692" s="147"/>
      <c r="BU692" s="193"/>
      <c r="BV692" s="147"/>
      <c r="BW692" s="192"/>
      <c r="BX692" s="147"/>
      <c r="BY692" s="196"/>
      <c r="BZ692" s="147"/>
      <c r="CA692" s="192"/>
      <c r="CB692" s="147"/>
      <c r="CC692" s="194"/>
      <c r="CD692" s="147"/>
      <c r="CL692" s="195"/>
      <c r="CM692" s="188"/>
    </row>
    <row r="693" spans="9:91" ht="15">
      <c r="M693" s="163"/>
      <c r="Q693" s="233"/>
      <c r="W693" s="183"/>
      <c r="AG693" s="184"/>
      <c r="AI693" s="185"/>
      <c r="AK693" s="186"/>
      <c r="BE693" s="187"/>
      <c r="BF693" s="188"/>
      <c r="BG693" s="189"/>
      <c r="BH693" s="147"/>
      <c r="BM693" s="190"/>
      <c r="BN693" s="147"/>
      <c r="BQ693" s="191"/>
      <c r="BR693" s="147"/>
      <c r="BS693" s="192"/>
      <c r="BT693" s="147"/>
      <c r="BU693" s="193"/>
      <c r="BV693" s="147"/>
      <c r="BW693" s="192"/>
      <c r="BX693" s="147"/>
      <c r="BY693" s="196"/>
      <c r="BZ693" s="147"/>
      <c r="CA693" s="192"/>
      <c r="CB693" s="147"/>
      <c r="CC693" s="194"/>
      <c r="CD693" s="147"/>
      <c r="CL693" s="195"/>
      <c r="CM693" s="188"/>
    </row>
    <row r="694" spans="9:91" ht="15">
      <c r="M694" s="163"/>
      <c r="Q694" s="233"/>
      <c r="W694" s="183"/>
      <c r="AG694" s="184"/>
      <c r="AI694" s="185"/>
      <c r="AK694" s="186"/>
      <c r="BE694" s="187"/>
      <c r="BF694" s="188"/>
      <c r="BG694" s="189"/>
      <c r="BH694" s="147"/>
      <c r="BM694" s="190"/>
      <c r="BN694" s="147"/>
      <c r="BQ694" s="191"/>
      <c r="BR694" s="147"/>
      <c r="BS694" s="192"/>
      <c r="BT694" s="147"/>
      <c r="BU694" s="193"/>
      <c r="BV694" s="147"/>
      <c r="BW694" s="192"/>
      <c r="BX694" s="147"/>
      <c r="BY694" s="196"/>
      <c r="BZ694" s="147"/>
      <c r="CA694" s="192"/>
      <c r="CB694" s="147"/>
      <c r="CC694" s="194"/>
      <c r="CD694" s="147"/>
      <c r="CL694" s="195"/>
      <c r="CM694" s="188"/>
    </row>
    <row r="695" spans="9:91" ht="15">
      <c r="I695" s="177"/>
      <c r="M695" s="163"/>
      <c r="Q695" s="233"/>
      <c r="W695" s="183"/>
      <c r="AG695" s="184"/>
      <c r="AI695" s="185"/>
      <c r="AK695" s="186"/>
      <c r="BE695" s="187"/>
      <c r="BF695" s="188"/>
      <c r="BG695" s="189"/>
      <c r="BH695" s="147"/>
      <c r="BM695" s="190"/>
      <c r="BN695" s="147"/>
      <c r="BQ695" s="191"/>
      <c r="BR695" s="147"/>
      <c r="BS695" s="192"/>
      <c r="BT695" s="147"/>
      <c r="BU695" s="193"/>
      <c r="BV695" s="147"/>
      <c r="BW695" s="192"/>
      <c r="BX695" s="147"/>
      <c r="BY695" s="196"/>
      <c r="BZ695" s="147"/>
      <c r="CA695" s="192"/>
      <c r="CB695" s="147"/>
      <c r="CC695" s="194"/>
      <c r="CD695" s="147"/>
      <c r="CL695" s="195"/>
      <c r="CM695" s="188"/>
    </row>
    <row r="696" spans="9:91" ht="15">
      <c r="K696" s="178"/>
      <c r="M696" s="163"/>
      <c r="Q696" s="233"/>
      <c r="W696" s="183"/>
      <c r="AG696" s="184"/>
      <c r="AI696" s="185"/>
      <c r="AK696" s="186"/>
      <c r="BE696" s="187"/>
      <c r="BF696" s="188"/>
      <c r="BG696" s="189"/>
      <c r="BH696" s="147"/>
      <c r="BM696" s="190"/>
      <c r="BN696" s="147"/>
      <c r="BQ696" s="191"/>
      <c r="BR696" s="147"/>
      <c r="BS696" s="192"/>
      <c r="BT696" s="147"/>
      <c r="BU696" s="193"/>
      <c r="BV696" s="147"/>
      <c r="BW696" s="192"/>
      <c r="BX696" s="147"/>
      <c r="BY696" s="196"/>
      <c r="BZ696" s="147"/>
      <c r="CA696" s="192"/>
      <c r="CB696" s="147"/>
      <c r="CC696" s="194"/>
      <c r="CD696" s="147"/>
      <c r="CL696" s="195"/>
      <c r="CM696" s="188"/>
    </row>
    <row r="697" spans="9:91" ht="15">
      <c r="M697" s="163"/>
      <c r="Q697" s="233"/>
      <c r="W697" s="183"/>
      <c r="AG697" s="184"/>
      <c r="AI697" s="185"/>
      <c r="AK697" s="186"/>
      <c r="BE697" s="187"/>
      <c r="BF697" s="188"/>
      <c r="BG697" s="189"/>
      <c r="BH697" s="147"/>
      <c r="BM697" s="190"/>
      <c r="BN697" s="147"/>
      <c r="BQ697" s="191"/>
      <c r="BR697" s="147"/>
      <c r="BS697" s="192"/>
      <c r="BT697" s="147"/>
      <c r="BU697" s="193"/>
      <c r="BV697" s="147"/>
      <c r="BW697" s="192"/>
      <c r="BX697" s="147"/>
      <c r="BY697" s="196"/>
      <c r="BZ697" s="147"/>
      <c r="CA697" s="192"/>
      <c r="CB697" s="147"/>
      <c r="CC697" s="194"/>
      <c r="CD697" s="147"/>
      <c r="CL697" s="195"/>
      <c r="CM697" s="188"/>
    </row>
    <row r="698" spans="9:91" ht="15">
      <c r="I698" s="177"/>
      <c r="M698" s="163"/>
      <c r="Q698" s="233"/>
      <c r="W698" s="183"/>
      <c r="AG698" s="184"/>
      <c r="AI698" s="185"/>
      <c r="AK698" s="186"/>
      <c r="BE698" s="187"/>
      <c r="BF698" s="188"/>
      <c r="BG698" s="189"/>
      <c r="BH698" s="147"/>
      <c r="BM698" s="190"/>
      <c r="BN698" s="147"/>
      <c r="BQ698" s="191"/>
      <c r="BR698" s="147"/>
      <c r="BS698" s="192"/>
      <c r="BT698" s="147"/>
      <c r="BU698" s="193"/>
      <c r="BV698" s="147"/>
      <c r="BW698" s="192"/>
      <c r="BX698" s="147"/>
      <c r="BY698" s="196"/>
      <c r="BZ698" s="147"/>
      <c r="CA698" s="192"/>
      <c r="CB698" s="147"/>
      <c r="CC698" s="194"/>
      <c r="CD698" s="147"/>
      <c r="CL698" s="195"/>
      <c r="CM698" s="188"/>
    </row>
    <row r="699" spans="9:91" ht="15">
      <c r="M699" s="163"/>
      <c r="Q699" s="233"/>
      <c r="W699" s="183"/>
      <c r="AG699" s="184"/>
      <c r="AI699" s="185"/>
      <c r="AK699" s="186"/>
      <c r="BE699" s="187"/>
      <c r="BF699" s="188"/>
      <c r="BG699" s="189"/>
      <c r="BH699" s="147"/>
      <c r="BM699" s="190"/>
      <c r="BN699" s="147"/>
      <c r="BQ699" s="191"/>
      <c r="BR699" s="147"/>
      <c r="BS699" s="192"/>
      <c r="BT699" s="147"/>
      <c r="BU699" s="193"/>
      <c r="BV699" s="147"/>
      <c r="BW699" s="192"/>
      <c r="BX699" s="147"/>
      <c r="BY699" s="196"/>
      <c r="BZ699" s="147"/>
      <c r="CA699" s="192"/>
      <c r="CB699" s="147"/>
      <c r="CC699" s="194"/>
      <c r="CD699" s="147"/>
      <c r="CL699" s="195"/>
      <c r="CM699" s="188"/>
    </row>
    <row r="700" spans="9:91" ht="15">
      <c r="M700" s="163"/>
      <c r="Q700" s="233"/>
      <c r="W700" s="183"/>
      <c r="AG700" s="184"/>
      <c r="AI700" s="185"/>
      <c r="AK700" s="186"/>
      <c r="BE700" s="187"/>
      <c r="BF700" s="188"/>
      <c r="BG700" s="189"/>
      <c r="BH700" s="147"/>
      <c r="BM700" s="190"/>
      <c r="BN700" s="147"/>
      <c r="BQ700" s="191"/>
      <c r="BR700" s="147"/>
      <c r="BS700" s="192"/>
      <c r="BT700" s="147"/>
      <c r="BU700" s="193"/>
      <c r="BV700" s="147"/>
      <c r="BW700" s="192"/>
      <c r="BX700" s="147"/>
      <c r="BY700" s="196"/>
      <c r="BZ700" s="147"/>
      <c r="CA700" s="192"/>
      <c r="CB700" s="147"/>
      <c r="CC700" s="194"/>
      <c r="CD700" s="147"/>
      <c r="CL700" s="195"/>
      <c r="CM700" s="188"/>
    </row>
    <row r="701" spans="9:91" ht="15">
      <c r="M701" s="163"/>
      <c r="Q701" s="233"/>
      <c r="W701" s="183"/>
      <c r="AG701" s="184"/>
      <c r="AI701" s="185"/>
      <c r="AK701" s="186"/>
      <c r="BE701" s="187"/>
      <c r="BF701" s="188"/>
      <c r="BG701" s="189"/>
      <c r="BH701" s="147"/>
      <c r="BM701" s="190"/>
      <c r="BN701" s="147"/>
      <c r="BQ701" s="191"/>
      <c r="BR701" s="147"/>
      <c r="BS701" s="192"/>
      <c r="BT701" s="147"/>
      <c r="BU701" s="193"/>
      <c r="BV701" s="147"/>
      <c r="BW701" s="192"/>
      <c r="BX701" s="147"/>
      <c r="BY701" s="196"/>
      <c r="BZ701" s="147"/>
      <c r="CA701" s="192"/>
      <c r="CB701" s="147"/>
      <c r="CC701" s="194"/>
      <c r="CD701" s="147"/>
      <c r="CL701" s="195"/>
      <c r="CM701" s="188"/>
    </row>
    <row r="702" spans="9:91" ht="15">
      <c r="K702" s="178"/>
      <c r="M702" s="163"/>
      <c r="Q702" s="233"/>
      <c r="W702" s="183"/>
      <c r="AG702" s="184"/>
      <c r="AI702" s="185"/>
      <c r="AK702" s="186"/>
      <c r="BE702" s="187"/>
      <c r="BF702" s="188"/>
      <c r="BG702" s="189"/>
      <c r="BH702" s="147"/>
      <c r="BM702" s="190"/>
      <c r="BN702" s="147"/>
      <c r="BQ702" s="191"/>
      <c r="BR702" s="147"/>
      <c r="BS702" s="192"/>
      <c r="BT702" s="147"/>
      <c r="BU702" s="193"/>
      <c r="BV702" s="147"/>
      <c r="BW702" s="192"/>
      <c r="BX702" s="147"/>
      <c r="BY702" s="196"/>
      <c r="BZ702" s="147"/>
      <c r="CA702" s="192"/>
      <c r="CB702" s="147"/>
      <c r="CC702" s="194"/>
      <c r="CD702" s="147"/>
      <c r="CL702" s="195"/>
      <c r="CM702" s="188"/>
    </row>
    <row r="703" spans="9:91" ht="15">
      <c r="M703" s="163"/>
      <c r="Q703" s="233"/>
      <c r="W703" s="183"/>
      <c r="AG703" s="184"/>
      <c r="AI703" s="185"/>
      <c r="AK703" s="186"/>
      <c r="BE703" s="187"/>
      <c r="BF703" s="188"/>
      <c r="BG703" s="189"/>
      <c r="BH703" s="147"/>
      <c r="BM703" s="190"/>
      <c r="BN703" s="147"/>
      <c r="BQ703" s="191"/>
      <c r="BR703" s="147"/>
      <c r="BS703" s="192"/>
      <c r="BT703" s="147"/>
      <c r="BU703" s="193"/>
      <c r="BV703" s="147"/>
      <c r="BW703" s="192"/>
      <c r="BX703" s="147"/>
      <c r="BY703" s="196"/>
      <c r="BZ703" s="147"/>
      <c r="CA703" s="192"/>
      <c r="CB703" s="147"/>
      <c r="CC703" s="194"/>
      <c r="CD703" s="147"/>
      <c r="CL703" s="195"/>
      <c r="CM703" s="188"/>
    </row>
    <row r="704" spans="9:91" ht="15">
      <c r="I704" s="177"/>
      <c r="K704" s="178"/>
      <c r="M704" s="163"/>
      <c r="Q704" s="233"/>
      <c r="W704" s="183"/>
      <c r="AG704" s="184"/>
      <c r="AI704" s="185"/>
      <c r="AK704" s="186"/>
      <c r="BE704" s="187"/>
      <c r="BF704" s="188"/>
      <c r="BG704" s="189"/>
      <c r="BH704" s="147"/>
      <c r="BM704" s="190"/>
      <c r="BN704" s="147"/>
      <c r="BQ704" s="191"/>
      <c r="BR704" s="147"/>
      <c r="BS704" s="192"/>
      <c r="BT704" s="147"/>
      <c r="BU704" s="193"/>
      <c r="BV704" s="147"/>
      <c r="BW704" s="192"/>
      <c r="BX704" s="147"/>
      <c r="BY704" s="196"/>
      <c r="BZ704" s="147"/>
      <c r="CA704" s="192"/>
      <c r="CB704" s="147"/>
      <c r="CC704" s="194"/>
      <c r="CD704" s="147"/>
      <c r="CL704" s="195"/>
      <c r="CM704" s="188"/>
    </row>
    <row r="705" spans="9:91" ht="15">
      <c r="M705" s="163"/>
      <c r="Q705" s="233"/>
      <c r="W705" s="183"/>
      <c r="AG705" s="184"/>
      <c r="AI705" s="185"/>
      <c r="AK705" s="186"/>
      <c r="BE705" s="187"/>
      <c r="BF705" s="188"/>
      <c r="BG705" s="189"/>
      <c r="BH705" s="147"/>
      <c r="BM705" s="190"/>
      <c r="BN705" s="147"/>
      <c r="BQ705" s="191"/>
      <c r="BR705" s="147"/>
      <c r="BS705" s="192"/>
      <c r="BT705" s="147"/>
      <c r="BU705" s="193"/>
      <c r="BV705" s="147"/>
      <c r="BW705" s="192"/>
      <c r="BX705" s="147"/>
      <c r="BY705" s="196"/>
      <c r="BZ705" s="147"/>
      <c r="CA705" s="192"/>
      <c r="CB705" s="147"/>
      <c r="CC705" s="194"/>
      <c r="CD705" s="147"/>
      <c r="CL705" s="195"/>
      <c r="CM705" s="188"/>
    </row>
    <row r="706" spans="9:91" ht="15">
      <c r="K706" s="178"/>
      <c r="M706" s="163"/>
      <c r="Q706" s="233"/>
      <c r="W706" s="183"/>
      <c r="AG706" s="184"/>
      <c r="AI706" s="185"/>
      <c r="AK706" s="186"/>
      <c r="BE706" s="187"/>
      <c r="BF706" s="188"/>
      <c r="BG706" s="189"/>
      <c r="BH706" s="147"/>
      <c r="BM706" s="190"/>
      <c r="BN706" s="147"/>
      <c r="BQ706" s="191"/>
      <c r="BR706" s="147"/>
      <c r="BS706" s="192"/>
      <c r="BT706" s="147"/>
      <c r="BU706" s="193"/>
      <c r="BV706" s="147"/>
      <c r="BW706" s="192"/>
      <c r="BX706" s="147"/>
      <c r="BY706" s="196"/>
      <c r="BZ706" s="147"/>
      <c r="CA706" s="192"/>
      <c r="CB706" s="147"/>
      <c r="CC706" s="194"/>
      <c r="CD706" s="147"/>
      <c r="CL706" s="195"/>
      <c r="CM706" s="188"/>
    </row>
    <row r="707" spans="9:91" ht="15">
      <c r="K707" s="178"/>
      <c r="M707" s="163"/>
      <c r="Q707" s="233"/>
      <c r="W707" s="183"/>
      <c r="AG707" s="184"/>
      <c r="AI707" s="185"/>
      <c r="AK707" s="186"/>
      <c r="BE707" s="187"/>
      <c r="BF707" s="188"/>
      <c r="BG707" s="189"/>
      <c r="BH707" s="147"/>
      <c r="BM707" s="190"/>
      <c r="BN707" s="147"/>
      <c r="BQ707" s="191"/>
      <c r="BR707" s="147"/>
      <c r="BS707" s="192"/>
      <c r="BT707" s="147"/>
      <c r="BU707" s="193"/>
      <c r="BV707" s="147"/>
      <c r="BW707" s="192"/>
      <c r="BX707" s="147"/>
      <c r="BY707" s="196"/>
      <c r="BZ707" s="147"/>
      <c r="CA707" s="192"/>
      <c r="CB707" s="147"/>
      <c r="CC707" s="194"/>
      <c r="CD707" s="147"/>
      <c r="CL707" s="195"/>
      <c r="CM707" s="188"/>
    </row>
    <row r="708" spans="9:91" ht="15">
      <c r="M708" s="163"/>
      <c r="Q708" s="233"/>
      <c r="W708" s="183"/>
      <c r="AG708" s="184"/>
      <c r="AI708" s="185"/>
      <c r="AK708" s="186"/>
      <c r="BE708" s="187"/>
      <c r="BF708" s="188"/>
      <c r="BG708" s="189"/>
      <c r="BH708" s="147"/>
      <c r="BM708" s="190"/>
      <c r="BN708" s="147"/>
      <c r="BQ708" s="191"/>
      <c r="BR708" s="147"/>
      <c r="BS708" s="192"/>
      <c r="BT708" s="147"/>
      <c r="BU708" s="193"/>
      <c r="BV708" s="147"/>
      <c r="BW708" s="192"/>
      <c r="BX708" s="147"/>
      <c r="BY708" s="196"/>
      <c r="BZ708" s="147"/>
      <c r="CA708" s="192"/>
      <c r="CB708" s="147"/>
      <c r="CC708" s="194"/>
      <c r="CD708" s="147"/>
      <c r="CL708" s="195"/>
      <c r="CM708" s="188"/>
    </row>
    <row r="709" spans="9:91" ht="15">
      <c r="M709" s="163"/>
      <c r="Q709" s="233"/>
      <c r="W709" s="183"/>
      <c r="AG709" s="184"/>
      <c r="AI709" s="185"/>
      <c r="AK709" s="186"/>
      <c r="BE709" s="187"/>
      <c r="BF709" s="188"/>
      <c r="BG709" s="189"/>
      <c r="BH709" s="147"/>
      <c r="BM709" s="190"/>
      <c r="BN709" s="147"/>
      <c r="BQ709" s="191"/>
      <c r="BR709" s="147"/>
      <c r="BS709" s="192"/>
      <c r="BT709" s="147"/>
      <c r="BU709" s="193"/>
      <c r="BV709" s="147"/>
      <c r="BW709" s="192"/>
      <c r="BX709" s="147"/>
      <c r="BY709" s="196"/>
      <c r="BZ709" s="147"/>
      <c r="CA709" s="192"/>
      <c r="CB709" s="147"/>
      <c r="CC709" s="194"/>
      <c r="CD709" s="147"/>
      <c r="CL709" s="195"/>
      <c r="CM709" s="188"/>
    </row>
    <row r="710" spans="9:91" ht="15">
      <c r="I710" s="177"/>
      <c r="M710" s="163"/>
      <c r="Q710" s="233"/>
      <c r="W710" s="183"/>
      <c r="AG710" s="184"/>
      <c r="AI710" s="185"/>
      <c r="AK710" s="186"/>
      <c r="BE710" s="187"/>
      <c r="BF710" s="188"/>
      <c r="BG710" s="189"/>
      <c r="BH710" s="147"/>
      <c r="BM710" s="190"/>
      <c r="BN710" s="147"/>
      <c r="BQ710" s="191"/>
      <c r="BR710" s="147"/>
      <c r="BS710" s="192"/>
      <c r="BT710" s="147"/>
      <c r="BU710" s="193"/>
      <c r="BV710" s="147"/>
      <c r="BW710" s="192"/>
      <c r="BX710" s="147"/>
      <c r="BY710" s="196"/>
      <c r="BZ710" s="147"/>
      <c r="CA710" s="192"/>
      <c r="CB710" s="147"/>
      <c r="CC710" s="194"/>
      <c r="CD710" s="147"/>
      <c r="CL710" s="195"/>
      <c r="CM710" s="188"/>
    </row>
    <row r="711" spans="9:91" ht="15">
      <c r="M711" s="163"/>
      <c r="Q711" s="233"/>
      <c r="W711" s="183"/>
      <c r="AG711" s="184"/>
      <c r="AI711" s="185"/>
      <c r="AK711" s="186"/>
      <c r="BE711" s="187"/>
      <c r="BF711" s="188"/>
      <c r="BG711" s="189"/>
      <c r="BH711" s="147"/>
      <c r="BM711" s="190"/>
      <c r="BN711" s="147"/>
      <c r="BQ711" s="191"/>
      <c r="BR711" s="147"/>
      <c r="BS711" s="192"/>
      <c r="BT711" s="147"/>
      <c r="BU711" s="193"/>
      <c r="BV711" s="147"/>
      <c r="BW711" s="192"/>
      <c r="BX711" s="147"/>
      <c r="BY711" s="196"/>
      <c r="BZ711" s="147"/>
      <c r="CA711" s="192"/>
      <c r="CB711" s="147"/>
      <c r="CC711" s="194"/>
      <c r="CD711" s="147"/>
      <c r="CL711" s="195"/>
      <c r="CM711" s="188"/>
    </row>
    <row r="712" spans="9:91" ht="15">
      <c r="K712" s="178"/>
      <c r="M712" s="163"/>
      <c r="Q712" s="233"/>
      <c r="W712" s="183"/>
      <c r="AG712" s="184"/>
      <c r="AI712" s="185"/>
      <c r="AK712" s="186"/>
      <c r="BE712" s="187"/>
      <c r="BF712" s="188"/>
      <c r="BG712" s="189"/>
      <c r="BH712" s="147"/>
      <c r="BM712" s="190"/>
      <c r="BN712" s="147"/>
      <c r="BQ712" s="191"/>
      <c r="BR712" s="147"/>
      <c r="BS712" s="192"/>
      <c r="BT712" s="147"/>
      <c r="BU712" s="193"/>
      <c r="BV712" s="147"/>
      <c r="BW712" s="192"/>
      <c r="BX712" s="147"/>
      <c r="BY712" s="196"/>
      <c r="BZ712" s="147"/>
      <c r="CA712" s="192"/>
      <c r="CB712" s="147"/>
      <c r="CC712" s="194"/>
      <c r="CD712" s="147"/>
      <c r="CL712" s="195"/>
      <c r="CM712" s="188"/>
    </row>
    <row r="713" spans="9:91" ht="15">
      <c r="K713" s="178"/>
      <c r="M713" s="163"/>
      <c r="Q713" s="233"/>
      <c r="W713" s="183"/>
      <c r="AG713" s="184"/>
      <c r="AI713" s="185"/>
      <c r="AK713" s="186"/>
      <c r="BE713" s="187"/>
      <c r="BF713" s="188"/>
      <c r="BG713" s="189"/>
      <c r="BH713" s="147"/>
      <c r="BM713" s="190"/>
      <c r="BN713" s="147"/>
      <c r="BQ713" s="191"/>
      <c r="BR713" s="147"/>
      <c r="BS713" s="192"/>
      <c r="BT713" s="147"/>
      <c r="BU713" s="193"/>
      <c r="BV713" s="147"/>
      <c r="BW713" s="192"/>
      <c r="BX713" s="147"/>
      <c r="BY713" s="196"/>
      <c r="BZ713" s="147"/>
      <c r="CA713" s="192"/>
      <c r="CB713" s="147"/>
      <c r="CC713" s="194"/>
      <c r="CD713" s="147"/>
      <c r="CL713" s="195"/>
      <c r="CM713" s="188"/>
    </row>
    <row r="714" spans="9:91" ht="15">
      <c r="K714" s="178"/>
      <c r="M714" s="163"/>
      <c r="Q714" s="233"/>
      <c r="W714" s="183"/>
      <c r="AG714" s="184"/>
      <c r="AI714" s="185"/>
      <c r="AK714" s="186"/>
      <c r="BE714" s="187"/>
      <c r="BF714" s="188"/>
      <c r="BG714" s="189"/>
      <c r="BH714" s="147"/>
      <c r="BM714" s="190"/>
      <c r="BN714" s="147"/>
      <c r="BQ714" s="191"/>
      <c r="BR714" s="147"/>
      <c r="BS714" s="192"/>
      <c r="BT714" s="147"/>
      <c r="BU714" s="193"/>
      <c r="BV714" s="147"/>
      <c r="BW714" s="192"/>
      <c r="BX714" s="147"/>
      <c r="BY714" s="196"/>
      <c r="BZ714" s="147"/>
      <c r="CA714" s="192"/>
      <c r="CB714" s="147"/>
      <c r="CC714" s="194"/>
      <c r="CD714" s="147"/>
      <c r="CL714" s="195"/>
      <c r="CM714" s="188"/>
    </row>
    <row r="715" spans="9:91" ht="15">
      <c r="M715" s="163"/>
      <c r="Q715" s="233"/>
      <c r="W715" s="183"/>
      <c r="AG715" s="184"/>
      <c r="AI715" s="185"/>
      <c r="AK715" s="186"/>
      <c r="BE715" s="187"/>
      <c r="BF715" s="188"/>
      <c r="BG715" s="189"/>
      <c r="BH715" s="147"/>
      <c r="BM715" s="190"/>
      <c r="BN715" s="147"/>
      <c r="BQ715" s="191"/>
      <c r="BR715" s="147"/>
      <c r="BS715" s="192"/>
      <c r="BT715" s="147"/>
      <c r="BU715" s="193"/>
      <c r="BV715" s="147"/>
      <c r="BW715" s="192"/>
      <c r="BX715" s="147"/>
      <c r="BY715" s="196"/>
      <c r="BZ715" s="147"/>
      <c r="CA715" s="192"/>
      <c r="CB715" s="147"/>
      <c r="CC715" s="194"/>
      <c r="CD715" s="147"/>
      <c r="CL715" s="195"/>
      <c r="CM715" s="188"/>
    </row>
    <row r="716" spans="9:91" ht="15">
      <c r="K716" s="178"/>
      <c r="M716" s="163"/>
      <c r="Q716" s="233"/>
      <c r="W716" s="183"/>
      <c r="AG716" s="184"/>
      <c r="AI716" s="185"/>
      <c r="AK716" s="186"/>
      <c r="BE716" s="187"/>
      <c r="BF716" s="188"/>
      <c r="BG716" s="189"/>
      <c r="BH716" s="147"/>
      <c r="BM716" s="190"/>
      <c r="BN716" s="147"/>
      <c r="BQ716" s="191"/>
      <c r="BR716" s="147"/>
      <c r="BS716" s="192"/>
      <c r="BT716" s="147"/>
      <c r="BU716" s="193"/>
      <c r="BV716" s="147"/>
      <c r="BW716" s="192"/>
      <c r="BX716" s="147"/>
      <c r="BY716" s="196"/>
      <c r="BZ716" s="147"/>
      <c r="CA716" s="192"/>
      <c r="CB716" s="147"/>
      <c r="CC716" s="194"/>
      <c r="CD716" s="147"/>
      <c r="CL716" s="195"/>
      <c r="CM716" s="188"/>
    </row>
    <row r="717" spans="9:91" ht="15">
      <c r="K717" s="178"/>
      <c r="M717" s="163"/>
      <c r="Q717" s="233"/>
      <c r="W717" s="183"/>
      <c r="AG717" s="184"/>
      <c r="AI717" s="185"/>
      <c r="AK717" s="186"/>
      <c r="BE717" s="187"/>
      <c r="BF717" s="188"/>
      <c r="BG717" s="189"/>
      <c r="BH717" s="147"/>
      <c r="BM717" s="190"/>
      <c r="BN717" s="147"/>
      <c r="BQ717" s="191"/>
      <c r="BR717" s="147"/>
      <c r="BS717" s="192"/>
      <c r="BT717" s="147"/>
      <c r="BU717" s="193"/>
      <c r="BV717" s="147"/>
      <c r="BW717" s="192"/>
      <c r="BX717" s="147"/>
      <c r="BY717" s="196"/>
      <c r="BZ717" s="147"/>
      <c r="CA717" s="192"/>
      <c r="CB717" s="147"/>
      <c r="CC717" s="194"/>
      <c r="CD717" s="147"/>
      <c r="CL717" s="195"/>
      <c r="CM717" s="188"/>
    </row>
    <row r="718" spans="9:91" ht="15">
      <c r="K718" s="178"/>
      <c r="M718" s="163"/>
      <c r="Q718" s="233"/>
      <c r="W718" s="183"/>
      <c r="AG718" s="184"/>
      <c r="AI718" s="185"/>
      <c r="AK718" s="186"/>
      <c r="BE718" s="187"/>
      <c r="BF718" s="188"/>
      <c r="BG718" s="189"/>
      <c r="BH718" s="147"/>
      <c r="BM718" s="190"/>
      <c r="BN718" s="147"/>
      <c r="BQ718" s="191"/>
      <c r="BR718" s="147"/>
      <c r="BS718" s="192"/>
      <c r="BT718" s="147"/>
      <c r="BU718" s="193"/>
      <c r="BV718" s="147"/>
      <c r="BW718" s="192"/>
      <c r="BX718" s="147"/>
      <c r="BY718" s="196"/>
      <c r="BZ718" s="147"/>
      <c r="CA718" s="192"/>
      <c r="CB718" s="147"/>
      <c r="CC718" s="194"/>
      <c r="CD718" s="147"/>
      <c r="CL718" s="195"/>
      <c r="CM718" s="188"/>
    </row>
    <row r="719" spans="9:91" ht="15">
      <c r="K719" s="178"/>
      <c r="M719" s="163"/>
      <c r="Q719" s="233"/>
      <c r="W719" s="183"/>
      <c r="AG719" s="184"/>
      <c r="AI719" s="185"/>
      <c r="AK719" s="186"/>
      <c r="BE719" s="187"/>
      <c r="BF719" s="188"/>
      <c r="BG719" s="189"/>
      <c r="BH719" s="147"/>
      <c r="BM719" s="190"/>
      <c r="BN719" s="147"/>
      <c r="BQ719" s="191"/>
      <c r="BR719" s="147"/>
      <c r="BS719" s="192"/>
      <c r="BT719" s="147"/>
      <c r="BU719" s="193"/>
      <c r="BV719" s="147"/>
      <c r="BW719" s="192"/>
      <c r="BX719" s="147"/>
      <c r="BY719" s="196"/>
      <c r="BZ719" s="147"/>
      <c r="CA719" s="192"/>
      <c r="CB719" s="147"/>
      <c r="CC719" s="194"/>
      <c r="CD719" s="147"/>
      <c r="CL719" s="195"/>
      <c r="CM719" s="188"/>
    </row>
    <row r="720" spans="9:91" ht="15">
      <c r="K720" s="178"/>
      <c r="M720" s="163"/>
      <c r="Q720" s="233"/>
      <c r="W720" s="183"/>
      <c r="AG720" s="184"/>
      <c r="AI720" s="185"/>
      <c r="AK720" s="186"/>
      <c r="BE720" s="187"/>
      <c r="BF720" s="188"/>
      <c r="BG720" s="189"/>
      <c r="BH720" s="147"/>
      <c r="BM720" s="190"/>
      <c r="BN720" s="147"/>
      <c r="BQ720" s="191"/>
      <c r="BR720" s="147"/>
      <c r="BS720" s="192"/>
      <c r="BT720" s="147"/>
      <c r="BU720" s="193"/>
      <c r="BV720" s="147"/>
      <c r="BW720" s="192"/>
      <c r="BX720" s="147"/>
      <c r="BY720" s="196"/>
      <c r="BZ720" s="147"/>
      <c r="CA720" s="192"/>
      <c r="CB720" s="147"/>
      <c r="CC720" s="194"/>
      <c r="CD720" s="147"/>
      <c r="CL720" s="195"/>
      <c r="CM720" s="188"/>
    </row>
    <row r="721" spans="1:91" ht="15">
      <c r="M721" s="163"/>
      <c r="Q721" s="233"/>
      <c r="W721" s="183"/>
      <c r="AG721" s="184"/>
      <c r="AI721" s="185"/>
      <c r="AK721" s="186"/>
      <c r="BE721" s="187"/>
      <c r="BF721" s="188"/>
      <c r="BG721" s="189"/>
      <c r="BH721" s="147"/>
      <c r="BM721" s="190"/>
      <c r="BN721" s="147"/>
      <c r="BQ721" s="191"/>
      <c r="BR721" s="147"/>
      <c r="BS721" s="192"/>
      <c r="BT721" s="147"/>
      <c r="BU721" s="193"/>
      <c r="BV721" s="147"/>
      <c r="BW721" s="192"/>
      <c r="BX721" s="147"/>
      <c r="BY721" s="196"/>
      <c r="BZ721" s="147"/>
      <c r="CA721" s="192"/>
      <c r="CB721" s="147"/>
      <c r="CC721" s="194"/>
      <c r="CD721" s="147"/>
      <c r="CL721" s="195"/>
      <c r="CM721" s="188"/>
    </row>
    <row r="722" spans="1:91" s="229" customFormat="1" ht="15">
      <c r="A722" s="148"/>
      <c r="B722" s="148"/>
      <c r="C722" s="177"/>
      <c r="D722" s="177"/>
      <c r="E722" s="177"/>
      <c r="F722" s="111"/>
      <c r="G722" s="111"/>
      <c r="H722" s="111"/>
      <c r="I722" s="177"/>
      <c r="J722" s="177"/>
      <c r="K722" s="132"/>
      <c r="L722" s="147"/>
      <c r="M722" s="187"/>
      <c r="N722" s="147"/>
      <c r="O722" s="132"/>
      <c r="P722" s="147"/>
      <c r="Q722" s="233"/>
      <c r="R722" s="147"/>
      <c r="S722" s="132"/>
      <c r="T722" s="147"/>
      <c r="U722" s="132"/>
      <c r="V722" s="147"/>
      <c r="W722" s="187"/>
      <c r="X722" s="147"/>
      <c r="Y722" s="132"/>
      <c r="Z722" s="147"/>
      <c r="AA722" s="132"/>
      <c r="AB722" s="147"/>
      <c r="AC722" s="132"/>
      <c r="AD722" s="147"/>
      <c r="AE722" s="132"/>
      <c r="AF722" s="147"/>
      <c r="AG722" s="187"/>
      <c r="AH722" s="147"/>
      <c r="AI722" s="187"/>
      <c r="AJ722" s="147"/>
      <c r="AK722" s="187"/>
      <c r="AL722" s="147"/>
      <c r="AM722" s="132"/>
      <c r="AN722" s="147"/>
      <c r="AO722" s="132"/>
      <c r="AP722" s="132"/>
      <c r="AQ722" s="132"/>
      <c r="AR722" s="132"/>
      <c r="AS722" s="132"/>
      <c r="AT722" s="132"/>
      <c r="AU722" s="132"/>
      <c r="AV722" s="132"/>
      <c r="AW722" s="132"/>
      <c r="AX722" s="132"/>
      <c r="AY722" s="132"/>
      <c r="AZ722" s="132"/>
      <c r="BA722" s="132"/>
      <c r="BB722" s="132"/>
      <c r="BC722" s="132"/>
      <c r="BD722" s="132"/>
      <c r="BE722" s="187"/>
      <c r="BF722" s="188"/>
      <c r="BG722" s="196"/>
      <c r="BH722" s="147"/>
      <c r="BI722" s="133"/>
      <c r="BJ722" s="133"/>
      <c r="BK722" s="133"/>
      <c r="BL722" s="133"/>
      <c r="BM722" s="196"/>
      <c r="BN722" s="147"/>
      <c r="BO722" s="133"/>
      <c r="BP722" s="133"/>
      <c r="BQ722" s="196"/>
      <c r="BR722" s="147"/>
      <c r="BS722" s="196"/>
      <c r="BT722" s="147"/>
      <c r="BU722" s="196"/>
      <c r="BV722" s="147"/>
      <c r="BW722" s="196"/>
      <c r="BX722" s="147"/>
      <c r="BY722" s="196"/>
      <c r="BZ722" s="147"/>
      <c r="CA722" s="196"/>
      <c r="CB722" s="147"/>
      <c r="CC722" s="196"/>
      <c r="CD722" s="147"/>
      <c r="CE722" s="133"/>
      <c r="CF722" s="133"/>
      <c r="CG722" s="133"/>
      <c r="CH722" s="133"/>
      <c r="CI722" s="133"/>
      <c r="CJ722" s="133"/>
      <c r="CK722" s="133"/>
      <c r="CL722" s="196"/>
      <c r="CM722" s="188"/>
    </row>
    <row r="723" spans="1:91" s="229" customFormat="1" ht="15">
      <c r="A723" s="148"/>
      <c r="B723" s="148"/>
      <c r="C723" s="177"/>
      <c r="D723" s="177"/>
      <c r="E723" s="177"/>
      <c r="F723" s="111"/>
      <c r="G723" s="111"/>
      <c r="H723" s="111"/>
      <c r="I723" s="177"/>
      <c r="J723" s="177"/>
      <c r="K723" s="132"/>
      <c r="L723" s="147"/>
      <c r="M723" s="187"/>
      <c r="N723" s="147"/>
      <c r="O723" s="132"/>
      <c r="P723" s="147"/>
      <c r="Q723" s="233"/>
      <c r="R723" s="147"/>
      <c r="S723" s="132"/>
      <c r="T723" s="147"/>
      <c r="U723" s="132"/>
      <c r="V723" s="147"/>
      <c r="W723" s="187"/>
      <c r="X723" s="147"/>
      <c r="Y723" s="132"/>
      <c r="Z723" s="147"/>
      <c r="AA723" s="132"/>
      <c r="AB723" s="147"/>
      <c r="AC723" s="132"/>
      <c r="AD723" s="147"/>
      <c r="AE723" s="132"/>
      <c r="AF723" s="147"/>
      <c r="AG723" s="187"/>
      <c r="AH723" s="147"/>
      <c r="AI723" s="187"/>
      <c r="AJ723" s="147"/>
      <c r="AK723" s="187"/>
      <c r="AL723" s="147"/>
      <c r="AM723" s="132"/>
      <c r="AN723" s="147"/>
      <c r="AO723" s="132"/>
      <c r="AP723" s="132"/>
      <c r="AQ723" s="132"/>
      <c r="AR723" s="132"/>
      <c r="AS723" s="132"/>
      <c r="AT723" s="132"/>
      <c r="AU723" s="132"/>
      <c r="AV723" s="132"/>
      <c r="AW723" s="132"/>
      <c r="AX723" s="132"/>
      <c r="AY723" s="132"/>
      <c r="AZ723" s="132"/>
      <c r="BA723" s="132"/>
      <c r="BB723" s="132"/>
      <c r="BC723" s="132"/>
      <c r="BD723" s="132"/>
      <c r="BE723" s="187"/>
      <c r="BF723" s="188"/>
      <c r="BG723" s="196"/>
      <c r="BH723" s="147"/>
      <c r="BI723" s="133"/>
      <c r="BJ723" s="133"/>
      <c r="BK723" s="133"/>
      <c r="BL723" s="133"/>
      <c r="BM723" s="196"/>
      <c r="BN723" s="147"/>
      <c r="BO723" s="133"/>
      <c r="BP723" s="133"/>
      <c r="BQ723" s="196"/>
      <c r="BR723" s="147"/>
      <c r="BS723" s="196"/>
      <c r="BT723" s="147"/>
      <c r="BU723" s="196"/>
      <c r="BV723" s="147"/>
      <c r="BW723" s="196"/>
      <c r="BX723" s="147"/>
      <c r="BY723" s="196"/>
      <c r="BZ723" s="147"/>
      <c r="CA723" s="196"/>
      <c r="CB723" s="147"/>
      <c r="CC723" s="196"/>
      <c r="CD723" s="147"/>
      <c r="CE723" s="133"/>
      <c r="CF723" s="133"/>
      <c r="CG723" s="133"/>
      <c r="CH723" s="133"/>
      <c r="CI723" s="133"/>
      <c r="CJ723" s="133"/>
      <c r="CK723" s="133"/>
      <c r="CL723" s="196"/>
      <c r="CM723" s="188"/>
    </row>
    <row r="724" spans="1:91" s="229" customFormat="1" ht="15">
      <c r="A724" s="148"/>
      <c r="B724" s="148"/>
      <c r="C724" s="177"/>
      <c r="D724" s="177"/>
      <c r="E724" s="177"/>
      <c r="F724" s="111"/>
      <c r="G724" s="111"/>
      <c r="H724" s="111"/>
      <c r="I724" s="177"/>
      <c r="J724" s="177"/>
      <c r="K724" s="132"/>
      <c r="L724" s="147"/>
      <c r="M724" s="187"/>
      <c r="N724" s="147"/>
      <c r="O724" s="132"/>
      <c r="P724" s="147"/>
      <c r="Q724" s="233"/>
      <c r="R724" s="147"/>
      <c r="S724" s="132"/>
      <c r="T724" s="147"/>
      <c r="U724" s="132"/>
      <c r="V724" s="147"/>
      <c r="W724" s="187"/>
      <c r="X724" s="147"/>
      <c r="Y724" s="132"/>
      <c r="Z724" s="147"/>
      <c r="AA724" s="132"/>
      <c r="AB724" s="147"/>
      <c r="AC724" s="132"/>
      <c r="AD724" s="147"/>
      <c r="AE724" s="132"/>
      <c r="AF724" s="147"/>
      <c r="AG724" s="187"/>
      <c r="AH724" s="147"/>
      <c r="AI724" s="187"/>
      <c r="AJ724" s="147"/>
      <c r="AK724" s="187"/>
      <c r="AL724" s="147"/>
      <c r="AM724" s="132"/>
      <c r="AN724" s="147"/>
      <c r="AO724" s="132"/>
      <c r="AP724" s="132"/>
      <c r="AQ724" s="132"/>
      <c r="AR724" s="132"/>
      <c r="AS724" s="132"/>
      <c r="AT724" s="132"/>
      <c r="AU724" s="132"/>
      <c r="AV724" s="132"/>
      <c r="AW724" s="132"/>
      <c r="AX724" s="132"/>
      <c r="AY724" s="132"/>
      <c r="AZ724" s="132"/>
      <c r="BA724" s="132"/>
      <c r="BB724" s="132"/>
      <c r="BC724" s="132"/>
      <c r="BD724" s="132"/>
      <c r="BE724" s="187"/>
      <c r="BF724" s="188"/>
      <c r="BG724" s="196"/>
      <c r="BH724" s="147"/>
      <c r="BI724" s="133"/>
      <c r="BJ724" s="133"/>
      <c r="BK724" s="133"/>
      <c r="BL724" s="133"/>
      <c r="BM724" s="196"/>
      <c r="BN724" s="147"/>
      <c r="BO724" s="133"/>
      <c r="BP724" s="133"/>
      <c r="BQ724" s="196"/>
      <c r="BR724" s="147"/>
      <c r="BS724" s="196"/>
      <c r="BT724" s="147"/>
      <c r="BU724" s="196"/>
      <c r="BV724" s="147"/>
      <c r="BW724" s="196"/>
      <c r="BX724" s="147"/>
      <c r="BY724" s="196"/>
      <c r="BZ724" s="147"/>
      <c r="CA724" s="196"/>
      <c r="CB724" s="147"/>
      <c r="CC724" s="196"/>
      <c r="CD724" s="147"/>
      <c r="CE724" s="133"/>
      <c r="CF724" s="133"/>
      <c r="CG724" s="133"/>
      <c r="CH724" s="133"/>
      <c r="CI724" s="133"/>
      <c r="CJ724" s="133"/>
      <c r="CK724" s="133"/>
      <c r="CL724" s="196"/>
      <c r="CM724" s="188"/>
    </row>
    <row r="725" spans="1:91" s="229" customFormat="1" ht="15">
      <c r="A725" s="148"/>
      <c r="B725" s="148"/>
      <c r="C725" s="177"/>
      <c r="D725" s="177"/>
      <c r="E725" s="177"/>
      <c r="F725" s="111"/>
      <c r="G725" s="111"/>
      <c r="H725" s="111"/>
      <c r="I725" s="177"/>
      <c r="J725" s="177"/>
      <c r="K725" s="132"/>
      <c r="L725" s="147"/>
      <c r="M725" s="187"/>
      <c r="N725" s="147"/>
      <c r="O725" s="132"/>
      <c r="P725" s="147"/>
      <c r="Q725" s="233"/>
      <c r="R725" s="147"/>
      <c r="S725" s="132"/>
      <c r="T725" s="147"/>
      <c r="U725" s="132"/>
      <c r="V725" s="147"/>
      <c r="W725" s="187"/>
      <c r="X725" s="147"/>
      <c r="Y725" s="132"/>
      <c r="Z725" s="147"/>
      <c r="AA725" s="132"/>
      <c r="AB725" s="147"/>
      <c r="AC725" s="132"/>
      <c r="AD725" s="147"/>
      <c r="AE725" s="132"/>
      <c r="AF725" s="147"/>
      <c r="AG725" s="187"/>
      <c r="AH725" s="147"/>
      <c r="AI725" s="187"/>
      <c r="AJ725" s="147"/>
      <c r="AK725" s="187"/>
      <c r="AL725" s="147"/>
      <c r="AM725" s="132"/>
      <c r="AN725" s="147"/>
      <c r="AO725" s="132"/>
      <c r="AP725" s="132"/>
      <c r="AQ725" s="132"/>
      <c r="AR725" s="132"/>
      <c r="AS725" s="132"/>
      <c r="AT725" s="132"/>
      <c r="AU725" s="132"/>
      <c r="AV725" s="132"/>
      <c r="AW725" s="132"/>
      <c r="AX725" s="132"/>
      <c r="AY725" s="132"/>
      <c r="AZ725" s="132"/>
      <c r="BA725" s="132"/>
      <c r="BB725" s="132"/>
      <c r="BC725" s="132"/>
      <c r="BD725" s="132"/>
      <c r="BE725" s="187"/>
      <c r="BF725" s="188"/>
      <c r="BG725" s="196"/>
      <c r="BH725" s="147"/>
      <c r="BI725" s="133"/>
      <c r="BJ725" s="133"/>
      <c r="BK725" s="133"/>
      <c r="BL725" s="133"/>
      <c r="BM725" s="196"/>
      <c r="BN725" s="147"/>
      <c r="BO725" s="133"/>
      <c r="BP725" s="133"/>
      <c r="BQ725" s="196"/>
      <c r="BR725" s="147"/>
      <c r="BS725" s="196"/>
      <c r="BT725" s="147"/>
      <c r="BU725" s="196"/>
      <c r="BV725" s="147"/>
      <c r="BW725" s="196"/>
      <c r="BX725" s="147"/>
      <c r="BY725" s="196"/>
      <c r="BZ725" s="147"/>
      <c r="CA725" s="196"/>
      <c r="CB725" s="147"/>
      <c r="CC725" s="196"/>
      <c r="CD725" s="147"/>
      <c r="CE725" s="133"/>
      <c r="CF725" s="133"/>
      <c r="CG725" s="133"/>
      <c r="CH725" s="133"/>
      <c r="CI725" s="133"/>
      <c r="CJ725" s="133"/>
      <c r="CK725" s="133"/>
      <c r="CL725" s="196"/>
      <c r="CM725" s="188"/>
    </row>
    <row r="726" spans="1:91" ht="15">
      <c r="I726" s="177"/>
      <c r="M726" s="163"/>
      <c r="Q726" s="233"/>
      <c r="W726" s="183"/>
      <c r="AG726" s="184"/>
      <c r="AI726" s="185"/>
      <c r="AK726" s="186"/>
      <c r="BE726" s="187"/>
      <c r="BF726" s="188"/>
      <c r="BG726" s="189"/>
      <c r="BH726" s="147"/>
      <c r="BM726" s="190"/>
      <c r="BN726" s="147"/>
      <c r="BQ726" s="191"/>
      <c r="BR726" s="147"/>
      <c r="BS726" s="192"/>
      <c r="BT726" s="147"/>
      <c r="BU726" s="193"/>
      <c r="BV726" s="147"/>
      <c r="BW726" s="192"/>
      <c r="BX726" s="147"/>
      <c r="BY726" s="196"/>
      <c r="BZ726" s="147"/>
      <c r="CA726" s="192"/>
      <c r="CB726" s="147"/>
      <c r="CC726" s="194"/>
      <c r="CD726" s="147"/>
      <c r="CL726" s="195"/>
      <c r="CM726" s="188"/>
    </row>
    <row r="727" spans="1:91" ht="15">
      <c r="K727" s="181"/>
      <c r="M727" s="163"/>
      <c r="Q727" s="233"/>
      <c r="W727" s="183"/>
      <c r="AG727" s="184"/>
      <c r="AI727" s="185"/>
      <c r="AK727" s="186"/>
      <c r="BE727" s="187"/>
      <c r="BF727" s="188"/>
      <c r="BG727" s="189"/>
      <c r="BH727" s="147"/>
      <c r="BM727" s="190"/>
      <c r="BN727" s="147"/>
      <c r="BQ727" s="191"/>
      <c r="BR727" s="147"/>
      <c r="BS727" s="192"/>
      <c r="BT727" s="147"/>
      <c r="BU727" s="193"/>
      <c r="BV727" s="147"/>
      <c r="BW727" s="192"/>
      <c r="BX727" s="147"/>
      <c r="BY727" s="196"/>
      <c r="BZ727" s="147"/>
      <c r="CA727" s="192"/>
      <c r="CB727" s="147"/>
      <c r="CC727" s="194"/>
      <c r="CD727" s="147"/>
      <c r="CL727" s="195"/>
      <c r="CM727" s="188"/>
    </row>
    <row r="728" spans="1:91" ht="15">
      <c r="M728" s="163"/>
      <c r="Q728" s="233"/>
      <c r="W728" s="183"/>
      <c r="AG728" s="184"/>
      <c r="AI728" s="185"/>
      <c r="AK728" s="186"/>
      <c r="BE728" s="187"/>
      <c r="BF728" s="188"/>
      <c r="BG728" s="189"/>
      <c r="BH728" s="147"/>
      <c r="BM728" s="190"/>
      <c r="BN728" s="147"/>
      <c r="BQ728" s="191"/>
      <c r="BR728" s="147"/>
      <c r="BS728" s="192"/>
      <c r="BT728" s="147"/>
      <c r="BU728" s="193"/>
      <c r="BV728" s="147"/>
      <c r="BW728" s="192"/>
      <c r="BX728" s="147"/>
      <c r="BY728" s="196"/>
      <c r="BZ728" s="147"/>
      <c r="CA728" s="192"/>
      <c r="CB728" s="147"/>
      <c r="CC728" s="194"/>
      <c r="CD728" s="147"/>
      <c r="CL728" s="195"/>
      <c r="CM728" s="188"/>
    </row>
    <row r="729" spans="1:91" ht="15">
      <c r="M729" s="163"/>
      <c r="Q729" s="233"/>
      <c r="W729" s="183"/>
      <c r="AG729" s="184"/>
      <c r="AI729" s="185"/>
      <c r="AK729" s="186"/>
      <c r="BE729" s="187"/>
      <c r="BF729" s="188"/>
      <c r="BG729" s="189"/>
      <c r="BH729" s="147"/>
      <c r="BM729" s="190"/>
      <c r="BN729" s="147"/>
      <c r="BQ729" s="191"/>
      <c r="BR729" s="147"/>
      <c r="BS729" s="192"/>
      <c r="BT729" s="147"/>
      <c r="BU729" s="193"/>
      <c r="BV729" s="147"/>
      <c r="BW729" s="192"/>
      <c r="BX729" s="147"/>
      <c r="BY729" s="196"/>
      <c r="BZ729" s="147"/>
      <c r="CA729" s="192"/>
      <c r="CB729" s="147"/>
      <c r="CC729" s="194"/>
      <c r="CD729" s="147"/>
      <c r="CL729" s="195"/>
      <c r="CM729" s="188"/>
    </row>
    <row r="730" spans="1:91" ht="15">
      <c r="M730" s="163"/>
      <c r="Q730" s="233"/>
      <c r="W730" s="183"/>
      <c r="AG730" s="184"/>
      <c r="AI730" s="185"/>
      <c r="AK730" s="186"/>
      <c r="BE730" s="187"/>
      <c r="BF730" s="188"/>
      <c r="BG730" s="189"/>
      <c r="BH730" s="147"/>
      <c r="BM730" s="190"/>
      <c r="BN730" s="147"/>
      <c r="BQ730" s="191"/>
      <c r="BR730" s="147"/>
      <c r="BS730" s="192"/>
      <c r="BT730" s="147"/>
      <c r="BU730" s="193"/>
      <c r="BV730" s="147"/>
      <c r="BW730" s="192"/>
      <c r="BX730" s="147"/>
      <c r="BY730" s="196"/>
      <c r="BZ730" s="147"/>
      <c r="CA730" s="192"/>
      <c r="CB730" s="147"/>
      <c r="CC730" s="194"/>
      <c r="CD730" s="147"/>
      <c r="CL730" s="195"/>
      <c r="CM730" s="188"/>
    </row>
    <row r="731" spans="1:91" ht="15">
      <c r="A731" s="221"/>
      <c r="B731" s="221"/>
      <c r="C731" s="222"/>
      <c r="D731" s="222"/>
      <c r="E731" s="222"/>
      <c r="G731" s="223"/>
      <c r="H731" s="223"/>
      <c r="I731" s="222"/>
      <c r="J731" s="222"/>
      <c r="K731" s="224"/>
      <c r="L731" s="225"/>
      <c r="M731" s="226"/>
      <c r="N731" s="225"/>
      <c r="O731" s="224"/>
      <c r="P731" s="225"/>
      <c r="Q731" s="233"/>
      <c r="R731" s="225"/>
      <c r="S731" s="224"/>
      <c r="T731" s="225"/>
      <c r="U731" s="224"/>
      <c r="V731" s="225"/>
      <c r="W731" s="226"/>
      <c r="X731" s="225"/>
      <c r="Z731" s="225"/>
      <c r="AA731" s="224"/>
      <c r="AB731" s="225"/>
      <c r="AC731" s="224"/>
      <c r="AD731" s="225"/>
      <c r="AE731" s="224"/>
      <c r="AF731" s="225"/>
      <c r="AG731" s="226"/>
      <c r="AH731" s="225"/>
      <c r="AI731" s="226"/>
      <c r="AJ731" s="225"/>
      <c r="AK731" s="226"/>
      <c r="AL731" s="225"/>
      <c r="AM731" s="224"/>
      <c r="AN731" s="225"/>
      <c r="AO731" s="224"/>
      <c r="AP731" s="224"/>
      <c r="AQ731" s="224"/>
      <c r="AR731" s="224"/>
      <c r="AS731" s="224"/>
      <c r="AT731" s="224"/>
      <c r="AU731" s="224"/>
      <c r="AV731" s="224"/>
      <c r="AW731" s="224"/>
      <c r="AX731" s="224"/>
      <c r="AY731" s="224"/>
      <c r="AZ731" s="224"/>
      <c r="BA731" s="224"/>
      <c r="BB731" s="224"/>
      <c r="BC731" s="224"/>
      <c r="BD731" s="224"/>
      <c r="BE731" s="226"/>
      <c r="BF731" s="227"/>
      <c r="BG731" s="228"/>
      <c r="BH731" s="225"/>
      <c r="BI731" s="229"/>
      <c r="BJ731" s="229"/>
      <c r="BK731" s="229"/>
      <c r="BL731" s="229"/>
      <c r="BM731" s="228"/>
      <c r="BN731" s="225"/>
      <c r="BO731" s="229"/>
      <c r="BP731" s="229"/>
      <c r="BQ731" s="228"/>
      <c r="BR731" s="225"/>
      <c r="BS731" s="228"/>
      <c r="BT731" s="225"/>
      <c r="BU731" s="228"/>
      <c r="BV731" s="225"/>
      <c r="BW731" s="228"/>
      <c r="BX731" s="225"/>
      <c r="BY731" s="228"/>
      <c r="BZ731" s="225"/>
      <c r="CA731" s="228"/>
      <c r="CB731" s="225"/>
      <c r="CC731" s="228"/>
      <c r="CD731" s="225"/>
      <c r="CE731" s="229"/>
      <c r="CF731" s="229"/>
      <c r="CG731" s="229"/>
      <c r="CH731" s="229"/>
      <c r="CI731" s="229"/>
      <c r="CJ731" s="229"/>
      <c r="CK731" s="229"/>
      <c r="CL731" s="228"/>
      <c r="CM731" s="227"/>
    </row>
    <row r="732" spans="1:91" ht="15">
      <c r="I732" s="177"/>
      <c r="M732" s="163"/>
      <c r="Q732" s="233"/>
      <c r="W732" s="183"/>
      <c r="AG732" s="184"/>
      <c r="AI732" s="185"/>
      <c r="AK732" s="186"/>
      <c r="BE732" s="187"/>
      <c r="BF732" s="188"/>
      <c r="BG732" s="189"/>
      <c r="BH732" s="147"/>
      <c r="BM732" s="190"/>
      <c r="BN732" s="147"/>
      <c r="BQ732" s="191"/>
      <c r="BR732" s="147"/>
      <c r="BS732" s="192"/>
      <c r="BT732" s="147"/>
      <c r="BU732" s="193"/>
      <c r="BV732" s="147"/>
      <c r="BW732" s="192"/>
      <c r="BX732" s="147"/>
      <c r="BY732" s="196"/>
      <c r="BZ732" s="147"/>
      <c r="CA732" s="192"/>
      <c r="CB732" s="147"/>
      <c r="CC732" s="194"/>
      <c r="CD732" s="147"/>
      <c r="CL732" s="195"/>
      <c r="CM732" s="188"/>
    </row>
    <row r="733" spans="1:91" ht="15">
      <c r="K733" s="181"/>
      <c r="M733" s="163"/>
      <c r="Q733" s="233"/>
      <c r="W733" s="183"/>
      <c r="AG733" s="184"/>
      <c r="AI733" s="185"/>
      <c r="AK733" s="186"/>
      <c r="BE733" s="187"/>
      <c r="BF733" s="188"/>
      <c r="BG733" s="189"/>
      <c r="BH733" s="147"/>
      <c r="BM733" s="190"/>
      <c r="BN733" s="147"/>
      <c r="BQ733" s="191"/>
      <c r="BR733" s="147"/>
      <c r="BS733" s="192"/>
      <c r="BT733" s="147"/>
      <c r="BU733" s="193"/>
      <c r="BV733" s="147"/>
      <c r="BW733" s="192"/>
      <c r="BX733" s="147"/>
      <c r="BY733" s="196"/>
      <c r="BZ733" s="147"/>
      <c r="CA733" s="192"/>
      <c r="CB733" s="147"/>
      <c r="CC733" s="194"/>
      <c r="CD733" s="147"/>
      <c r="CL733" s="195"/>
      <c r="CM733" s="188"/>
    </row>
    <row r="734" spans="1:91" s="229" customFormat="1" ht="15">
      <c r="A734" s="148"/>
      <c r="B734" s="148"/>
      <c r="C734" s="177"/>
      <c r="D734" s="177"/>
      <c r="E734" s="177"/>
      <c r="F734" s="111"/>
      <c r="G734" s="111"/>
      <c r="H734" s="111"/>
      <c r="I734" s="177"/>
      <c r="J734" s="177"/>
      <c r="K734" s="132"/>
      <c r="L734" s="147"/>
      <c r="M734" s="187"/>
      <c r="N734" s="147"/>
      <c r="O734" s="132"/>
      <c r="P734" s="147"/>
      <c r="Q734" s="233"/>
      <c r="R734" s="147"/>
      <c r="S734" s="132"/>
      <c r="T734" s="147"/>
      <c r="U734" s="132"/>
      <c r="V734" s="147"/>
      <c r="W734" s="187"/>
      <c r="X734" s="147"/>
      <c r="Y734" s="132"/>
      <c r="Z734" s="147"/>
      <c r="AA734" s="132"/>
      <c r="AB734" s="147"/>
      <c r="AC734" s="132"/>
      <c r="AD734" s="147"/>
      <c r="AE734" s="132"/>
      <c r="AF734" s="147"/>
      <c r="AG734" s="187"/>
      <c r="AH734" s="147"/>
      <c r="AI734" s="187"/>
      <c r="AJ734" s="147"/>
      <c r="AK734" s="187"/>
      <c r="AL734" s="147"/>
      <c r="AM734" s="132"/>
      <c r="AN734" s="147"/>
      <c r="AO734" s="132"/>
      <c r="AP734" s="132"/>
      <c r="AQ734" s="132"/>
      <c r="AR734" s="132"/>
      <c r="AS734" s="132"/>
      <c r="AT734" s="132"/>
      <c r="AU734" s="132"/>
      <c r="AV734" s="132"/>
      <c r="AW734" s="132"/>
      <c r="AX734" s="132"/>
      <c r="AY734" s="132"/>
      <c r="AZ734" s="132"/>
      <c r="BA734" s="132"/>
      <c r="BB734" s="132"/>
      <c r="BC734" s="132"/>
      <c r="BD734" s="132"/>
      <c r="BE734" s="187"/>
      <c r="BF734" s="188"/>
      <c r="BG734" s="196"/>
      <c r="BH734" s="147"/>
      <c r="BI734" s="133"/>
      <c r="BJ734" s="133"/>
      <c r="BK734" s="133"/>
      <c r="BL734" s="133"/>
      <c r="BM734" s="196"/>
      <c r="BN734" s="147"/>
      <c r="BO734" s="133"/>
      <c r="BP734" s="133"/>
      <c r="BQ734" s="196"/>
      <c r="BR734" s="147"/>
      <c r="BS734" s="196"/>
      <c r="BT734" s="147"/>
      <c r="BU734" s="196"/>
      <c r="BV734" s="147"/>
      <c r="BW734" s="196"/>
      <c r="BX734" s="147"/>
      <c r="BY734" s="196"/>
      <c r="BZ734" s="147"/>
      <c r="CA734" s="196"/>
      <c r="CB734" s="147"/>
      <c r="CC734" s="196"/>
      <c r="CD734" s="147"/>
      <c r="CE734" s="133"/>
      <c r="CF734" s="133"/>
      <c r="CG734" s="133"/>
      <c r="CH734" s="133"/>
      <c r="CI734" s="133"/>
      <c r="CJ734" s="133"/>
      <c r="CK734" s="133"/>
      <c r="CL734" s="196"/>
      <c r="CM734" s="188"/>
    </row>
    <row r="735" spans="1:91" s="229" customFormat="1" ht="15">
      <c r="A735" s="148"/>
      <c r="B735" s="148"/>
      <c r="C735" s="177"/>
      <c r="D735" s="177"/>
      <c r="E735" s="177"/>
      <c r="F735" s="111"/>
      <c r="G735" s="111"/>
      <c r="H735" s="111"/>
      <c r="I735" s="177"/>
      <c r="J735" s="177"/>
      <c r="K735" s="181"/>
      <c r="L735" s="147"/>
      <c r="M735" s="187"/>
      <c r="N735" s="147"/>
      <c r="O735" s="132"/>
      <c r="P735" s="147"/>
      <c r="Q735" s="233"/>
      <c r="R735" s="147"/>
      <c r="S735" s="132"/>
      <c r="T735" s="147"/>
      <c r="U735" s="132"/>
      <c r="V735" s="147"/>
      <c r="W735" s="187"/>
      <c r="X735" s="147"/>
      <c r="Y735" s="132"/>
      <c r="Z735" s="147"/>
      <c r="AA735" s="132"/>
      <c r="AB735" s="147"/>
      <c r="AC735" s="132"/>
      <c r="AD735" s="147"/>
      <c r="AE735" s="132"/>
      <c r="AF735" s="147"/>
      <c r="AG735" s="187"/>
      <c r="AH735" s="147"/>
      <c r="AI735" s="187"/>
      <c r="AJ735" s="147"/>
      <c r="AK735" s="187"/>
      <c r="AL735" s="147"/>
      <c r="AM735" s="132"/>
      <c r="AN735" s="147"/>
      <c r="AO735" s="132"/>
      <c r="AP735" s="132"/>
      <c r="AQ735" s="132"/>
      <c r="AR735" s="132"/>
      <c r="AS735" s="132"/>
      <c r="AT735" s="132"/>
      <c r="AU735" s="132"/>
      <c r="AV735" s="132"/>
      <c r="AW735" s="132"/>
      <c r="AX735" s="132"/>
      <c r="AY735" s="132"/>
      <c r="AZ735" s="132"/>
      <c r="BA735" s="132"/>
      <c r="BB735" s="132"/>
      <c r="BC735" s="132"/>
      <c r="BD735" s="132"/>
      <c r="BE735" s="187"/>
      <c r="BF735" s="188"/>
      <c r="BG735" s="196"/>
      <c r="BH735" s="147"/>
      <c r="BI735" s="133"/>
      <c r="BJ735" s="133"/>
      <c r="BK735" s="133"/>
      <c r="BL735" s="133"/>
      <c r="BM735" s="196"/>
      <c r="BN735" s="147"/>
      <c r="BO735" s="133"/>
      <c r="BP735" s="133"/>
      <c r="BQ735" s="196"/>
      <c r="BR735" s="147"/>
      <c r="BS735" s="196"/>
      <c r="BT735" s="147"/>
      <c r="BU735" s="196"/>
      <c r="BV735" s="147"/>
      <c r="BW735" s="196"/>
      <c r="BX735" s="147"/>
      <c r="BY735" s="196"/>
      <c r="BZ735" s="147"/>
      <c r="CA735" s="196"/>
      <c r="CB735" s="147"/>
      <c r="CC735" s="196"/>
      <c r="CD735" s="147"/>
      <c r="CE735" s="133"/>
      <c r="CF735" s="133"/>
      <c r="CG735" s="133"/>
      <c r="CH735" s="133"/>
      <c r="CI735" s="133"/>
      <c r="CJ735" s="133"/>
      <c r="CK735" s="133"/>
      <c r="CL735" s="196"/>
      <c r="CM735" s="188"/>
    </row>
    <row r="736" spans="1:91" s="229" customFormat="1" ht="15">
      <c r="A736" s="148"/>
      <c r="B736" s="148"/>
      <c r="C736" s="177"/>
      <c r="D736" s="177"/>
      <c r="E736" s="177"/>
      <c r="F736" s="111"/>
      <c r="G736" s="111"/>
      <c r="H736" s="111"/>
      <c r="I736" s="177"/>
      <c r="J736" s="177"/>
      <c r="K736" s="181"/>
      <c r="L736" s="147"/>
      <c r="M736" s="187"/>
      <c r="N736" s="147"/>
      <c r="O736" s="132"/>
      <c r="P736" s="147"/>
      <c r="Q736" s="233"/>
      <c r="R736" s="147"/>
      <c r="S736" s="132"/>
      <c r="T736" s="147"/>
      <c r="U736" s="132"/>
      <c r="V736" s="147"/>
      <c r="W736" s="187"/>
      <c r="X736" s="147"/>
      <c r="Y736" s="132"/>
      <c r="Z736" s="147"/>
      <c r="AA736" s="132"/>
      <c r="AB736" s="147"/>
      <c r="AC736" s="132"/>
      <c r="AD736" s="147"/>
      <c r="AE736" s="132"/>
      <c r="AF736" s="147"/>
      <c r="AG736" s="187"/>
      <c r="AH736" s="147"/>
      <c r="AI736" s="187"/>
      <c r="AJ736" s="147"/>
      <c r="AK736" s="187"/>
      <c r="AL736" s="147"/>
      <c r="AM736" s="132"/>
      <c r="AN736" s="147"/>
      <c r="AO736" s="132"/>
      <c r="AP736" s="132"/>
      <c r="AQ736" s="132"/>
      <c r="AR736" s="132"/>
      <c r="AS736" s="132"/>
      <c r="AT736" s="132"/>
      <c r="AU736" s="132"/>
      <c r="AV736" s="132"/>
      <c r="AW736" s="132"/>
      <c r="AX736" s="132"/>
      <c r="AY736" s="132"/>
      <c r="AZ736" s="132"/>
      <c r="BA736" s="132"/>
      <c r="BB736" s="132"/>
      <c r="BC736" s="132"/>
      <c r="BD736" s="132"/>
      <c r="BE736" s="187"/>
      <c r="BF736" s="188"/>
      <c r="BG736" s="196"/>
      <c r="BH736" s="147"/>
      <c r="BI736" s="133"/>
      <c r="BJ736" s="133"/>
      <c r="BK736" s="133"/>
      <c r="BL736" s="133"/>
      <c r="BM736" s="196"/>
      <c r="BN736" s="147"/>
      <c r="BO736" s="133"/>
      <c r="BP736" s="133"/>
      <c r="BQ736" s="196"/>
      <c r="BR736" s="147"/>
      <c r="BS736" s="196"/>
      <c r="BT736" s="147"/>
      <c r="BU736" s="196"/>
      <c r="BV736" s="147"/>
      <c r="BW736" s="196"/>
      <c r="BX736" s="147"/>
      <c r="BY736" s="196"/>
      <c r="BZ736" s="147"/>
      <c r="CA736" s="196"/>
      <c r="CB736" s="147"/>
      <c r="CC736" s="196"/>
      <c r="CD736" s="147"/>
      <c r="CE736" s="133"/>
      <c r="CF736" s="133"/>
      <c r="CG736" s="133"/>
      <c r="CH736" s="133"/>
      <c r="CI736" s="133"/>
      <c r="CJ736" s="133"/>
      <c r="CK736" s="133"/>
      <c r="CL736" s="196"/>
      <c r="CM736" s="188"/>
    </row>
    <row r="737" spans="1:91" s="229" customFormat="1" ht="15">
      <c r="A737" s="148"/>
      <c r="B737" s="148"/>
      <c r="C737" s="177"/>
      <c r="D737" s="177"/>
      <c r="E737" s="177"/>
      <c r="F737" s="111"/>
      <c r="G737" s="111"/>
      <c r="H737" s="111"/>
      <c r="I737" s="177"/>
      <c r="J737" s="177"/>
      <c r="K737" s="181"/>
      <c r="L737" s="147"/>
      <c r="M737" s="187"/>
      <c r="N737" s="147"/>
      <c r="O737" s="132"/>
      <c r="P737" s="147"/>
      <c r="Q737" s="233"/>
      <c r="R737" s="147"/>
      <c r="S737" s="132"/>
      <c r="T737" s="147"/>
      <c r="U737" s="132"/>
      <c r="V737" s="147"/>
      <c r="W737" s="187"/>
      <c r="X737" s="147"/>
      <c r="Y737" s="132"/>
      <c r="Z737" s="147"/>
      <c r="AA737" s="132"/>
      <c r="AB737" s="147"/>
      <c r="AC737" s="132"/>
      <c r="AD737" s="147"/>
      <c r="AE737" s="132"/>
      <c r="AF737" s="147"/>
      <c r="AG737" s="187"/>
      <c r="AH737" s="147"/>
      <c r="AI737" s="187"/>
      <c r="AJ737" s="147"/>
      <c r="AK737" s="187"/>
      <c r="AL737" s="147"/>
      <c r="AM737" s="132"/>
      <c r="AN737" s="147"/>
      <c r="AO737" s="132"/>
      <c r="AP737" s="132"/>
      <c r="AQ737" s="132"/>
      <c r="AR737" s="132"/>
      <c r="AS737" s="132"/>
      <c r="AT737" s="132"/>
      <c r="AU737" s="132"/>
      <c r="AV737" s="132"/>
      <c r="AW737" s="132"/>
      <c r="AX737" s="132"/>
      <c r="AY737" s="132"/>
      <c r="AZ737" s="132"/>
      <c r="BA737" s="132"/>
      <c r="BB737" s="132"/>
      <c r="BC737" s="132"/>
      <c r="BD737" s="132"/>
      <c r="BE737" s="187"/>
      <c r="BF737" s="188"/>
      <c r="BG737" s="196"/>
      <c r="BH737" s="147"/>
      <c r="BI737" s="133"/>
      <c r="BJ737" s="133"/>
      <c r="BK737" s="133"/>
      <c r="BL737" s="133"/>
      <c r="BM737" s="196"/>
      <c r="BN737" s="147"/>
      <c r="BO737" s="133"/>
      <c r="BP737" s="133"/>
      <c r="BQ737" s="196"/>
      <c r="BR737" s="147"/>
      <c r="BS737" s="196"/>
      <c r="BT737" s="147"/>
      <c r="BU737" s="196"/>
      <c r="BV737" s="147"/>
      <c r="BW737" s="196"/>
      <c r="BX737" s="147"/>
      <c r="BY737" s="196"/>
      <c r="BZ737" s="147"/>
      <c r="CA737" s="196"/>
      <c r="CB737" s="147"/>
      <c r="CC737" s="196"/>
      <c r="CD737" s="147"/>
      <c r="CE737" s="133"/>
      <c r="CF737" s="133"/>
      <c r="CG737" s="133"/>
      <c r="CH737" s="133"/>
      <c r="CI737" s="133"/>
      <c r="CJ737" s="133"/>
      <c r="CK737" s="133"/>
      <c r="CL737" s="196"/>
      <c r="CM737" s="188"/>
    </row>
    <row r="738" spans="1:91" ht="15">
      <c r="M738" s="163"/>
      <c r="Q738" s="233"/>
      <c r="W738" s="183"/>
      <c r="AG738" s="184"/>
      <c r="AI738" s="185"/>
      <c r="AK738" s="186"/>
      <c r="BE738" s="187"/>
      <c r="BF738" s="188"/>
      <c r="BG738" s="189"/>
      <c r="BH738" s="147"/>
      <c r="BM738" s="190"/>
      <c r="BN738" s="147"/>
      <c r="BQ738" s="191"/>
      <c r="BR738" s="147"/>
      <c r="BS738" s="192"/>
      <c r="BT738" s="147"/>
      <c r="BU738" s="193"/>
      <c r="BV738" s="147"/>
      <c r="BW738" s="192"/>
      <c r="BX738" s="147"/>
      <c r="BY738" s="196"/>
      <c r="BZ738" s="147"/>
      <c r="CA738" s="192"/>
      <c r="CB738" s="147"/>
      <c r="CC738" s="194"/>
      <c r="CD738" s="147"/>
      <c r="CL738" s="195"/>
      <c r="CM738" s="188"/>
    </row>
    <row r="739" spans="1:91" ht="15">
      <c r="M739" s="163"/>
      <c r="Q739" s="233"/>
      <c r="W739" s="183"/>
      <c r="AG739" s="184"/>
      <c r="AI739" s="185"/>
      <c r="AK739" s="186"/>
      <c r="BE739" s="187"/>
      <c r="BF739" s="188"/>
      <c r="BG739" s="189"/>
      <c r="BH739" s="147"/>
      <c r="BM739" s="190"/>
      <c r="BN739" s="147"/>
      <c r="BQ739" s="191"/>
      <c r="BR739" s="147"/>
      <c r="BS739" s="192"/>
      <c r="BT739" s="147"/>
      <c r="BU739" s="193"/>
      <c r="BV739" s="147"/>
      <c r="BW739" s="192"/>
      <c r="BX739" s="147"/>
      <c r="BY739" s="196"/>
      <c r="BZ739" s="147"/>
      <c r="CA739" s="192"/>
      <c r="CB739" s="147"/>
      <c r="CC739" s="194"/>
      <c r="CD739" s="147"/>
      <c r="CL739" s="195"/>
      <c r="CM739" s="188"/>
    </row>
    <row r="740" spans="1:91" ht="15">
      <c r="M740" s="163"/>
      <c r="Q740" s="233"/>
      <c r="W740" s="183"/>
      <c r="AG740" s="184"/>
      <c r="AI740" s="185"/>
      <c r="AK740" s="186"/>
      <c r="BE740" s="187"/>
      <c r="BF740" s="188"/>
      <c r="BG740" s="189"/>
      <c r="BH740" s="147"/>
      <c r="BM740" s="190"/>
      <c r="BN740" s="147"/>
      <c r="BQ740" s="191"/>
      <c r="BR740" s="147"/>
      <c r="BS740" s="192"/>
      <c r="BT740" s="147"/>
      <c r="BU740" s="193"/>
      <c r="BV740" s="147"/>
      <c r="BW740" s="192"/>
      <c r="BX740" s="147"/>
      <c r="BY740" s="196"/>
      <c r="BZ740" s="147"/>
      <c r="CA740" s="192"/>
      <c r="CB740" s="147"/>
      <c r="CC740" s="194"/>
      <c r="CD740" s="147"/>
      <c r="CL740" s="195"/>
      <c r="CM740" s="188"/>
    </row>
    <row r="741" spans="1:91" ht="15">
      <c r="M741" s="163"/>
      <c r="Q741" s="233"/>
      <c r="W741" s="183"/>
      <c r="AG741" s="184"/>
      <c r="AI741" s="185"/>
      <c r="AK741" s="186"/>
      <c r="BE741" s="187"/>
      <c r="BF741" s="188"/>
      <c r="BG741" s="189"/>
      <c r="BH741" s="147"/>
      <c r="BM741" s="190"/>
      <c r="BN741" s="147"/>
      <c r="BQ741" s="191"/>
      <c r="BR741" s="147"/>
      <c r="BS741" s="192"/>
      <c r="BT741" s="147"/>
      <c r="BU741" s="193"/>
      <c r="BV741" s="147"/>
      <c r="BW741" s="192"/>
      <c r="BX741" s="147"/>
      <c r="BY741" s="196"/>
      <c r="BZ741" s="147"/>
      <c r="CA741" s="192"/>
      <c r="CB741" s="147"/>
      <c r="CC741" s="194"/>
      <c r="CD741" s="147"/>
      <c r="CL741" s="195"/>
      <c r="CM741" s="188"/>
    </row>
    <row r="742" spans="1:91" ht="15">
      <c r="M742" s="163"/>
      <c r="Q742" s="233"/>
      <c r="W742" s="183"/>
      <c r="AG742" s="184"/>
      <c r="AI742" s="185"/>
      <c r="AK742" s="186"/>
      <c r="BE742" s="187"/>
      <c r="BF742" s="188"/>
      <c r="BG742" s="189"/>
      <c r="BH742" s="147"/>
      <c r="BM742" s="190"/>
      <c r="BN742" s="147"/>
      <c r="BQ742" s="191"/>
      <c r="BR742" s="147"/>
      <c r="BS742" s="192"/>
      <c r="BT742" s="147"/>
      <c r="BU742" s="193"/>
      <c r="BV742" s="147"/>
      <c r="BW742" s="192"/>
      <c r="BX742" s="147"/>
      <c r="BY742" s="196"/>
      <c r="BZ742" s="147"/>
      <c r="CA742" s="192"/>
      <c r="CB742" s="147"/>
      <c r="CC742" s="194"/>
      <c r="CD742" s="147"/>
      <c r="CL742" s="195"/>
      <c r="CM742" s="188"/>
    </row>
    <row r="743" spans="1:91" ht="15">
      <c r="M743" s="163"/>
      <c r="Q743" s="233"/>
      <c r="W743" s="183"/>
      <c r="AG743" s="184"/>
      <c r="AI743" s="185"/>
      <c r="AK743" s="186"/>
      <c r="BE743" s="187"/>
      <c r="BF743" s="188"/>
      <c r="BG743" s="189"/>
      <c r="BH743" s="147"/>
      <c r="BM743" s="190"/>
      <c r="BN743" s="147"/>
      <c r="BQ743" s="191"/>
      <c r="BR743" s="147"/>
      <c r="BS743" s="192"/>
      <c r="BT743" s="147"/>
      <c r="BU743" s="193"/>
      <c r="BV743" s="147"/>
      <c r="BW743" s="192"/>
      <c r="BX743" s="147"/>
      <c r="BY743" s="196"/>
      <c r="BZ743" s="147"/>
      <c r="CA743" s="192"/>
      <c r="CB743" s="147"/>
      <c r="CC743" s="194"/>
      <c r="CD743" s="147"/>
      <c r="CL743" s="195"/>
      <c r="CM743" s="188"/>
    </row>
    <row r="744" spans="1:91" ht="15">
      <c r="M744" s="163"/>
      <c r="Q744" s="233"/>
      <c r="W744" s="183"/>
      <c r="AG744" s="184"/>
      <c r="AI744" s="185"/>
      <c r="AK744" s="186"/>
      <c r="BE744" s="187"/>
      <c r="BF744" s="188"/>
      <c r="BG744" s="189"/>
      <c r="BH744" s="147"/>
      <c r="BM744" s="190"/>
      <c r="BN744" s="147"/>
      <c r="BQ744" s="191"/>
      <c r="BR744" s="147"/>
      <c r="BS744" s="192"/>
      <c r="BT744" s="147"/>
      <c r="BU744" s="193"/>
      <c r="BV744" s="147"/>
      <c r="BW744" s="192"/>
      <c r="BX744" s="147"/>
      <c r="BY744" s="196"/>
      <c r="BZ744" s="147"/>
      <c r="CA744" s="192"/>
      <c r="CB744" s="147"/>
      <c r="CC744" s="194"/>
      <c r="CD744" s="147"/>
      <c r="CL744" s="195"/>
      <c r="CM744" s="188"/>
    </row>
    <row r="745" spans="1:91" ht="15">
      <c r="M745" s="163"/>
      <c r="Q745" s="233"/>
      <c r="W745" s="183"/>
      <c r="AG745" s="184"/>
      <c r="AI745" s="185"/>
      <c r="AK745" s="186"/>
      <c r="BE745" s="187"/>
      <c r="BF745" s="188"/>
      <c r="BG745" s="189"/>
      <c r="BH745" s="147"/>
      <c r="BM745" s="190"/>
      <c r="BN745" s="147"/>
      <c r="BQ745" s="191"/>
      <c r="BR745" s="147"/>
      <c r="BS745" s="192"/>
      <c r="BT745" s="147"/>
      <c r="BU745" s="193"/>
      <c r="BV745" s="147"/>
      <c r="BW745" s="192"/>
      <c r="BX745" s="147"/>
      <c r="BY745" s="196"/>
      <c r="BZ745" s="147"/>
      <c r="CA745" s="192"/>
      <c r="CB745" s="147"/>
      <c r="CC745" s="194"/>
      <c r="CD745" s="147"/>
      <c r="CL745" s="195"/>
      <c r="CM745" s="188"/>
    </row>
    <row r="746" spans="1:91" ht="15">
      <c r="M746" s="163"/>
      <c r="Q746" s="233"/>
      <c r="W746" s="183"/>
      <c r="AG746" s="184"/>
      <c r="AI746" s="185"/>
      <c r="AK746" s="186"/>
      <c r="BE746" s="187"/>
      <c r="BF746" s="188"/>
      <c r="BG746" s="189"/>
      <c r="BH746" s="147"/>
      <c r="BM746" s="190"/>
      <c r="BN746" s="147"/>
      <c r="BQ746" s="191"/>
      <c r="BR746" s="147"/>
      <c r="BS746" s="192"/>
      <c r="BT746" s="147"/>
      <c r="BU746" s="193"/>
      <c r="BV746" s="147"/>
      <c r="BW746" s="192"/>
      <c r="BX746" s="147"/>
      <c r="BY746" s="196"/>
      <c r="BZ746" s="147"/>
      <c r="CA746" s="192"/>
      <c r="CB746" s="147"/>
      <c r="CC746" s="194"/>
      <c r="CD746" s="147"/>
      <c r="CL746" s="195"/>
      <c r="CM746" s="188"/>
    </row>
    <row r="747" spans="1:91" ht="15">
      <c r="I747" s="177"/>
      <c r="K747" s="181"/>
      <c r="M747" s="163"/>
      <c r="Q747" s="233"/>
      <c r="W747" s="183"/>
      <c r="AG747" s="184"/>
      <c r="AI747" s="185"/>
      <c r="AK747" s="186"/>
      <c r="BE747" s="187"/>
      <c r="BF747" s="188"/>
      <c r="BG747" s="189"/>
      <c r="BH747" s="147"/>
      <c r="BM747" s="190"/>
      <c r="BN747" s="147"/>
      <c r="BQ747" s="191"/>
      <c r="BR747" s="147"/>
      <c r="BS747" s="192"/>
      <c r="BT747" s="147"/>
      <c r="BU747" s="193"/>
      <c r="BV747" s="147"/>
      <c r="BW747" s="192"/>
      <c r="BX747" s="147"/>
      <c r="BY747" s="196"/>
      <c r="BZ747" s="147"/>
      <c r="CA747" s="192"/>
      <c r="CB747" s="147"/>
      <c r="CC747" s="194"/>
      <c r="CD747" s="147"/>
      <c r="CL747" s="195"/>
      <c r="CM747" s="188"/>
    </row>
    <row r="748" spans="1:91" ht="15">
      <c r="M748" s="163"/>
      <c r="Q748" s="233"/>
      <c r="W748" s="183"/>
      <c r="AG748" s="184"/>
      <c r="AI748" s="185"/>
      <c r="AK748" s="186"/>
      <c r="BE748" s="187"/>
      <c r="BF748" s="188"/>
      <c r="BG748" s="189"/>
      <c r="BH748" s="147"/>
      <c r="BM748" s="190"/>
      <c r="BN748" s="147"/>
      <c r="BQ748" s="191"/>
      <c r="BR748" s="147"/>
      <c r="BS748" s="192"/>
      <c r="BT748" s="147"/>
      <c r="BU748" s="193"/>
      <c r="BV748" s="147"/>
      <c r="BW748" s="192"/>
      <c r="BX748" s="147"/>
      <c r="BY748" s="196"/>
      <c r="BZ748" s="147"/>
      <c r="CA748" s="192"/>
      <c r="CB748" s="147"/>
      <c r="CC748" s="194"/>
      <c r="CD748" s="147"/>
      <c r="CL748" s="195"/>
      <c r="CM748" s="188"/>
    </row>
    <row r="749" spans="1:91" ht="15">
      <c r="M749" s="163"/>
      <c r="Q749" s="233"/>
      <c r="W749" s="183"/>
      <c r="AG749" s="184"/>
      <c r="AI749" s="185"/>
      <c r="AK749" s="186"/>
      <c r="BE749" s="187"/>
      <c r="BF749" s="188"/>
      <c r="BG749" s="189"/>
      <c r="BH749" s="147"/>
      <c r="BM749" s="190"/>
      <c r="BN749" s="147"/>
      <c r="BQ749" s="191"/>
      <c r="BR749" s="147"/>
      <c r="BS749" s="192"/>
      <c r="BT749" s="147"/>
      <c r="BU749" s="193"/>
      <c r="BV749" s="147"/>
      <c r="BW749" s="192"/>
      <c r="BX749" s="147"/>
      <c r="BY749" s="196"/>
      <c r="BZ749" s="147"/>
      <c r="CA749" s="192"/>
      <c r="CB749" s="147"/>
      <c r="CC749" s="194"/>
      <c r="CD749" s="147"/>
      <c r="CL749" s="195"/>
      <c r="CM749" s="188"/>
    </row>
    <row r="750" spans="1:91" ht="15">
      <c r="I750" s="177"/>
      <c r="M750" s="163"/>
      <c r="Q750" s="233"/>
      <c r="W750" s="183"/>
      <c r="AG750" s="184"/>
      <c r="AI750" s="185"/>
      <c r="AK750" s="186"/>
      <c r="BE750" s="187"/>
      <c r="BF750" s="188"/>
      <c r="BG750" s="189"/>
      <c r="BH750" s="147"/>
      <c r="BM750" s="190"/>
      <c r="BN750" s="147"/>
      <c r="BQ750" s="191"/>
      <c r="BR750" s="147"/>
      <c r="BS750" s="192"/>
      <c r="BT750" s="147"/>
      <c r="BU750" s="193"/>
      <c r="BV750" s="147"/>
      <c r="BW750" s="192"/>
      <c r="BX750" s="147"/>
      <c r="BY750" s="196"/>
      <c r="BZ750" s="147"/>
      <c r="CA750" s="192"/>
      <c r="CB750" s="147"/>
      <c r="CC750" s="194"/>
      <c r="CD750" s="147"/>
      <c r="CL750" s="195"/>
      <c r="CM750" s="188"/>
    </row>
    <row r="751" spans="1:91" ht="15">
      <c r="A751" s="221"/>
      <c r="B751" s="221"/>
      <c r="C751" s="222"/>
      <c r="D751" s="222"/>
      <c r="E751" s="222"/>
      <c r="G751" s="223"/>
      <c r="H751" s="223"/>
      <c r="I751" s="222"/>
      <c r="J751" s="222"/>
      <c r="K751" s="224"/>
      <c r="L751" s="225"/>
      <c r="M751" s="226"/>
      <c r="N751" s="225"/>
      <c r="O751" s="224"/>
      <c r="P751" s="225"/>
      <c r="Q751" s="233"/>
      <c r="R751" s="225"/>
      <c r="S751" s="224"/>
      <c r="T751" s="225"/>
      <c r="U751" s="224"/>
      <c r="V751" s="225"/>
      <c r="W751" s="226"/>
      <c r="X751" s="225"/>
      <c r="Z751" s="225"/>
      <c r="AA751" s="224"/>
      <c r="AB751" s="225"/>
      <c r="AC751" s="224"/>
      <c r="AD751" s="225"/>
      <c r="AE751" s="224"/>
      <c r="AF751" s="225"/>
      <c r="AG751" s="226"/>
      <c r="AH751" s="225"/>
      <c r="AI751" s="226"/>
      <c r="AJ751" s="225"/>
      <c r="AK751" s="226"/>
      <c r="AL751" s="225"/>
      <c r="AM751" s="224"/>
      <c r="AN751" s="225"/>
      <c r="AO751" s="224"/>
      <c r="AP751" s="224"/>
      <c r="AQ751" s="224"/>
      <c r="AR751" s="224"/>
      <c r="AS751" s="224"/>
      <c r="AT751" s="224"/>
      <c r="AU751" s="224"/>
      <c r="AV751" s="224"/>
      <c r="AW751" s="224"/>
      <c r="AX751" s="224"/>
      <c r="AY751" s="224"/>
      <c r="AZ751" s="224"/>
      <c r="BA751" s="224"/>
      <c r="BB751" s="224"/>
      <c r="BC751" s="224"/>
      <c r="BD751" s="224"/>
      <c r="BE751" s="226"/>
      <c r="BF751" s="227"/>
      <c r="BG751" s="228"/>
      <c r="BH751" s="225"/>
      <c r="BI751" s="229"/>
      <c r="BJ751" s="229"/>
      <c r="BK751" s="229"/>
      <c r="BL751" s="229"/>
      <c r="BM751" s="228"/>
      <c r="BN751" s="225"/>
      <c r="BO751" s="229"/>
      <c r="BP751" s="229"/>
      <c r="BQ751" s="228"/>
      <c r="BR751" s="225"/>
      <c r="BS751" s="228"/>
      <c r="BT751" s="225"/>
      <c r="BU751" s="228"/>
      <c r="BV751" s="225"/>
      <c r="BW751" s="228"/>
      <c r="BX751" s="225"/>
      <c r="BY751" s="228"/>
      <c r="BZ751" s="225"/>
      <c r="CA751" s="228"/>
      <c r="CB751" s="225"/>
      <c r="CC751" s="228"/>
      <c r="CD751" s="225"/>
      <c r="CE751" s="229"/>
      <c r="CF751" s="229"/>
      <c r="CG751" s="229"/>
      <c r="CH751" s="229"/>
      <c r="CI751" s="229"/>
      <c r="CJ751" s="229"/>
      <c r="CK751" s="229"/>
      <c r="CL751" s="228"/>
      <c r="CM751" s="227"/>
    </row>
    <row r="752" spans="1:91" ht="15">
      <c r="I752" s="177"/>
      <c r="M752" s="163"/>
      <c r="Q752" s="233"/>
      <c r="W752" s="183"/>
      <c r="AG752" s="184"/>
      <c r="AI752" s="185"/>
      <c r="AK752" s="186"/>
      <c r="BE752" s="187"/>
      <c r="BF752" s="188"/>
      <c r="BG752" s="189"/>
      <c r="BH752" s="147"/>
      <c r="BM752" s="190"/>
      <c r="BN752" s="147"/>
      <c r="BQ752" s="191"/>
      <c r="BR752" s="147"/>
      <c r="BS752" s="192"/>
      <c r="BT752" s="147"/>
      <c r="BU752" s="193"/>
      <c r="BV752" s="147"/>
      <c r="BW752" s="192"/>
      <c r="BX752" s="147"/>
      <c r="BY752" s="196"/>
      <c r="BZ752" s="147"/>
      <c r="CA752" s="192"/>
      <c r="CB752" s="147"/>
      <c r="CC752" s="194"/>
      <c r="CD752" s="147"/>
      <c r="CL752" s="195"/>
      <c r="CM752" s="188"/>
    </row>
    <row r="753" spans="1:91" ht="15">
      <c r="M753" s="163"/>
      <c r="Q753" s="233"/>
      <c r="W753" s="183"/>
      <c r="AG753" s="184"/>
      <c r="AI753" s="185"/>
      <c r="AK753" s="186"/>
      <c r="BE753" s="187"/>
      <c r="BF753" s="188"/>
      <c r="BG753" s="189"/>
      <c r="BH753" s="147"/>
      <c r="BM753" s="190"/>
      <c r="BN753" s="147"/>
      <c r="BQ753" s="191"/>
      <c r="BR753" s="147"/>
      <c r="BS753" s="192"/>
      <c r="BT753" s="147"/>
      <c r="BU753" s="193"/>
      <c r="BV753" s="147"/>
      <c r="BW753" s="192"/>
      <c r="BX753" s="147"/>
      <c r="BY753" s="196"/>
      <c r="BZ753" s="147"/>
      <c r="CA753" s="192"/>
      <c r="CB753" s="147"/>
      <c r="CC753" s="194"/>
      <c r="CD753" s="147"/>
      <c r="CL753" s="195"/>
      <c r="CM753" s="188"/>
    </row>
    <row r="754" spans="1:91" ht="15">
      <c r="M754" s="163"/>
      <c r="Q754" s="233"/>
      <c r="W754" s="183"/>
      <c r="AG754" s="184"/>
      <c r="AI754" s="185"/>
      <c r="AK754" s="186"/>
      <c r="BE754" s="187"/>
      <c r="BF754" s="188"/>
      <c r="BG754" s="189"/>
      <c r="BH754" s="147"/>
      <c r="BM754" s="190"/>
      <c r="BN754" s="147"/>
      <c r="BQ754" s="191"/>
      <c r="BR754" s="147"/>
      <c r="BS754" s="192"/>
      <c r="BT754" s="147"/>
      <c r="BU754" s="193"/>
      <c r="BV754" s="147"/>
      <c r="BW754" s="192"/>
      <c r="BX754" s="147"/>
      <c r="BY754" s="196"/>
      <c r="BZ754" s="147"/>
      <c r="CA754" s="192"/>
      <c r="CB754" s="147"/>
      <c r="CC754" s="194"/>
      <c r="CD754" s="147"/>
      <c r="CL754" s="195"/>
      <c r="CM754" s="188"/>
    </row>
    <row r="755" spans="1:91" ht="15">
      <c r="M755" s="163"/>
      <c r="Q755" s="233"/>
      <c r="W755" s="183"/>
      <c r="AG755" s="184"/>
      <c r="AI755" s="185"/>
      <c r="AK755" s="186"/>
      <c r="BE755" s="187"/>
      <c r="BF755" s="188"/>
      <c r="BG755" s="189"/>
      <c r="BH755" s="147"/>
      <c r="BM755" s="190"/>
      <c r="BN755" s="147"/>
      <c r="BQ755" s="191"/>
      <c r="BR755" s="147"/>
      <c r="BS755" s="192"/>
      <c r="BT755" s="147"/>
      <c r="BU755" s="193"/>
      <c r="BV755" s="147"/>
      <c r="BW755" s="192"/>
      <c r="BX755" s="147"/>
      <c r="BY755" s="196"/>
      <c r="BZ755" s="147"/>
      <c r="CA755" s="192"/>
      <c r="CB755" s="147"/>
      <c r="CC755" s="194"/>
      <c r="CD755" s="147"/>
      <c r="CL755" s="195"/>
      <c r="CM755" s="188"/>
    </row>
    <row r="756" spans="1:91" ht="15">
      <c r="M756" s="163"/>
      <c r="Q756" s="233"/>
      <c r="W756" s="183"/>
      <c r="AG756" s="184"/>
      <c r="AI756" s="185"/>
      <c r="AK756" s="186"/>
      <c r="BE756" s="187"/>
      <c r="BF756" s="188"/>
      <c r="BG756" s="189"/>
      <c r="BH756" s="147"/>
      <c r="BM756" s="190"/>
      <c r="BN756" s="147"/>
      <c r="BQ756" s="191"/>
      <c r="BR756" s="147"/>
      <c r="BS756" s="192"/>
      <c r="BT756" s="147"/>
      <c r="BU756" s="193"/>
      <c r="BV756" s="147"/>
      <c r="BW756" s="192"/>
      <c r="BX756" s="147"/>
      <c r="BY756" s="196"/>
      <c r="BZ756" s="147"/>
      <c r="CA756" s="192"/>
      <c r="CB756" s="147"/>
      <c r="CC756" s="194"/>
      <c r="CD756" s="147"/>
      <c r="CL756" s="195"/>
      <c r="CM756" s="188"/>
    </row>
    <row r="757" spans="1:91" ht="15">
      <c r="M757" s="163"/>
      <c r="Q757" s="233"/>
      <c r="W757" s="183"/>
      <c r="AG757" s="184"/>
      <c r="AI757" s="185"/>
      <c r="AK757" s="186"/>
      <c r="BE757" s="187"/>
      <c r="BF757" s="188"/>
      <c r="BG757" s="189"/>
      <c r="BH757" s="147"/>
      <c r="BM757" s="190"/>
      <c r="BN757" s="147"/>
      <c r="BQ757" s="191"/>
      <c r="BR757" s="147"/>
      <c r="BS757" s="192"/>
      <c r="BT757" s="147"/>
      <c r="BU757" s="193"/>
      <c r="BV757" s="147"/>
      <c r="BW757" s="192"/>
      <c r="BX757" s="147"/>
      <c r="BY757" s="196"/>
      <c r="BZ757" s="147"/>
      <c r="CA757" s="192"/>
      <c r="CB757" s="147"/>
      <c r="CC757" s="194"/>
      <c r="CD757" s="147"/>
      <c r="CL757" s="195"/>
      <c r="CM757" s="188"/>
    </row>
    <row r="758" spans="1:91" s="229" customFormat="1" ht="15">
      <c r="A758" s="148"/>
      <c r="B758" s="148"/>
      <c r="C758" s="177"/>
      <c r="D758" s="177"/>
      <c r="E758" s="177"/>
      <c r="F758" s="111"/>
      <c r="G758" s="111"/>
      <c r="H758" s="111"/>
      <c r="I758" s="177"/>
      <c r="J758" s="177"/>
      <c r="K758" s="132"/>
      <c r="L758" s="147"/>
      <c r="M758" s="187"/>
      <c r="N758" s="147"/>
      <c r="O758" s="132"/>
      <c r="P758" s="147"/>
      <c r="Q758" s="233"/>
      <c r="R758" s="147"/>
      <c r="S758" s="132"/>
      <c r="T758" s="147"/>
      <c r="U758" s="132"/>
      <c r="V758" s="147"/>
      <c r="W758" s="187"/>
      <c r="X758" s="147"/>
      <c r="Y758" s="132"/>
      <c r="Z758" s="147"/>
      <c r="AA758" s="132"/>
      <c r="AB758" s="147"/>
      <c r="AC758" s="132"/>
      <c r="AD758" s="147"/>
      <c r="AE758" s="132"/>
      <c r="AF758" s="147"/>
      <c r="AG758" s="187"/>
      <c r="AH758" s="147"/>
      <c r="AI758" s="187"/>
      <c r="AJ758" s="147"/>
      <c r="AK758" s="187"/>
      <c r="AL758" s="147"/>
      <c r="AM758" s="132"/>
      <c r="AN758" s="147"/>
      <c r="AO758" s="132"/>
      <c r="AP758" s="132"/>
      <c r="AQ758" s="132"/>
      <c r="AR758" s="132"/>
      <c r="AS758" s="132"/>
      <c r="AT758" s="132"/>
      <c r="AU758" s="132"/>
      <c r="AV758" s="132"/>
      <c r="AW758" s="132"/>
      <c r="AX758" s="132"/>
      <c r="AY758" s="132"/>
      <c r="AZ758" s="132"/>
      <c r="BA758" s="132"/>
      <c r="BB758" s="132"/>
      <c r="BC758" s="132"/>
      <c r="BD758" s="132"/>
      <c r="BE758" s="187"/>
      <c r="BF758" s="188"/>
      <c r="BG758" s="196"/>
      <c r="BH758" s="147"/>
      <c r="BI758" s="133"/>
      <c r="BJ758" s="133"/>
      <c r="BK758" s="133"/>
      <c r="BL758" s="133"/>
      <c r="BM758" s="196"/>
      <c r="BN758" s="147"/>
      <c r="BO758" s="133"/>
      <c r="BP758" s="133"/>
      <c r="BQ758" s="196"/>
      <c r="BR758" s="147"/>
      <c r="BS758" s="196"/>
      <c r="BT758" s="147"/>
      <c r="BU758" s="196"/>
      <c r="BV758" s="147"/>
      <c r="BW758" s="196"/>
      <c r="BX758" s="147"/>
      <c r="BY758" s="196"/>
      <c r="BZ758" s="147"/>
      <c r="CA758" s="196"/>
      <c r="CB758" s="147"/>
      <c r="CC758" s="196"/>
      <c r="CD758" s="147"/>
      <c r="CE758" s="133"/>
      <c r="CF758" s="133"/>
      <c r="CG758" s="133"/>
      <c r="CH758" s="133"/>
      <c r="CI758" s="133"/>
      <c r="CJ758" s="133"/>
      <c r="CK758" s="133"/>
      <c r="CL758" s="196"/>
      <c r="CM758" s="188"/>
    </row>
    <row r="759" spans="1:91" s="229" customFormat="1" ht="15">
      <c r="A759" s="148"/>
      <c r="B759" s="148"/>
      <c r="C759" s="177"/>
      <c r="D759" s="177"/>
      <c r="E759" s="177"/>
      <c r="F759" s="111"/>
      <c r="G759" s="111"/>
      <c r="H759" s="111"/>
      <c r="I759" s="177"/>
      <c r="J759" s="177"/>
      <c r="K759" s="132"/>
      <c r="L759" s="147"/>
      <c r="M759" s="187"/>
      <c r="N759" s="147"/>
      <c r="O759" s="132"/>
      <c r="P759" s="147"/>
      <c r="Q759" s="233"/>
      <c r="R759" s="147"/>
      <c r="S759" s="132"/>
      <c r="T759" s="147"/>
      <c r="U759" s="132"/>
      <c r="V759" s="147"/>
      <c r="W759" s="187"/>
      <c r="X759" s="147"/>
      <c r="Y759" s="132"/>
      <c r="Z759" s="147"/>
      <c r="AA759" s="132"/>
      <c r="AB759" s="147"/>
      <c r="AC759" s="132"/>
      <c r="AD759" s="147"/>
      <c r="AE759" s="132"/>
      <c r="AF759" s="147"/>
      <c r="AG759" s="187"/>
      <c r="AH759" s="147"/>
      <c r="AI759" s="187"/>
      <c r="AJ759" s="147"/>
      <c r="AK759" s="187"/>
      <c r="AL759" s="147"/>
      <c r="AM759" s="132"/>
      <c r="AN759" s="147"/>
      <c r="AO759" s="132"/>
      <c r="AP759" s="132"/>
      <c r="AQ759" s="132"/>
      <c r="AR759" s="132"/>
      <c r="AS759" s="132"/>
      <c r="AT759" s="132"/>
      <c r="AU759" s="132"/>
      <c r="AV759" s="132"/>
      <c r="AW759" s="132"/>
      <c r="AX759" s="132"/>
      <c r="AY759" s="132"/>
      <c r="AZ759" s="132"/>
      <c r="BA759" s="132"/>
      <c r="BB759" s="132"/>
      <c r="BC759" s="132"/>
      <c r="BD759" s="132"/>
      <c r="BE759" s="187"/>
      <c r="BF759" s="188"/>
      <c r="BG759" s="196"/>
      <c r="BH759" s="147"/>
      <c r="BI759" s="133"/>
      <c r="BJ759" s="133"/>
      <c r="BK759" s="133"/>
      <c r="BL759" s="133"/>
      <c r="BM759" s="196"/>
      <c r="BN759" s="147"/>
      <c r="BO759" s="133"/>
      <c r="BP759" s="133"/>
      <c r="BQ759" s="196"/>
      <c r="BR759" s="147"/>
      <c r="BS759" s="196"/>
      <c r="BT759" s="147"/>
      <c r="BU759" s="196"/>
      <c r="BV759" s="147"/>
      <c r="BW759" s="196"/>
      <c r="BX759" s="147"/>
      <c r="BY759" s="196"/>
      <c r="BZ759" s="147"/>
      <c r="CA759" s="196"/>
      <c r="CB759" s="147"/>
      <c r="CC759" s="196"/>
      <c r="CD759" s="147"/>
      <c r="CE759" s="133"/>
      <c r="CF759" s="133"/>
      <c r="CG759" s="133"/>
      <c r="CH759" s="133"/>
      <c r="CI759" s="133"/>
      <c r="CJ759" s="133"/>
      <c r="CK759" s="133"/>
      <c r="CL759" s="196"/>
      <c r="CM759" s="188"/>
    </row>
    <row r="760" spans="1:91" s="229" customFormat="1" ht="15">
      <c r="A760" s="148"/>
      <c r="B760" s="148"/>
      <c r="C760" s="177"/>
      <c r="D760" s="177"/>
      <c r="E760" s="177"/>
      <c r="F760" s="111"/>
      <c r="G760" s="111"/>
      <c r="H760" s="111"/>
      <c r="I760" s="177"/>
      <c r="J760" s="177"/>
      <c r="K760" s="178"/>
      <c r="L760" s="147"/>
      <c r="M760" s="187"/>
      <c r="N760" s="147"/>
      <c r="O760" s="132"/>
      <c r="P760" s="147"/>
      <c r="Q760" s="233"/>
      <c r="R760" s="147"/>
      <c r="S760" s="132"/>
      <c r="T760" s="147"/>
      <c r="U760" s="132"/>
      <c r="V760" s="147"/>
      <c r="W760" s="187"/>
      <c r="X760" s="147"/>
      <c r="Y760" s="132"/>
      <c r="Z760" s="147"/>
      <c r="AA760" s="132"/>
      <c r="AB760" s="147"/>
      <c r="AC760" s="132"/>
      <c r="AD760" s="147"/>
      <c r="AE760" s="132"/>
      <c r="AF760" s="147"/>
      <c r="AG760" s="187"/>
      <c r="AH760" s="147"/>
      <c r="AI760" s="187"/>
      <c r="AJ760" s="147"/>
      <c r="AK760" s="187"/>
      <c r="AL760" s="147"/>
      <c r="AM760" s="132"/>
      <c r="AN760" s="147"/>
      <c r="AO760" s="132"/>
      <c r="AP760" s="132"/>
      <c r="AQ760" s="132"/>
      <c r="AR760" s="132"/>
      <c r="AS760" s="132"/>
      <c r="AT760" s="132"/>
      <c r="AU760" s="132"/>
      <c r="AV760" s="132"/>
      <c r="AW760" s="132"/>
      <c r="AX760" s="132"/>
      <c r="AY760" s="132"/>
      <c r="AZ760" s="132"/>
      <c r="BA760" s="132"/>
      <c r="BB760" s="132"/>
      <c r="BC760" s="132"/>
      <c r="BD760" s="132"/>
      <c r="BE760" s="187"/>
      <c r="BF760" s="188"/>
      <c r="BG760" s="196"/>
      <c r="BH760" s="147"/>
      <c r="BI760" s="133"/>
      <c r="BJ760" s="133"/>
      <c r="BK760" s="133"/>
      <c r="BL760" s="133"/>
      <c r="BM760" s="196"/>
      <c r="BN760" s="147"/>
      <c r="BO760" s="133"/>
      <c r="BP760" s="133"/>
      <c r="BQ760" s="196"/>
      <c r="BR760" s="147"/>
      <c r="BS760" s="196"/>
      <c r="BT760" s="147"/>
      <c r="BU760" s="196"/>
      <c r="BV760" s="147"/>
      <c r="BW760" s="196"/>
      <c r="BX760" s="147"/>
      <c r="BY760" s="196"/>
      <c r="BZ760" s="147"/>
      <c r="CA760" s="196"/>
      <c r="CB760" s="147"/>
      <c r="CC760" s="196"/>
      <c r="CD760" s="147"/>
      <c r="CE760" s="133"/>
      <c r="CF760" s="133"/>
      <c r="CG760" s="133"/>
      <c r="CH760" s="133"/>
      <c r="CI760" s="133"/>
      <c r="CJ760" s="133"/>
      <c r="CK760" s="133"/>
      <c r="CL760" s="196"/>
      <c r="CM760" s="188"/>
    </row>
    <row r="761" spans="1:91" s="229" customFormat="1" ht="15">
      <c r="A761" s="148"/>
      <c r="B761" s="148"/>
      <c r="C761" s="177"/>
      <c r="D761" s="177"/>
      <c r="E761" s="177"/>
      <c r="F761" s="111"/>
      <c r="G761" s="111"/>
      <c r="H761" s="111"/>
      <c r="I761" s="177"/>
      <c r="J761" s="177"/>
      <c r="K761" s="181"/>
      <c r="L761" s="147"/>
      <c r="M761" s="187"/>
      <c r="N761" s="147"/>
      <c r="O761" s="132"/>
      <c r="P761" s="147"/>
      <c r="Q761" s="233"/>
      <c r="R761" s="147"/>
      <c r="S761" s="132"/>
      <c r="T761" s="147"/>
      <c r="U761" s="132"/>
      <c r="V761" s="147"/>
      <c r="W761" s="187"/>
      <c r="X761" s="147"/>
      <c r="Y761" s="132"/>
      <c r="Z761" s="147"/>
      <c r="AA761" s="132"/>
      <c r="AB761" s="147"/>
      <c r="AC761" s="132"/>
      <c r="AD761" s="147"/>
      <c r="AE761" s="132"/>
      <c r="AF761" s="147"/>
      <c r="AG761" s="187"/>
      <c r="AH761" s="147"/>
      <c r="AI761" s="187"/>
      <c r="AJ761" s="147"/>
      <c r="AK761" s="187"/>
      <c r="AL761" s="147"/>
      <c r="AM761" s="132"/>
      <c r="AN761" s="147"/>
      <c r="AO761" s="132"/>
      <c r="AP761" s="132"/>
      <c r="AQ761" s="132"/>
      <c r="AR761" s="132"/>
      <c r="AS761" s="132"/>
      <c r="AT761" s="132"/>
      <c r="AU761" s="132"/>
      <c r="AV761" s="132"/>
      <c r="AW761" s="132"/>
      <c r="AX761" s="132"/>
      <c r="AY761" s="132"/>
      <c r="AZ761" s="132"/>
      <c r="BA761" s="132"/>
      <c r="BB761" s="132"/>
      <c r="BC761" s="132"/>
      <c r="BD761" s="132"/>
      <c r="BE761" s="187"/>
      <c r="BF761" s="188"/>
      <c r="BG761" s="196"/>
      <c r="BH761" s="147"/>
      <c r="BI761" s="133"/>
      <c r="BJ761" s="133"/>
      <c r="BK761" s="133"/>
      <c r="BL761" s="133"/>
      <c r="BM761" s="196"/>
      <c r="BN761" s="147"/>
      <c r="BO761" s="133"/>
      <c r="BP761" s="133"/>
      <c r="BQ761" s="196"/>
      <c r="BR761" s="147"/>
      <c r="BS761" s="196"/>
      <c r="BT761" s="147"/>
      <c r="BU761" s="196"/>
      <c r="BV761" s="147"/>
      <c r="BW761" s="196"/>
      <c r="BX761" s="147"/>
      <c r="BY761" s="196"/>
      <c r="BZ761" s="147"/>
      <c r="CA761" s="196"/>
      <c r="CB761" s="147"/>
      <c r="CC761" s="196"/>
      <c r="CD761" s="147"/>
      <c r="CE761" s="133"/>
      <c r="CF761" s="133"/>
      <c r="CG761" s="133"/>
      <c r="CH761" s="133"/>
      <c r="CI761" s="133"/>
      <c r="CJ761" s="133"/>
      <c r="CK761" s="133"/>
      <c r="CL761" s="196"/>
      <c r="CM761" s="188"/>
    </row>
    <row r="762" spans="1:91" ht="15">
      <c r="I762" s="177"/>
      <c r="M762" s="163"/>
      <c r="Q762" s="233"/>
      <c r="W762" s="183"/>
      <c r="AG762" s="184"/>
      <c r="AI762" s="185"/>
      <c r="AK762" s="186"/>
      <c r="BE762" s="187"/>
      <c r="BF762" s="188"/>
      <c r="BG762" s="189"/>
      <c r="BH762" s="147"/>
      <c r="BM762" s="190"/>
      <c r="BN762" s="147"/>
      <c r="BQ762" s="191"/>
      <c r="BR762" s="147"/>
      <c r="BS762" s="192"/>
      <c r="BT762" s="147"/>
      <c r="BU762" s="193"/>
      <c r="BV762" s="147"/>
      <c r="BW762" s="192"/>
      <c r="BX762" s="147"/>
      <c r="BY762" s="196"/>
      <c r="BZ762" s="147"/>
      <c r="CA762" s="192"/>
      <c r="CB762" s="147"/>
      <c r="CC762" s="194"/>
      <c r="CD762" s="147"/>
      <c r="CL762" s="195"/>
      <c r="CM762" s="188"/>
    </row>
    <row r="763" spans="1:91" ht="15">
      <c r="M763" s="163"/>
      <c r="Q763" s="233"/>
      <c r="W763" s="183"/>
      <c r="AG763" s="184"/>
      <c r="AI763" s="185"/>
      <c r="AK763" s="186"/>
      <c r="BE763" s="187"/>
      <c r="BF763" s="188"/>
      <c r="BG763" s="189"/>
      <c r="BH763" s="147"/>
      <c r="BM763" s="190"/>
      <c r="BN763" s="147"/>
      <c r="BQ763" s="191"/>
      <c r="BR763" s="147"/>
      <c r="BS763" s="192"/>
      <c r="BT763" s="147"/>
      <c r="BU763" s="193"/>
      <c r="BV763" s="147"/>
      <c r="BW763" s="192"/>
      <c r="BX763" s="147"/>
      <c r="BY763" s="196"/>
      <c r="BZ763" s="147"/>
      <c r="CA763" s="192"/>
      <c r="CB763" s="147"/>
      <c r="CC763" s="194"/>
      <c r="CD763" s="147"/>
      <c r="CL763" s="195"/>
      <c r="CM763" s="188"/>
    </row>
    <row r="764" spans="1:91" ht="15">
      <c r="I764" s="177"/>
      <c r="M764" s="163"/>
      <c r="Q764" s="233"/>
      <c r="W764" s="183"/>
      <c r="AG764" s="184"/>
      <c r="AI764" s="185"/>
      <c r="AK764" s="186"/>
      <c r="BE764" s="187"/>
      <c r="BF764" s="188"/>
      <c r="BG764" s="189"/>
      <c r="BH764" s="147"/>
      <c r="BM764" s="190"/>
      <c r="BN764" s="147"/>
      <c r="BQ764" s="191"/>
      <c r="BR764" s="147"/>
      <c r="BS764" s="192"/>
      <c r="BT764" s="147"/>
      <c r="BU764" s="193"/>
      <c r="BV764" s="147"/>
      <c r="BW764" s="192"/>
      <c r="BX764" s="147"/>
      <c r="BY764" s="196"/>
      <c r="BZ764" s="147"/>
      <c r="CA764" s="192"/>
      <c r="CB764" s="147"/>
      <c r="CC764" s="194"/>
      <c r="CD764" s="147"/>
      <c r="CL764" s="195"/>
      <c r="CM764" s="188"/>
    </row>
    <row r="765" spans="1:91" ht="15">
      <c r="M765" s="163"/>
      <c r="Q765" s="233"/>
      <c r="W765" s="183"/>
      <c r="AG765" s="184"/>
      <c r="AI765" s="185"/>
      <c r="AK765" s="186"/>
      <c r="BE765" s="187"/>
      <c r="BF765" s="188"/>
      <c r="BG765" s="189"/>
      <c r="BH765" s="147"/>
      <c r="BM765" s="190"/>
      <c r="BN765" s="147"/>
      <c r="BQ765" s="191"/>
      <c r="BR765" s="147"/>
      <c r="BS765" s="192"/>
      <c r="BT765" s="147"/>
      <c r="BU765" s="193"/>
      <c r="BV765" s="147"/>
      <c r="BW765" s="192"/>
      <c r="BX765" s="147"/>
      <c r="BY765" s="196"/>
      <c r="BZ765" s="147"/>
      <c r="CA765" s="192"/>
      <c r="CB765" s="147"/>
      <c r="CC765" s="194"/>
      <c r="CD765" s="147"/>
      <c r="CL765" s="195"/>
      <c r="CM765" s="188"/>
    </row>
    <row r="766" spans="1:91" ht="15">
      <c r="M766" s="163"/>
      <c r="Q766" s="233"/>
      <c r="W766" s="183"/>
      <c r="AG766" s="184"/>
      <c r="AI766" s="185"/>
      <c r="AK766" s="186"/>
      <c r="BE766" s="187"/>
      <c r="BF766" s="188"/>
      <c r="BG766" s="189"/>
      <c r="BH766" s="147"/>
      <c r="BM766" s="190"/>
      <c r="BN766" s="147"/>
      <c r="BQ766" s="191"/>
      <c r="BR766" s="147"/>
      <c r="BS766" s="192"/>
      <c r="BT766" s="147"/>
      <c r="BU766" s="193"/>
      <c r="BV766" s="147"/>
      <c r="BW766" s="192"/>
      <c r="BX766" s="147"/>
      <c r="BY766" s="196"/>
      <c r="BZ766" s="147"/>
      <c r="CA766" s="192"/>
      <c r="CB766" s="147"/>
      <c r="CC766" s="194"/>
      <c r="CD766" s="147"/>
      <c r="CL766" s="195"/>
      <c r="CM766" s="188"/>
    </row>
    <row r="767" spans="1:91" ht="15">
      <c r="M767" s="163"/>
      <c r="Q767" s="233"/>
      <c r="W767" s="183"/>
      <c r="AG767" s="184"/>
      <c r="AI767" s="185"/>
      <c r="AK767" s="186"/>
      <c r="BE767" s="187"/>
      <c r="BF767" s="188"/>
      <c r="BG767" s="189"/>
      <c r="BH767" s="147"/>
      <c r="BM767" s="190"/>
      <c r="BN767" s="147"/>
      <c r="BQ767" s="191"/>
      <c r="BR767" s="147"/>
      <c r="BS767" s="192"/>
      <c r="BT767" s="147"/>
      <c r="BU767" s="193"/>
      <c r="BV767" s="147"/>
      <c r="BW767" s="192"/>
      <c r="BX767" s="147"/>
      <c r="BY767" s="196"/>
      <c r="BZ767" s="147"/>
      <c r="CA767" s="192"/>
      <c r="CB767" s="147"/>
      <c r="CC767" s="194"/>
      <c r="CD767" s="147"/>
      <c r="CL767" s="195"/>
      <c r="CM767" s="188"/>
    </row>
    <row r="768" spans="1:91" ht="15">
      <c r="M768" s="163"/>
      <c r="Q768" s="233"/>
      <c r="W768" s="183"/>
      <c r="AG768" s="184"/>
      <c r="AI768" s="185"/>
      <c r="AK768" s="186"/>
      <c r="BE768" s="187"/>
      <c r="BF768" s="188"/>
      <c r="BG768" s="189"/>
      <c r="BH768" s="147"/>
      <c r="BM768" s="190"/>
      <c r="BN768" s="147"/>
      <c r="BQ768" s="191"/>
      <c r="BR768" s="147"/>
      <c r="BS768" s="192"/>
      <c r="BT768" s="147"/>
      <c r="BU768" s="193"/>
      <c r="BV768" s="147"/>
      <c r="BW768" s="192"/>
      <c r="BX768" s="147"/>
      <c r="BY768" s="196"/>
      <c r="BZ768" s="147"/>
      <c r="CA768" s="192"/>
      <c r="CB768" s="147"/>
      <c r="CC768" s="194"/>
      <c r="CD768" s="147"/>
      <c r="CL768" s="195"/>
      <c r="CM768" s="188"/>
    </row>
    <row r="769" spans="9:91" ht="15">
      <c r="M769" s="163"/>
      <c r="Q769" s="233"/>
      <c r="W769" s="183"/>
      <c r="AG769" s="184"/>
      <c r="AI769" s="185"/>
      <c r="AK769" s="186"/>
      <c r="BE769" s="187"/>
      <c r="BF769" s="188"/>
      <c r="BG769" s="189"/>
      <c r="BH769" s="147"/>
      <c r="BM769" s="190"/>
      <c r="BN769" s="147"/>
      <c r="BQ769" s="191"/>
      <c r="BR769" s="147"/>
      <c r="BS769" s="192"/>
      <c r="BT769" s="147"/>
      <c r="BU769" s="193"/>
      <c r="BV769" s="147"/>
      <c r="BW769" s="192"/>
      <c r="BX769" s="147"/>
      <c r="BY769" s="196"/>
      <c r="BZ769" s="147"/>
      <c r="CA769" s="192"/>
      <c r="CB769" s="147"/>
      <c r="CC769" s="194"/>
      <c r="CD769" s="147"/>
      <c r="CL769" s="195"/>
      <c r="CM769" s="188"/>
    </row>
    <row r="770" spans="9:91" ht="15">
      <c r="M770" s="163"/>
      <c r="Q770" s="233"/>
      <c r="W770" s="183"/>
      <c r="AG770" s="184"/>
      <c r="AI770" s="185"/>
      <c r="AK770" s="186"/>
      <c r="BE770" s="187"/>
      <c r="BF770" s="188"/>
      <c r="BG770" s="189"/>
      <c r="BH770" s="147"/>
      <c r="BM770" s="190"/>
      <c r="BN770" s="147"/>
      <c r="BQ770" s="191"/>
      <c r="BR770" s="147"/>
      <c r="BS770" s="192"/>
      <c r="BT770" s="147"/>
      <c r="BU770" s="193"/>
      <c r="BV770" s="147"/>
      <c r="BW770" s="192"/>
      <c r="BX770" s="147"/>
      <c r="BY770" s="196"/>
      <c r="BZ770" s="147"/>
      <c r="CA770" s="192"/>
      <c r="CB770" s="147"/>
      <c r="CC770" s="194"/>
      <c r="CD770" s="147"/>
      <c r="CL770" s="195"/>
      <c r="CM770" s="188"/>
    </row>
    <row r="771" spans="9:91" ht="15">
      <c r="M771" s="163"/>
      <c r="Q771" s="233"/>
      <c r="W771" s="183"/>
      <c r="AG771" s="184"/>
      <c r="AI771" s="185"/>
      <c r="AK771" s="186"/>
      <c r="BE771" s="187"/>
      <c r="BF771" s="188"/>
      <c r="BG771" s="189"/>
      <c r="BH771" s="147"/>
      <c r="BM771" s="190"/>
      <c r="BN771" s="147"/>
      <c r="BQ771" s="191"/>
      <c r="BR771" s="147"/>
      <c r="BS771" s="192"/>
      <c r="BT771" s="147"/>
      <c r="BU771" s="193"/>
      <c r="BV771" s="147"/>
      <c r="BW771" s="192"/>
      <c r="BX771" s="147"/>
      <c r="BY771" s="196"/>
      <c r="BZ771" s="147"/>
      <c r="CA771" s="192"/>
      <c r="CB771" s="147"/>
      <c r="CC771" s="194"/>
      <c r="CD771" s="147"/>
      <c r="CL771" s="195"/>
      <c r="CM771" s="188"/>
    </row>
    <row r="772" spans="9:91" ht="15">
      <c r="M772" s="163"/>
      <c r="Q772" s="233"/>
      <c r="W772" s="183"/>
      <c r="AG772" s="184"/>
      <c r="AI772" s="185"/>
      <c r="AK772" s="186"/>
      <c r="BE772" s="187"/>
      <c r="BF772" s="188"/>
      <c r="BG772" s="189"/>
      <c r="BH772" s="147"/>
      <c r="BM772" s="190"/>
      <c r="BN772" s="147"/>
      <c r="BQ772" s="191"/>
      <c r="BR772" s="147"/>
      <c r="BS772" s="192"/>
      <c r="BT772" s="147"/>
      <c r="BU772" s="193"/>
      <c r="BV772" s="147"/>
      <c r="BW772" s="192"/>
      <c r="BX772" s="147"/>
      <c r="BY772" s="196"/>
      <c r="BZ772" s="147"/>
      <c r="CA772" s="192"/>
      <c r="CB772" s="147"/>
      <c r="CC772" s="194"/>
      <c r="CD772" s="147"/>
      <c r="CL772" s="195"/>
      <c r="CM772" s="188"/>
    </row>
    <row r="773" spans="9:91" ht="15">
      <c r="M773" s="163"/>
      <c r="Q773" s="233"/>
      <c r="W773" s="183"/>
      <c r="AG773" s="184"/>
      <c r="AI773" s="185"/>
      <c r="AK773" s="186"/>
      <c r="BE773" s="187"/>
      <c r="BF773" s="188"/>
      <c r="BG773" s="189"/>
      <c r="BH773" s="147"/>
      <c r="BM773" s="190"/>
      <c r="BN773" s="147"/>
      <c r="BQ773" s="191"/>
      <c r="BR773" s="147"/>
      <c r="BS773" s="192"/>
      <c r="BT773" s="147"/>
      <c r="BU773" s="193"/>
      <c r="BV773" s="147"/>
      <c r="BW773" s="192"/>
      <c r="BX773" s="147"/>
      <c r="BY773" s="196"/>
      <c r="BZ773" s="147"/>
      <c r="CA773" s="192"/>
      <c r="CB773" s="147"/>
      <c r="CC773" s="194"/>
      <c r="CD773" s="147"/>
      <c r="CL773" s="195"/>
      <c r="CM773" s="188"/>
    </row>
    <row r="774" spans="9:91" ht="15">
      <c r="M774" s="163"/>
      <c r="Q774" s="233"/>
      <c r="W774" s="183"/>
      <c r="AG774" s="184"/>
      <c r="AI774" s="185"/>
      <c r="AK774" s="186"/>
      <c r="BE774" s="187"/>
      <c r="BF774" s="188"/>
      <c r="BG774" s="189"/>
      <c r="BH774" s="147"/>
      <c r="BM774" s="190"/>
      <c r="BN774" s="147"/>
      <c r="BQ774" s="191"/>
      <c r="BR774" s="147"/>
      <c r="BS774" s="192"/>
      <c r="BT774" s="147"/>
      <c r="BU774" s="193"/>
      <c r="BV774" s="147"/>
      <c r="BW774" s="192"/>
      <c r="BX774" s="147"/>
      <c r="BY774" s="196"/>
      <c r="BZ774" s="147"/>
      <c r="CA774" s="192"/>
      <c r="CB774" s="147"/>
      <c r="CC774" s="194"/>
      <c r="CD774" s="147"/>
      <c r="CL774" s="195"/>
      <c r="CM774" s="188"/>
    </row>
    <row r="775" spans="9:91" ht="15">
      <c r="M775" s="163"/>
      <c r="Q775" s="233"/>
      <c r="W775" s="183"/>
      <c r="AG775" s="184"/>
      <c r="AI775" s="185"/>
      <c r="AK775" s="186"/>
      <c r="BE775" s="187"/>
      <c r="BF775" s="188"/>
      <c r="BG775" s="189"/>
      <c r="BH775" s="147"/>
      <c r="BM775" s="190"/>
      <c r="BN775" s="147"/>
      <c r="BQ775" s="191"/>
      <c r="BR775" s="147"/>
      <c r="BS775" s="192"/>
      <c r="BT775" s="147"/>
      <c r="BU775" s="193"/>
      <c r="BV775" s="147"/>
      <c r="BW775" s="192"/>
      <c r="BX775" s="147"/>
      <c r="BY775" s="196"/>
      <c r="BZ775" s="147"/>
      <c r="CA775" s="192"/>
      <c r="CB775" s="147"/>
      <c r="CC775" s="194"/>
      <c r="CD775" s="147"/>
      <c r="CL775" s="195"/>
      <c r="CM775" s="188"/>
    </row>
    <row r="776" spans="9:91" ht="15">
      <c r="M776" s="163"/>
      <c r="Q776" s="233"/>
      <c r="W776" s="183"/>
      <c r="AG776" s="184"/>
      <c r="AI776" s="185"/>
      <c r="AK776" s="186"/>
      <c r="BE776" s="187"/>
      <c r="BF776" s="188"/>
      <c r="BG776" s="189"/>
      <c r="BH776" s="147"/>
      <c r="BM776" s="190"/>
      <c r="BN776" s="147"/>
      <c r="BQ776" s="191"/>
      <c r="BR776" s="147"/>
      <c r="BS776" s="192"/>
      <c r="BT776" s="147"/>
      <c r="BU776" s="193"/>
      <c r="BV776" s="147"/>
      <c r="BW776" s="192"/>
      <c r="BX776" s="147"/>
      <c r="BY776" s="196"/>
      <c r="BZ776" s="147"/>
      <c r="CA776" s="192"/>
      <c r="CB776" s="147"/>
      <c r="CC776" s="194"/>
      <c r="CD776" s="147"/>
      <c r="CL776" s="195"/>
      <c r="CM776" s="188"/>
    </row>
    <row r="777" spans="9:91" ht="15">
      <c r="M777" s="163"/>
      <c r="Q777" s="233"/>
      <c r="W777" s="183"/>
      <c r="AG777" s="184"/>
      <c r="AI777" s="185"/>
      <c r="AK777" s="186"/>
      <c r="BE777" s="187"/>
      <c r="BF777" s="188"/>
      <c r="BG777" s="189"/>
      <c r="BH777" s="147"/>
      <c r="BM777" s="190"/>
      <c r="BN777" s="147"/>
      <c r="BQ777" s="191"/>
      <c r="BR777" s="147"/>
      <c r="BS777" s="192"/>
      <c r="BT777" s="147"/>
      <c r="BU777" s="193"/>
      <c r="BV777" s="147"/>
      <c r="BW777" s="192"/>
      <c r="BX777" s="147"/>
      <c r="BY777" s="196"/>
      <c r="BZ777" s="147"/>
      <c r="CA777" s="192"/>
      <c r="CB777" s="147"/>
      <c r="CC777" s="194"/>
      <c r="CD777" s="147"/>
      <c r="CL777" s="195"/>
      <c r="CM777" s="188"/>
    </row>
    <row r="778" spans="9:91" ht="15">
      <c r="I778" s="177"/>
      <c r="M778" s="163"/>
      <c r="Q778" s="233"/>
      <c r="W778" s="183"/>
      <c r="AG778" s="184"/>
      <c r="AI778" s="185"/>
      <c r="AK778" s="186"/>
      <c r="BE778" s="187"/>
      <c r="BF778" s="188"/>
      <c r="BG778" s="189"/>
      <c r="BH778" s="147"/>
      <c r="BM778" s="190"/>
      <c r="BN778" s="147"/>
      <c r="BQ778" s="191"/>
      <c r="BR778" s="147"/>
      <c r="BS778" s="192"/>
      <c r="BT778" s="147"/>
      <c r="BU778" s="193"/>
      <c r="BV778" s="147"/>
      <c r="BW778" s="192"/>
      <c r="BX778" s="147"/>
      <c r="BY778" s="196"/>
      <c r="BZ778" s="147"/>
      <c r="CA778" s="192"/>
      <c r="CB778" s="147"/>
      <c r="CC778" s="194"/>
      <c r="CD778" s="147"/>
      <c r="CL778" s="195"/>
      <c r="CM778" s="188"/>
    </row>
    <row r="779" spans="9:91" ht="15">
      <c r="M779" s="163"/>
      <c r="Q779" s="233"/>
      <c r="W779" s="183"/>
      <c r="AG779" s="184"/>
      <c r="AI779" s="185"/>
      <c r="AK779" s="186"/>
      <c r="BE779" s="187"/>
      <c r="BF779" s="188"/>
      <c r="BG779" s="189"/>
      <c r="BH779" s="147"/>
      <c r="BM779" s="190"/>
      <c r="BN779" s="147"/>
      <c r="BQ779" s="191"/>
      <c r="BR779" s="147"/>
      <c r="BS779" s="192"/>
      <c r="BT779" s="147"/>
      <c r="BU779" s="193"/>
      <c r="BV779" s="147"/>
      <c r="BW779" s="192"/>
      <c r="BX779" s="147"/>
      <c r="BY779" s="196"/>
      <c r="BZ779" s="147"/>
      <c r="CA779" s="192"/>
      <c r="CB779" s="147"/>
      <c r="CC779" s="194"/>
      <c r="CD779" s="147"/>
      <c r="CL779" s="195"/>
      <c r="CM779" s="188"/>
    </row>
    <row r="780" spans="9:91" ht="15">
      <c r="M780" s="163"/>
      <c r="Q780" s="233"/>
      <c r="W780" s="183"/>
      <c r="AG780" s="184"/>
      <c r="AI780" s="185"/>
      <c r="AK780" s="186"/>
      <c r="BE780" s="187"/>
      <c r="BF780" s="188"/>
      <c r="BG780" s="189"/>
      <c r="BH780" s="147"/>
      <c r="BM780" s="190"/>
      <c r="BN780" s="147"/>
      <c r="BQ780" s="191"/>
      <c r="BR780" s="147"/>
      <c r="BS780" s="192"/>
      <c r="BT780" s="147"/>
      <c r="BU780" s="193"/>
      <c r="BV780" s="147"/>
      <c r="BW780" s="192"/>
      <c r="BX780" s="147"/>
      <c r="BY780" s="196"/>
      <c r="BZ780" s="147"/>
      <c r="CA780" s="192"/>
      <c r="CB780" s="147"/>
      <c r="CC780" s="194"/>
      <c r="CD780" s="147"/>
      <c r="CL780" s="195"/>
      <c r="CM780" s="188"/>
    </row>
    <row r="781" spans="9:91" ht="15">
      <c r="M781" s="163"/>
      <c r="Q781" s="233"/>
      <c r="W781" s="183"/>
      <c r="AG781" s="184"/>
      <c r="AI781" s="185"/>
      <c r="AK781" s="186"/>
      <c r="BE781" s="187"/>
      <c r="BF781" s="188"/>
      <c r="BG781" s="189"/>
      <c r="BH781" s="147"/>
      <c r="BM781" s="190"/>
      <c r="BN781" s="147"/>
      <c r="BQ781" s="191"/>
      <c r="BR781" s="147"/>
      <c r="BS781" s="192"/>
      <c r="BT781" s="147"/>
      <c r="BU781" s="193"/>
      <c r="BV781" s="147"/>
      <c r="BW781" s="192"/>
      <c r="BX781" s="147"/>
      <c r="BY781" s="196"/>
      <c r="BZ781" s="147"/>
      <c r="CA781" s="192"/>
      <c r="CB781" s="147"/>
      <c r="CC781" s="194"/>
      <c r="CD781" s="147"/>
      <c r="CL781" s="195"/>
      <c r="CM781" s="188"/>
    </row>
    <row r="782" spans="9:91" ht="15">
      <c r="M782" s="163"/>
      <c r="Q782" s="233"/>
      <c r="W782" s="183"/>
      <c r="AG782" s="184"/>
      <c r="AI782" s="185"/>
      <c r="AK782" s="186"/>
      <c r="BE782" s="187"/>
      <c r="BF782" s="188"/>
      <c r="BG782" s="189"/>
      <c r="BH782" s="147"/>
      <c r="BM782" s="190"/>
      <c r="BN782" s="147"/>
      <c r="BQ782" s="191"/>
      <c r="BR782" s="147"/>
      <c r="BS782" s="192"/>
      <c r="BT782" s="147"/>
      <c r="BU782" s="193"/>
      <c r="BV782" s="147"/>
      <c r="BW782" s="192"/>
      <c r="BX782" s="147"/>
      <c r="BY782" s="196"/>
      <c r="BZ782" s="147"/>
      <c r="CA782" s="192"/>
      <c r="CB782" s="147"/>
      <c r="CC782" s="194"/>
      <c r="CD782" s="147"/>
      <c r="CL782" s="195"/>
      <c r="CM782" s="188"/>
    </row>
    <row r="783" spans="9:91" ht="15">
      <c r="K783" s="178"/>
      <c r="M783" s="163"/>
      <c r="Q783" s="233"/>
      <c r="W783" s="183"/>
      <c r="AG783" s="184"/>
      <c r="AI783" s="185"/>
      <c r="AK783" s="186"/>
      <c r="BE783" s="187"/>
      <c r="BF783" s="188"/>
      <c r="BG783" s="189"/>
      <c r="BH783" s="147"/>
      <c r="BM783" s="190"/>
      <c r="BN783" s="147"/>
      <c r="BQ783" s="191"/>
      <c r="BR783" s="147"/>
      <c r="BS783" s="192"/>
      <c r="BT783" s="147"/>
      <c r="BU783" s="193"/>
      <c r="BV783" s="147"/>
      <c r="BW783" s="192"/>
      <c r="BX783" s="147"/>
      <c r="BY783" s="196"/>
      <c r="BZ783" s="147"/>
      <c r="CA783" s="192"/>
      <c r="CB783" s="147"/>
      <c r="CC783" s="194"/>
      <c r="CD783" s="147"/>
      <c r="CL783" s="195"/>
      <c r="CM783" s="188"/>
    </row>
    <row r="784" spans="9:91" ht="15">
      <c r="M784" s="163"/>
      <c r="Q784" s="233"/>
      <c r="W784" s="183"/>
      <c r="AG784" s="184"/>
      <c r="AI784" s="185"/>
      <c r="AK784" s="186"/>
      <c r="BE784" s="187"/>
      <c r="BF784" s="188"/>
      <c r="BG784" s="189"/>
      <c r="BH784" s="147"/>
      <c r="BM784" s="190"/>
      <c r="BN784" s="147"/>
      <c r="BQ784" s="191"/>
      <c r="BR784" s="147"/>
      <c r="BS784" s="192"/>
      <c r="BT784" s="147"/>
      <c r="BU784" s="193"/>
      <c r="BV784" s="147"/>
      <c r="BW784" s="192"/>
      <c r="BX784" s="147"/>
      <c r="BY784" s="196"/>
      <c r="BZ784" s="147"/>
      <c r="CA784" s="192"/>
      <c r="CB784" s="147"/>
      <c r="CC784" s="194"/>
      <c r="CD784" s="147"/>
      <c r="CL784" s="195"/>
      <c r="CM784" s="188"/>
    </row>
    <row r="785" spans="9:91" ht="15">
      <c r="M785" s="163"/>
      <c r="Q785" s="233"/>
      <c r="W785" s="183"/>
      <c r="AG785" s="184"/>
      <c r="AI785" s="185"/>
      <c r="AK785" s="186"/>
      <c r="BE785" s="187"/>
      <c r="BF785" s="188"/>
      <c r="BG785" s="189"/>
      <c r="BH785" s="147"/>
      <c r="BM785" s="190"/>
      <c r="BN785" s="147"/>
      <c r="BQ785" s="191"/>
      <c r="BR785" s="147"/>
      <c r="BS785" s="192"/>
      <c r="BT785" s="147"/>
      <c r="BU785" s="193"/>
      <c r="BV785" s="147"/>
      <c r="BW785" s="192"/>
      <c r="BX785" s="147"/>
      <c r="BY785" s="196"/>
      <c r="BZ785" s="147"/>
      <c r="CA785" s="192"/>
      <c r="CB785" s="147"/>
      <c r="CC785" s="194"/>
      <c r="CD785" s="147"/>
      <c r="CL785" s="195"/>
      <c r="CM785" s="188"/>
    </row>
    <row r="786" spans="9:91" ht="15">
      <c r="I786" s="177"/>
      <c r="M786" s="163"/>
      <c r="Q786" s="233"/>
      <c r="W786" s="183"/>
      <c r="AG786" s="184"/>
      <c r="AI786" s="185"/>
      <c r="AK786" s="186"/>
      <c r="BE786" s="187"/>
      <c r="BF786" s="188"/>
      <c r="BG786" s="189"/>
      <c r="BH786" s="147"/>
      <c r="BM786" s="190"/>
      <c r="BN786" s="147"/>
      <c r="BQ786" s="191"/>
      <c r="BR786" s="147"/>
      <c r="BS786" s="192"/>
      <c r="BT786" s="147"/>
      <c r="BU786" s="193"/>
      <c r="BV786" s="147"/>
      <c r="BW786" s="192"/>
      <c r="BX786" s="147"/>
      <c r="BY786" s="196"/>
      <c r="BZ786" s="147"/>
      <c r="CA786" s="192"/>
      <c r="CB786" s="147"/>
      <c r="CC786" s="194"/>
      <c r="CD786" s="147"/>
      <c r="CL786" s="195"/>
      <c r="CM786" s="188"/>
    </row>
    <row r="787" spans="9:91" ht="15">
      <c r="M787" s="163"/>
      <c r="Q787" s="233"/>
      <c r="W787" s="183"/>
      <c r="AG787" s="184"/>
      <c r="AI787" s="185"/>
      <c r="AK787" s="186"/>
      <c r="BE787" s="187"/>
      <c r="BF787" s="188"/>
      <c r="BG787" s="189"/>
      <c r="BH787" s="147"/>
      <c r="BM787" s="190"/>
      <c r="BN787" s="147"/>
      <c r="BQ787" s="191"/>
      <c r="BR787" s="147"/>
      <c r="BS787" s="192"/>
      <c r="BT787" s="147"/>
      <c r="BU787" s="193"/>
      <c r="BV787" s="147"/>
      <c r="BW787" s="192"/>
      <c r="BX787" s="147"/>
      <c r="BY787" s="196"/>
      <c r="BZ787" s="147"/>
      <c r="CA787" s="192"/>
      <c r="CB787" s="147"/>
      <c r="CC787" s="194"/>
      <c r="CD787" s="147"/>
      <c r="CL787" s="195"/>
      <c r="CM787" s="188"/>
    </row>
    <row r="788" spans="9:91" ht="15">
      <c r="M788" s="163"/>
      <c r="Q788" s="233"/>
      <c r="W788" s="183"/>
      <c r="AG788" s="184"/>
      <c r="AI788" s="185"/>
      <c r="AK788" s="186"/>
      <c r="BE788" s="187"/>
      <c r="BF788" s="188"/>
      <c r="BG788" s="189"/>
      <c r="BH788" s="147"/>
      <c r="BM788" s="190"/>
      <c r="BN788" s="147"/>
      <c r="BQ788" s="191"/>
      <c r="BR788" s="147"/>
      <c r="BS788" s="192"/>
      <c r="BT788" s="147"/>
      <c r="BU788" s="193"/>
      <c r="BV788" s="147"/>
      <c r="BW788" s="192"/>
      <c r="BX788" s="147"/>
      <c r="BY788" s="196"/>
      <c r="BZ788" s="147"/>
      <c r="CA788" s="192"/>
      <c r="CB788" s="147"/>
      <c r="CC788" s="194"/>
      <c r="CD788" s="147"/>
      <c r="CL788" s="195"/>
      <c r="CM788" s="188"/>
    </row>
    <row r="789" spans="9:91" ht="15">
      <c r="M789" s="163"/>
      <c r="Q789" s="233"/>
      <c r="W789" s="183"/>
      <c r="AG789" s="184"/>
      <c r="AI789" s="185"/>
      <c r="AK789" s="186"/>
      <c r="BE789" s="187"/>
      <c r="BF789" s="188"/>
      <c r="BG789" s="189"/>
      <c r="BH789" s="147"/>
      <c r="BM789" s="190"/>
      <c r="BN789" s="147"/>
      <c r="BQ789" s="191"/>
      <c r="BR789" s="147"/>
      <c r="BS789" s="192"/>
      <c r="BT789" s="147"/>
      <c r="BU789" s="193"/>
      <c r="BV789" s="147"/>
      <c r="BW789" s="192"/>
      <c r="BX789" s="147"/>
      <c r="BY789" s="196"/>
      <c r="BZ789" s="147"/>
      <c r="CA789" s="192"/>
      <c r="CB789" s="147"/>
      <c r="CC789" s="194"/>
      <c r="CD789" s="147"/>
      <c r="CL789" s="195"/>
      <c r="CM789" s="188"/>
    </row>
    <row r="790" spans="9:91" ht="15">
      <c r="I790" s="177"/>
      <c r="K790" s="181"/>
      <c r="M790" s="163"/>
      <c r="Q790" s="233"/>
      <c r="W790" s="183"/>
      <c r="AG790" s="184"/>
      <c r="AI790" s="185"/>
      <c r="AK790" s="186"/>
      <c r="BE790" s="187"/>
      <c r="BF790" s="188"/>
      <c r="BG790" s="189"/>
      <c r="BH790" s="147"/>
      <c r="BM790" s="190"/>
      <c r="BN790" s="147"/>
      <c r="BQ790" s="191"/>
      <c r="BR790" s="147"/>
      <c r="BS790" s="192"/>
      <c r="BT790" s="147"/>
      <c r="BU790" s="193"/>
      <c r="BV790" s="147"/>
      <c r="BW790" s="192"/>
      <c r="BX790" s="147"/>
      <c r="BY790" s="196"/>
      <c r="BZ790" s="147"/>
      <c r="CA790" s="192"/>
      <c r="CB790" s="147"/>
      <c r="CC790" s="194"/>
      <c r="CD790" s="147"/>
      <c r="CL790" s="195"/>
      <c r="CM790" s="188"/>
    </row>
    <row r="791" spans="9:91" ht="15">
      <c r="K791" s="181"/>
      <c r="M791" s="163"/>
      <c r="Q791" s="233"/>
      <c r="W791" s="183"/>
      <c r="AG791" s="184"/>
      <c r="AI791" s="185"/>
      <c r="AK791" s="186"/>
      <c r="BE791" s="187"/>
      <c r="BF791" s="188"/>
      <c r="BG791" s="189"/>
      <c r="BH791" s="147"/>
      <c r="BM791" s="190"/>
      <c r="BN791" s="147"/>
      <c r="BQ791" s="191"/>
      <c r="BR791" s="147"/>
      <c r="BS791" s="192"/>
      <c r="BT791" s="147"/>
      <c r="BU791" s="193"/>
      <c r="BV791" s="147"/>
      <c r="BW791" s="192"/>
      <c r="BX791" s="147"/>
      <c r="BY791" s="196"/>
      <c r="BZ791" s="147"/>
      <c r="CA791" s="192"/>
      <c r="CB791" s="147"/>
      <c r="CC791" s="194"/>
      <c r="CD791" s="147"/>
      <c r="CL791" s="195"/>
      <c r="CM791" s="188"/>
    </row>
    <row r="792" spans="9:91" ht="15">
      <c r="K792" s="181"/>
      <c r="M792" s="163"/>
      <c r="Q792" s="233"/>
      <c r="W792" s="183"/>
      <c r="AG792" s="184"/>
      <c r="AI792" s="185"/>
      <c r="AK792" s="186"/>
      <c r="BE792" s="187"/>
      <c r="BF792" s="188"/>
      <c r="BG792" s="189"/>
      <c r="BH792" s="147"/>
      <c r="BM792" s="190"/>
      <c r="BN792" s="147"/>
      <c r="BQ792" s="191"/>
      <c r="BR792" s="147"/>
      <c r="BS792" s="192"/>
      <c r="BT792" s="147"/>
      <c r="BU792" s="193"/>
      <c r="BV792" s="147"/>
      <c r="BW792" s="192"/>
      <c r="BX792" s="147"/>
      <c r="BY792" s="196"/>
      <c r="BZ792" s="147"/>
      <c r="CA792" s="192"/>
      <c r="CB792" s="147"/>
      <c r="CC792" s="194"/>
      <c r="CD792" s="147"/>
      <c r="CL792" s="195"/>
      <c r="CM792" s="188"/>
    </row>
    <row r="793" spans="9:91" ht="15">
      <c r="K793" s="181"/>
      <c r="M793" s="163"/>
      <c r="Q793" s="233"/>
      <c r="W793" s="183"/>
      <c r="AG793" s="184"/>
      <c r="AI793" s="185"/>
      <c r="AK793" s="186"/>
      <c r="BE793" s="187"/>
      <c r="BF793" s="188"/>
      <c r="BG793" s="189"/>
      <c r="BH793" s="147"/>
      <c r="BM793" s="190"/>
      <c r="BN793" s="147"/>
      <c r="BQ793" s="191"/>
      <c r="BR793" s="147"/>
      <c r="BS793" s="192"/>
      <c r="BT793" s="147"/>
      <c r="BU793" s="193"/>
      <c r="BV793" s="147"/>
      <c r="BW793" s="192"/>
      <c r="BX793" s="147"/>
      <c r="BY793" s="196"/>
      <c r="BZ793" s="147"/>
      <c r="CA793" s="192"/>
      <c r="CB793" s="147"/>
      <c r="CC793" s="194"/>
      <c r="CD793" s="147"/>
      <c r="CL793" s="195"/>
      <c r="CM793" s="188"/>
    </row>
    <row r="794" spans="9:91" ht="15">
      <c r="M794" s="163"/>
      <c r="Q794" s="233"/>
      <c r="W794" s="183"/>
      <c r="AG794" s="184"/>
      <c r="AI794" s="185"/>
      <c r="AK794" s="186"/>
      <c r="BE794" s="187"/>
      <c r="BF794" s="188"/>
      <c r="BG794" s="189"/>
      <c r="BH794" s="147"/>
      <c r="BM794" s="190"/>
      <c r="BN794" s="147"/>
      <c r="BQ794" s="191"/>
      <c r="BR794" s="147"/>
      <c r="BS794" s="192"/>
      <c r="BT794" s="147"/>
      <c r="BU794" s="193"/>
      <c r="BV794" s="147"/>
      <c r="BW794" s="192"/>
      <c r="BX794" s="147"/>
      <c r="BY794" s="196"/>
      <c r="BZ794" s="147"/>
      <c r="CA794" s="192"/>
      <c r="CB794" s="147"/>
      <c r="CC794" s="194"/>
      <c r="CD794" s="147"/>
      <c r="CL794" s="195"/>
      <c r="CM794" s="188"/>
    </row>
    <row r="795" spans="9:91" ht="15">
      <c r="M795" s="163"/>
      <c r="Q795" s="233"/>
      <c r="W795" s="183"/>
      <c r="AG795" s="184"/>
      <c r="AI795" s="185"/>
      <c r="AK795" s="186"/>
      <c r="BE795" s="187"/>
      <c r="BF795" s="188"/>
      <c r="BG795" s="189"/>
      <c r="BH795" s="147"/>
      <c r="BM795" s="190"/>
      <c r="BN795" s="147"/>
      <c r="BQ795" s="191"/>
      <c r="BR795" s="147"/>
      <c r="BS795" s="192"/>
      <c r="BT795" s="147"/>
      <c r="BU795" s="193"/>
      <c r="BV795" s="147"/>
      <c r="BW795" s="192"/>
      <c r="BX795" s="147"/>
      <c r="BY795" s="196"/>
      <c r="BZ795" s="147"/>
      <c r="CA795" s="192"/>
      <c r="CB795" s="147"/>
      <c r="CC795" s="194"/>
      <c r="CD795" s="147"/>
      <c r="CL795" s="195"/>
      <c r="CM795" s="188"/>
    </row>
    <row r="796" spans="9:91" ht="15">
      <c r="M796" s="163"/>
      <c r="Q796" s="233"/>
      <c r="W796" s="183"/>
      <c r="AG796" s="184"/>
      <c r="AI796" s="185"/>
      <c r="AK796" s="186"/>
      <c r="BE796" s="187"/>
      <c r="BF796" s="188"/>
      <c r="BG796" s="189"/>
      <c r="BH796" s="147"/>
      <c r="BM796" s="190"/>
      <c r="BN796" s="147"/>
      <c r="BQ796" s="191"/>
      <c r="BR796" s="147"/>
      <c r="BS796" s="192"/>
      <c r="BT796" s="147"/>
      <c r="BU796" s="193"/>
      <c r="BV796" s="147"/>
      <c r="BW796" s="192"/>
      <c r="BX796" s="147"/>
      <c r="BY796" s="196"/>
      <c r="BZ796" s="147"/>
      <c r="CA796" s="192"/>
      <c r="CB796" s="147"/>
      <c r="CC796" s="194"/>
      <c r="CD796" s="147"/>
      <c r="CL796" s="195"/>
      <c r="CM796" s="188"/>
    </row>
    <row r="797" spans="9:91" ht="15">
      <c r="M797" s="163"/>
      <c r="Q797" s="233"/>
      <c r="W797" s="183"/>
      <c r="AG797" s="184"/>
      <c r="AI797" s="185"/>
      <c r="AK797" s="186"/>
      <c r="BE797" s="187"/>
      <c r="BF797" s="188"/>
      <c r="BG797" s="189"/>
      <c r="BH797" s="147"/>
      <c r="BM797" s="190"/>
      <c r="BN797" s="147"/>
      <c r="BQ797" s="191"/>
      <c r="BR797" s="147"/>
      <c r="BS797" s="192"/>
      <c r="BT797" s="147"/>
      <c r="BU797" s="193"/>
      <c r="BV797" s="147"/>
      <c r="BW797" s="192"/>
      <c r="BX797" s="147"/>
      <c r="BY797" s="196"/>
      <c r="BZ797" s="147"/>
      <c r="CA797" s="192"/>
      <c r="CB797" s="147"/>
      <c r="CC797" s="194"/>
      <c r="CD797" s="147"/>
      <c r="CL797" s="195"/>
      <c r="CM797" s="188"/>
    </row>
    <row r="798" spans="9:91" ht="15">
      <c r="M798" s="163"/>
      <c r="Q798" s="233"/>
      <c r="W798" s="183"/>
      <c r="AG798" s="184"/>
      <c r="AI798" s="185"/>
      <c r="AK798" s="186"/>
      <c r="BE798" s="187"/>
      <c r="BF798" s="188"/>
      <c r="BG798" s="189"/>
      <c r="BH798" s="147"/>
      <c r="BM798" s="190"/>
      <c r="BN798" s="147"/>
      <c r="BQ798" s="191"/>
      <c r="BR798" s="147"/>
      <c r="BS798" s="192"/>
      <c r="BT798" s="147"/>
      <c r="BU798" s="193"/>
      <c r="BV798" s="147"/>
      <c r="BW798" s="192"/>
      <c r="BX798" s="147"/>
      <c r="BY798" s="196"/>
      <c r="BZ798" s="147"/>
      <c r="CA798" s="192"/>
      <c r="CB798" s="147"/>
      <c r="CC798" s="194"/>
      <c r="CD798" s="147"/>
      <c r="CL798" s="195"/>
      <c r="CM798" s="188"/>
    </row>
    <row r="799" spans="9:91" ht="15">
      <c r="M799" s="163"/>
      <c r="Q799" s="233"/>
      <c r="W799" s="183"/>
      <c r="AG799" s="184"/>
      <c r="AI799" s="185"/>
      <c r="AK799" s="186"/>
      <c r="BE799" s="187"/>
      <c r="BF799" s="188"/>
      <c r="BG799" s="189"/>
      <c r="BH799" s="147"/>
      <c r="BM799" s="190"/>
      <c r="BN799" s="147"/>
      <c r="BQ799" s="191"/>
      <c r="BR799" s="147"/>
      <c r="BS799" s="192"/>
      <c r="BT799" s="147"/>
      <c r="BU799" s="193"/>
      <c r="BV799" s="147"/>
      <c r="BW799" s="192"/>
      <c r="BX799" s="147"/>
      <c r="BY799" s="196"/>
      <c r="BZ799" s="147"/>
      <c r="CA799" s="192"/>
      <c r="CB799" s="147"/>
      <c r="CC799" s="194"/>
      <c r="CD799" s="147"/>
      <c r="CL799" s="195"/>
      <c r="CM799" s="188"/>
    </row>
    <row r="800" spans="9:91" ht="15">
      <c r="M800" s="163"/>
      <c r="Q800" s="233"/>
      <c r="W800" s="183"/>
      <c r="AG800" s="184"/>
      <c r="AI800" s="185"/>
      <c r="AK800" s="186"/>
      <c r="BE800" s="187"/>
      <c r="BF800" s="188"/>
      <c r="BG800" s="189"/>
      <c r="BH800" s="147"/>
      <c r="BM800" s="190"/>
      <c r="BN800" s="147"/>
      <c r="BQ800" s="191"/>
      <c r="BR800" s="147"/>
      <c r="BS800" s="192"/>
      <c r="BT800" s="147"/>
      <c r="BU800" s="193"/>
      <c r="BV800" s="147"/>
      <c r="BW800" s="192"/>
      <c r="BX800" s="147"/>
      <c r="BY800" s="196"/>
      <c r="BZ800" s="147"/>
      <c r="CA800" s="192"/>
      <c r="CB800" s="147"/>
      <c r="CC800" s="194"/>
      <c r="CD800" s="147"/>
      <c r="CL800" s="195"/>
      <c r="CM800" s="188"/>
    </row>
    <row r="801" spans="9:91" ht="15">
      <c r="M801" s="163"/>
      <c r="Q801" s="233"/>
      <c r="W801" s="183"/>
      <c r="AG801" s="184"/>
      <c r="AI801" s="185"/>
      <c r="AK801" s="186"/>
      <c r="BE801" s="187"/>
      <c r="BF801" s="188"/>
      <c r="BG801" s="189"/>
      <c r="BH801" s="147"/>
      <c r="BM801" s="190"/>
      <c r="BN801" s="147"/>
      <c r="BQ801" s="191"/>
      <c r="BR801" s="147"/>
      <c r="BS801" s="192"/>
      <c r="BT801" s="147"/>
      <c r="BU801" s="193"/>
      <c r="BV801" s="147"/>
      <c r="BW801" s="192"/>
      <c r="BX801" s="147"/>
      <c r="BY801" s="196"/>
      <c r="BZ801" s="147"/>
      <c r="CA801" s="192"/>
      <c r="CB801" s="147"/>
      <c r="CC801" s="194"/>
      <c r="CD801" s="147"/>
      <c r="CL801" s="195"/>
      <c r="CM801" s="188"/>
    </row>
    <row r="802" spans="9:91" ht="15">
      <c r="M802" s="163"/>
      <c r="Q802" s="233"/>
      <c r="W802" s="183"/>
      <c r="AG802" s="184"/>
      <c r="AI802" s="185"/>
      <c r="AK802" s="186"/>
      <c r="BE802" s="187"/>
      <c r="BF802" s="188"/>
      <c r="BG802" s="189"/>
      <c r="BH802" s="147"/>
      <c r="BM802" s="190"/>
      <c r="BN802" s="147"/>
      <c r="BQ802" s="191"/>
      <c r="BR802" s="147"/>
      <c r="BS802" s="192"/>
      <c r="BT802" s="147"/>
      <c r="BU802" s="193"/>
      <c r="BV802" s="147"/>
      <c r="BW802" s="192"/>
      <c r="BX802" s="147"/>
      <c r="BY802" s="196"/>
      <c r="BZ802" s="147"/>
      <c r="CA802" s="192"/>
      <c r="CB802" s="147"/>
      <c r="CC802" s="194"/>
      <c r="CD802" s="147"/>
      <c r="CL802" s="195"/>
      <c r="CM802" s="188"/>
    </row>
    <row r="803" spans="9:91" ht="15">
      <c r="K803" s="178"/>
      <c r="M803" s="163"/>
      <c r="Q803" s="233"/>
      <c r="W803" s="183"/>
      <c r="AG803" s="184"/>
      <c r="AI803" s="185"/>
      <c r="AK803" s="186"/>
      <c r="BE803" s="187"/>
      <c r="BF803" s="188"/>
      <c r="BG803" s="189"/>
      <c r="BH803" s="147"/>
      <c r="BM803" s="190"/>
      <c r="BN803" s="147"/>
      <c r="BQ803" s="191"/>
      <c r="BR803" s="147"/>
      <c r="BS803" s="192"/>
      <c r="BT803" s="147"/>
      <c r="BU803" s="193"/>
      <c r="BV803" s="147"/>
      <c r="BW803" s="192"/>
      <c r="BX803" s="147"/>
      <c r="BY803" s="196"/>
      <c r="BZ803" s="147"/>
      <c r="CA803" s="192"/>
      <c r="CB803" s="147"/>
      <c r="CC803" s="194"/>
      <c r="CD803" s="147"/>
      <c r="CL803" s="195"/>
      <c r="CM803" s="188"/>
    </row>
    <row r="804" spans="9:91" ht="15">
      <c r="M804" s="163"/>
      <c r="Q804" s="233"/>
      <c r="W804" s="183"/>
      <c r="AG804" s="184"/>
      <c r="AI804" s="185"/>
      <c r="AK804" s="186"/>
      <c r="BE804" s="187"/>
      <c r="BF804" s="188"/>
      <c r="BG804" s="189"/>
      <c r="BH804" s="147"/>
      <c r="BM804" s="190"/>
      <c r="BN804" s="147"/>
      <c r="BQ804" s="191"/>
      <c r="BR804" s="147"/>
      <c r="BS804" s="192"/>
      <c r="BT804" s="147"/>
      <c r="BU804" s="193"/>
      <c r="BV804" s="147"/>
      <c r="BW804" s="192"/>
      <c r="BX804" s="147"/>
      <c r="BY804" s="196"/>
      <c r="BZ804" s="147"/>
      <c r="CA804" s="192"/>
      <c r="CB804" s="147"/>
      <c r="CC804" s="194"/>
      <c r="CD804" s="147"/>
      <c r="CL804" s="195"/>
      <c r="CM804" s="188"/>
    </row>
    <row r="805" spans="9:91" ht="15">
      <c r="M805" s="163"/>
      <c r="Q805" s="233"/>
      <c r="W805" s="183"/>
      <c r="AG805" s="184"/>
      <c r="AI805" s="185"/>
      <c r="AK805" s="186"/>
      <c r="BE805" s="187"/>
      <c r="BF805" s="188"/>
      <c r="BG805" s="189"/>
      <c r="BH805" s="147"/>
      <c r="BM805" s="190"/>
      <c r="BN805" s="147"/>
      <c r="BQ805" s="191"/>
      <c r="BR805" s="147"/>
      <c r="BS805" s="192"/>
      <c r="BT805" s="147"/>
      <c r="BU805" s="193"/>
      <c r="BV805" s="147"/>
      <c r="BW805" s="192"/>
      <c r="BX805" s="147"/>
      <c r="BY805" s="196"/>
      <c r="BZ805" s="147"/>
      <c r="CA805" s="192"/>
      <c r="CB805" s="147"/>
      <c r="CC805" s="194"/>
      <c r="CD805" s="147"/>
      <c r="CL805" s="195"/>
      <c r="CM805" s="188"/>
    </row>
    <row r="806" spans="9:91" ht="15">
      <c r="I806" s="177"/>
      <c r="K806" s="181"/>
      <c r="M806" s="163"/>
      <c r="Q806" s="233"/>
      <c r="W806" s="183"/>
      <c r="AG806" s="184"/>
      <c r="AI806" s="185"/>
      <c r="AK806" s="186"/>
      <c r="BE806" s="187"/>
      <c r="BF806" s="188"/>
      <c r="BG806" s="189"/>
      <c r="BH806" s="147"/>
      <c r="BM806" s="190"/>
      <c r="BN806" s="147"/>
      <c r="BQ806" s="191"/>
      <c r="BR806" s="147"/>
      <c r="BS806" s="192"/>
      <c r="BT806" s="147"/>
      <c r="BU806" s="193"/>
      <c r="BV806" s="147"/>
      <c r="BW806" s="192"/>
      <c r="BX806" s="147"/>
      <c r="BY806" s="196"/>
      <c r="BZ806" s="147"/>
      <c r="CA806" s="192"/>
      <c r="CB806" s="147"/>
      <c r="CC806" s="194"/>
      <c r="CD806" s="147"/>
      <c r="CL806" s="195"/>
      <c r="CM806" s="188"/>
    </row>
    <row r="807" spans="9:91" ht="15">
      <c r="K807" s="181"/>
      <c r="M807" s="163"/>
      <c r="Q807" s="233"/>
      <c r="W807" s="183"/>
      <c r="AG807" s="184"/>
      <c r="AI807" s="185"/>
      <c r="AK807" s="186"/>
      <c r="BE807" s="187"/>
      <c r="BF807" s="188"/>
      <c r="BG807" s="189"/>
      <c r="BH807" s="147"/>
      <c r="BM807" s="190"/>
      <c r="BN807" s="147"/>
      <c r="BQ807" s="191"/>
      <c r="BR807" s="147"/>
      <c r="BS807" s="192"/>
      <c r="BT807" s="147"/>
      <c r="BU807" s="193"/>
      <c r="BV807" s="147"/>
      <c r="BW807" s="192"/>
      <c r="BX807" s="147"/>
      <c r="BY807" s="196"/>
      <c r="BZ807" s="147"/>
      <c r="CA807" s="192"/>
      <c r="CB807" s="147"/>
      <c r="CC807" s="194"/>
      <c r="CD807" s="147"/>
      <c r="CL807" s="195"/>
      <c r="CM807" s="188"/>
    </row>
    <row r="808" spans="9:91" ht="15">
      <c r="M808" s="163"/>
      <c r="Q808" s="233"/>
      <c r="W808" s="183"/>
      <c r="AG808" s="184"/>
      <c r="AI808" s="185"/>
      <c r="AK808" s="186"/>
      <c r="BE808" s="187"/>
      <c r="BF808" s="188"/>
      <c r="BG808" s="189"/>
      <c r="BH808" s="147"/>
      <c r="BM808" s="190"/>
      <c r="BN808" s="147"/>
      <c r="BQ808" s="191"/>
      <c r="BR808" s="147"/>
      <c r="BS808" s="192"/>
      <c r="BT808" s="147"/>
      <c r="BU808" s="193"/>
      <c r="BV808" s="147"/>
      <c r="BW808" s="192"/>
      <c r="BX808" s="147"/>
      <c r="BY808" s="196"/>
      <c r="BZ808" s="147"/>
      <c r="CA808" s="192"/>
      <c r="CB808" s="147"/>
      <c r="CC808" s="194"/>
      <c r="CD808" s="147"/>
      <c r="CL808" s="195"/>
      <c r="CM808" s="188"/>
    </row>
    <row r="809" spans="9:91" ht="15">
      <c r="M809" s="163"/>
      <c r="Q809" s="233"/>
      <c r="W809" s="183"/>
      <c r="AG809" s="184"/>
      <c r="AI809" s="185"/>
      <c r="AK809" s="186"/>
      <c r="BE809" s="187"/>
      <c r="BF809" s="188"/>
      <c r="BG809" s="189"/>
      <c r="BH809" s="147"/>
      <c r="BM809" s="190"/>
      <c r="BN809" s="147"/>
      <c r="BQ809" s="191"/>
      <c r="BR809" s="147"/>
      <c r="BS809" s="192"/>
      <c r="BT809" s="147"/>
      <c r="BU809" s="193"/>
      <c r="BV809" s="147"/>
      <c r="BW809" s="192"/>
      <c r="BX809" s="147"/>
      <c r="BY809" s="196"/>
      <c r="BZ809" s="147"/>
      <c r="CA809" s="192"/>
      <c r="CB809" s="147"/>
      <c r="CC809" s="194"/>
      <c r="CD809" s="147"/>
      <c r="CL809" s="195"/>
      <c r="CM809" s="188"/>
    </row>
    <row r="810" spans="9:91" ht="15">
      <c r="M810" s="163"/>
      <c r="Q810" s="233"/>
      <c r="W810" s="183"/>
      <c r="AG810" s="184"/>
      <c r="AI810" s="185"/>
      <c r="AK810" s="186"/>
      <c r="BE810" s="187"/>
      <c r="BF810" s="188"/>
      <c r="BG810" s="189"/>
      <c r="BH810" s="147"/>
      <c r="BM810" s="190"/>
      <c r="BN810" s="147"/>
      <c r="BQ810" s="191"/>
      <c r="BR810" s="147"/>
      <c r="BS810" s="192"/>
      <c r="BT810" s="147"/>
      <c r="BU810" s="193"/>
      <c r="BV810" s="147"/>
      <c r="BW810" s="192"/>
      <c r="BX810" s="147"/>
      <c r="BY810" s="196"/>
      <c r="BZ810" s="147"/>
      <c r="CA810" s="192"/>
      <c r="CB810" s="147"/>
      <c r="CC810" s="194"/>
      <c r="CD810" s="147"/>
      <c r="CL810" s="195"/>
      <c r="CM810" s="188"/>
    </row>
    <row r="811" spans="9:91" ht="15">
      <c r="M811" s="163"/>
      <c r="Q811" s="233"/>
      <c r="W811" s="183"/>
      <c r="AG811" s="184"/>
      <c r="AI811" s="185"/>
      <c r="AK811" s="186"/>
      <c r="BE811" s="187"/>
      <c r="BF811" s="188"/>
      <c r="BG811" s="189"/>
      <c r="BH811" s="147"/>
      <c r="BM811" s="190"/>
      <c r="BN811" s="147"/>
      <c r="BQ811" s="191"/>
      <c r="BR811" s="147"/>
      <c r="BS811" s="192"/>
      <c r="BT811" s="147"/>
      <c r="BU811" s="193"/>
      <c r="BV811" s="147"/>
      <c r="BW811" s="192"/>
      <c r="BX811" s="147"/>
      <c r="BY811" s="196"/>
      <c r="BZ811" s="147"/>
      <c r="CA811" s="192"/>
      <c r="CB811" s="147"/>
      <c r="CC811" s="194"/>
      <c r="CD811" s="147"/>
      <c r="CL811" s="195"/>
      <c r="CM811" s="188"/>
    </row>
    <row r="812" spans="9:91" ht="15">
      <c r="M812" s="163"/>
      <c r="Q812" s="233"/>
      <c r="W812" s="183"/>
      <c r="AG812" s="184"/>
      <c r="AI812" s="185"/>
      <c r="AK812" s="186"/>
      <c r="BE812" s="187"/>
      <c r="BF812" s="188"/>
      <c r="BG812" s="189"/>
      <c r="BH812" s="147"/>
      <c r="BM812" s="190"/>
      <c r="BN812" s="147"/>
      <c r="BQ812" s="191"/>
      <c r="BR812" s="147"/>
      <c r="BS812" s="192"/>
      <c r="BT812" s="147"/>
      <c r="BU812" s="193"/>
      <c r="BV812" s="147"/>
      <c r="BW812" s="192"/>
      <c r="BX812" s="147"/>
      <c r="BY812" s="196"/>
      <c r="BZ812" s="147"/>
      <c r="CA812" s="192"/>
      <c r="CB812" s="147"/>
      <c r="CC812" s="194"/>
      <c r="CD812" s="147"/>
      <c r="CL812" s="195"/>
      <c r="CM812" s="188"/>
    </row>
    <row r="813" spans="9:91" ht="15">
      <c r="M813" s="163"/>
      <c r="Q813" s="233"/>
      <c r="W813" s="183"/>
      <c r="AG813" s="184"/>
      <c r="AI813" s="185"/>
      <c r="AK813" s="186"/>
      <c r="BE813" s="187"/>
      <c r="BF813" s="188"/>
      <c r="BG813" s="189"/>
      <c r="BH813" s="147"/>
      <c r="BM813" s="190"/>
      <c r="BN813" s="147"/>
      <c r="BQ813" s="191"/>
      <c r="BR813" s="147"/>
      <c r="BS813" s="192"/>
      <c r="BT813" s="147"/>
      <c r="BU813" s="193"/>
      <c r="BV813" s="147"/>
      <c r="BW813" s="192"/>
      <c r="BX813" s="147"/>
      <c r="BY813" s="196"/>
      <c r="BZ813" s="147"/>
      <c r="CA813" s="192"/>
      <c r="CB813" s="147"/>
      <c r="CC813" s="194"/>
      <c r="CD813" s="147"/>
      <c r="CL813" s="195"/>
      <c r="CM813" s="188"/>
    </row>
    <row r="814" spans="9:91" ht="15">
      <c r="I814" s="177"/>
      <c r="M814" s="163"/>
      <c r="Q814" s="233"/>
      <c r="W814" s="183"/>
      <c r="AG814" s="184"/>
      <c r="AI814" s="185"/>
      <c r="AK814" s="186"/>
      <c r="BE814" s="187"/>
      <c r="BF814" s="188"/>
      <c r="BG814" s="189"/>
      <c r="BH814" s="147"/>
      <c r="BM814" s="190"/>
      <c r="BN814" s="147"/>
      <c r="BQ814" s="191"/>
      <c r="BR814" s="147"/>
      <c r="BS814" s="192"/>
      <c r="BT814" s="147"/>
      <c r="BU814" s="193"/>
      <c r="BV814" s="147"/>
      <c r="BW814" s="192"/>
      <c r="BX814" s="147"/>
      <c r="BY814" s="196"/>
      <c r="BZ814" s="147"/>
      <c r="CA814" s="192"/>
      <c r="CB814" s="147"/>
      <c r="CC814" s="194"/>
      <c r="CD814" s="147"/>
      <c r="CL814" s="195"/>
      <c r="CM814" s="188"/>
    </row>
    <row r="815" spans="9:91" ht="15">
      <c r="M815" s="163"/>
      <c r="Q815" s="233"/>
      <c r="W815" s="183"/>
      <c r="AG815" s="184"/>
      <c r="AI815" s="185"/>
      <c r="AK815" s="186"/>
      <c r="BE815" s="187"/>
      <c r="BF815" s="188"/>
      <c r="BG815" s="189"/>
      <c r="BH815" s="147"/>
      <c r="BM815" s="190"/>
      <c r="BN815" s="147"/>
      <c r="BQ815" s="191"/>
      <c r="BR815" s="147"/>
      <c r="BS815" s="192"/>
      <c r="BT815" s="147"/>
      <c r="BU815" s="193"/>
      <c r="BV815" s="147"/>
      <c r="BW815" s="192"/>
      <c r="BX815" s="147"/>
      <c r="BY815" s="196"/>
      <c r="BZ815" s="147"/>
      <c r="CA815" s="192"/>
      <c r="CB815" s="147"/>
      <c r="CC815" s="194"/>
      <c r="CD815" s="147"/>
      <c r="CL815" s="195"/>
      <c r="CM815" s="188"/>
    </row>
    <row r="816" spans="9:91" ht="15">
      <c r="I816" s="177"/>
      <c r="M816" s="163"/>
      <c r="Q816" s="233"/>
      <c r="W816" s="183"/>
      <c r="AG816" s="184"/>
      <c r="AI816" s="185"/>
      <c r="AK816" s="186"/>
      <c r="BE816" s="187"/>
      <c r="BF816" s="188"/>
      <c r="BG816" s="189"/>
      <c r="BH816" s="147"/>
      <c r="BM816" s="190"/>
      <c r="BN816" s="147"/>
      <c r="BQ816" s="191"/>
      <c r="BR816" s="147"/>
      <c r="BS816" s="192"/>
      <c r="BT816" s="147"/>
      <c r="BU816" s="193"/>
      <c r="BV816" s="147"/>
      <c r="BW816" s="192"/>
      <c r="BX816" s="147"/>
      <c r="BY816" s="196"/>
      <c r="BZ816" s="147"/>
      <c r="CA816" s="192"/>
      <c r="CB816" s="147"/>
      <c r="CC816" s="194"/>
      <c r="CD816" s="147"/>
      <c r="CL816" s="195"/>
      <c r="CM816" s="188"/>
    </row>
    <row r="817" spans="9:91" ht="15">
      <c r="M817" s="163"/>
      <c r="Q817" s="233"/>
      <c r="W817" s="183"/>
      <c r="AG817" s="184"/>
      <c r="AI817" s="185"/>
      <c r="AK817" s="186"/>
      <c r="BE817" s="187"/>
      <c r="BF817" s="188"/>
      <c r="BG817" s="189"/>
      <c r="BH817" s="147"/>
      <c r="BM817" s="190"/>
      <c r="BN817" s="147"/>
      <c r="BQ817" s="191"/>
      <c r="BR817" s="147"/>
      <c r="BS817" s="192"/>
      <c r="BT817" s="147"/>
      <c r="BU817" s="193"/>
      <c r="BV817" s="147"/>
      <c r="BW817" s="192"/>
      <c r="BX817" s="147"/>
      <c r="BY817" s="196"/>
      <c r="BZ817" s="147"/>
      <c r="CA817" s="192"/>
      <c r="CB817" s="147"/>
      <c r="CC817" s="194"/>
      <c r="CD817" s="147"/>
      <c r="CL817" s="195"/>
      <c r="CM817" s="188"/>
    </row>
    <row r="818" spans="9:91" ht="15">
      <c r="I818" s="177"/>
      <c r="M818" s="163"/>
      <c r="Q818" s="233"/>
      <c r="W818" s="183"/>
      <c r="AG818" s="184"/>
      <c r="AI818" s="185"/>
      <c r="AK818" s="186"/>
      <c r="BE818" s="187"/>
      <c r="BF818" s="188"/>
      <c r="BG818" s="189"/>
      <c r="BH818" s="147"/>
      <c r="BM818" s="190"/>
      <c r="BN818" s="147"/>
      <c r="BQ818" s="191"/>
      <c r="BR818" s="147"/>
      <c r="BS818" s="192"/>
      <c r="BT818" s="147"/>
      <c r="BU818" s="193"/>
      <c r="BV818" s="147"/>
      <c r="BW818" s="192"/>
      <c r="BX818" s="147"/>
      <c r="BY818" s="196"/>
      <c r="BZ818" s="147"/>
      <c r="CA818" s="192"/>
      <c r="CB818" s="147"/>
      <c r="CC818" s="194"/>
      <c r="CD818" s="147"/>
      <c r="CL818" s="195"/>
      <c r="CM818" s="188"/>
    </row>
    <row r="819" spans="9:91" ht="15">
      <c r="M819" s="163"/>
      <c r="Q819" s="233"/>
      <c r="W819" s="183"/>
      <c r="AG819" s="184"/>
      <c r="AI819" s="185"/>
      <c r="AK819" s="186"/>
      <c r="BE819" s="187"/>
      <c r="BF819" s="188"/>
      <c r="BG819" s="189"/>
      <c r="BH819" s="147"/>
      <c r="BM819" s="190"/>
      <c r="BN819" s="147"/>
      <c r="BQ819" s="191"/>
      <c r="BR819" s="147"/>
      <c r="BS819" s="192"/>
      <c r="BT819" s="147"/>
      <c r="BU819" s="193"/>
      <c r="BV819" s="147"/>
      <c r="BW819" s="192"/>
      <c r="BX819" s="147"/>
      <c r="BY819" s="196"/>
      <c r="BZ819" s="147"/>
      <c r="CA819" s="192"/>
      <c r="CB819" s="147"/>
      <c r="CC819" s="194"/>
      <c r="CD819" s="147"/>
      <c r="CL819" s="195"/>
      <c r="CM819" s="188"/>
    </row>
    <row r="820" spans="9:91" ht="15">
      <c r="M820" s="163"/>
      <c r="Q820" s="233"/>
      <c r="W820" s="183"/>
      <c r="AG820" s="184"/>
      <c r="AI820" s="185"/>
      <c r="AK820" s="186"/>
      <c r="BE820" s="187"/>
      <c r="BF820" s="188"/>
      <c r="BG820" s="189"/>
      <c r="BH820" s="147"/>
      <c r="BM820" s="190"/>
      <c r="BN820" s="147"/>
      <c r="BQ820" s="191"/>
      <c r="BR820" s="147"/>
      <c r="BS820" s="192"/>
      <c r="BT820" s="147"/>
      <c r="BU820" s="193"/>
      <c r="BV820" s="147"/>
      <c r="BW820" s="192"/>
      <c r="BX820" s="147"/>
      <c r="BY820" s="196"/>
      <c r="BZ820" s="147"/>
      <c r="CA820" s="192"/>
      <c r="CB820" s="147"/>
      <c r="CC820" s="194"/>
      <c r="CD820" s="147"/>
      <c r="CL820" s="195"/>
      <c r="CM820" s="188"/>
    </row>
    <row r="821" spans="9:91" ht="15">
      <c r="M821" s="163"/>
      <c r="Q821" s="233"/>
      <c r="W821" s="183"/>
      <c r="AG821" s="184"/>
      <c r="AI821" s="185"/>
      <c r="AK821" s="186"/>
      <c r="BE821" s="187"/>
      <c r="BF821" s="188"/>
      <c r="BG821" s="189"/>
      <c r="BH821" s="147"/>
      <c r="BM821" s="190"/>
      <c r="BN821" s="147"/>
      <c r="BQ821" s="191"/>
      <c r="BR821" s="147"/>
      <c r="BS821" s="192"/>
      <c r="BT821" s="147"/>
      <c r="BU821" s="193"/>
      <c r="BV821" s="147"/>
      <c r="BW821" s="192"/>
      <c r="BX821" s="147"/>
      <c r="BY821" s="196"/>
      <c r="BZ821" s="147"/>
      <c r="CA821" s="192"/>
      <c r="CB821" s="147"/>
      <c r="CC821" s="194"/>
      <c r="CD821" s="147"/>
      <c r="CL821" s="195"/>
      <c r="CM821" s="188"/>
    </row>
    <row r="822" spans="9:91" ht="15">
      <c r="M822" s="163"/>
      <c r="Q822" s="233"/>
      <c r="W822" s="183"/>
      <c r="AG822" s="184"/>
      <c r="AI822" s="185"/>
      <c r="AK822" s="186"/>
      <c r="BE822" s="187"/>
      <c r="BF822" s="188"/>
      <c r="BG822" s="189"/>
      <c r="BH822" s="147"/>
      <c r="BM822" s="190"/>
      <c r="BN822" s="147"/>
      <c r="BQ822" s="191"/>
      <c r="BR822" s="147"/>
      <c r="BS822" s="192"/>
      <c r="BT822" s="147"/>
      <c r="BU822" s="193"/>
      <c r="BV822" s="147"/>
      <c r="BW822" s="192"/>
      <c r="BX822" s="147"/>
      <c r="BY822" s="196"/>
      <c r="BZ822" s="147"/>
      <c r="CA822" s="192"/>
      <c r="CB822" s="147"/>
      <c r="CC822" s="194"/>
      <c r="CD822" s="147"/>
      <c r="CL822" s="195"/>
      <c r="CM822" s="188"/>
    </row>
    <row r="823" spans="9:91" ht="15">
      <c r="M823" s="163"/>
      <c r="Q823" s="233"/>
      <c r="W823" s="183"/>
      <c r="AG823" s="184"/>
      <c r="AI823" s="185"/>
      <c r="AK823" s="186"/>
      <c r="BE823" s="187"/>
      <c r="BF823" s="188"/>
      <c r="BG823" s="189"/>
      <c r="BH823" s="147"/>
      <c r="BM823" s="190"/>
      <c r="BN823" s="147"/>
      <c r="BQ823" s="191"/>
      <c r="BR823" s="147"/>
      <c r="BS823" s="192"/>
      <c r="BT823" s="147"/>
      <c r="BU823" s="193"/>
      <c r="BV823" s="147"/>
      <c r="BW823" s="192"/>
      <c r="BX823" s="147"/>
      <c r="BY823" s="196"/>
      <c r="BZ823" s="147"/>
      <c r="CA823" s="192"/>
      <c r="CB823" s="147"/>
      <c r="CC823" s="194"/>
      <c r="CD823" s="147"/>
      <c r="CL823" s="195"/>
      <c r="CM823" s="188"/>
    </row>
    <row r="824" spans="9:91" ht="15">
      <c r="M824" s="163"/>
      <c r="Q824" s="233"/>
      <c r="W824" s="183"/>
      <c r="AG824" s="184"/>
      <c r="AI824" s="185"/>
      <c r="AK824" s="186"/>
      <c r="BE824" s="187"/>
      <c r="BF824" s="188"/>
      <c r="BG824" s="189"/>
      <c r="BH824" s="147"/>
      <c r="BM824" s="190"/>
      <c r="BN824" s="147"/>
      <c r="BQ824" s="191"/>
      <c r="BR824" s="147"/>
      <c r="BS824" s="192"/>
      <c r="BT824" s="147"/>
      <c r="BU824" s="193"/>
      <c r="BV824" s="147"/>
      <c r="BW824" s="192"/>
      <c r="BX824" s="147"/>
      <c r="BY824" s="196"/>
      <c r="BZ824" s="147"/>
      <c r="CA824" s="192"/>
      <c r="CB824" s="147"/>
      <c r="CC824" s="194"/>
      <c r="CD824" s="147"/>
      <c r="CL824" s="195"/>
      <c r="CM824" s="188"/>
    </row>
    <row r="825" spans="9:91" ht="15">
      <c r="M825" s="163"/>
      <c r="Q825" s="233"/>
      <c r="W825" s="183"/>
      <c r="AG825" s="184"/>
      <c r="AI825" s="185"/>
      <c r="AK825" s="186"/>
      <c r="BE825" s="187"/>
      <c r="BF825" s="188"/>
      <c r="BG825" s="189"/>
      <c r="BH825" s="147"/>
      <c r="BM825" s="190"/>
      <c r="BN825" s="147"/>
      <c r="BQ825" s="191"/>
      <c r="BR825" s="147"/>
      <c r="BS825" s="192"/>
      <c r="BT825" s="147"/>
      <c r="BU825" s="193"/>
      <c r="BV825" s="147"/>
      <c r="BW825" s="192"/>
      <c r="BX825" s="147"/>
      <c r="BY825" s="196"/>
      <c r="BZ825" s="147"/>
      <c r="CA825" s="192"/>
      <c r="CB825" s="147"/>
      <c r="CC825" s="194"/>
      <c r="CD825" s="147"/>
      <c r="CL825" s="195"/>
      <c r="CM825" s="188"/>
    </row>
    <row r="826" spans="9:91" ht="15">
      <c r="I826" s="177"/>
      <c r="K826" s="178"/>
      <c r="M826" s="163"/>
      <c r="Q826" s="233"/>
      <c r="W826" s="183"/>
      <c r="AG826" s="184"/>
      <c r="AI826" s="185"/>
      <c r="AK826" s="186"/>
      <c r="BE826" s="187"/>
      <c r="BF826" s="188"/>
      <c r="BG826" s="189"/>
      <c r="BH826" s="147"/>
      <c r="BM826" s="190"/>
      <c r="BN826" s="147"/>
      <c r="BQ826" s="191"/>
      <c r="BR826" s="147"/>
      <c r="BS826" s="192"/>
      <c r="BT826" s="147"/>
      <c r="BU826" s="193"/>
      <c r="BV826" s="147"/>
      <c r="BW826" s="192"/>
      <c r="BX826" s="147"/>
      <c r="BY826" s="196"/>
      <c r="BZ826" s="147"/>
      <c r="CA826" s="192"/>
      <c r="CB826" s="147"/>
      <c r="CC826" s="194"/>
      <c r="CD826" s="147"/>
      <c r="CL826" s="195"/>
      <c r="CM826" s="188"/>
    </row>
    <row r="827" spans="9:91" ht="15">
      <c r="M827" s="163"/>
      <c r="Q827" s="233"/>
      <c r="W827" s="183"/>
      <c r="AG827" s="184"/>
      <c r="AI827" s="185"/>
      <c r="AK827" s="186"/>
      <c r="BE827" s="187"/>
      <c r="BF827" s="188"/>
      <c r="BG827" s="189"/>
      <c r="BH827" s="147"/>
      <c r="BM827" s="190"/>
      <c r="BN827" s="147"/>
      <c r="BQ827" s="191"/>
      <c r="BR827" s="147"/>
      <c r="BS827" s="192"/>
      <c r="BT827" s="147"/>
      <c r="BU827" s="193"/>
      <c r="BV827" s="147"/>
      <c r="BW827" s="192"/>
      <c r="BX827" s="147"/>
      <c r="BY827" s="196"/>
      <c r="BZ827" s="147"/>
      <c r="CA827" s="192"/>
      <c r="CB827" s="147"/>
      <c r="CC827" s="194"/>
      <c r="CD827" s="147"/>
      <c r="CL827" s="195"/>
      <c r="CM827" s="188"/>
    </row>
    <row r="828" spans="9:91" ht="15">
      <c r="K828" s="181"/>
      <c r="M828" s="163"/>
      <c r="Q828" s="233"/>
      <c r="W828" s="183"/>
      <c r="AG828" s="184"/>
      <c r="AI828" s="185"/>
      <c r="AK828" s="186"/>
      <c r="BE828" s="187"/>
      <c r="BF828" s="188"/>
      <c r="BG828" s="189"/>
      <c r="BH828" s="147"/>
      <c r="BM828" s="190"/>
      <c r="BN828" s="147"/>
      <c r="BQ828" s="191"/>
      <c r="BR828" s="147"/>
      <c r="BS828" s="192"/>
      <c r="BT828" s="147"/>
      <c r="BU828" s="193"/>
      <c r="BV828" s="147"/>
      <c r="BW828" s="192"/>
      <c r="BX828" s="147"/>
      <c r="BY828" s="196"/>
      <c r="BZ828" s="147"/>
      <c r="CA828" s="192"/>
      <c r="CB828" s="147"/>
      <c r="CC828" s="194"/>
      <c r="CD828" s="147"/>
      <c r="CL828" s="195"/>
      <c r="CM828" s="188"/>
    </row>
    <row r="829" spans="9:91" ht="15">
      <c r="M829" s="163"/>
      <c r="Q829" s="233"/>
      <c r="W829" s="183"/>
      <c r="AG829" s="184"/>
      <c r="AI829" s="185"/>
      <c r="AK829" s="186"/>
      <c r="BE829" s="187"/>
      <c r="BF829" s="188"/>
      <c r="BG829" s="189"/>
      <c r="BH829" s="147"/>
      <c r="BM829" s="190"/>
      <c r="BN829" s="147"/>
      <c r="BQ829" s="191"/>
      <c r="BR829" s="147"/>
      <c r="BS829" s="192"/>
      <c r="BT829" s="147"/>
      <c r="BU829" s="193"/>
      <c r="BV829" s="147"/>
      <c r="BW829" s="192"/>
      <c r="BX829" s="147"/>
      <c r="BY829" s="196"/>
      <c r="BZ829" s="147"/>
      <c r="CA829" s="192"/>
      <c r="CB829" s="147"/>
      <c r="CC829" s="194"/>
      <c r="CD829" s="147"/>
      <c r="CL829" s="195"/>
      <c r="CM829" s="188"/>
    </row>
    <row r="830" spans="9:91" ht="15">
      <c r="M830" s="163"/>
      <c r="Q830" s="233"/>
      <c r="W830" s="183"/>
      <c r="AG830" s="184"/>
      <c r="AI830" s="185"/>
      <c r="AK830" s="186"/>
      <c r="BE830" s="187"/>
      <c r="BF830" s="188"/>
      <c r="BG830" s="189"/>
      <c r="BH830" s="147"/>
      <c r="BM830" s="190"/>
      <c r="BN830" s="147"/>
      <c r="BQ830" s="191"/>
      <c r="BR830" s="147"/>
      <c r="BS830" s="192"/>
      <c r="BT830" s="147"/>
      <c r="BU830" s="193"/>
      <c r="BV830" s="147"/>
      <c r="BW830" s="192"/>
      <c r="BX830" s="147"/>
      <c r="BY830" s="196"/>
      <c r="BZ830" s="147"/>
      <c r="CA830" s="192"/>
      <c r="CB830" s="147"/>
      <c r="CC830" s="194"/>
      <c r="CD830" s="147"/>
      <c r="CL830" s="195"/>
      <c r="CM830" s="188"/>
    </row>
    <row r="831" spans="9:91" ht="15">
      <c r="M831" s="163"/>
      <c r="Q831" s="233"/>
      <c r="W831" s="183"/>
      <c r="AG831" s="184"/>
      <c r="AI831" s="185"/>
      <c r="AK831" s="186"/>
      <c r="BE831" s="187"/>
      <c r="BF831" s="188"/>
      <c r="BG831" s="189"/>
      <c r="BH831" s="147"/>
      <c r="BM831" s="190"/>
      <c r="BN831" s="147"/>
      <c r="BQ831" s="191"/>
      <c r="BR831" s="147"/>
      <c r="BS831" s="192"/>
      <c r="BT831" s="147"/>
      <c r="BU831" s="193"/>
      <c r="BV831" s="147"/>
      <c r="BW831" s="192"/>
      <c r="BX831" s="147"/>
      <c r="BY831" s="196"/>
      <c r="BZ831" s="147"/>
      <c r="CA831" s="192"/>
      <c r="CB831" s="147"/>
      <c r="CC831" s="194"/>
      <c r="CD831" s="147"/>
      <c r="CL831" s="195"/>
      <c r="CM831" s="188"/>
    </row>
    <row r="832" spans="9:91" ht="15">
      <c r="M832" s="163"/>
      <c r="Q832" s="233"/>
      <c r="W832" s="183"/>
      <c r="AG832" s="184"/>
      <c r="AI832" s="185"/>
      <c r="AK832" s="186"/>
      <c r="BE832" s="187"/>
      <c r="BF832" s="188"/>
      <c r="BG832" s="189"/>
      <c r="BH832" s="147"/>
      <c r="BM832" s="190"/>
      <c r="BN832" s="147"/>
      <c r="BQ832" s="191"/>
      <c r="BR832" s="147"/>
      <c r="BS832" s="192"/>
      <c r="BT832" s="147"/>
      <c r="BU832" s="193"/>
      <c r="BV832" s="147"/>
      <c r="BW832" s="192"/>
      <c r="BX832" s="147"/>
      <c r="BY832" s="196"/>
      <c r="BZ832" s="147"/>
      <c r="CA832" s="192"/>
      <c r="CB832" s="147"/>
      <c r="CC832" s="194"/>
      <c r="CD832" s="147"/>
      <c r="CL832" s="195"/>
      <c r="CM832" s="188"/>
    </row>
    <row r="833" spans="1:91" ht="15">
      <c r="K833" s="178"/>
      <c r="M833" s="163"/>
      <c r="Q833" s="233"/>
      <c r="W833" s="183"/>
      <c r="AG833" s="184"/>
      <c r="AI833" s="185"/>
      <c r="AK833" s="186"/>
      <c r="BE833" s="187"/>
      <c r="BF833" s="188"/>
      <c r="BG833" s="189"/>
      <c r="BH833" s="147"/>
      <c r="BM833" s="190"/>
      <c r="BN833" s="147"/>
      <c r="BQ833" s="191"/>
      <c r="BR833" s="147"/>
      <c r="BS833" s="192"/>
      <c r="BT833" s="147"/>
      <c r="BU833" s="193"/>
      <c r="BV833" s="147"/>
      <c r="BW833" s="192"/>
      <c r="BX833" s="147"/>
      <c r="BY833" s="196"/>
      <c r="BZ833" s="147"/>
      <c r="CA833" s="192"/>
      <c r="CB833" s="147"/>
      <c r="CC833" s="194"/>
      <c r="CD833" s="147"/>
      <c r="CL833" s="195"/>
      <c r="CM833" s="188"/>
    </row>
    <row r="834" spans="1:91" ht="15">
      <c r="K834" s="178"/>
      <c r="M834" s="163"/>
      <c r="Q834" s="233"/>
      <c r="W834" s="183"/>
      <c r="AG834" s="184"/>
      <c r="AI834" s="185"/>
      <c r="AK834" s="186"/>
      <c r="BE834" s="187"/>
      <c r="BF834" s="188"/>
      <c r="BG834" s="189"/>
      <c r="BH834" s="147"/>
      <c r="BM834" s="190"/>
      <c r="BN834" s="147"/>
      <c r="BQ834" s="191"/>
      <c r="BR834" s="147"/>
      <c r="BS834" s="192"/>
      <c r="BT834" s="147"/>
      <c r="BU834" s="193"/>
      <c r="BV834" s="147"/>
      <c r="BW834" s="192"/>
      <c r="BX834" s="147"/>
      <c r="BY834" s="196"/>
      <c r="BZ834" s="147"/>
      <c r="CA834" s="192"/>
      <c r="CB834" s="147"/>
      <c r="CC834" s="194"/>
      <c r="CD834" s="147"/>
      <c r="CL834" s="195"/>
      <c r="CM834" s="188"/>
    </row>
    <row r="835" spans="1:91" ht="15">
      <c r="K835" s="178"/>
      <c r="M835" s="163"/>
      <c r="Q835" s="233"/>
      <c r="W835" s="183"/>
      <c r="AG835" s="184"/>
      <c r="AI835" s="185"/>
      <c r="AK835" s="186"/>
      <c r="BE835" s="187"/>
      <c r="BF835" s="188"/>
      <c r="BG835" s="189"/>
      <c r="BH835" s="147"/>
      <c r="BM835" s="190"/>
      <c r="BN835" s="147"/>
      <c r="BQ835" s="191"/>
      <c r="BR835" s="147"/>
      <c r="BS835" s="192"/>
      <c r="BT835" s="147"/>
      <c r="BU835" s="193"/>
      <c r="BV835" s="147"/>
      <c r="BW835" s="192"/>
      <c r="BX835" s="147"/>
      <c r="BY835" s="196"/>
      <c r="BZ835" s="147"/>
      <c r="CA835" s="192"/>
      <c r="CB835" s="147"/>
      <c r="CC835" s="194"/>
      <c r="CD835" s="147"/>
      <c r="CL835" s="195"/>
      <c r="CM835" s="188"/>
    </row>
    <row r="836" spans="1:91" ht="15">
      <c r="K836" s="178"/>
      <c r="M836" s="163"/>
      <c r="Q836" s="233"/>
      <c r="W836" s="183"/>
      <c r="AG836" s="184"/>
      <c r="AI836" s="185"/>
      <c r="AK836" s="186"/>
      <c r="BE836" s="187"/>
      <c r="BF836" s="188"/>
      <c r="BG836" s="189"/>
      <c r="BH836" s="147"/>
      <c r="BM836" s="190"/>
      <c r="BN836" s="147"/>
      <c r="BQ836" s="191"/>
      <c r="BR836" s="147"/>
      <c r="BS836" s="192"/>
      <c r="BT836" s="147"/>
      <c r="BU836" s="193"/>
      <c r="BV836" s="147"/>
      <c r="BW836" s="192"/>
      <c r="BX836" s="147"/>
      <c r="BY836" s="196"/>
      <c r="BZ836" s="147"/>
      <c r="CA836" s="192"/>
      <c r="CB836" s="147"/>
      <c r="CC836" s="194"/>
      <c r="CD836" s="147"/>
      <c r="CL836" s="195"/>
      <c r="CM836" s="188"/>
    </row>
    <row r="837" spans="1:91" ht="15">
      <c r="A837" s="221"/>
      <c r="B837" s="221"/>
      <c r="C837" s="222"/>
      <c r="D837" s="222"/>
      <c r="E837" s="222"/>
      <c r="G837" s="223"/>
      <c r="H837" s="223"/>
      <c r="I837" s="222"/>
      <c r="J837" s="222"/>
      <c r="K837" s="224"/>
      <c r="L837" s="225"/>
      <c r="M837" s="226"/>
      <c r="N837" s="225"/>
      <c r="O837" s="224"/>
      <c r="P837" s="225"/>
      <c r="Q837" s="233"/>
      <c r="R837" s="225"/>
      <c r="S837" s="224"/>
      <c r="T837" s="225"/>
      <c r="U837" s="224"/>
      <c r="V837" s="225"/>
      <c r="W837" s="226"/>
      <c r="X837" s="225"/>
      <c r="Z837" s="225"/>
      <c r="AA837" s="224"/>
      <c r="AB837" s="225"/>
      <c r="AC837" s="224"/>
      <c r="AD837" s="225"/>
      <c r="AE837" s="224"/>
      <c r="AF837" s="225"/>
      <c r="AG837" s="226"/>
      <c r="AH837" s="225"/>
      <c r="AI837" s="226"/>
      <c r="AJ837" s="225"/>
      <c r="AK837" s="226"/>
      <c r="AL837" s="225"/>
      <c r="AM837" s="224"/>
      <c r="AN837" s="225"/>
      <c r="AO837" s="224"/>
      <c r="AP837" s="224"/>
      <c r="AQ837" s="224"/>
      <c r="AR837" s="224"/>
      <c r="AS837" s="224"/>
      <c r="AT837" s="224"/>
      <c r="AU837" s="224"/>
      <c r="AV837" s="224"/>
      <c r="AW837" s="224"/>
      <c r="AX837" s="224"/>
      <c r="AY837" s="224"/>
      <c r="AZ837" s="224"/>
      <c r="BA837" s="224"/>
      <c r="BB837" s="224"/>
      <c r="BC837" s="224"/>
      <c r="BD837" s="224"/>
      <c r="BE837" s="226"/>
      <c r="BF837" s="227"/>
      <c r="BG837" s="228"/>
      <c r="BH837" s="225"/>
      <c r="BI837" s="229"/>
      <c r="BJ837" s="229"/>
      <c r="BK837" s="229"/>
      <c r="BL837" s="229"/>
      <c r="BM837" s="228"/>
      <c r="BN837" s="225"/>
      <c r="BO837" s="229"/>
      <c r="BP837" s="229"/>
      <c r="BQ837" s="228"/>
      <c r="BR837" s="225"/>
      <c r="BS837" s="228"/>
      <c r="BT837" s="225"/>
      <c r="BU837" s="228"/>
      <c r="BV837" s="225"/>
      <c r="BW837" s="228"/>
      <c r="BX837" s="225"/>
      <c r="BY837" s="228"/>
      <c r="BZ837" s="225"/>
      <c r="CA837" s="228"/>
      <c r="CB837" s="225"/>
      <c r="CC837" s="228"/>
      <c r="CD837" s="225"/>
      <c r="CE837" s="229"/>
      <c r="CF837" s="229"/>
      <c r="CG837" s="229"/>
      <c r="CH837" s="229"/>
      <c r="CI837" s="229"/>
      <c r="CJ837" s="229"/>
      <c r="CK837" s="229"/>
      <c r="CL837" s="228"/>
      <c r="CM837" s="227"/>
    </row>
    <row r="838" spans="1:91" ht="15">
      <c r="I838" s="177"/>
      <c r="J838" s="177"/>
      <c r="K838" s="178"/>
      <c r="M838" s="163"/>
      <c r="Q838" s="233"/>
      <c r="W838" s="183"/>
      <c r="AG838" s="184"/>
      <c r="AI838" s="185"/>
      <c r="AK838" s="186"/>
      <c r="BE838" s="187"/>
      <c r="BF838" s="188"/>
      <c r="BG838" s="189"/>
      <c r="BH838" s="147"/>
      <c r="BM838" s="190"/>
      <c r="BN838" s="147"/>
      <c r="BQ838" s="191"/>
      <c r="BR838" s="147"/>
      <c r="BS838" s="192"/>
      <c r="BT838" s="147"/>
      <c r="BU838" s="193"/>
      <c r="BV838" s="147"/>
      <c r="BW838" s="192"/>
      <c r="BX838" s="147"/>
      <c r="BY838" s="196"/>
      <c r="BZ838" s="147"/>
      <c r="CA838" s="192"/>
      <c r="CB838" s="147"/>
      <c r="CC838" s="194"/>
      <c r="CD838" s="147"/>
      <c r="CL838" s="195"/>
      <c r="CM838" s="188"/>
    </row>
    <row r="839" spans="1:91" ht="15">
      <c r="I839" s="177"/>
      <c r="K839" s="178"/>
      <c r="M839" s="163"/>
      <c r="Q839" s="233"/>
      <c r="W839" s="183"/>
      <c r="AG839" s="184"/>
      <c r="AI839" s="185"/>
      <c r="AK839" s="186"/>
      <c r="BE839" s="187"/>
      <c r="BF839" s="188"/>
      <c r="BG839" s="189"/>
      <c r="BH839" s="147"/>
      <c r="BM839" s="190"/>
      <c r="BN839" s="147"/>
      <c r="BQ839" s="191"/>
      <c r="BR839" s="147"/>
      <c r="BS839" s="192"/>
      <c r="BT839" s="147"/>
      <c r="BU839" s="193"/>
      <c r="BV839" s="147"/>
      <c r="BW839" s="192"/>
      <c r="BX839" s="147"/>
      <c r="BY839" s="196"/>
      <c r="BZ839" s="147"/>
      <c r="CA839" s="192"/>
      <c r="CB839" s="147"/>
      <c r="CC839" s="194"/>
      <c r="CD839" s="147"/>
      <c r="CL839" s="195"/>
      <c r="CM839" s="188"/>
    </row>
    <row r="840" spans="1:91" ht="15">
      <c r="I840" s="177"/>
      <c r="K840" s="178"/>
      <c r="M840" s="163"/>
      <c r="Q840" s="233"/>
      <c r="W840" s="183"/>
      <c r="AG840" s="184"/>
      <c r="AI840" s="185"/>
      <c r="AK840" s="186"/>
      <c r="BE840" s="187"/>
      <c r="BF840" s="188"/>
      <c r="BG840" s="189"/>
      <c r="BH840" s="147"/>
      <c r="BM840" s="190"/>
      <c r="BN840" s="147"/>
      <c r="BQ840" s="191"/>
      <c r="BR840" s="147"/>
      <c r="BS840" s="192"/>
      <c r="BT840" s="147"/>
      <c r="BU840" s="193"/>
      <c r="BV840" s="147"/>
      <c r="BW840" s="192"/>
      <c r="BX840" s="147"/>
      <c r="BY840" s="196"/>
      <c r="BZ840" s="147"/>
      <c r="CA840" s="192"/>
      <c r="CB840" s="147"/>
      <c r="CC840" s="194"/>
      <c r="CD840" s="147"/>
      <c r="CL840" s="195"/>
      <c r="CM840" s="188"/>
    </row>
    <row r="841" spans="1:91" ht="15">
      <c r="I841" s="177"/>
      <c r="M841" s="163"/>
      <c r="Q841" s="233"/>
      <c r="W841" s="183"/>
      <c r="AG841" s="184"/>
      <c r="AI841" s="185"/>
      <c r="AK841" s="186"/>
      <c r="BE841" s="187"/>
      <c r="BF841" s="188"/>
      <c r="BG841" s="189"/>
      <c r="BH841" s="147"/>
      <c r="BM841" s="190"/>
      <c r="BN841" s="147"/>
      <c r="BQ841" s="191"/>
      <c r="BR841" s="147"/>
      <c r="BS841" s="192"/>
      <c r="BT841" s="147"/>
      <c r="BU841" s="193"/>
      <c r="BV841" s="147"/>
      <c r="BW841" s="192"/>
      <c r="BX841" s="147"/>
      <c r="BY841" s="196"/>
      <c r="BZ841" s="147"/>
      <c r="CA841" s="192"/>
      <c r="CB841" s="147"/>
      <c r="CC841" s="194"/>
      <c r="CD841" s="147"/>
      <c r="CL841" s="195"/>
      <c r="CM841" s="188"/>
    </row>
    <row r="842" spans="1:91" ht="15">
      <c r="M842" s="163"/>
      <c r="Q842" s="233"/>
      <c r="W842" s="183"/>
      <c r="AG842" s="184"/>
      <c r="AI842" s="185"/>
      <c r="AK842" s="186"/>
      <c r="BE842" s="187"/>
      <c r="BF842" s="188"/>
      <c r="BG842" s="189"/>
      <c r="BH842" s="147"/>
      <c r="BM842" s="190"/>
      <c r="BN842" s="147"/>
      <c r="BQ842" s="191"/>
      <c r="BR842" s="147"/>
      <c r="BS842" s="192"/>
      <c r="BT842" s="147"/>
      <c r="BU842" s="193"/>
      <c r="BV842" s="147"/>
      <c r="BW842" s="192"/>
      <c r="BX842" s="147"/>
      <c r="BY842" s="196"/>
      <c r="BZ842" s="147"/>
      <c r="CA842" s="192"/>
      <c r="CB842" s="147"/>
      <c r="CC842" s="194"/>
      <c r="CD842" s="147"/>
      <c r="CL842" s="195"/>
      <c r="CM842" s="188"/>
    </row>
    <row r="843" spans="1:91" ht="15">
      <c r="I843" s="177"/>
      <c r="M843" s="163"/>
      <c r="Q843" s="233"/>
      <c r="W843" s="183"/>
      <c r="AG843" s="184"/>
      <c r="AI843" s="185"/>
      <c r="AK843" s="186"/>
      <c r="BE843" s="187"/>
      <c r="BF843" s="188"/>
      <c r="BG843" s="189"/>
      <c r="BH843" s="147"/>
      <c r="BM843" s="190"/>
      <c r="BN843" s="147"/>
      <c r="BQ843" s="191"/>
      <c r="BR843" s="147"/>
      <c r="BS843" s="192"/>
      <c r="BT843" s="147"/>
      <c r="BU843" s="193"/>
      <c r="BV843" s="147"/>
      <c r="BW843" s="192"/>
      <c r="BX843" s="147"/>
      <c r="BY843" s="196"/>
      <c r="BZ843" s="147"/>
      <c r="CA843" s="192"/>
      <c r="CB843" s="147"/>
      <c r="CC843" s="194"/>
      <c r="CD843" s="147"/>
      <c r="CL843" s="195"/>
      <c r="CM843" s="188"/>
    </row>
    <row r="844" spans="1:91" ht="15">
      <c r="J844" s="177"/>
      <c r="M844" s="163"/>
      <c r="Q844" s="233"/>
      <c r="W844" s="183"/>
      <c r="AG844" s="184"/>
      <c r="AI844" s="185"/>
      <c r="AK844" s="186"/>
      <c r="BE844" s="187"/>
      <c r="BF844" s="188"/>
      <c r="BG844" s="189"/>
      <c r="BH844" s="147"/>
      <c r="BM844" s="190"/>
      <c r="BN844" s="147"/>
      <c r="BQ844" s="191"/>
      <c r="BR844" s="147"/>
      <c r="BS844" s="192"/>
      <c r="BT844" s="147"/>
      <c r="BU844" s="193"/>
      <c r="BV844" s="147"/>
      <c r="BW844" s="192"/>
      <c r="BX844" s="147"/>
      <c r="BY844" s="196"/>
      <c r="BZ844" s="147"/>
      <c r="CA844" s="192"/>
      <c r="CB844" s="147"/>
      <c r="CC844" s="194"/>
      <c r="CD844" s="147"/>
      <c r="CL844" s="195"/>
      <c r="CM844" s="188"/>
    </row>
    <row r="845" spans="1:91" ht="15">
      <c r="M845" s="163"/>
      <c r="Q845" s="233"/>
      <c r="W845" s="183"/>
      <c r="AG845" s="184"/>
      <c r="AI845" s="185"/>
      <c r="AK845" s="186"/>
      <c r="BE845" s="187"/>
      <c r="BF845" s="188"/>
      <c r="BG845" s="189"/>
      <c r="BH845" s="147"/>
      <c r="BM845" s="190"/>
      <c r="BN845" s="147"/>
      <c r="BQ845" s="191"/>
      <c r="BR845" s="147"/>
      <c r="BS845" s="192"/>
      <c r="BT845" s="147"/>
      <c r="BU845" s="193"/>
      <c r="BV845" s="147"/>
      <c r="BW845" s="192"/>
      <c r="BX845" s="147"/>
      <c r="BY845" s="196"/>
      <c r="BZ845" s="147"/>
      <c r="CA845" s="192"/>
      <c r="CB845" s="147"/>
      <c r="CC845" s="194"/>
      <c r="CD845" s="147"/>
      <c r="CL845" s="195"/>
      <c r="CM845" s="188"/>
    </row>
    <row r="846" spans="1:91" ht="15">
      <c r="A846" s="221"/>
      <c r="B846" s="221"/>
      <c r="C846" s="222"/>
      <c r="D846" s="222"/>
      <c r="E846" s="222"/>
      <c r="G846" s="223"/>
      <c r="H846" s="223"/>
      <c r="I846" s="222"/>
      <c r="J846" s="222"/>
      <c r="K846" s="224"/>
      <c r="L846" s="225"/>
      <c r="M846" s="226"/>
      <c r="N846" s="225"/>
      <c r="O846" s="224"/>
      <c r="P846" s="225"/>
      <c r="Q846" s="233"/>
      <c r="R846" s="225"/>
      <c r="S846" s="224"/>
      <c r="T846" s="225"/>
      <c r="U846" s="224"/>
      <c r="V846" s="225"/>
      <c r="W846" s="226"/>
      <c r="X846" s="225"/>
      <c r="Z846" s="225"/>
      <c r="AA846" s="224"/>
      <c r="AB846" s="225"/>
      <c r="AC846" s="224"/>
      <c r="AD846" s="225"/>
      <c r="AE846" s="224"/>
      <c r="AF846" s="225"/>
      <c r="AG846" s="226"/>
      <c r="AH846" s="225"/>
      <c r="AI846" s="226"/>
      <c r="AJ846" s="225"/>
      <c r="AK846" s="226"/>
      <c r="AL846" s="225"/>
      <c r="AM846" s="224"/>
      <c r="AN846" s="225"/>
      <c r="AO846" s="224"/>
      <c r="AP846" s="224"/>
      <c r="AQ846" s="224"/>
      <c r="AR846" s="224"/>
      <c r="AS846" s="224"/>
      <c r="AT846" s="224"/>
      <c r="AU846" s="224"/>
      <c r="AV846" s="224"/>
      <c r="AW846" s="224"/>
      <c r="AX846" s="224"/>
      <c r="AY846" s="224"/>
      <c r="AZ846" s="224"/>
      <c r="BA846" s="224"/>
      <c r="BB846" s="224"/>
      <c r="BC846" s="224"/>
      <c r="BD846" s="224"/>
      <c r="BE846" s="226"/>
      <c r="BF846" s="227"/>
      <c r="BG846" s="228"/>
      <c r="BH846" s="225"/>
      <c r="BI846" s="229"/>
      <c r="BJ846" s="229"/>
      <c r="BK846" s="229"/>
      <c r="BL846" s="229"/>
      <c r="BM846" s="228"/>
      <c r="BN846" s="225"/>
      <c r="BO846" s="229"/>
      <c r="BP846" s="229"/>
      <c r="BQ846" s="228"/>
      <c r="BR846" s="225"/>
      <c r="BS846" s="228"/>
      <c r="BT846" s="225"/>
      <c r="BU846" s="228"/>
      <c r="BV846" s="225"/>
      <c r="BW846" s="228"/>
      <c r="BX846" s="225"/>
      <c r="BY846" s="228"/>
      <c r="BZ846" s="225"/>
      <c r="CA846" s="228"/>
      <c r="CB846" s="225"/>
      <c r="CC846" s="228"/>
      <c r="CD846" s="225"/>
      <c r="CE846" s="229"/>
      <c r="CF846" s="229"/>
      <c r="CG846" s="229"/>
      <c r="CH846" s="229"/>
      <c r="CI846" s="229"/>
      <c r="CJ846" s="229"/>
      <c r="CK846" s="229"/>
      <c r="CL846" s="228"/>
      <c r="CM846" s="227"/>
    </row>
    <row r="847" spans="1:91" ht="15">
      <c r="K847" s="178"/>
      <c r="M847" s="163"/>
      <c r="Q847" s="233"/>
      <c r="W847" s="183"/>
      <c r="AG847" s="184"/>
      <c r="AI847" s="185"/>
      <c r="AK847" s="186"/>
      <c r="BE847" s="187"/>
      <c r="BF847" s="188"/>
      <c r="BG847" s="189"/>
      <c r="BH847" s="147"/>
      <c r="BM847" s="190"/>
      <c r="BN847" s="147"/>
      <c r="BQ847" s="191"/>
      <c r="BR847" s="147"/>
      <c r="BS847" s="192"/>
      <c r="BT847" s="147"/>
      <c r="BU847" s="193"/>
      <c r="BV847" s="147"/>
      <c r="BW847" s="192"/>
      <c r="BX847" s="147"/>
      <c r="BY847" s="196"/>
      <c r="BZ847" s="147"/>
      <c r="CA847" s="192"/>
      <c r="CB847" s="147"/>
      <c r="CC847" s="194"/>
      <c r="CD847" s="147"/>
      <c r="CL847" s="195"/>
      <c r="CM847" s="188"/>
    </row>
    <row r="848" spans="1:91" ht="15">
      <c r="K848" s="178"/>
      <c r="M848" s="163"/>
      <c r="Q848" s="233"/>
      <c r="W848" s="183"/>
      <c r="AG848" s="184"/>
      <c r="AI848" s="185"/>
      <c r="AK848" s="186"/>
      <c r="BE848" s="187"/>
      <c r="BF848" s="188"/>
      <c r="BG848" s="189"/>
      <c r="BH848" s="147"/>
      <c r="BM848" s="190"/>
      <c r="BN848" s="147"/>
      <c r="BQ848" s="191"/>
      <c r="BR848" s="147"/>
      <c r="BS848" s="192"/>
      <c r="BT848" s="147"/>
      <c r="BU848" s="193"/>
      <c r="BV848" s="147"/>
      <c r="BW848" s="192"/>
      <c r="BX848" s="147"/>
      <c r="BY848" s="196"/>
      <c r="BZ848" s="147"/>
      <c r="CA848" s="192"/>
      <c r="CB848" s="147"/>
      <c r="CC848" s="194"/>
      <c r="CD848" s="147"/>
      <c r="CL848" s="195"/>
      <c r="CM848" s="188"/>
    </row>
    <row r="849" spans="9:91" ht="15">
      <c r="M849" s="163"/>
      <c r="Q849" s="233"/>
      <c r="W849" s="183"/>
      <c r="AG849" s="184"/>
      <c r="AI849" s="185"/>
      <c r="AK849" s="186"/>
      <c r="BE849" s="187"/>
      <c r="BF849" s="188"/>
      <c r="BG849" s="189"/>
      <c r="BH849" s="147"/>
      <c r="BM849" s="190"/>
      <c r="BN849" s="147"/>
      <c r="BQ849" s="191"/>
      <c r="BR849" s="147"/>
      <c r="BS849" s="192"/>
      <c r="BT849" s="147"/>
      <c r="BU849" s="193"/>
      <c r="BV849" s="147"/>
      <c r="BW849" s="192"/>
      <c r="BX849" s="147"/>
      <c r="BY849" s="196"/>
      <c r="BZ849" s="147"/>
      <c r="CA849" s="192"/>
      <c r="CB849" s="147"/>
      <c r="CC849" s="194"/>
      <c r="CD849" s="147"/>
      <c r="CL849" s="195"/>
      <c r="CM849" s="188"/>
    </row>
    <row r="850" spans="9:91" ht="15">
      <c r="J850" s="177"/>
      <c r="K850" s="178"/>
      <c r="M850" s="163"/>
      <c r="Q850" s="233"/>
      <c r="W850" s="183"/>
      <c r="AG850" s="184"/>
      <c r="AI850" s="185"/>
      <c r="AK850" s="186"/>
      <c r="BE850" s="187"/>
      <c r="BF850" s="188"/>
      <c r="BG850" s="189"/>
      <c r="BH850" s="147"/>
      <c r="BM850" s="190"/>
      <c r="BN850" s="147"/>
      <c r="BQ850" s="191"/>
      <c r="BR850" s="147"/>
      <c r="BS850" s="192"/>
      <c r="BT850" s="147"/>
      <c r="BU850" s="193"/>
      <c r="BV850" s="147"/>
      <c r="BW850" s="192"/>
      <c r="BX850" s="147"/>
      <c r="BY850" s="196"/>
      <c r="BZ850" s="147"/>
      <c r="CA850" s="192"/>
      <c r="CB850" s="147"/>
      <c r="CC850" s="194"/>
      <c r="CD850" s="147"/>
      <c r="CL850" s="195"/>
      <c r="CM850" s="188"/>
    </row>
    <row r="851" spans="9:91" ht="15">
      <c r="K851" s="178"/>
      <c r="M851" s="163"/>
      <c r="Q851" s="233"/>
      <c r="W851" s="183"/>
      <c r="AG851" s="184"/>
      <c r="AI851" s="185"/>
      <c r="AK851" s="186"/>
      <c r="BE851" s="187"/>
      <c r="BF851" s="188"/>
      <c r="BG851" s="189"/>
      <c r="BH851" s="147"/>
      <c r="BM851" s="190"/>
      <c r="BN851" s="147"/>
      <c r="BQ851" s="191"/>
      <c r="BR851" s="147"/>
      <c r="BS851" s="192"/>
      <c r="BT851" s="147"/>
      <c r="BU851" s="193"/>
      <c r="BV851" s="147"/>
      <c r="BW851" s="192"/>
      <c r="BX851" s="147"/>
      <c r="BY851" s="196"/>
      <c r="BZ851" s="147"/>
      <c r="CA851" s="192"/>
      <c r="CB851" s="147"/>
      <c r="CC851" s="194"/>
      <c r="CD851" s="147"/>
      <c r="CL851" s="195"/>
      <c r="CM851" s="188"/>
    </row>
    <row r="852" spans="9:91" ht="15">
      <c r="K852" s="178"/>
      <c r="M852" s="163"/>
      <c r="Q852" s="233"/>
      <c r="W852" s="183"/>
      <c r="AG852" s="184"/>
      <c r="AI852" s="185"/>
      <c r="AK852" s="186"/>
      <c r="BE852" s="187"/>
      <c r="BF852" s="188"/>
      <c r="BG852" s="189"/>
      <c r="BH852" s="147"/>
      <c r="BM852" s="190"/>
      <c r="BN852" s="147"/>
      <c r="BQ852" s="191"/>
      <c r="BR852" s="147"/>
      <c r="BS852" s="192"/>
      <c r="BT852" s="147"/>
      <c r="BU852" s="193"/>
      <c r="BV852" s="147"/>
      <c r="BW852" s="192"/>
      <c r="BX852" s="147"/>
      <c r="BY852" s="196"/>
      <c r="BZ852" s="147"/>
      <c r="CA852" s="192"/>
      <c r="CB852" s="147"/>
      <c r="CC852" s="194"/>
      <c r="CD852" s="147"/>
      <c r="CL852" s="195"/>
      <c r="CM852" s="188"/>
    </row>
    <row r="853" spans="9:91" ht="15">
      <c r="I853" s="177"/>
      <c r="K853" s="178"/>
      <c r="M853" s="163"/>
      <c r="Q853" s="233"/>
      <c r="W853" s="183"/>
      <c r="AG853" s="184"/>
      <c r="AI853" s="185"/>
      <c r="AK853" s="186"/>
      <c r="BE853" s="187"/>
      <c r="BF853" s="188"/>
      <c r="BG853" s="189"/>
      <c r="BH853" s="147"/>
      <c r="BM853" s="190"/>
      <c r="BN853" s="147"/>
      <c r="BQ853" s="191"/>
      <c r="BR853" s="147"/>
      <c r="BS853" s="192"/>
      <c r="BT853" s="147"/>
      <c r="BU853" s="193"/>
      <c r="BV853" s="147"/>
      <c r="BW853" s="192"/>
      <c r="BX853" s="147"/>
      <c r="BY853" s="196"/>
      <c r="BZ853" s="147"/>
      <c r="CA853" s="192"/>
      <c r="CB853" s="147"/>
      <c r="CC853" s="194"/>
      <c r="CD853" s="147"/>
      <c r="CL853" s="195"/>
      <c r="CM853" s="188"/>
    </row>
    <row r="854" spans="9:91" ht="15">
      <c r="J854" s="177"/>
      <c r="K854" s="178"/>
      <c r="M854" s="163"/>
      <c r="Q854" s="233"/>
      <c r="W854" s="183"/>
      <c r="AG854" s="184"/>
      <c r="AI854" s="185"/>
      <c r="AK854" s="186"/>
      <c r="BE854" s="187"/>
      <c r="BF854" s="188"/>
      <c r="BG854" s="189"/>
      <c r="BH854" s="147"/>
      <c r="BM854" s="190"/>
      <c r="BN854" s="147"/>
      <c r="BQ854" s="191"/>
      <c r="BR854" s="147"/>
      <c r="BS854" s="192"/>
      <c r="BT854" s="147"/>
      <c r="BU854" s="193"/>
      <c r="BV854" s="147"/>
      <c r="BW854" s="192"/>
      <c r="BX854" s="147"/>
      <c r="BY854" s="196"/>
      <c r="BZ854" s="147"/>
      <c r="CA854" s="192"/>
      <c r="CB854" s="147"/>
      <c r="CC854" s="194"/>
      <c r="CD854" s="147"/>
      <c r="CL854" s="195"/>
      <c r="CM854" s="188"/>
    </row>
    <row r="855" spans="9:91" ht="15">
      <c r="K855" s="178"/>
      <c r="M855" s="163"/>
      <c r="Q855" s="233"/>
      <c r="W855" s="183"/>
      <c r="AG855" s="184"/>
      <c r="AI855" s="185"/>
      <c r="AK855" s="186"/>
      <c r="BE855" s="187"/>
      <c r="BF855" s="188"/>
      <c r="BG855" s="189"/>
      <c r="BH855" s="147"/>
      <c r="BM855" s="190"/>
      <c r="BN855" s="147"/>
      <c r="BQ855" s="191"/>
      <c r="BR855" s="147"/>
      <c r="BS855" s="192"/>
      <c r="BT855" s="147"/>
      <c r="BU855" s="193"/>
      <c r="BV855" s="147"/>
      <c r="BW855" s="192"/>
      <c r="BX855" s="147"/>
      <c r="BY855" s="196"/>
      <c r="BZ855" s="147"/>
      <c r="CA855" s="192"/>
      <c r="CB855" s="147"/>
      <c r="CC855" s="194"/>
      <c r="CD855" s="147"/>
      <c r="CL855" s="195"/>
      <c r="CM855" s="188"/>
    </row>
    <row r="856" spans="9:91" ht="15">
      <c r="M856" s="163"/>
      <c r="Q856" s="233"/>
      <c r="W856" s="183"/>
      <c r="AG856" s="184"/>
      <c r="AI856" s="185"/>
      <c r="AK856" s="186"/>
      <c r="BE856" s="187"/>
      <c r="BF856" s="188"/>
      <c r="BG856" s="189"/>
      <c r="BH856" s="147"/>
      <c r="BM856" s="190"/>
      <c r="BN856" s="147"/>
      <c r="BQ856" s="191"/>
      <c r="BR856" s="147"/>
      <c r="BS856" s="192"/>
      <c r="BT856" s="147"/>
      <c r="BU856" s="193"/>
      <c r="BV856" s="147"/>
      <c r="BW856" s="192"/>
      <c r="BX856" s="147"/>
      <c r="BY856" s="196"/>
      <c r="BZ856" s="147"/>
      <c r="CA856" s="192"/>
      <c r="CB856" s="147"/>
      <c r="CC856" s="194"/>
      <c r="CD856" s="147"/>
      <c r="CL856" s="195"/>
      <c r="CM856" s="188"/>
    </row>
    <row r="857" spans="9:91" ht="15">
      <c r="M857" s="163"/>
      <c r="Q857" s="233"/>
      <c r="W857" s="183"/>
      <c r="AG857" s="184"/>
      <c r="AI857" s="185"/>
      <c r="AK857" s="186"/>
      <c r="BE857" s="187"/>
      <c r="BF857" s="188"/>
      <c r="BG857" s="189"/>
      <c r="BH857" s="147"/>
      <c r="BM857" s="190"/>
      <c r="BN857" s="147"/>
      <c r="BQ857" s="191"/>
      <c r="BR857" s="147"/>
      <c r="BS857" s="192"/>
      <c r="BT857" s="147"/>
      <c r="BU857" s="193"/>
      <c r="BV857" s="147"/>
      <c r="BW857" s="192"/>
      <c r="BX857" s="147"/>
      <c r="BY857" s="196"/>
      <c r="BZ857" s="147"/>
      <c r="CA857" s="192"/>
      <c r="CB857" s="147"/>
      <c r="CC857" s="194"/>
      <c r="CD857" s="147"/>
      <c r="CL857" s="195"/>
      <c r="CM857" s="188"/>
    </row>
    <row r="858" spans="9:91" ht="15">
      <c r="I858" s="177"/>
      <c r="J858" s="177"/>
      <c r="K858" s="178"/>
      <c r="M858" s="163"/>
      <c r="Q858" s="233"/>
      <c r="W858" s="183"/>
      <c r="AG858" s="184"/>
      <c r="AI858" s="185"/>
      <c r="AK858" s="186"/>
      <c r="BE858" s="187"/>
      <c r="BF858" s="188"/>
      <c r="BG858" s="189"/>
      <c r="BH858" s="147"/>
      <c r="BM858" s="190"/>
      <c r="BN858" s="147"/>
      <c r="BQ858" s="191"/>
      <c r="BR858" s="147"/>
      <c r="BS858" s="192"/>
      <c r="BT858" s="147"/>
      <c r="BU858" s="193"/>
      <c r="BV858" s="147"/>
      <c r="BW858" s="192"/>
      <c r="BX858" s="147"/>
      <c r="BY858" s="196"/>
      <c r="BZ858" s="147"/>
      <c r="CA858" s="192"/>
      <c r="CB858" s="147"/>
      <c r="CC858" s="194"/>
      <c r="CD858" s="147"/>
      <c r="CL858" s="195"/>
      <c r="CM858" s="188"/>
    </row>
    <row r="859" spans="9:91" ht="15">
      <c r="K859" s="178"/>
      <c r="M859" s="163"/>
      <c r="Q859" s="233"/>
      <c r="W859" s="183"/>
      <c r="AG859" s="184"/>
      <c r="AI859" s="185"/>
      <c r="AK859" s="186"/>
      <c r="BE859" s="187"/>
      <c r="BF859" s="188"/>
      <c r="BG859" s="189"/>
      <c r="BH859" s="147"/>
      <c r="BM859" s="190"/>
      <c r="BN859" s="147"/>
      <c r="BQ859" s="191"/>
      <c r="BR859" s="147"/>
      <c r="BS859" s="192"/>
      <c r="BT859" s="147"/>
      <c r="BU859" s="193"/>
      <c r="BV859" s="147"/>
      <c r="BW859" s="192"/>
      <c r="BX859" s="147"/>
      <c r="BY859" s="196"/>
      <c r="BZ859" s="147"/>
      <c r="CA859" s="192"/>
      <c r="CB859" s="147"/>
      <c r="CC859" s="194"/>
      <c r="CD859" s="147"/>
      <c r="CL859" s="195"/>
      <c r="CM859" s="188"/>
    </row>
    <row r="860" spans="9:91" ht="15">
      <c r="J860" s="177"/>
      <c r="M860" s="163"/>
      <c r="Q860" s="233"/>
      <c r="W860" s="183"/>
      <c r="AG860" s="184"/>
      <c r="AI860" s="185"/>
      <c r="AK860" s="186"/>
      <c r="BE860" s="187"/>
      <c r="BF860" s="188"/>
      <c r="BG860" s="189"/>
      <c r="BH860" s="147"/>
      <c r="BM860" s="190"/>
      <c r="BN860" s="147"/>
      <c r="BQ860" s="191"/>
      <c r="BR860" s="147"/>
      <c r="BS860" s="192"/>
      <c r="BT860" s="147"/>
      <c r="BU860" s="193"/>
      <c r="BV860" s="147"/>
      <c r="BW860" s="192"/>
      <c r="BX860" s="147"/>
      <c r="BY860" s="196"/>
      <c r="BZ860" s="147"/>
      <c r="CA860" s="192"/>
      <c r="CB860" s="147"/>
      <c r="CC860" s="194"/>
      <c r="CD860" s="147"/>
      <c r="CL860" s="195"/>
      <c r="CM860" s="188"/>
    </row>
    <row r="861" spans="9:91" ht="15">
      <c r="K861" s="178"/>
      <c r="M861" s="163"/>
      <c r="Q861" s="233"/>
      <c r="W861" s="183"/>
      <c r="AG861" s="184"/>
      <c r="AI861" s="185"/>
      <c r="AK861" s="186"/>
      <c r="BE861" s="187"/>
      <c r="BF861" s="188"/>
      <c r="BG861" s="189"/>
      <c r="BH861" s="147"/>
      <c r="BM861" s="190"/>
      <c r="BN861" s="147"/>
      <c r="BQ861" s="191"/>
      <c r="BR861" s="147"/>
      <c r="BS861" s="192"/>
      <c r="BT861" s="147"/>
      <c r="BU861" s="193"/>
      <c r="BV861" s="147"/>
      <c r="BW861" s="192"/>
      <c r="BX861" s="147"/>
      <c r="BY861" s="196"/>
      <c r="BZ861" s="147"/>
      <c r="CA861" s="192"/>
      <c r="CB861" s="147"/>
      <c r="CC861" s="194"/>
      <c r="CD861" s="147"/>
      <c r="CL861" s="195"/>
      <c r="CM861" s="188"/>
    </row>
    <row r="862" spans="9:91" ht="15">
      <c r="J862" s="177"/>
      <c r="M862" s="163"/>
      <c r="Q862" s="233"/>
      <c r="W862" s="183"/>
      <c r="AG862" s="184"/>
      <c r="AI862" s="185"/>
      <c r="AK862" s="186"/>
      <c r="BE862" s="187"/>
      <c r="BF862" s="188"/>
      <c r="BG862" s="189"/>
      <c r="BH862" s="147"/>
      <c r="BM862" s="190"/>
      <c r="BN862" s="147"/>
      <c r="BQ862" s="191"/>
      <c r="BR862" s="147"/>
      <c r="BS862" s="192"/>
      <c r="BT862" s="147"/>
      <c r="BU862" s="193"/>
      <c r="BV862" s="147"/>
      <c r="BW862" s="192"/>
      <c r="BX862" s="147"/>
      <c r="BY862" s="196"/>
      <c r="BZ862" s="147"/>
      <c r="CA862" s="192"/>
      <c r="CB862" s="147"/>
      <c r="CC862" s="194"/>
      <c r="CD862" s="147"/>
      <c r="CL862" s="195"/>
      <c r="CM862" s="188"/>
    </row>
    <row r="863" spans="9:91" ht="15">
      <c r="J863" s="177"/>
      <c r="K863" s="178"/>
      <c r="M863" s="163"/>
      <c r="Q863" s="233"/>
      <c r="W863" s="183"/>
      <c r="AG863" s="184"/>
      <c r="AI863" s="185"/>
      <c r="AK863" s="186"/>
      <c r="BE863" s="187"/>
      <c r="BF863" s="188"/>
      <c r="BG863" s="189"/>
      <c r="BH863" s="147"/>
      <c r="BM863" s="190"/>
      <c r="BN863" s="147"/>
      <c r="BQ863" s="191"/>
      <c r="BR863" s="147"/>
      <c r="BS863" s="192"/>
      <c r="BT863" s="147"/>
      <c r="BU863" s="193"/>
      <c r="BV863" s="147"/>
      <c r="BW863" s="192"/>
      <c r="BX863" s="147"/>
      <c r="BY863" s="196"/>
      <c r="BZ863" s="147"/>
      <c r="CA863" s="192"/>
      <c r="CB863" s="147"/>
      <c r="CC863" s="194"/>
      <c r="CD863" s="147"/>
      <c r="CL863" s="195"/>
      <c r="CM863" s="188"/>
    </row>
    <row r="864" spans="9:91" ht="15">
      <c r="M864" s="163"/>
      <c r="Q864" s="233"/>
      <c r="W864" s="183"/>
      <c r="AG864" s="184"/>
      <c r="AI864" s="185"/>
      <c r="AK864" s="186"/>
      <c r="BE864" s="187"/>
      <c r="BF864" s="188"/>
      <c r="BG864" s="189"/>
      <c r="BH864" s="147"/>
      <c r="BM864" s="190"/>
      <c r="BN864" s="147"/>
      <c r="BQ864" s="191"/>
      <c r="BR864" s="147"/>
      <c r="BS864" s="192"/>
      <c r="BT864" s="147"/>
      <c r="BU864" s="193"/>
      <c r="BV864" s="147"/>
      <c r="BW864" s="192"/>
      <c r="BX864" s="147"/>
      <c r="BY864" s="196"/>
      <c r="BZ864" s="147"/>
      <c r="CA864" s="192"/>
      <c r="CB864" s="147"/>
      <c r="CC864" s="194"/>
      <c r="CD864" s="147"/>
      <c r="CL864" s="195"/>
      <c r="CM864" s="188"/>
    </row>
    <row r="865" spans="11:91" ht="15">
      <c r="K865" s="178"/>
      <c r="M865" s="163"/>
      <c r="Q865" s="233"/>
      <c r="W865" s="183"/>
      <c r="AG865" s="184"/>
      <c r="AI865" s="185"/>
      <c r="AK865" s="186"/>
      <c r="BE865" s="187"/>
      <c r="BF865" s="188"/>
      <c r="BG865" s="189"/>
      <c r="BH865" s="147"/>
      <c r="BM865" s="190"/>
      <c r="BN865" s="147"/>
      <c r="BQ865" s="191"/>
      <c r="BR865" s="147"/>
      <c r="BS865" s="192"/>
      <c r="BT865" s="147"/>
      <c r="BU865" s="193"/>
      <c r="BV865" s="147"/>
      <c r="BW865" s="192"/>
      <c r="BX865" s="147"/>
      <c r="BY865" s="196"/>
      <c r="BZ865" s="147"/>
      <c r="CA865" s="192"/>
      <c r="CB865" s="147"/>
      <c r="CC865" s="194"/>
      <c r="CD865" s="147"/>
      <c r="CL865" s="195"/>
      <c r="CM865" s="188"/>
    </row>
  </sheetData>
  <sheetProtection selectLockedCells="1" selectUnlockedCells="1"/>
  <autoFilter ref="A1:CM865">
    <sortState ref="A2:CN865">
      <sortCondition ref="G2:G865"/>
    </sortState>
  </autoFilter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9"/>
  </sheetPr>
  <dimension ref="A1:F6"/>
  <sheetViews>
    <sheetView zoomScale="95" zoomScaleNormal="95" workbookViewId="0">
      <selection activeCell="B3" sqref="B3"/>
    </sheetView>
  </sheetViews>
  <sheetFormatPr baseColWidth="10" defaultColWidth="11.5703125" defaultRowHeight="12.75"/>
  <cols>
    <col min="1" max="1" width="15.140625" style="135" bestFit="1" customWidth="1"/>
    <col min="2" max="2" width="7.85546875" style="136" bestFit="1" customWidth="1"/>
    <col min="3" max="3" width="9.28515625" style="135" bestFit="1" customWidth="1"/>
    <col min="4" max="4" width="9" style="137" customWidth="1"/>
    <col min="5" max="5" width="14.140625" style="137" customWidth="1"/>
    <col min="6" max="6" width="12.42578125" style="137" customWidth="1"/>
    <col min="7" max="16384" width="11.5703125" style="138"/>
  </cols>
  <sheetData>
    <row r="1" spans="1:6">
      <c r="A1" s="139" t="s">
        <v>179</v>
      </c>
      <c r="B1" s="140" t="s">
        <v>180</v>
      </c>
      <c r="C1" s="139" t="s">
        <v>181</v>
      </c>
      <c r="D1" s="141" t="s">
        <v>182</v>
      </c>
      <c r="E1" s="141" t="s">
        <v>183</v>
      </c>
      <c r="F1" s="141" t="s">
        <v>29</v>
      </c>
    </row>
    <row r="2" spans="1:6">
      <c r="A2" s="135" t="s">
        <v>7576</v>
      </c>
      <c r="B2" s="136" t="s">
        <v>7577</v>
      </c>
      <c r="C2" s="135" t="s">
        <v>7578</v>
      </c>
    </row>
    <row r="3" spans="1:6">
      <c r="A3" s="135" t="s">
        <v>7579</v>
      </c>
      <c r="B3" s="136" t="s">
        <v>7577</v>
      </c>
      <c r="C3" s="135" t="s">
        <v>7578</v>
      </c>
    </row>
    <row r="4" spans="1:6">
      <c r="A4" s="135" t="s">
        <v>7580</v>
      </c>
      <c r="B4" s="136" t="s">
        <v>7577</v>
      </c>
      <c r="C4" s="135" t="s">
        <v>7578</v>
      </c>
    </row>
    <row r="5" spans="1:6">
      <c r="A5" s="135" t="s">
        <v>7581</v>
      </c>
      <c r="B5" s="136" t="s">
        <v>7577</v>
      </c>
      <c r="C5" s="135" t="s">
        <v>7578</v>
      </c>
    </row>
    <row r="6" spans="1:6">
      <c r="A6" s="135" t="s">
        <v>7582</v>
      </c>
      <c r="B6" s="136" t="s">
        <v>7577</v>
      </c>
      <c r="C6" s="135" t="s">
        <v>7578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9"/>
  </sheetPr>
  <dimension ref="A1:C1"/>
  <sheetViews>
    <sheetView zoomScale="89" zoomScaleNormal="89" workbookViewId="0">
      <selection activeCellId="1" sqref="A2:B2 A1"/>
    </sheetView>
  </sheetViews>
  <sheetFormatPr baseColWidth="10" defaultColWidth="10.7109375" defaultRowHeight="12"/>
  <cols>
    <col min="1" max="1" width="9.28515625" style="142" customWidth="1"/>
    <col min="2" max="2" width="10.42578125" style="142" customWidth="1"/>
    <col min="3" max="3" width="11" style="142" customWidth="1"/>
  </cols>
  <sheetData>
    <row r="1" spans="1:3" s="144" customFormat="1">
      <c r="A1" s="143" t="s">
        <v>197</v>
      </c>
      <c r="B1" s="143" t="s">
        <v>198</v>
      </c>
      <c r="C1" s="143" t="s">
        <v>199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topLeftCell="A154" zoomScale="89" zoomScaleNormal="89" workbookViewId="0">
      <selection activeCellId="1" sqref="A2:B2 A1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45" t="s">
        <v>110</v>
      </c>
      <c r="B1" s="145" t="s">
        <v>235</v>
      </c>
      <c r="C1" s="145" t="s">
        <v>113</v>
      </c>
      <c r="D1" s="145" t="s">
        <v>26</v>
      </c>
      <c r="E1" s="145" t="s">
        <v>49</v>
      </c>
    </row>
    <row r="2" spans="1:5">
      <c r="A2" s="145" t="s">
        <v>236</v>
      </c>
      <c r="B2" s="145" t="s">
        <v>237</v>
      </c>
      <c r="C2" s="145" t="s">
        <v>238</v>
      </c>
      <c r="D2" s="145" t="s">
        <v>239</v>
      </c>
      <c r="E2" s="145" t="s">
        <v>240</v>
      </c>
    </row>
    <row r="3" spans="1:5">
      <c r="A3" s="145" t="s">
        <v>241</v>
      </c>
      <c r="B3" s="145" t="s">
        <v>242</v>
      </c>
      <c r="C3" s="145" t="s">
        <v>243</v>
      </c>
      <c r="D3" s="145" t="s">
        <v>244</v>
      </c>
      <c r="E3" s="145" t="s">
        <v>245</v>
      </c>
    </row>
    <row r="4" spans="1:5">
      <c r="A4" s="145" t="s">
        <v>246</v>
      </c>
      <c r="B4" s="145" t="s">
        <v>247</v>
      </c>
      <c r="C4" s="145" t="s">
        <v>248</v>
      </c>
      <c r="D4" s="145" t="s">
        <v>249</v>
      </c>
      <c r="E4" s="145" t="s">
        <v>250</v>
      </c>
    </row>
    <row r="5" spans="1:5">
      <c r="A5" s="145" t="s">
        <v>251</v>
      </c>
      <c r="B5" s="145" t="s">
        <v>252</v>
      </c>
      <c r="C5" s="145" t="s">
        <v>253</v>
      </c>
      <c r="D5" s="145" t="s">
        <v>254</v>
      </c>
      <c r="E5" s="145" t="s">
        <v>255</v>
      </c>
    </row>
    <row r="6" spans="1:5">
      <c r="A6" s="145" t="s">
        <v>256</v>
      </c>
      <c r="B6" s="145" t="s">
        <v>257</v>
      </c>
      <c r="C6" s="145" t="s">
        <v>258</v>
      </c>
      <c r="D6" s="145" t="s">
        <v>259</v>
      </c>
      <c r="E6" s="145" t="s">
        <v>62</v>
      </c>
    </row>
    <row r="7" spans="1:5">
      <c r="A7" s="145" t="s">
        <v>260</v>
      </c>
      <c r="B7" s="145" t="s">
        <v>261</v>
      </c>
      <c r="C7" s="145" t="s">
        <v>262</v>
      </c>
      <c r="D7" s="145" t="s">
        <v>263</v>
      </c>
      <c r="E7" s="145" t="s">
        <v>264</v>
      </c>
    </row>
    <row r="8" spans="1:5">
      <c r="A8" s="145" t="s">
        <v>265</v>
      </c>
      <c r="B8" s="145" t="s">
        <v>266</v>
      </c>
      <c r="C8" s="145" t="s">
        <v>267</v>
      </c>
      <c r="D8" s="145" t="s">
        <v>268</v>
      </c>
      <c r="E8" s="145" t="s">
        <v>269</v>
      </c>
    </row>
    <row r="9" spans="1:5">
      <c r="A9" s="145" t="s">
        <v>270</v>
      </c>
      <c r="B9" s="145" t="s">
        <v>271</v>
      </c>
      <c r="C9" s="145" t="s">
        <v>272</v>
      </c>
      <c r="D9" s="145" t="s">
        <v>273</v>
      </c>
      <c r="E9" s="145" t="s">
        <v>274</v>
      </c>
    </row>
    <row r="10" spans="1:5">
      <c r="A10" s="145" t="s">
        <v>275</v>
      </c>
      <c r="B10" s="145" t="s">
        <v>276</v>
      </c>
      <c r="C10" s="145" t="s">
        <v>277</v>
      </c>
      <c r="D10" s="145" t="s">
        <v>278</v>
      </c>
      <c r="E10" s="145" t="s">
        <v>279</v>
      </c>
    </row>
    <row r="11" spans="1:5">
      <c r="A11" s="145" t="s">
        <v>280</v>
      </c>
      <c r="B11" s="145" t="s">
        <v>281</v>
      </c>
      <c r="C11" s="145" t="s">
        <v>282</v>
      </c>
      <c r="D11" s="145" t="s">
        <v>283</v>
      </c>
      <c r="E11" s="145" t="s">
        <v>284</v>
      </c>
    </row>
    <row r="12" spans="1:5">
      <c r="A12" s="145" t="s">
        <v>285</v>
      </c>
      <c r="B12" s="145" t="s">
        <v>286</v>
      </c>
      <c r="C12" s="145" t="s">
        <v>287</v>
      </c>
      <c r="D12" s="145" t="s">
        <v>288</v>
      </c>
      <c r="E12" s="145" t="s">
        <v>289</v>
      </c>
    </row>
    <row r="13" spans="1:5">
      <c r="A13" s="145" t="s">
        <v>290</v>
      </c>
      <c r="B13" s="145" t="s">
        <v>291</v>
      </c>
      <c r="C13" s="145" t="s">
        <v>292</v>
      </c>
      <c r="D13" s="145" t="s">
        <v>293</v>
      </c>
      <c r="E13" s="145" t="s">
        <v>294</v>
      </c>
    </row>
    <row r="14" spans="1:5">
      <c r="A14" s="145" t="s">
        <v>295</v>
      </c>
      <c r="B14" s="145" t="s">
        <v>296</v>
      </c>
      <c r="C14" s="145" t="s">
        <v>297</v>
      </c>
      <c r="D14" s="145" t="s">
        <v>298</v>
      </c>
      <c r="E14" s="145" t="s">
        <v>299</v>
      </c>
    </row>
    <row r="15" spans="1:5">
      <c r="A15" s="145" t="s">
        <v>300</v>
      </c>
      <c r="B15" s="145" t="s">
        <v>301</v>
      </c>
      <c r="C15" s="145" t="s">
        <v>302</v>
      </c>
      <c r="D15" s="145" t="s">
        <v>303</v>
      </c>
      <c r="E15" s="145" t="s">
        <v>304</v>
      </c>
    </row>
    <row r="16" spans="1:5">
      <c r="A16" s="145" t="s">
        <v>305</v>
      </c>
      <c r="B16" s="145" t="s">
        <v>306</v>
      </c>
      <c r="C16" s="145" t="s">
        <v>307</v>
      </c>
      <c r="D16" s="145" t="s">
        <v>308</v>
      </c>
      <c r="E16" s="145" t="s">
        <v>309</v>
      </c>
    </row>
    <row r="17" spans="1:5">
      <c r="A17" s="145" t="s">
        <v>310</v>
      </c>
      <c r="B17" s="145" t="s">
        <v>311</v>
      </c>
      <c r="C17" s="145" t="s">
        <v>312</v>
      </c>
      <c r="D17" s="145" t="s">
        <v>313</v>
      </c>
      <c r="E17" s="145" t="s">
        <v>314</v>
      </c>
    </row>
    <row r="18" spans="1:5">
      <c r="A18" s="145" t="s">
        <v>315</v>
      </c>
      <c r="B18" s="145" t="s">
        <v>316</v>
      </c>
      <c r="C18" s="145" t="s">
        <v>317</v>
      </c>
      <c r="D18" s="145" t="s">
        <v>318</v>
      </c>
      <c r="E18" s="145" t="s">
        <v>319</v>
      </c>
    </row>
    <row r="19" spans="1:5">
      <c r="A19" s="145" t="s">
        <v>320</v>
      </c>
      <c r="B19" s="145" t="s">
        <v>321</v>
      </c>
      <c r="C19" s="145" t="s">
        <v>322</v>
      </c>
      <c r="D19" s="145" t="s">
        <v>323</v>
      </c>
      <c r="E19" s="145" t="s">
        <v>324</v>
      </c>
    </row>
    <row r="20" spans="1:5">
      <c r="A20" s="145" t="s">
        <v>325</v>
      </c>
      <c r="B20" s="145" t="s">
        <v>326</v>
      </c>
      <c r="C20" s="145" t="s">
        <v>327</v>
      </c>
      <c r="D20" s="145" t="s">
        <v>328</v>
      </c>
      <c r="E20" s="145" t="s">
        <v>329</v>
      </c>
    </row>
    <row r="21" spans="1:5">
      <c r="A21" s="145" t="s">
        <v>330</v>
      </c>
      <c r="B21" s="145" t="s">
        <v>331</v>
      </c>
      <c r="C21" s="145" t="s">
        <v>332</v>
      </c>
      <c r="D21" s="145" t="s">
        <v>333</v>
      </c>
      <c r="E21" s="145" t="s">
        <v>334</v>
      </c>
    </row>
    <row r="22" spans="1:5">
      <c r="A22" s="145" t="s">
        <v>335</v>
      </c>
      <c r="B22" s="145" t="s">
        <v>336</v>
      </c>
      <c r="D22" s="145" t="s">
        <v>337</v>
      </c>
      <c r="E22" s="145" t="s">
        <v>338</v>
      </c>
    </row>
    <row r="23" spans="1:5">
      <c r="A23" s="145" t="s">
        <v>339</v>
      </c>
      <c r="B23" s="145" t="s">
        <v>340</v>
      </c>
      <c r="D23" s="145" t="s">
        <v>341</v>
      </c>
      <c r="E23" s="145" t="s">
        <v>342</v>
      </c>
    </row>
    <row r="24" spans="1:5">
      <c r="A24" s="145" t="s">
        <v>343</v>
      </c>
      <c r="B24" s="145" t="s">
        <v>344</v>
      </c>
      <c r="D24" s="145" t="s">
        <v>345</v>
      </c>
      <c r="E24" s="145" t="s">
        <v>346</v>
      </c>
    </row>
    <row r="25" spans="1:5">
      <c r="A25" s="145" t="s">
        <v>347</v>
      </c>
      <c r="B25" s="145" t="s">
        <v>348</v>
      </c>
      <c r="D25" s="145" t="s">
        <v>349</v>
      </c>
    </row>
    <row r="26" spans="1:5">
      <c r="A26" s="145" t="s">
        <v>350</v>
      </c>
      <c r="B26" s="145" t="s">
        <v>351</v>
      </c>
      <c r="D26" s="145" t="s">
        <v>352</v>
      </c>
    </row>
    <row r="27" spans="1:5">
      <c r="A27" s="145" t="s">
        <v>353</v>
      </c>
      <c r="B27" s="145" t="s">
        <v>354</v>
      </c>
      <c r="D27" s="145" t="s">
        <v>355</v>
      </c>
    </row>
    <row r="28" spans="1:5">
      <c r="A28" s="145" t="s">
        <v>356</v>
      </c>
      <c r="B28" s="145" t="s">
        <v>357</v>
      </c>
      <c r="D28" s="145" t="s">
        <v>358</v>
      </c>
    </row>
    <row r="29" spans="1:5">
      <c r="A29" s="145" t="s">
        <v>359</v>
      </c>
      <c r="B29" s="145" t="s">
        <v>360</v>
      </c>
      <c r="D29" s="145" t="s">
        <v>361</v>
      </c>
    </row>
    <row r="30" spans="1:5">
      <c r="A30" s="145" t="s">
        <v>362</v>
      </c>
      <c r="B30" s="145" t="s">
        <v>363</v>
      </c>
      <c r="D30" s="145" t="s">
        <v>364</v>
      </c>
    </row>
    <row r="31" spans="1:5">
      <c r="A31" s="145" t="s">
        <v>365</v>
      </c>
      <c r="B31" s="145" t="s">
        <v>366</v>
      </c>
      <c r="D31" s="145" t="s">
        <v>367</v>
      </c>
    </row>
    <row r="32" spans="1:5">
      <c r="A32" s="145" t="s">
        <v>368</v>
      </c>
      <c r="B32" s="145" t="s">
        <v>369</v>
      </c>
      <c r="D32" s="145" t="s">
        <v>370</v>
      </c>
    </row>
    <row r="33" spans="1:4">
      <c r="A33" s="145" t="s">
        <v>371</v>
      </c>
      <c r="B33" s="145" t="s">
        <v>372</v>
      </c>
      <c r="D33" s="145" t="s">
        <v>373</v>
      </c>
    </row>
    <row r="34" spans="1:4">
      <c r="A34" s="145" t="s">
        <v>374</v>
      </c>
      <c r="B34" s="145" t="s">
        <v>375</v>
      </c>
      <c r="D34" s="145" t="s">
        <v>376</v>
      </c>
    </row>
    <row r="35" spans="1:4">
      <c r="A35" s="145" t="s">
        <v>377</v>
      </c>
      <c r="B35" s="145" t="s">
        <v>378</v>
      </c>
      <c r="D35" s="145" t="s">
        <v>379</v>
      </c>
    </row>
    <row r="36" spans="1:4">
      <c r="A36" s="145" t="s">
        <v>380</v>
      </c>
      <c r="B36" s="145" t="s">
        <v>381</v>
      </c>
      <c r="D36" s="145" t="s">
        <v>382</v>
      </c>
    </row>
    <row r="37" spans="1:4">
      <c r="A37" s="145" t="s">
        <v>383</v>
      </c>
      <c r="B37" s="145" t="s">
        <v>384</v>
      </c>
      <c r="D37" s="145" t="s">
        <v>385</v>
      </c>
    </row>
    <row r="38" spans="1:4">
      <c r="A38" s="145" t="s">
        <v>386</v>
      </c>
      <c r="B38" s="145" t="s">
        <v>387</v>
      </c>
      <c r="D38" s="145" t="s">
        <v>388</v>
      </c>
    </row>
    <row r="39" spans="1:4">
      <c r="A39" s="145" t="s">
        <v>389</v>
      </c>
      <c r="B39" s="145" t="s">
        <v>390</v>
      </c>
      <c r="D39" s="145" t="s">
        <v>391</v>
      </c>
    </row>
    <row r="40" spans="1:4">
      <c r="A40" s="145" t="s">
        <v>392</v>
      </c>
      <c r="B40" s="145" t="s">
        <v>393</v>
      </c>
      <c r="D40" s="145" t="s">
        <v>394</v>
      </c>
    </row>
    <row r="41" spans="1:4">
      <c r="A41" s="145" t="s">
        <v>395</v>
      </c>
      <c r="B41" s="145" t="s">
        <v>396</v>
      </c>
      <c r="D41" s="145" t="s">
        <v>397</v>
      </c>
    </row>
    <row r="42" spans="1:4">
      <c r="A42" s="145" t="s">
        <v>398</v>
      </c>
      <c r="B42" s="145" t="s">
        <v>399</v>
      </c>
      <c r="D42" s="145" t="s">
        <v>400</v>
      </c>
    </row>
    <row r="43" spans="1:4">
      <c r="A43" s="145" t="s">
        <v>401</v>
      </c>
      <c r="B43" s="145" t="s">
        <v>402</v>
      </c>
      <c r="D43" s="145" t="s">
        <v>403</v>
      </c>
    </row>
    <row r="44" spans="1:4">
      <c r="A44" s="145" t="s">
        <v>404</v>
      </c>
      <c r="B44" s="145" t="s">
        <v>405</v>
      </c>
      <c r="D44" s="145" t="s">
        <v>406</v>
      </c>
    </row>
    <row r="45" spans="1:4">
      <c r="A45" s="145" t="s">
        <v>407</v>
      </c>
      <c r="B45" s="145" t="s">
        <v>408</v>
      </c>
      <c r="D45" s="145" t="s">
        <v>409</v>
      </c>
    </row>
    <row r="46" spans="1:4">
      <c r="A46" s="145" t="s">
        <v>410</v>
      </c>
      <c r="B46" s="145" t="s">
        <v>411</v>
      </c>
      <c r="D46" s="145" t="s">
        <v>412</v>
      </c>
    </row>
    <row r="47" spans="1:4">
      <c r="A47" s="145" t="s">
        <v>413</v>
      </c>
      <c r="B47" s="145" t="s">
        <v>414</v>
      </c>
      <c r="D47" s="145" t="s">
        <v>415</v>
      </c>
    </row>
    <row r="48" spans="1:4">
      <c r="A48" s="145" t="s">
        <v>416</v>
      </c>
      <c r="B48" s="145" t="s">
        <v>417</v>
      </c>
      <c r="D48" s="145" t="s">
        <v>418</v>
      </c>
    </row>
    <row r="49" spans="1:4">
      <c r="A49" s="145" t="s">
        <v>419</v>
      </c>
      <c r="B49" s="145" t="s">
        <v>420</v>
      </c>
      <c r="D49" s="145" t="s">
        <v>421</v>
      </c>
    </row>
    <row r="50" spans="1:4">
      <c r="A50" s="145" t="s">
        <v>422</v>
      </c>
      <c r="B50" s="145" t="s">
        <v>423</v>
      </c>
      <c r="D50" s="145" t="s">
        <v>424</v>
      </c>
    </row>
    <row r="51" spans="1:4">
      <c r="A51" s="145" t="s">
        <v>425</v>
      </c>
      <c r="B51" s="145" t="s">
        <v>426</v>
      </c>
      <c r="D51" s="145" t="s">
        <v>427</v>
      </c>
    </row>
    <row r="52" spans="1:4">
      <c r="A52" s="145" t="s">
        <v>428</v>
      </c>
      <c r="B52" s="145" t="s">
        <v>429</v>
      </c>
      <c r="D52" s="145" t="s">
        <v>430</v>
      </c>
    </row>
    <row r="53" spans="1:4">
      <c r="A53" s="145" t="s">
        <v>431</v>
      </c>
      <c r="B53" s="145" t="s">
        <v>432</v>
      </c>
      <c r="D53" s="145" t="s">
        <v>433</v>
      </c>
    </row>
    <row r="54" spans="1:4">
      <c r="A54" s="145" t="s">
        <v>434</v>
      </c>
      <c r="B54" s="145" t="s">
        <v>435</v>
      </c>
      <c r="D54" s="145" t="s">
        <v>436</v>
      </c>
    </row>
    <row r="55" spans="1:4">
      <c r="A55" s="145" t="s">
        <v>437</v>
      </c>
      <c r="B55" s="145" t="s">
        <v>438</v>
      </c>
      <c r="D55" s="145" t="s">
        <v>439</v>
      </c>
    </row>
    <row r="56" spans="1:4">
      <c r="A56" s="145" t="s">
        <v>440</v>
      </c>
      <c r="B56" s="145" t="s">
        <v>441</v>
      </c>
      <c r="D56" s="145" t="s">
        <v>442</v>
      </c>
    </row>
    <row r="57" spans="1:4">
      <c r="A57" s="145" t="s">
        <v>443</v>
      </c>
      <c r="B57" s="145" t="s">
        <v>444</v>
      </c>
      <c r="D57" s="145" t="s">
        <v>445</v>
      </c>
    </row>
    <row r="58" spans="1:4">
      <c r="A58" s="145" t="s">
        <v>446</v>
      </c>
      <c r="B58" s="145" t="s">
        <v>447</v>
      </c>
      <c r="D58" s="145" t="s">
        <v>448</v>
      </c>
    </row>
    <row r="59" spans="1:4">
      <c r="A59" s="145" t="s">
        <v>449</v>
      </c>
      <c r="B59" s="145" t="s">
        <v>450</v>
      </c>
      <c r="D59" s="145" t="s">
        <v>451</v>
      </c>
    </row>
    <row r="60" spans="1:4">
      <c r="A60" s="145" t="s">
        <v>452</v>
      </c>
      <c r="B60" s="145" t="s">
        <v>453</v>
      </c>
      <c r="D60" s="145" t="s">
        <v>454</v>
      </c>
    </row>
    <row r="61" spans="1:4">
      <c r="A61" s="145" t="s">
        <v>455</v>
      </c>
      <c r="B61" s="145" t="s">
        <v>456</v>
      </c>
      <c r="D61" s="145" t="s">
        <v>457</v>
      </c>
    </row>
    <row r="62" spans="1:4">
      <c r="A62" s="145" t="s">
        <v>458</v>
      </c>
      <c r="B62" s="145" t="s">
        <v>459</v>
      </c>
      <c r="D62" s="145" t="s">
        <v>460</v>
      </c>
    </row>
    <row r="63" spans="1:4">
      <c r="A63" s="145" t="s">
        <v>461</v>
      </c>
      <c r="B63" s="145" t="s">
        <v>462</v>
      </c>
      <c r="D63" s="145" t="s">
        <v>463</v>
      </c>
    </row>
    <row r="64" spans="1:4">
      <c r="A64" s="145" t="s">
        <v>464</v>
      </c>
      <c r="B64" s="145" t="s">
        <v>465</v>
      </c>
      <c r="D64" s="145" t="s">
        <v>466</v>
      </c>
    </row>
    <row r="65" spans="1:4">
      <c r="A65" s="145" t="s">
        <v>467</v>
      </c>
      <c r="B65" s="145" t="s">
        <v>468</v>
      </c>
      <c r="D65" s="145" t="s">
        <v>469</v>
      </c>
    </row>
    <row r="66" spans="1:4">
      <c r="A66" s="145" t="s">
        <v>470</v>
      </c>
      <c r="B66" s="145" t="s">
        <v>471</v>
      </c>
      <c r="D66" s="145" t="s">
        <v>472</v>
      </c>
    </row>
    <row r="67" spans="1:4">
      <c r="A67" s="145" t="s">
        <v>473</v>
      </c>
      <c r="B67" s="145" t="s">
        <v>474</v>
      </c>
      <c r="D67" s="145" t="s">
        <v>475</v>
      </c>
    </row>
    <row r="68" spans="1:4">
      <c r="A68" s="145" t="s">
        <v>476</v>
      </c>
      <c r="B68" s="145" t="s">
        <v>477</v>
      </c>
      <c r="D68" s="145" t="s">
        <v>478</v>
      </c>
    </row>
    <row r="69" spans="1:4">
      <c r="A69" s="145" t="s">
        <v>479</v>
      </c>
      <c r="B69" s="145" t="s">
        <v>480</v>
      </c>
      <c r="D69" s="145" t="s">
        <v>481</v>
      </c>
    </row>
    <row r="70" spans="1:4">
      <c r="A70" s="145" t="s">
        <v>482</v>
      </c>
      <c r="B70" s="145" t="s">
        <v>483</v>
      </c>
      <c r="D70" s="145" t="s">
        <v>484</v>
      </c>
    </row>
    <row r="71" spans="1:4">
      <c r="A71" s="145" t="s">
        <v>485</v>
      </c>
      <c r="B71" s="145" t="s">
        <v>486</v>
      </c>
      <c r="D71" s="145" t="s">
        <v>487</v>
      </c>
    </row>
    <row r="72" spans="1:4">
      <c r="A72" s="145" t="s">
        <v>488</v>
      </c>
      <c r="B72" s="145" t="s">
        <v>489</v>
      </c>
      <c r="D72" s="145" t="s">
        <v>490</v>
      </c>
    </row>
    <row r="73" spans="1:4">
      <c r="A73" s="145" t="s">
        <v>491</v>
      </c>
      <c r="B73" s="145" t="s">
        <v>492</v>
      </c>
      <c r="D73" s="145" t="s">
        <v>493</v>
      </c>
    </row>
    <row r="74" spans="1:4">
      <c r="A74" s="145" t="s">
        <v>494</v>
      </c>
      <c r="B74" s="145" t="s">
        <v>495</v>
      </c>
      <c r="D74" s="145" t="s">
        <v>496</v>
      </c>
    </row>
    <row r="75" spans="1:4">
      <c r="A75" s="145" t="s">
        <v>497</v>
      </c>
      <c r="B75" s="145" t="s">
        <v>498</v>
      </c>
      <c r="D75" s="145" t="s">
        <v>499</v>
      </c>
    </row>
    <row r="76" spans="1:4">
      <c r="A76" s="145" t="s">
        <v>216</v>
      </c>
      <c r="B76" s="145" t="s">
        <v>500</v>
      </c>
      <c r="D76" s="145" t="s">
        <v>501</v>
      </c>
    </row>
    <row r="77" spans="1:4">
      <c r="A77" s="145" t="s">
        <v>502</v>
      </c>
      <c r="B77" s="145" t="s">
        <v>503</v>
      </c>
      <c r="D77" s="145" t="s">
        <v>504</v>
      </c>
    </row>
    <row r="78" spans="1:4">
      <c r="A78" s="145" t="s">
        <v>505</v>
      </c>
      <c r="B78" s="145" t="s">
        <v>506</v>
      </c>
      <c r="D78" s="145" t="s">
        <v>507</v>
      </c>
    </row>
    <row r="79" spans="1:4">
      <c r="A79" s="145" t="s">
        <v>508</v>
      </c>
      <c r="B79" s="145" t="s">
        <v>509</v>
      </c>
      <c r="D79" s="145" t="s">
        <v>510</v>
      </c>
    </row>
    <row r="80" spans="1:4">
      <c r="A80" s="145" t="s">
        <v>511</v>
      </c>
      <c r="B80" s="145" t="s">
        <v>512</v>
      </c>
      <c r="D80" s="145" t="s">
        <v>513</v>
      </c>
    </row>
    <row r="81" spans="1:4">
      <c r="A81" s="145" t="s">
        <v>514</v>
      </c>
      <c r="B81" s="145" t="s">
        <v>515</v>
      </c>
      <c r="D81" s="145" t="s">
        <v>516</v>
      </c>
    </row>
    <row r="82" spans="1:4">
      <c r="A82" s="145" t="s">
        <v>517</v>
      </c>
      <c r="B82" s="145" t="s">
        <v>518</v>
      </c>
      <c r="D82" s="145" t="s">
        <v>519</v>
      </c>
    </row>
    <row r="83" spans="1:4">
      <c r="A83" s="145" t="s">
        <v>520</v>
      </c>
      <c r="B83" s="145" t="s">
        <v>521</v>
      </c>
      <c r="D83" s="145" t="s">
        <v>522</v>
      </c>
    </row>
    <row r="84" spans="1:4">
      <c r="A84" s="145" t="s">
        <v>523</v>
      </c>
      <c r="B84" s="145" t="s">
        <v>524</v>
      </c>
      <c r="D84" s="145" t="s">
        <v>525</v>
      </c>
    </row>
    <row r="85" spans="1:4">
      <c r="A85" s="145" t="s">
        <v>526</v>
      </c>
      <c r="B85" s="145" t="s">
        <v>527</v>
      </c>
      <c r="D85" s="145" t="s">
        <v>528</v>
      </c>
    </row>
    <row r="86" spans="1:4">
      <c r="A86" s="145" t="s">
        <v>529</v>
      </c>
      <c r="B86" s="145" t="s">
        <v>530</v>
      </c>
      <c r="D86" s="145" t="s">
        <v>531</v>
      </c>
    </row>
    <row r="87" spans="1:4">
      <c r="A87" s="145" t="s">
        <v>532</v>
      </c>
      <c r="B87" s="145" t="s">
        <v>533</v>
      </c>
      <c r="D87" s="145" t="s">
        <v>534</v>
      </c>
    </row>
    <row r="88" spans="1:4">
      <c r="A88" s="145" t="s">
        <v>535</v>
      </c>
      <c r="B88" s="145" t="s">
        <v>536</v>
      </c>
      <c r="D88" s="145" t="s">
        <v>537</v>
      </c>
    </row>
    <row r="89" spans="1:4">
      <c r="A89" s="145" t="s">
        <v>538</v>
      </c>
      <c r="B89" s="145" t="s">
        <v>539</v>
      </c>
      <c r="D89" s="145" t="s">
        <v>540</v>
      </c>
    </row>
    <row r="90" spans="1:4">
      <c r="A90" s="145" t="s">
        <v>541</v>
      </c>
      <c r="B90" s="145" t="s">
        <v>542</v>
      </c>
      <c r="D90" s="145" t="s">
        <v>543</v>
      </c>
    </row>
    <row r="91" spans="1:4">
      <c r="A91" s="145" t="s">
        <v>544</v>
      </c>
      <c r="B91" s="145" t="s">
        <v>545</v>
      </c>
      <c r="D91" s="145" t="s">
        <v>546</v>
      </c>
    </row>
    <row r="92" spans="1:4">
      <c r="A92" s="145" t="s">
        <v>547</v>
      </c>
      <c r="B92" s="145" t="s">
        <v>548</v>
      </c>
      <c r="D92" s="145" t="s">
        <v>549</v>
      </c>
    </row>
    <row r="93" spans="1:4">
      <c r="A93" s="145" t="s">
        <v>550</v>
      </c>
      <c r="B93" s="145" t="s">
        <v>551</v>
      </c>
      <c r="D93" s="145" t="s">
        <v>552</v>
      </c>
    </row>
    <row r="94" spans="1:4">
      <c r="A94" s="145" t="s">
        <v>553</v>
      </c>
      <c r="B94" s="145" t="s">
        <v>554</v>
      </c>
      <c r="D94" s="145" t="s">
        <v>555</v>
      </c>
    </row>
    <row r="95" spans="1:4">
      <c r="A95" s="145" t="s">
        <v>556</v>
      </c>
      <c r="B95" s="145" t="s">
        <v>557</v>
      </c>
      <c r="D95" s="145" t="s">
        <v>83</v>
      </c>
    </row>
    <row r="96" spans="1:4">
      <c r="A96" s="145" t="s">
        <v>558</v>
      </c>
      <c r="B96" s="145" t="s">
        <v>559</v>
      </c>
      <c r="D96" s="145" t="s">
        <v>560</v>
      </c>
    </row>
    <row r="97" spans="1:4">
      <c r="A97" s="145" t="s">
        <v>561</v>
      </c>
      <c r="B97" s="145" t="s">
        <v>562</v>
      </c>
      <c r="D97" s="145" t="s">
        <v>563</v>
      </c>
    </row>
    <row r="98" spans="1:4">
      <c r="A98" s="145" t="s">
        <v>564</v>
      </c>
      <c r="B98" s="145" t="s">
        <v>565</v>
      </c>
      <c r="D98" s="145" t="s">
        <v>566</v>
      </c>
    </row>
    <row r="99" spans="1:4">
      <c r="A99" s="145" t="s">
        <v>567</v>
      </c>
      <c r="B99" s="145" t="s">
        <v>568</v>
      </c>
      <c r="D99" s="145" t="s">
        <v>569</v>
      </c>
    </row>
    <row r="100" spans="1:4">
      <c r="A100" s="145" t="s">
        <v>570</v>
      </c>
      <c r="B100" s="145" t="s">
        <v>571</v>
      </c>
      <c r="D100" s="145" t="s">
        <v>572</v>
      </c>
    </row>
    <row r="101" spans="1:4">
      <c r="A101" s="145" t="s">
        <v>573</v>
      </c>
      <c r="B101" s="145" t="s">
        <v>574</v>
      </c>
      <c r="D101" s="145" t="s">
        <v>575</v>
      </c>
    </row>
    <row r="102" spans="1:4">
      <c r="A102" s="145" t="s">
        <v>576</v>
      </c>
      <c r="B102" s="145" t="s">
        <v>577</v>
      </c>
      <c r="D102" s="145" t="s">
        <v>578</v>
      </c>
    </row>
    <row r="103" spans="1:4">
      <c r="A103" s="145" t="s">
        <v>579</v>
      </c>
      <c r="B103" s="145" t="s">
        <v>580</v>
      </c>
      <c r="D103" s="145" t="s">
        <v>581</v>
      </c>
    </row>
    <row r="104" spans="1:4">
      <c r="A104" s="145" t="s">
        <v>582</v>
      </c>
      <c r="B104" s="145" t="s">
        <v>583</v>
      </c>
      <c r="D104" s="145" t="s">
        <v>584</v>
      </c>
    </row>
    <row r="105" spans="1:4">
      <c r="A105" s="145" t="s">
        <v>585</v>
      </c>
      <c r="B105" s="145" t="s">
        <v>586</v>
      </c>
      <c r="D105" s="145" t="s">
        <v>587</v>
      </c>
    </row>
    <row r="106" spans="1:4">
      <c r="A106" s="145" t="s">
        <v>588</v>
      </c>
      <c r="B106" s="145" t="s">
        <v>589</v>
      </c>
      <c r="D106" s="145" t="s">
        <v>590</v>
      </c>
    </row>
    <row r="107" spans="1:4">
      <c r="A107" s="145" t="s">
        <v>591</v>
      </c>
      <c r="B107" s="145" t="s">
        <v>592</v>
      </c>
      <c r="D107" s="145" t="s">
        <v>593</v>
      </c>
    </row>
    <row r="108" spans="1:4">
      <c r="A108" s="145" t="s">
        <v>594</v>
      </c>
      <c r="B108" s="145" t="s">
        <v>595</v>
      </c>
      <c r="D108" s="145" t="s">
        <v>596</v>
      </c>
    </row>
    <row r="109" spans="1:4">
      <c r="A109" s="145" t="s">
        <v>597</v>
      </c>
      <c r="B109" s="145" t="s">
        <v>598</v>
      </c>
      <c r="D109" s="145" t="s">
        <v>599</v>
      </c>
    </row>
    <row r="110" spans="1:4">
      <c r="A110" s="145" t="s">
        <v>600</v>
      </c>
      <c r="B110" s="145" t="s">
        <v>601</v>
      </c>
      <c r="D110" s="145" t="s">
        <v>602</v>
      </c>
    </row>
    <row r="111" spans="1:4">
      <c r="A111" s="145" t="s">
        <v>603</v>
      </c>
      <c r="B111" s="145" t="s">
        <v>604</v>
      </c>
      <c r="D111" s="145" t="s">
        <v>605</v>
      </c>
    </row>
    <row r="112" spans="1:4">
      <c r="A112" s="145" t="s">
        <v>606</v>
      </c>
      <c r="B112" s="145" t="s">
        <v>607</v>
      </c>
      <c r="D112" s="145" t="s">
        <v>608</v>
      </c>
    </row>
    <row r="113" spans="1:4">
      <c r="A113" s="145" t="s">
        <v>609</v>
      </c>
      <c r="B113" s="145" t="s">
        <v>610</v>
      </c>
      <c r="D113" s="145" t="s">
        <v>611</v>
      </c>
    </row>
    <row r="114" spans="1:4">
      <c r="A114" s="145" t="s">
        <v>612</v>
      </c>
      <c r="B114" s="145" t="s">
        <v>613</v>
      </c>
      <c r="D114" s="145" t="s">
        <v>614</v>
      </c>
    </row>
    <row r="115" spans="1:4">
      <c r="A115" s="145" t="s">
        <v>615</v>
      </c>
      <c r="B115" s="145" t="s">
        <v>616</v>
      </c>
      <c r="D115" s="145" t="s">
        <v>617</v>
      </c>
    </row>
    <row r="116" spans="1:4">
      <c r="A116" s="145" t="s">
        <v>618</v>
      </c>
      <c r="B116" s="145" t="s">
        <v>619</v>
      </c>
      <c r="D116" s="145" t="s">
        <v>620</v>
      </c>
    </row>
    <row r="117" spans="1:4">
      <c r="A117" s="145" t="s">
        <v>621</v>
      </c>
      <c r="B117" s="145" t="s">
        <v>622</v>
      </c>
      <c r="D117" s="145" t="s">
        <v>623</v>
      </c>
    </row>
    <row r="118" spans="1:4">
      <c r="A118" s="145" t="s">
        <v>624</v>
      </c>
      <c r="B118" s="145" t="s">
        <v>625</v>
      </c>
      <c r="D118" s="145" t="s">
        <v>626</v>
      </c>
    </row>
    <row r="119" spans="1:4">
      <c r="A119" s="145" t="s">
        <v>627</v>
      </c>
      <c r="B119" s="145" t="s">
        <v>628</v>
      </c>
      <c r="D119" s="145" t="s">
        <v>629</v>
      </c>
    </row>
    <row r="120" spans="1:4">
      <c r="A120" s="145" t="s">
        <v>630</v>
      </c>
      <c r="B120" s="145" t="s">
        <v>631</v>
      </c>
      <c r="D120" s="145" t="s">
        <v>632</v>
      </c>
    </row>
    <row r="121" spans="1:4">
      <c r="A121" s="145" t="s">
        <v>633</v>
      </c>
      <c r="B121" s="145" t="s">
        <v>634</v>
      </c>
      <c r="D121" s="145" t="s">
        <v>635</v>
      </c>
    </row>
    <row r="122" spans="1:4">
      <c r="A122" s="145" t="s">
        <v>636</v>
      </c>
      <c r="B122" s="145" t="s">
        <v>637</v>
      </c>
      <c r="D122" s="145" t="s">
        <v>638</v>
      </c>
    </row>
    <row r="123" spans="1:4">
      <c r="A123" s="145" t="s">
        <v>639</v>
      </c>
      <c r="B123" s="145" t="s">
        <v>640</v>
      </c>
      <c r="D123" s="145" t="s">
        <v>641</v>
      </c>
    </row>
    <row r="124" spans="1:4">
      <c r="A124" s="145" t="s">
        <v>642</v>
      </c>
      <c r="B124" s="145" t="s">
        <v>643</v>
      </c>
      <c r="D124" s="145" t="s">
        <v>644</v>
      </c>
    </row>
    <row r="125" spans="1:4">
      <c r="A125" s="145" t="s">
        <v>645</v>
      </c>
      <c r="B125" s="145" t="s">
        <v>646</v>
      </c>
      <c r="D125" s="145" t="s">
        <v>647</v>
      </c>
    </row>
    <row r="126" spans="1:4">
      <c r="A126" s="145" t="s">
        <v>648</v>
      </c>
      <c r="B126" s="145" t="s">
        <v>649</v>
      </c>
      <c r="D126" s="145" t="s">
        <v>650</v>
      </c>
    </row>
    <row r="127" spans="1:4">
      <c r="A127" s="145" t="s">
        <v>651</v>
      </c>
      <c r="B127" s="145" t="s">
        <v>652</v>
      </c>
      <c r="D127" s="145" t="s">
        <v>653</v>
      </c>
    </row>
    <row r="128" spans="1:4">
      <c r="A128" s="145" t="s">
        <v>654</v>
      </c>
      <c r="B128" s="145" t="s">
        <v>655</v>
      </c>
      <c r="D128" s="145" t="s">
        <v>656</v>
      </c>
    </row>
    <row r="129" spans="1:4">
      <c r="A129" s="145" t="s">
        <v>657</v>
      </c>
      <c r="B129" s="145" t="s">
        <v>658</v>
      </c>
      <c r="D129" s="145" t="s">
        <v>659</v>
      </c>
    </row>
    <row r="130" spans="1:4">
      <c r="A130" s="145" t="s">
        <v>660</v>
      </c>
      <c r="B130" s="145" t="s">
        <v>661</v>
      </c>
      <c r="D130" s="145" t="s">
        <v>662</v>
      </c>
    </row>
    <row r="131" spans="1:4">
      <c r="A131" s="145" t="s">
        <v>663</v>
      </c>
      <c r="B131" s="145" t="s">
        <v>664</v>
      </c>
      <c r="D131" s="145" t="s">
        <v>665</v>
      </c>
    </row>
    <row r="132" spans="1:4">
      <c r="A132" s="145" t="s">
        <v>666</v>
      </c>
      <c r="B132" s="145" t="s">
        <v>667</v>
      </c>
      <c r="D132" s="145" t="s">
        <v>668</v>
      </c>
    </row>
    <row r="133" spans="1:4">
      <c r="A133" s="145" t="s">
        <v>669</v>
      </c>
      <c r="B133" s="145" t="s">
        <v>670</v>
      </c>
      <c r="D133" s="145" t="s">
        <v>671</v>
      </c>
    </row>
    <row r="134" spans="1:4">
      <c r="A134" s="145" t="s">
        <v>672</v>
      </c>
      <c r="B134" s="145" t="s">
        <v>673</v>
      </c>
      <c r="D134" s="145" t="s">
        <v>674</v>
      </c>
    </row>
    <row r="135" spans="1:4">
      <c r="A135" s="145" t="s">
        <v>675</v>
      </c>
      <c r="B135" s="145" t="s">
        <v>676</v>
      </c>
      <c r="D135" s="145" t="s">
        <v>677</v>
      </c>
    </row>
    <row r="136" spans="1:4">
      <c r="A136" s="145" t="s">
        <v>678</v>
      </c>
      <c r="B136" s="145" t="s">
        <v>679</v>
      </c>
      <c r="D136" s="145" t="s">
        <v>680</v>
      </c>
    </row>
    <row r="137" spans="1:4">
      <c r="A137" s="145" t="s">
        <v>681</v>
      </c>
      <c r="B137" s="145" t="s">
        <v>682</v>
      </c>
      <c r="D137" s="145" t="s">
        <v>683</v>
      </c>
    </row>
    <row r="138" spans="1:4">
      <c r="A138" s="145" t="s">
        <v>684</v>
      </c>
      <c r="B138" s="145" t="s">
        <v>685</v>
      </c>
      <c r="D138" s="145" t="s">
        <v>686</v>
      </c>
    </row>
    <row r="139" spans="1:4">
      <c r="A139" s="145" t="s">
        <v>687</v>
      </c>
      <c r="B139" s="145" t="s">
        <v>688</v>
      </c>
      <c r="D139" s="145" t="s">
        <v>689</v>
      </c>
    </row>
    <row r="140" spans="1:4">
      <c r="A140" s="145" t="s">
        <v>690</v>
      </c>
      <c r="B140" s="145" t="s">
        <v>691</v>
      </c>
      <c r="D140" s="145" t="s">
        <v>692</v>
      </c>
    </row>
    <row r="141" spans="1:4">
      <c r="A141" s="145" t="s">
        <v>693</v>
      </c>
      <c r="B141" s="145" t="s">
        <v>694</v>
      </c>
      <c r="D141" s="145" t="s">
        <v>695</v>
      </c>
    </row>
    <row r="142" spans="1:4">
      <c r="A142" s="145" t="s">
        <v>696</v>
      </c>
      <c r="B142" s="145" t="s">
        <v>697</v>
      </c>
      <c r="D142" s="145" t="s">
        <v>698</v>
      </c>
    </row>
    <row r="143" spans="1:4">
      <c r="A143" s="145" t="s">
        <v>699</v>
      </c>
      <c r="B143" s="145" t="s">
        <v>700</v>
      </c>
      <c r="D143" s="145" t="s">
        <v>701</v>
      </c>
    </row>
    <row r="144" spans="1:4">
      <c r="A144" s="145" t="s">
        <v>702</v>
      </c>
      <c r="B144" s="145" t="s">
        <v>703</v>
      </c>
      <c r="D144" s="145" t="s">
        <v>704</v>
      </c>
    </row>
    <row r="145" spans="1:4">
      <c r="A145" s="145" t="s">
        <v>705</v>
      </c>
      <c r="B145" s="145" t="s">
        <v>706</v>
      </c>
      <c r="D145" s="145" t="s">
        <v>707</v>
      </c>
    </row>
    <row r="146" spans="1:4">
      <c r="A146" s="145" t="s">
        <v>708</v>
      </c>
      <c r="B146" s="145" t="s">
        <v>709</v>
      </c>
      <c r="D146" s="145" t="s">
        <v>710</v>
      </c>
    </row>
    <row r="147" spans="1:4">
      <c r="A147" s="145" t="s">
        <v>711</v>
      </c>
      <c r="B147" s="145" t="s">
        <v>712</v>
      </c>
      <c r="D147" s="145" t="s">
        <v>713</v>
      </c>
    </row>
    <row r="148" spans="1:4">
      <c r="A148" s="145" t="s">
        <v>714</v>
      </c>
      <c r="B148" s="145" t="s">
        <v>715</v>
      </c>
      <c r="D148" s="145" t="s">
        <v>716</v>
      </c>
    </row>
    <row r="149" spans="1:4">
      <c r="A149" s="145" t="s">
        <v>717</v>
      </c>
      <c r="B149" s="145" t="s">
        <v>718</v>
      </c>
      <c r="D149" s="145" t="s">
        <v>719</v>
      </c>
    </row>
    <row r="150" spans="1:4">
      <c r="A150" s="145" t="s">
        <v>720</v>
      </c>
      <c r="B150" s="145" t="s">
        <v>721</v>
      </c>
      <c r="D150" s="145" t="s">
        <v>722</v>
      </c>
    </row>
    <row r="151" spans="1:4">
      <c r="A151" s="145" t="s">
        <v>723</v>
      </c>
      <c r="B151" s="145" t="s">
        <v>724</v>
      </c>
      <c r="D151" s="145" t="s">
        <v>725</v>
      </c>
    </row>
    <row r="152" spans="1:4">
      <c r="A152" s="145" t="s">
        <v>726</v>
      </c>
      <c r="B152" s="145" t="s">
        <v>727</v>
      </c>
      <c r="D152" s="145" t="s">
        <v>728</v>
      </c>
    </row>
    <row r="153" spans="1:4">
      <c r="A153" s="145" t="s">
        <v>729</v>
      </c>
      <c r="B153" s="145" t="s">
        <v>730</v>
      </c>
      <c r="D153" s="145" t="s">
        <v>731</v>
      </c>
    </row>
    <row r="154" spans="1:4">
      <c r="A154" s="145" t="s">
        <v>732</v>
      </c>
      <c r="B154" s="145" t="s">
        <v>733</v>
      </c>
      <c r="D154" s="145" t="s">
        <v>734</v>
      </c>
    </row>
    <row r="155" spans="1:4">
      <c r="A155" s="145" t="s">
        <v>735</v>
      </c>
      <c r="B155" s="145" t="s">
        <v>736</v>
      </c>
      <c r="D155" s="145" t="s">
        <v>737</v>
      </c>
    </row>
    <row r="156" spans="1:4">
      <c r="A156" s="145" t="s">
        <v>738</v>
      </c>
      <c r="B156" s="145" t="s">
        <v>739</v>
      </c>
      <c r="D156" s="145" t="s">
        <v>740</v>
      </c>
    </row>
    <row r="157" spans="1:4">
      <c r="A157" s="145" t="s">
        <v>741</v>
      </c>
      <c r="B157" s="145" t="s">
        <v>742</v>
      </c>
      <c r="D157" s="145" t="s">
        <v>743</v>
      </c>
    </row>
    <row r="158" spans="1:4">
      <c r="A158" s="145" t="s">
        <v>744</v>
      </c>
      <c r="B158" s="145" t="s">
        <v>745</v>
      </c>
      <c r="D158" s="145" t="s">
        <v>746</v>
      </c>
    </row>
    <row r="159" spans="1:4">
      <c r="A159" s="145" t="s">
        <v>747</v>
      </c>
      <c r="B159" s="145" t="s">
        <v>748</v>
      </c>
      <c r="D159" s="145" t="s">
        <v>749</v>
      </c>
    </row>
    <row r="160" spans="1:4">
      <c r="A160" s="145" t="s">
        <v>750</v>
      </c>
      <c r="B160" s="145" t="s">
        <v>751</v>
      </c>
      <c r="D160" s="145" t="s">
        <v>752</v>
      </c>
    </row>
    <row r="161" spans="1:4">
      <c r="A161" s="145" t="s">
        <v>753</v>
      </c>
      <c r="B161" s="145" t="s">
        <v>754</v>
      </c>
      <c r="D161" s="145" t="s">
        <v>755</v>
      </c>
    </row>
    <row r="162" spans="1:4">
      <c r="A162" s="145" t="s">
        <v>756</v>
      </c>
      <c r="B162" s="145" t="s">
        <v>757</v>
      </c>
      <c r="D162" s="145" t="s">
        <v>758</v>
      </c>
    </row>
    <row r="163" spans="1:4">
      <c r="A163" s="145" t="s">
        <v>759</v>
      </c>
      <c r="B163" s="145" t="s">
        <v>760</v>
      </c>
      <c r="D163" s="145" t="s">
        <v>761</v>
      </c>
    </row>
    <row r="164" spans="1:4">
      <c r="A164" s="145" t="s">
        <v>762</v>
      </c>
      <c r="B164" s="145" t="s">
        <v>763</v>
      </c>
      <c r="D164" s="145" t="s">
        <v>764</v>
      </c>
    </row>
    <row r="165" spans="1:4">
      <c r="A165" s="145" t="s">
        <v>765</v>
      </c>
      <c r="B165" s="145" t="s">
        <v>766</v>
      </c>
      <c r="D165" s="145" t="s">
        <v>767</v>
      </c>
    </row>
    <row r="166" spans="1:4">
      <c r="A166" s="145" t="s">
        <v>768</v>
      </c>
      <c r="B166" s="145" t="s">
        <v>769</v>
      </c>
      <c r="D166" s="145" t="s">
        <v>770</v>
      </c>
    </row>
    <row r="167" spans="1:4">
      <c r="A167" s="145" t="s">
        <v>771</v>
      </c>
      <c r="B167" s="145" t="s">
        <v>772</v>
      </c>
      <c r="D167" s="145" t="s">
        <v>773</v>
      </c>
    </row>
    <row r="168" spans="1:4">
      <c r="A168" s="145" t="s">
        <v>774</v>
      </c>
      <c r="B168" s="145" t="s">
        <v>775</v>
      </c>
      <c r="D168" s="145" t="s">
        <v>776</v>
      </c>
    </row>
    <row r="169" spans="1:4">
      <c r="A169" s="145" t="s">
        <v>777</v>
      </c>
      <c r="B169" s="145" t="s">
        <v>778</v>
      </c>
      <c r="D169" s="145" t="s">
        <v>779</v>
      </c>
    </row>
    <row r="170" spans="1:4">
      <c r="A170" s="145" t="s">
        <v>780</v>
      </c>
      <c r="B170" s="145" t="s">
        <v>781</v>
      </c>
      <c r="D170" s="145" t="s">
        <v>782</v>
      </c>
    </row>
    <row r="171" spans="1:4">
      <c r="A171" s="145" t="s">
        <v>783</v>
      </c>
      <c r="B171" s="145" t="s">
        <v>784</v>
      </c>
      <c r="D171" s="145" t="s">
        <v>785</v>
      </c>
    </row>
    <row r="172" spans="1:4">
      <c r="A172" s="145" t="s">
        <v>786</v>
      </c>
      <c r="B172" s="145" t="s">
        <v>787</v>
      </c>
      <c r="D172" s="145" t="s">
        <v>788</v>
      </c>
    </row>
    <row r="173" spans="1:4">
      <c r="A173" s="145" t="s">
        <v>789</v>
      </c>
      <c r="B173" s="145" t="s">
        <v>790</v>
      </c>
      <c r="D173" s="145" t="s">
        <v>791</v>
      </c>
    </row>
    <row r="174" spans="1:4">
      <c r="A174" s="145" t="s">
        <v>792</v>
      </c>
      <c r="B174" s="145" t="s">
        <v>793</v>
      </c>
      <c r="D174" s="145" t="s">
        <v>794</v>
      </c>
    </row>
    <row r="175" spans="1:4">
      <c r="A175" s="145" t="s">
        <v>795</v>
      </c>
      <c r="B175" s="145" t="s">
        <v>796</v>
      </c>
      <c r="D175" s="145" t="s">
        <v>797</v>
      </c>
    </row>
    <row r="176" spans="1:4">
      <c r="A176" s="145" t="s">
        <v>798</v>
      </c>
      <c r="B176" s="145" t="s">
        <v>799</v>
      </c>
      <c r="D176" s="145" t="s">
        <v>800</v>
      </c>
    </row>
    <row r="177" spans="1:4">
      <c r="A177" s="145" t="s">
        <v>801</v>
      </c>
      <c r="B177" s="145" t="s">
        <v>802</v>
      </c>
      <c r="D177" s="145" t="s">
        <v>803</v>
      </c>
    </row>
    <row r="178" spans="1:4">
      <c r="A178" s="145" t="s">
        <v>804</v>
      </c>
      <c r="B178" s="145" t="s">
        <v>805</v>
      </c>
      <c r="D178" s="145" t="s">
        <v>806</v>
      </c>
    </row>
    <row r="179" spans="1:4">
      <c r="A179" s="145" t="s">
        <v>807</v>
      </c>
      <c r="B179" s="145" t="s">
        <v>808</v>
      </c>
      <c r="D179" s="145" t="s">
        <v>809</v>
      </c>
    </row>
    <row r="180" spans="1:4">
      <c r="A180" s="145" t="s">
        <v>810</v>
      </c>
      <c r="B180" s="145" t="s">
        <v>811</v>
      </c>
      <c r="D180" s="145" t="s">
        <v>812</v>
      </c>
    </row>
    <row r="181" spans="1:4">
      <c r="A181" s="145" t="s">
        <v>813</v>
      </c>
      <c r="B181" s="145" t="s">
        <v>814</v>
      </c>
      <c r="D181" s="145" t="s">
        <v>815</v>
      </c>
    </row>
    <row r="182" spans="1:4">
      <c r="A182" s="145" t="s">
        <v>816</v>
      </c>
      <c r="B182" s="145" t="s">
        <v>817</v>
      </c>
      <c r="D182" s="145" t="s">
        <v>818</v>
      </c>
    </row>
    <row r="183" spans="1:4">
      <c r="A183" s="145" t="s">
        <v>819</v>
      </c>
      <c r="B183" s="145" t="s">
        <v>820</v>
      </c>
      <c r="D183" s="145" t="s">
        <v>821</v>
      </c>
    </row>
    <row r="184" spans="1:4">
      <c r="A184" s="145" t="s">
        <v>822</v>
      </c>
      <c r="B184" s="145" t="s">
        <v>823</v>
      </c>
      <c r="D184" s="145" t="s">
        <v>824</v>
      </c>
    </row>
    <row r="185" spans="1:4">
      <c r="A185" s="145" t="s">
        <v>825</v>
      </c>
      <c r="B185" s="145" t="s">
        <v>826</v>
      </c>
      <c r="D185" s="145" t="s">
        <v>827</v>
      </c>
    </row>
    <row r="186" spans="1:4">
      <c r="A186" s="145" t="s">
        <v>828</v>
      </c>
      <c r="B186" s="145" t="s">
        <v>829</v>
      </c>
      <c r="D186" s="145" t="s">
        <v>830</v>
      </c>
    </row>
    <row r="187" spans="1:4">
      <c r="A187" s="145" t="s">
        <v>831</v>
      </c>
      <c r="B187" s="145" t="s">
        <v>832</v>
      </c>
      <c r="D187" s="145" t="s">
        <v>833</v>
      </c>
    </row>
    <row r="188" spans="1:4">
      <c r="A188" s="145" t="s">
        <v>834</v>
      </c>
      <c r="B188" s="145" t="s">
        <v>835</v>
      </c>
      <c r="D188" s="145" t="s">
        <v>836</v>
      </c>
    </row>
    <row r="189" spans="1:4">
      <c r="A189" s="145" t="s">
        <v>837</v>
      </c>
      <c r="B189" s="145" t="s">
        <v>838</v>
      </c>
      <c r="D189" s="145" t="s">
        <v>839</v>
      </c>
    </row>
    <row r="190" spans="1:4">
      <c r="A190" s="145" t="s">
        <v>840</v>
      </c>
      <c r="B190" s="145" t="s">
        <v>841</v>
      </c>
      <c r="D190" s="145" t="s">
        <v>842</v>
      </c>
    </row>
    <row r="191" spans="1:4">
      <c r="A191" s="145" t="s">
        <v>843</v>
      </c>
      <c r="B191" s="145" t="s">
        <v>844</v>
      </c>
      <c r="D191" s="145" t="s">
        <v>845</v>
      </c>
    </row>
    <row r="192" spans="1:4">
      <c r="A192" s="145" t="s">
        <v>846</v>
      </c>
      <c r="B192" s="145" t="s">
        <v>847</v>
      </c>
      <c r="D192" s="145" t="s">
        <v>848</v>
      </c>
    </row>
    <row r="193" spans="1:4">
      <c r="A193" s="145" t="s">
        <v>849</v>
      </c>
      <c r="B193" s="145" t="s">
        <v>850</v>
      </c>
      <c r="D193" s="145" t="s">
        <v>851</v>
      </c>
    </row>
    <row r="194" spans="1:4">
      <c r="A194" s="145" t="s">
        <v>852</v>
      </c>
      <c r="B194" s="145" t="s">
        <v>853</v>
      </c>
      <c r="D194" s="145" t="s">
        <v>854</v>
      </c>
    </row>
    <row r="195" spans="1:4">
      <c r="A195" s="145" t="s">
        <v>855</v>
      </c>
      <c r="B195" s="145" t="s">
        <v>856</v>
      </c>
      <c r="D195" s="145" t="s">
        <v>857</v>
      </c>
    </row>
    <row r="196" spans="1:4">
      <c r="A196" s="145" t="s">
        <v>858</v>
      </c>
      <c r="B196" s="145" t="s">
        <v>859</v>
      </c>
      <c r="D196" s="145" t="s">
        <v>860</v>
      </c>
    </row>
    <row r="197" spans="1:4">
      <c r="A197" s="145" t="s">
        <v>861</v>
      </c>
      <c r="B197" s="145" t="s">
        <v>862</v>
      </c>
      <c r="D197" s="145" t="s">
        <v>863</v>
      </c>
    </row>
    <row r="198" spans="1:4">
      <c r="A198" s="145" t="s">
        <v>864</v>
      </c>
      <c r="B198" s="145" t="s">
        <v>865</v>
      </c>
      <c r="D198" s="145" t="s">
        <v>866</v>
      </c>
    </row>
    <row r="199" spans="1:4">
      <c r="A199" s="145" t="s">
        <v>867</v>
      </c>
      <c r="B199" s="145" t="s">
        <v>868</v>
      </c>
      <c r="D199" s="145" t="s">
        <v>869</v>
      </c>
    </row>
    <row r="200" spans="1:4">
      <c r="A200" s="145" t="s">
        <v>870</v>
      </c>
      <c r="B200" s="145" t="s">
        <v>871</v>
      </c>
      <c r="D200" s="145" t="s">
        <v>872</v>
      </c>
    </row>
    <row r="201" spans="1:4">
      <c r="A201" s="145" t="s">
        <v>873</v>
      </c>
      <c r="B201" s="145" t="s">
        <v>874</v>
      </c>
      <c r="D201" s="145" t="s">
        <v>875</v>
      </c>
    </row>
    <row r="202" spans="1:4">
      <c r="A202" s="145" t="s">
        <v>876</v>
      </c>
      <c r="B202" s="145" t="s">
        <v>877</v>
      </c>
      <c r="D202" s="145" t="s">
        <v>878</v>
      </c>
    </row>
    <row r="203" spans="1:4">
      <c r="A203" s="145" t="s">
        <v>879</v>
      </c>
      <c r="B203" s="145" t="s">
        <v>880</v>
      </c>
      <c r="D203" s="145" t="s">
        <v>881</v>
      </c>
    </row>
    <row r="204" spans="1:4">
      <c r="A204" s="145" t="s">
        <v>882</v>
      </c>
      <c r="B204" s="145" t="s">
        <v>883</v>
      </c>
      <c r="D204" s="145" t="s">
        <v>884</v>
      </c>
    </row>
    <row r="205" spans="1:4">
      <c r="A205" s="145" t="s">
        <v>885</v>
      </c>
      <c r="B205" s="145" t="s">
        <v>886</v>
      </c>
      <c r="D205" s="145" t="s">
        <v>887</v>
      </c>
    </row>
    <row r="206" spans="1:4">
      <c r="A206" s="145" t="s">
        <v>888</v>
      </c>
      <c r="B206" s="145" t="s">
        <v>889</v>
      </c>
      <c r="D206" s="145" t="s">
        <v>890</v>
      </c>
    </row>
    <row r="207" spans="1:4">
      <c r="A207" s="145" t="s">
        <v>891</v>
      </c>
      <c r="B207" s="145" t="s">
        <v>892</v>
      </c>
      <c r="D207" s="145" t="s">
        <v>893</v>
      </c>
    </row>
    <row r="208" spans="1:4">
      <c r="A208" s="145" t="s">
        <v>894</v>
      </c>
      <c r="B208" s="145" t="s">
        <v>895</v>
      </c>
      <c r="D208" s="145" t="s">
        <v>896</v>
      </c>
    </row>
    <row r="209" spans="1:4">
      <c r="A209" s="145" t="s">
        <v>897</v>
      </c>
      <c r="B209" s="145" t="s">
        <v>898</v>
      </c>
      <c r="D209" s="145" t="s">
        <v>899</v>
      </c>
    </row>
    <row r="210" spans="1:4">
      <c r="A210" s="145" t="s">
        <v>900</v>
      </c>
      <c r="B210" s="145" t="s">
        <v>901</v>
      </c>
      <c r="D210" s="145" t="s">
        <v>902</v>
      </c>
    </row>
    <row r="211" spans="1:4">
      <c r="A211" s="145" t="s">
        <v>903</v>
      </c>
      <c r="B211" s="145" t="s">
        <v>904</v>
      </c>
      <c r="D211" s="145" t="s">
        <v>905</v>
      </c>
    </row>
    <row r="212" spans="1:4">
      <c r="A212" s="145" t="s">
        <v>906</v>
      </c>
      <c r="B212" s="145" t="s">
        <v>907</v>
      </c>
      <c r="D212" s="145" t="s">
        <v>908</v>
      </c>
    </row>
    <row r="213" spans="1:4">
      <c r="A213" s="145" t="s">
        <v>909</v>
      </c>
      <c r="B213" s="145" t="s">
        <v>910</v>
      </c>
      <c r="D213" s="145" t="s">
        <v>911</v>
      </c>
    </row>
    <row r="214" spans="1:4">
      <c r="A214" s="145" t="s">
        <v>912</v>
      </c>
      <c r="B214" s="145" t="s">
        <v>913</v>
      </c>
      <c r="D214" s="145" t="s">
        <v>914</v>
      </c>
    </row>
    <row r="215" spans="1:4">
      <c r="A215" s="145" t="s">
        <v>915</v>
      </c>
      <c r="B215" s="145" t="s">
        <v>916</v>
      </c>
      <c r="D215" s="145" t="s">
        <v>917</v>
      </c>
    </row>
    <row r="216" spans="1:4">
      <c r="A216" s="145" t="s">
        <v>918</v>
      </c>
      <c r="B216" s="145" t="s">
        <v>919</v>
      </c>
      <c r="D216" s="145" t="s">
        <v>920</v>
      </c>
    </row>
    <row r="217" spans="1:4">
      <c r="A217" s="145" t="s">
        <v>921</v>
      </c>
      <c r="B217" s="145" t="s">
        <v>922</v>
      </c>
      <c r="D217" s="145" t="s">
        <v>923</v>
      </c>
    </row>
    <row r="218" spans="1:4">
      <c r="A218" s="145" t="s">
        <v>924</v>
      </c>
      <c r="B218" s="145" t="s">
        <v>925</v>
      </c>
      <c r="D218" s="145" t="s">
        <v>926</v>
      </c>
    </row>
    <row r="219" spans="1:4">
      <c r="A219" s="145" t="s">
        <v>927</v>
      </c>
      <c r="B219" s="145" t="s">
        <v>928</v>
      </c>
      <c r="D219" s="145" t="s">
        <v>929</v>
      </c>
    </row>
    <row r="220" spans="1:4">
      <c r="A220" s="145" t="s">
        <v>930</v>
      </c>
      <c r="B220" s="145" t="s">
        <v>931</v>
      </c>
      <c r="D220" s="145" t="s">
        <v>932</v>
      </c>
    </row>
    <row r="221" spans="1:4">
      <c r="A221" s="145" t="s">
        <v>933</v>
      </c>
      <c r="B221" s="145" t="s">
        <v>934</v>
      </c>
      <c r="D221" s="145" t="s">
        <v>935</v>
      </c>
    </row>
    <row r="222" spans="1:4">
      <c r="A222" s="145" t="s">
        <v>936</v>
      </c>
      <c r="B222" s="145" t="s">
        <v>937</v>
      </c>
      <c r="D222" s="145" t="s">
        <v>938</v>
      </c>
    </row>
    <row r="223" spans="1:4">
      <c r="A223" s="145" t="s">
        <v>939</v>
      </c>
      <c r="B223" s="145" t="s">
        <v>940</v>
      </c>
      <c r="D223" s="145" t="s">
        <v>941</v>
      </c>
    </row>
    <row r="224" spans="1:4">
      <c r="A224" s="145" t="s">
        <v>942</v>
      </c>
      <c r="B224" s="145" t="s">
        <v>943</v>
      </c>
      <c r="D224" s="145" t="s">
        <v>944</v>
      </c>
    </row>
    <row r="225" spans="1:4">
      <c r="A225" s="145" t="s">
        <v>945</v>
      </c>
      <c r="B225" s="145" t="s">
        <v>946</v>
      </c>
      <c r="D225" s="146" t="s">
        <v>207</v>
      </c>
    </row>
    <row r="226" spans="1:4">
      <c r="A226" s="145" t="s">
        <v>947</v>
      </c>
      <c r="B226" s="145" t="s">
        <v>948</v>
      </c>
      <c r="D226" t="s">
        <v>207</v>
      </c>
    </row>
    <row r="227" spans="1:4">
      <c r="A227" s="145" t="s">
        <v>949</v>
      </c>
      <c r="B227" s="145" t="s">
        <v>950</v>
      </c>
    </row>
    <row r="228" spans="1:4">
      <c r="A228" s="145" t="s">
        <v>951</v>
      </c>
      <c r="B228" s="145" t="s">
        <v>952</v>
      </c>
    </row>
    <row r="229" spans="1:4">
      <c r="A229" s="145" t="s">
        <v>953</v>
      </c>
      <c r="B229" s="145" t="s">
        <v>954</v>
      </c>
    </row>
    <row r="230" spans="1:4">
      <c r="A230" s="145" t="s">
        <v>955</v>
      </c>
      <c r="B230" s="145" t="s">
        <v>956</v>
      </c>
    </row>
    <row r="231" spans="1:4">
      <c r="A231" s="145" t="s">
        <v>957</v>
      </c>
      <c r="B231" s="145" t="s">
        <v>958</v>
      </c>
    </row>
    <row r="232" spans="1:4">
      <c r="A232" s="145" t="s">
        <v>959</v>
      </c>
      <c r="B232" s="145" t="s">
        <v>960</v>
      </c>
    </row>
    <row r="233" spans="1:4">
      <c r="A233" s="145" t="s">
        <v>961</v>
      </c>
      <c r="B233" s="145" t="s">
        <v>962</v>
      </c>
    </row>
    <row r="234" spans="1:4">
      <c r="A234" s="145" t="s">
        <v>963</v>
      </c>
      <c r="B234" s="145" t="s">
        <v>964</v>
      </c>
    </row>
    <row r="235" spans="1:4">
      <c r="A235" s="145" t="s">
        <v>965</v>
      </c>
      <c r="B235" s="145" t="s">
        <v>966</v>
      </c>
    </row>
    <row r="236" spans="1:4">
      <c r="A236" s="145" t="s">
        <v>967</v>
      </c>
      <c r="B236" s="145" t="s">
        <v>968</v>
      </c>
    </row>
    <row r="237" spans="1:4">
      <c r="A237" s="145" t="s">
        <v>969</v>
      </c>
      <c r="B237" s="145" t="s">
        <v>970</v>
      </c>
    </row>
    <row r="238" spans="1:4">
      <c r="A238" s="145" t="s">
        <v>971</v>
      </c>
      <c r="B238" s="145" t="s">
        <v>972</v>
      </c>
    </row>
    <row r="239" spans="1:4">
      <c r="A239" s="145" t="s">
        <v>973</v>
      </c>
      <c r="B239" s="145" t="s">
        <v>974</v>
      </c>
    </row>
    <row r="240" spans="1:4">
      <c r="A240" s="145" t="s">
        <v>975</v>
      </c>
      <c r="B240" s="145" t="s">
        <v>976</v>
      </c>
    </row>
    <row r="241" spans="1:2">
      <c r="A241" s="145" t="s">
        <v>977</v>
      </c>
      <c r="B241" s="145" t="s">
        <v>978</v>
      </c>
    </row>
    <row r="242" spans="1:2">
      <c r="A242" s="145" t="s">
        <v>979</v>
      </c>
      <c r="B242" s="145" t="s">
        <v>980</v>
      </c>
    </row>
    <row r="243" spans="1:2">
      <c r="A243" s="145" t="s">
        <v>981</v>
      </c>
      <c r="B243" s="145" t="s">
        <v>982</v>
      </c>
    </row>
    <row r="244" spans="1:2">
      <c r="A244" s="145" t="s">
        <v>983</v>
      </c>
      <c r="B244" s="145" t="s">
        <v>984</v>
      </c>
    </row>
    <row r="245" spans="1:2">
      <c r="A245" s="145" t="s">
        <v>985</v>
      </c>
      <c r="B245" s="145" t="s">
        <v>986</v>
      </c>
    </row>
    <row r="246" spans="1:2">
      <c r="A246" s="145" t="s">
        <v>987</v>
      </c>
      <c r="B246" s="145" t="s">
        <v>988</v>
      </c>
    </row>
    <row r="247" spans="1:2">
      <c r="A247" s="145" t="s">
        <v>989</v>
      </c>
      <c r="B247" s="145" t="s">
        <v>990</v>
      </c>
    </row>
    <row r="248" spans="1:2">
      <c r="A248" s="145" t="s">
        <v>991</v>
      </c>
      <c r="B248" s="145" t="s">
        <v>992</v>
      </c>
    </row>
    <row r="249" spans="1:2">
      <c r="A249" s="145" t="s">
        <v>993</v>
      </c>
      <c r="B249" s="145" t="s">
        <v>994</v>
      </c>
    </row>
    <row r="250" spans="1:2">
      <c r="A250" s="145" t="s">
        <v>995</v>
      </c>
      <c r="B250" s="145" t="s">
        <v>996</v>
      </c>
    </row>
    <row r="251" spans="1:2">
      <c r="A251" s="145" t="s">
        <v>997</v>
      </c>
      <c r="B251" s="145" t="s">
        <v>998</v>
      </c>
    </row>
    <row r="252" spans="1:2">
      <c r="A252" s="145" t="s">
        <v>999</v>
      </c>
      <c r="B252" s="145" t="s">
        <v>1000</v>
      </c>
    </row>
    <row r="253" spans="1:2">
      <c r="A253" s="145" t="s">
        <v>1001</v>
      </c>
      <c r="B253" s="145" t="s">
        <v>1002</v>
      </c>
    </row>
    <row r="254" spans="1:2">
      <c r="A254" s="145" t="s">
        <v>1003</v>
      </c>
      <c r="B254" s="145" t="s">
        <v>1004</v>
      </c>
    </row>
    <row r="255" spans="1:2">
      <c r="A255" s="145" t="s">
        <v>1005</v>
      </c>
      <c r="B255" s="145" t="s">
        <v>1006</v>
      </c>
    </row>
    <row r="256" spans="1:2">
      <c r="A256" s="145" t="s">
        <v>1007</v>
      </c>
      <c r="B256" s="145" t="s">
        <v>1008</v>
      </c>
    </row>
    <row r="257" spans="1:2">
      <c r="A257" s="145" t="s">
        <v>1009</v>
      </c>
      <c r="B257" s="145" t="s">
        <v>1010</v>
      </c>
    </row>
    <row r="258" spans="1:2">
      <c r="A258" s="145" t="s">
        <v>1011</v>
      </c>
      <c r="B258" s="145" t="s">
        <v>1012</v>
      </c>
    </row>
    <row r="259" spans="1:2">
      <c r="A259" s="145" t="s">
        <v>1013</v>
      </c>
      <c r="B259" s="145" t="s">
        <v>1014</v>
      </c>
    </row>
    <row r="260" spans="1:2">
      <c r="A260" s="145" t="s">
        <v>1015</v>
      </c>
      <c r="B260" s="145" t="s">
        <v>1016</v>
      </c>
    </row>
    <row r="261" spans="1:2">
      <c r="A261" s="145" t="s">
        <v>1017</v>
      </c>
      <c r="B261" s="145" t="s">
        <v>1018</v>
      </c>
    </row>
    <row r="262" spans="1:2">
      <c r="A262" s="145" t="s">
        <v>1019</v>
      </c>
      <c r="B262" s="145" t="s">
        <v>1020</v>
      </c>
    </row>
    <row r="263" spans="1:2">
      <c r="A263" s="145" t="s">
        <v>1021</v>
      </c>
      <c r="B263" s="145" t="s">
        <v>1022</v>
      </c>
    </row>
    <row r="264" spans="1:2">
      <c r="A264" s="145" t="s">
        <v>1023</v>
      </c>
      <c r="B264" s="145" t="s">
        <v>1024</v>
      </c>
    </row>
    <row r="265" spans="1:2">
      <c r="A265" s="145" t="s">
        <v>1025</v>
      </c>
      <c r="B265" s="145" t="s">
        <v>1026</v>
      </c>
    </row>
    <row r="266" spans="1:2">
      <c r="A266" s="145" t="s">
        <v>1027</v>
      </c>
      <c r="B266" s="145" t="s">
        <v>1028</v>
      </c>
    </row>
    <row r="267" spans="1:2">
      <c r="A267" s="145" t="s">
        <v>1029</v>
      </c>
      <c r="B267" s="145" t="s">
        <v>1030</v>
      </c>
    </row>
    <row r="268" spans="1:2">
      <c r="A268" s="145" t="s">
        <v>1031</v>
      </c>
      <c r="B268" s="145" t="s">
        <v>1032</v>
      </c>
    </row>
    <row r="269" spans="1:2">
      <c r="A269" s="145" t="s">
        <v>1033</v>
      </c>
      <c r="B269" s="145" t="s">
        <v>1034</v>
      </c>
    </row>
    <row r="270" spans="1:2">
      <c r="A270" s="145" t="s">
        <v>1035</v>
      </c>
      <c r="B270" s="145" t="s">
        <v>1036</v>
      </c>
    </row>
    <row r="271" spans="1:2">
      <c r="A271" s="145" t="s">
        <v>1037</v>
      </c>
      <c r="B271" s="145" t="s">
        <v>1038</v>
      </c>
    </row>
    <row r="272" spans="1:2">
      <c r="A272" s="145" t="s">
        <v>1039</v>
      </c>
      <c r="B272" s="145" t="s">
        <v>1040</v>
      </c>
    </row>
    <row r="273" spans="1:2">
      <c r="A273" s="145" t="s">
        <v>1041</v>
      </c>
      <c r="B273" s="145" t="s">
        <v>1042</v>
      </c>
    </row>
    <row r="274" spans="1:2">
      <c r="A274" s="145" t="s">
        <v>1043</v>
      </c>
      <c r="B274" s="145" t="s">
        <v>1044</v>
      </c>
    </row>
    <row r="275" spans="1:2">
      <c r="A275" s="145" t="s">
        <v>1045</v>
      </c>
      <c r="B275" s="145" t="s">
        <v>1046</v>
      </c>
    </row>
    <row r="276" spans="1:2">
      <c r="A276" s="145" t="s">
        <v>1047</v>
      </c>
      <c r="B276" s="145" t="s">
        <v>1048</v>
      </c>
    </row>
    <row r="277" spans="1:2">
      <c r="A277" s="145" t="s">
        <v>1049</v>
      </c>
      <c r="B277" s="145" t="s">
        <v>1050</v>
      </c>
    </row>
    <row r="278" spans="1:2">
      <c r="A278" s="145" t="s">
        <v>1051</v>
      </c>
      <c r="B278" s="145" t="s">
        <v>1052</v>
      </c>
    </row>
    <row r="279" spans="1:2">
      <c r="A279" s="145" t="s">
        <v>1053</v>
      </c>
      <c r="B279" s="145" t="s">
        <v>1054</v>
      </c>
    </row>
    <row r="280" spans="1:2">
      <c r="A280" s="145" t="s">
        <v>1055</v>
      </c>
      <c r="B280" s="145" t="s">
        <v>238</v>
      </c>
    </row>
    <row r="281" spans="1:2">
      <c r="A281" s="145" t="s">
        <v>1056</v>
      </c>
      <c r="B281" s="145" t="s">
        <v>1057</v>
      </c>
    </row>
    <row r="282" spans="1:2">
      <c r="A282" s="145" t="s">
        <v>1058</v>
      </c>
      <c r="B282" s="145" t="s">
        <v>1059</v>
      </c>
    </row>
    <row r="283" spans="1:2">
      <c r="A283" s="145" t="s">
        <v>1060</v>
      </c>
      <c r="B283" s="145" t="s">
        <v>1061</v>
      </c>
    </row>
    <row r="284" spans="1:2">
      <c r="A284" s="145" t="s">
        <v>1062</v>
      </c>
      <c r="B284" s="145" t="s">
        <v>1063</v>
      </c>
    </row>
    <row r="285" spans="1:2">
      <c r="A285" s="145" t="s">
        <v>1064</v>
      </c>
      <c r="B285" s="145" t="s">
        <v>1065</v>
      </c>
    </row>
    <row r="286" spans="1:2">
      <c r="A286" s="145" t="s">
        <v>1066</v>
      </c>
      <c r="B286" s="145" t="s">
        <v>1067</v>
      </c>
    </row>
    <row r="287" spans="1:2">
      <c r="A287" s="145" t="s">
        <v>1068</v>
      </c>
      <c r="B287" s="145" t="s">
        <v>1069</v>
      </c>
    </row>
    <row r="288" spans="1:2">
      <c r="A288" s="145" t="s">
        <v>1070</v>
      </c>
      <c r="B288" s="145" t="s">
        <v>1071</v>
      </c>
    </row>
    <row r="289" spans="1:2">
      <c r="A289" s="145" t="s">
        <v>1072</v>
      </c>
      <c r="B289" s="145" t="s">
        <v>1073</v>
      </c>
    </row>
    <row r="290" spans="1:2">
      <c r="A290" s="145" t="s">
        <v>1074</v>
      </c>
      <c r="B290" s="145" t="s">
        <v>1075</v>
      </c>
    </row>
    <row r="291" spans="1:2">
      <c r="A291" s="145" t="s">
        <v>1076</v>
      </c>
      <c r="B291" s="145" t="s">
        <v>1077</v>
      </c>
    </row>
    <row r="292" spans="1:2">
      <c r="A292" s="145" t="s">
        <v>1078</v>
      </c>
      <c r="B292" s="145" t="s">
        <v>1079</v>
      </c>
    </row>
    <row r="293" spans="1:2">
      <c r="A293" s="145" t="s">
        <v>1080</v>
      </c>
      <c r="B293" s="145" t="s">
        <v>1081</v>
      </c>
    </row>
    <row r="294" spans="1:2">
      <c r="A294" s="145" t="s">
        <v>1082</v>
      </c>
      <c r="B294" s="145" t="s">
        <v>1083</v>
      </c>
    </row>
    <row r="295" spans="1:2">
      <c r="A295" s="145" t="s">
        <v>1084</v>
      </c>
      <c r="B295" s="145" t="s">
        <v>1085</v>
      </c>
    </row>
    <row r="296" spans="1:2">
      <c r="A296" s="145" t="s">
        <v>1086</v>
      </c>
      <c r="B296" s="145" t="s">
        <v>1087</v>
      </c>
    </row>
    <row r="297" spans="1:2">
      <c r="A297" s="145" t="s">
        <v>1088</v>
      </c>
      <c r="B297" s="145" t="s">
        <v>1089</v>
      </c>
    </row>
    <row r="298" spans="1:2">
      <c r="A298" s="145" t="s">
        <v>1090</v>
      </c>
      <c r="B298" s="145" t="s">
        <v>1091</v>
      </c>
    </row>
    <row r="299" spans="1:2">
      <c r="A299" s="145" t="s">
        <v>1092</v>
      </c>
      <c r="B299" s="145" t="s">
        <v>1093</v>
      </c>
    </row>
    <row r="300" spans="1:2">
      <c r="A300" s="145" t="s">
        <v>1094</v>
      </c>
      <c r="B300" s="145" t="s">
        <v>1095</v>
      </c>
    </row>
    <row r="301" spans="1:2">
      <c r="A301" s="145" t="s">
        <v>1096</v>
      </c>
      <c r="B301" s="145" t="s">
        <v>1097</v>
      </c>
    </row>
    <row r="302" spans="1:2">
      <c r="A302" s="145" t="s">
        <v>1098</v>
      </c>
      <c r="B302" s="145" t="s">
        <v>1099</v>
      </c>
    </row>
    <row r="303" spans="1:2">
      <c r="A303" s="145" t="s">
        <v>1100</v>
      </c>
      <c r="B303" s="145" t="s">
        <v>1101</v>
      </c>
    </row>
    <row r="304" spans="1:2">
      <c r="A304" s="145" t="s">
        <v>1102</v>
      </c>
      <c r="B304" s="145" t="s">
        <v>1103</v>
      </c>
    </row>
    <row r="305" spans="1:2">
      <c r="A305" s="145" t="s">
        <v>1104</v>
      </c>
      <c r="B305" s="145" t="s">
        <v>1105</v>
      </c>
    </row>
    <row r="306" spans="1:2">
      <c r="A306" s="145" t="s">
        <v>1106</v>
      </c>
      <c r="B306" s="145" t="s">
        <v>1107</v>
      </c>
    </row>
    <row r="307" spans="1:2">
      <c r="A307" s="145" t="s">
        <v>1108</v>
      </c>
      <c r="B307" s="145" t="s">
        <v>427</v>
      </c>
    </row>
    <row r="308" spans="1:2">
      <c r="A308" s="145" t="s">
        <v>1109</v>
      </c>
      <c r="B308" s="145" t="s">
        <v>1110</v>
      </c>
    </row>
    <row r="309" spans="1:2">
      <c r="A309" s="145" t="s">
        <v>1111</v>
      </c>
      <c r="B309" s="145" t="s">
        <v>1112</v>
      </c>
    </row>
    <row r="310" spans="1:2">
      <c r="A310" s="145" t="s">
        <v>1113</v>
      </c>
      <c r="B310" s="145" t="s">
        <v>1114</v>
      </c>
    </row>
    <row r="311" spans="1:2">
      <c r="A311" s="145" t="s">
        <v>1115</v>
      </c>
      <c r="B311" s="145" t="s">
        <v>1116</v>
      </c>
    </row>
    <row r="312" spans="1:2">
      <c r="A312" s="145" t="s">
        <v>1117</v>
      </c>
      <c r="B312" s="145" t="s">
        <v>1118</v>
      </c>
    </row>
    <row r="313" spans="1:2">
      <c r="A313" s="145" t="s">
        <v>1119</v>
      </c>
      <c r="B313" s="145" t="s">
        <v>1120</v>
      </c>
    </row>
    <row r="314" spans="1:2">
      <c r="A314" s="145" t="s">
        <v>1121</v>
      </c>
      <c r="B314" s="145" t="s">
        <v>1122</v>
      </c>
    </row>
    <row r="315" spans="1:2">
      <c r="A315" s="145" t="s">
        <v>1123</v>
      </c>
      <c r="B315" s="145" t="s">
        <v>1124</v>
      </c>
    </row>
    <row r="316" spans="1:2">
      <c r="A316" s="145" t="s">
        <v>1125</v>
      </c>
      <c r="B316" s="145" t="s">
        <v>1126</v>
      </c>
    </row>
    <row r="317" spans="1:2">
      <c r="A317" s="145" t="s">
        <v>1127</v>
      </c>
      <c r="B317" s="145" t="s">
        <v>1128</v>
      </c>
    </row>
    <row r="318" spans="1:2">
      <c r="A318" s="145" t="s">
        <v>1129</v>
      </c>
      <c r="B318" s="145" t="s">
        <v>1130</v>
      </c>
    </row>
    <row r="319" spans="1:2">
      <c r="A319" s="145" t="s">
        <v>1131</v>
      </c>
      <c r="B319" s="145" t="s">
        <v>1132</v>
      </c>
    </row>
    <row r="320" spans="1:2">
      <c r="A320" s="145" t="s">
        <v>1133</v>
      </c>
      <c r="B320" s="145" t="s">
        <v>1134</v>
      </c>
    </row>
    <row r="321" spans="1:2">
      <c r="A321" s="145" t="s">
        <v>1135</v>
      </c>
      <c r="B321" s="145" t="s">
        <v>1136</v>
      </c>
    </row>
    <row r="322" spans="1:2">
      <c r="A322" s="145" t="s">
        <v>1137</v>
      </c>
      <c r="B322" s="145" t="s">
        <v>1138</v>
      </c>
    </row>
    <row r="323" spans="1:2">
      <c r="A323" s="145" t="s">
        <v>1139</v>
      </c>
      <c r="B323" s="145" t="s">
        <v>1140</v>
      </c>
    </row>
    <row r="324" spans="1:2">
      <c r="A324" s="145" t="s">
        <v>1141</v>
      </c>
      <c r="B324" s="145" t="s">
        <v>1142</v>
      </c>
    </row>
    <row r="325" spans="1:2">
      <c r="A325" s="145" t="s">
        <v>1143</v>
      </c>
      <c r="B325" s="145" t="s">
        <v>1144</v>
      </c>
    </row>
    <row r="326" spans="1:2">
      <c r="A326" s="145" t="s">
        <v>1145</v>
      </c>
      <c r="B326" s="145" t="s">
        <v>1146</v>
      </c>
    </row>
    <row r="327" spans="1:2">
      <c r="A327" s="145" t="s">
        <v>1147</v>
      </c>
      <c r="B327" s="145" t="s">
        <v>1148</v>
      </c>
    </row>
    <row r="328" spans="1:2">
      <c r="A328" s="145" t="s">
        <v>1149</v>
      </c>
      <c r="B328" s="145" t="s">
        <v>1150</v>
      </c>
    </row>
    <row r="329" spans="1:2">
      <c r="A329" s="145" t="s">
        <v>1151</v>
      </c>
      <c r="B329" s="145" t="s">
        <v>1152</v>
      </c>
    </row>
    <row r="330" spans="1:2">
      <c r="A330" s="145" t="s">
        <v>1153</v>
      </c>
      <c r="B330" s="145" t="s">
        <v>1154</v>
      </c>
    </row>
    <row r="331" spans="1:2">
      <c r="A331" s="145" t="s">
        <v>1155</v>
      </c>
      <c r="B331" s="145" t="s">
        <v>1156</v>
      </c>
    </row>
    <row r="332" spans="1:2">
      <c r="A332" s="145" t="s">
        <v>1157</v>
      </c>
      <c r="B332" s="145" t="s">
        <v>1158</v>
      </c>
    </row>
    <row r="333" spans="1:2">
      <c r="A333" s="145" t="s">
        <v>1159</v>
      </c>
      <c r="B333" s="145" t="s">
        <v>1160</v>
      </c>
    </row>
    <row r="334" spans="1:2">
      <c r="A334" s="145" t="s">
        <v>1161</v>
      </c>
      <c r="B334" s="145" t="s">
        <v>1162</v>
      </c>
    </row>
    <row r="335" spans="1:2">
      <c r="A335" s="145" t="s">
        <v>1163</v>
      </c>
      <c r="B335" s="145" t="s">
        <v>1164</v>
      </c>
    </row>
    <row r="336" spans="1:2">
      <c r="A336" s="145" t="s">
        <v>1165</v>
      </c>
      <c r="B336" s="145" t="s">
        <v>1166</v>
      </c>
    </row>
    <row r="337" spans="1:2">
      <c r="A337" s="145" t="s">
        <v>1167</v>
      </c>
      <c r="B337" s="145" t="s">
        <v>1168</v>
      </c>
    </row>
    <row r="338" spans="1:2">
      <c r="A338" s="145" t="s">
        <v>1169</v>
      </c>
      <c r="B338" s="145" t="s">
        <v>1170</v>
      </c>
    </row>
    <row r="339" spans="1:2">
      <c r="A339" s="145" t="s">
        <v>1171</v>
      </c>
      <c r="B339" s="145" t="s">
        <v>1172</v>
      </c>
    </row>
    <row r="340" spans="1:2">
      <c r="A340" s="145" t="s">
        <v>1173</v>
      </c>
      <c r="B340" s="145" t="s">
        <v>1174</v>
      </c>
    </row>
    <row r="341" spans="1:2">
      <c r="A341" s="145" t="s">
        <v>1175</v>
      </c>
      <c r="B341" s="145" t="s">
        <v>1176</v>
      </c>
    </row>
    <row r="342" spans="1:2">
      <c r="A342" s="145" t="s">
        <v>1177</v>
      </c>
      <c r="B342" s="145" t="s">
        <v>1178</v>
      </c>
    </row>
    <row r="343" spans="1:2">
      <c r="A343" s="145" t="s">
        <v>1179</v>
      </c>
      <c r="B343" s="145" t="s">
        <v>1180</v>
      </c>
    </row>
    <row r="344" spans="1:2">
      <c r="A344" s="145" t="s">
        <v>1181</v>
      </c>
      <c r="B344" s="145" t="s">
        <v>1182</v>
      </c>
    </row>
    <row r="345" spans="1:2">
      <c r="A345" s="145" t="s">
        <v>1183</v>
      </c>
      <c r="B345" s="145" t="s">
        <v>1184</v>
      </c>
    </row>
    <row r="346" spans="1:2">
      <c r="A346" s="145" t="s">
        <v>1185</v>
      </c>
      <c r="B346" s="145" t="s">
        <v>1186</v>
      </c>
    </row>
    <row r="347" spans="1:2">
      <c r="A347" s="145" t="s">
        <v>1187</v>
      </c>
      <c r="B347" s="145" t="s">
        <v>1188</v>
      </c>
    </row>
    <row r="348" spans="1:2">
      <c r="A348" s="145" t="s">
        <v>1189</v>
      </c>
      <c r="B348" s="145" t="s">
        <v>1190</v>
      </c>
    </row>
    <row r="349" spans="1:2">
      <c r="A349" s="145" t="s">
        <v>1191</v>
      </c>
      <c r="B349" s="145" t="s">
        <v>1192</v>
      </c>
    </row>
    <row r="350" spans="1:2">
      <c r="A350" s="145" t="s">
        <v>1193</v>
      </c>
      <c r="B350" s="145" t="s">
        <v>1194</v>
      </c>
    </row>
    <row r="351" spans="1:2">
      <c r="A351" s="145" t="s">
        <v>1195</v>
      </c>
      <c r="B351" s="145" t="s">
        <v>1196</v>
      </c>
    </row>
    <row r="352" spans="1:2">
      <c r="A352" s="145" t="s">
        <v>1197</v>
      </c>
      <c r="B352" s="145" t="s">
        <v>1198</v>
      </c>
    </row>
    <row r="353" spans="1:2">
      <c r="A353" s="145" t="s">
        <v>1199</v>
      </c>
      <c r="B353" s="145" t="s">
        <v>1200</v>
      </c>
    </row>
    <row r="354" spans="1:2">
      <c r="A354" s="145" t="s">
        <v>1201</v>
      </c>
      <c r="B354" s="145" t="s">
        <v>1202</v>
      </c>
    </row>
    <row r="355" spans="1:2">
      <c r="A355" s="145" t="s">
        <v>1203</v>
      </c>
      <c r="B355" s="145" t="s">
        <v>1204</v>
      </c>
    </row>
    <row r="356" spans="1:2">
      <c r="A356" s="145" t="s">
        <v>1205</v>
      </c>
      <c r="B356" s="145" t="s">
        <v>1206</v>
      </c>
    </row>
    <row r="357" spans="1:2">
      <c r="A357" s="145" t="s">
        <v>1207</v>
      </c>
      <c r="B357" s="145" t="s">
        <v>1208</v>
      </c>
    </row>
    <row r="358" spans="1:2">
      <c r="A358" s="145" t="s">
        <v>1209</v>
      </c>
      <c r="B358" s="145" t="s">
        <v>1210</v>
      </c>
    </row>
    <row r="359" spans="1:2">
      <c r="A359" s="145" t="s">
        <v>1211</v>
      </c>
      <c r="B359" s="145" t="s">
        <v>1212</v>
      </c>
    </row>
    <row r="360" spans="1:2">
      <c r="A360" s="145" t="s">
        <v>1213</v>
      </c>
      <c r="B360" s="145" t="s">
        <v>1214</v>
      </c>
    </row>
    <row r="361" spans="1:2">
      <c r="A361" s="145" t="s">
        <v>1215</v>
      </c>
      <c r="B361" s="145" t="s">
        <v>1216</v>
      </c>
    </row>
    <row r="362" spans="1:2">
      <c r="A362" s="145" t="s">
        <v>1217</v>
      </c>
      <c r="B362" s="145" t="s">
        <v>1218</v>
      </c>
    </row>
    <row r="363" spans="1:2">
      <c r="A363" s="145" t="s">
        <v>1219</v>
      </c>
      <c r="B363" s="145" t="s">
        <v>1220</v>
      </c>
    </row>
    <row r="364" spans="1:2">
      <c r="A364" s="145" t="s">
        <v>1221</v>
      </c>
      <c r="B364" s="145" t="s">
        <v>1222</v>
      </c>
    </row>
    <row r="365" spans="1:2">
      <c r="A365" s="145" t="s">
        <v>1223</v>
      </c>
      <c r="B365" s="145" t="s">
        <v>1224</v>
      </c>
    </row>
    <row r="366" spans="1:2">
      <c r="A366" s="145" t="s">
        <v>1225</v>
      </c>
      <c r="B366" s="145" t="s">
        <v>1226</v>
      </c>
    </row>
    <row r="367" spans="1:2">
      <c r="A367" s="145" t="s">
        <v>1227</v>
      </c>
      <c r="B367" s="145" t="s">
        <v>1228</v>
      </c>
    </row>
    <row r="368" spans="1:2">
      <c r="A368" s="145" t="s">
        <v>1229</v>
      </c>
      <c r="B368" s="145" t="s">
        <v>1230</v>
      </c>
    </row>
    <row r="369" spans="1:2">
      <c r="A369" s="145" t="s">
        <v>1231</v>
      </c>
      <c r="B369" s="145" t="s">
        <v>1232</v>
      </c>
    </row>
    <row r="370" spans="1:2">
      <c r="A370" s="145" t="s">
        <v>1233</v>
      </c>
      <c r="B370" s="145" t="s">
        <v>1234</v>
      </c>
    </row>
    <row r="371" spans="1:2">
      <c r="A371" s="145" t="s">
        <v>1235</v>
      </c>
      <c r="B371" s="145" t="s">
        <v>1236</v>
      </c>
    </row>
    <row r="372" spans="1:2">
      <c r="A372" s="145" t="s">
        <v>1237</v>
      </c>
      <c r="B372" s="145" t="s">
        <v>1238</v>
      </c>
    </row>
    <row r="373" spans="1:2">
      <c r="A373" s="145" t="s">
        <v>1239</v>
      </c>
      <c r="B373" s="145" t="s">
        <v>1240</v>
      </c>
    </row>
    <row r="374" spans="1:2">
      <c r="A374" s="145" t="s">
        <v>1241</v>
      </c>
      <c r="B374" s="145" t="s">
        <v>1242</v>
      </c>
    </row>
    <row r="375" spans="1:2">
      <c r="A375" s="145" t="s">
        <v>1243</v>
      </c>
      <c r="B375" s="145" t="s">
        <v>1244</v>
      </c>
    </row>
    <row r="376" spans="1:2">
      <c r="A376" s="145" t="s">
        <v>1245</v>
      </c>
      <c r="B376" s="145" t="s">
        <v>1246</v>
      </c>
    </row>
    <row r="377" spans="1:2">
      <c r="A377" s="145" t="s">
        <v>1247</v>
      </c>
      <c r="B377" s="145" t="s">
        <v>1248</v>
      </c>
    </row>
    <row r="378" spans="1:2">
      <c r="A378" s="145" t="s">
        <v>1249</v>
      </c>
      <c r="B378" s="145" t="s">
        <v>1250</v>
      </c>
    </row>
    <row r="379" spans="1:2">
      <c r="A379" s="145" t="s">
        <v>1251</v>
      </c>
      <c r="B379" s="145" t="s">
        <v>1252</v>
      </c>
    </row>
    <row r="380" spans="1:2">
      <c r="A380" s="145" t="s">
        <v>1253</v>
      </c>
      <c r="B380" s="145" t="s">
        <v>1254</v>
      </c>
    </row>
    <row r="381" spans="1:2">
      <c r="A381" s="145" t="s">
        <v>1255</v>
      </c>
      <c r="B381" s="145" t="s">
        <v>1256</v>
      </c>
    </row>
    <row r="382" spans="1:2">
      <c r="A382" s="145" t="s">
        <v>1257</v>
      </c>
      <c r="B382" s="145" t="s">
        <v>1258</v>
      </c>
    </row>
    <row r="383" spans="1:2">
      <c r="A383" s="145" t="s">
        <v>1259</v>
      </c>
      <c r="B383" s="145" t="s">
        <v>1260</v>
      </c>
    </row>
    <row r="384" spans="1:2">
      <c r="A384" s="145" t="s">
        <v>1261</v>
      </c>
      <c r="B384" s="145" t="s">
        <v>1262</v>
      </c>
    </row>
    <row r="385" spans="1:2">
      <c r="A385" s="145" t="s">
        <v>1263</v>
      </c>
      <c r="B385" s="145" t="s">
        <v>1264</v>
      </c>
    </row>
    <row r="386" spans="1:2">
      <c r="A386" s="145" t="s">
        <v>1265</v>
      </c>
      <c r="B386" s="145" t="s">
        <v>1266</v>
      </c>
    </row>
    <row r="387" spans="1:2">
      <c r="A387" s="145" t="s">
        <v>1267</v>
      </c>
      <c r="B387" s="145" t="s">
        <v>1268</v>
      </c>
    </row>
    <row r="388" spans="1:2">
      <c r="A388" s="145" t="s">
        <v>1269</v>
      </c>
      <c r="B388" s="145" t="s">
        <v>1270</v>
      </c>
    </row>
    <row r="389" spans="1:2">
      <c r="A389" s="145" t="s">
        <v>1271</v>
      </c>
      <c r="B389" s="145" t="s">
        <v>1272</v>
      </c>
    </row>
    <row r="390" spans="1:2">
      <c r="A390" s="145" t="s">
        <v>1273</v>
      </c>
      <c r="B390" s="145" t="s">
        <v>1274</v>
      </c>
    </row>
    <row r="391" spans="1:2">
      <c r="A391" s="145" t="s">
        <v>1275</v>
      </c>
      <c r="B391" s="145" t="s">
        <v>1276</v>
      </c>
    </row>
    <row r="392" spans="1:2">
      <c r="A392" s="145" t="s">
        <v>1277</v>
      </c>
      <c r="B392" s="145" t="s">
        <v>1278</v>
      </c>
    </row>
    <row r="393" spans="1:2">
      <c r="A393" s="145" t="s">
        <v>1279</v>
      </c>
      <c r="B393" s="145" t="s">
        <v>1280</v>
      </c>
    </row>
    <row r="394" spans="1:2">
      <c r="A394" s="145" t="s">
        <v>1281</v>
      </c>
      <c r="B394" s="145" t="s">
        <v>1282</v>
      </c>
    </row>
    <row r="395" spans="1:2">
      <c r="A395" s="145" t="s">
        <v>1283</v>
      </c>
      <c r="B395" s="145" t="s">
        <v>1284</v>
      </c>
    </row>
    <row r="396" spans="1:2">
      <c r="A396" s="145" t="s">
        <v>1285</v>
      </c>
      <c r="B396" s="145" t="s">
        <v>1286</v>
      </c>
    </row>
    <row r="397" spans="1:2">
      <c r="A397" s="145" t="s">
        <v>1287</v>
      </c>
      <c r="B397" s="145" t="s">
        <v>1288</v>
      </c>
    </row>
    <row r="398" spans="1:2">
      <c r="A398" s="145" t="s">
        <v>1289</v>
      </c>
      <c r="B398" s="145" t="s">
        <v>1290</v>
      </c>
    </row>
    <row r="399" spans="1:2">
      <c r="A399" s="145" t="s">
        <v>1291</v>
      </c>
      <c r="B399" s="145" t="s">
        <v>1292</v>
      </c>
    </row>
    <row r="400" spans="1:2">
      <c r="A400" s="145" t="s">
        <v>1293</v>
      </c>
      <c r="B400" s="145" t="s">
        <v>1294</v>
      </c>
    </row>
    <row r="401" spans="1:2">
      <c r="A401" s="145" t="s">
        <v>1295</v>
      </c>
      <c r="B401" s="145" t="s">
        <v>1296</v>
      </c>
    </row>
    <row r="402" spans="1:2">
      <c r="A402" s="145" t="s">
        <v>1297</v>
      </c>
      <c r="B402" s="145" t="s">
        <v>1298</v>
      </c>
    </row>
    <row r="403" spans="1:2">
      <c r="A403" s="145" t="s">
        <v>1299</v>
      </c>
      <c r="B403" s="145" t="s">
        <v>1300</v>
      </c>
    </row>
    <row r="404" spans="1:2">
      <c r="A404" s="145" t="s">
        <v>1301</v>
      </c>
      <c r="B404" s="145" t="s">
        <v>1302</v>
      </c>
    </row>
    <row r="405" spans="1:2">
      <c r="A405" s="145" t="s">
        <v>1303</v>
      </c>
      <c r="B405" s="145" t="s">
        <v>1304</v>
      </c>
    </row>
    <row r="406" spans="1:2">
      <c r="A406" s="145" t="s">
        <v>1305</v>
      </c>
      <c r="B406" s="145" t="s">
        <v>1306</v>
      </c>
    </row>
    <row r="407" spans="1:2">
      <c r="A407" s="145" t="s">
        <v>1307</v>
      </c>
      <c r="B407" s="145" t="s">
        <v>1308</v>
      </c>
    </row>
    <row r="408" spans="1:2">
      <c r="A408" s="145" t="s">
        <v>1309</v>
      </c>
      <c r="B408" s="145" t="s">
        <v>1310</v>
      </c>
    </row>
    <row r="409" spans="1:2">
      <c r="A409" s="145" t="s">
        <v>1311</v>
      </c>
      <c r="B409" s="145" t="s">
        <v>1312</v>
      </c>
    </row>
    <row r="410" spans="1:2">
      <c r="A410" s="145" t="s">
        <v>1313</v>
      </c>
      <c r="B410" s="145" t="s">
        <v>1314</v>
      </c>
    </row>
    <row r="411" spans="1:2">
      <c r="A411" s="145" t="s">
        <v>1315</v>
      </c>
      <c r="B411" s="145" t="s">
        <v>1316</v>
      </c>
    </row>
    <row r="412" spans="1:2">
      <c r="A412" s="145" t="s">
        <v>1317</v>
      </c>
      <c r="B412" s="145" t="s">
        <v>1318</v>
      </c>
    </row>
    <row r="413" spans="1:2">
      <c r="A413" s="145" t="s">
        <v>1319</v>
      </c>
      <c r="B413" s="145" t="s">
        <v>1320</v>
      </c>
    </row>
    <row r="414" spans="1:2">
      <c r="A414" s="145" t="s">
        <v>1321</v>
      </c>
      <c r="B414" s="145" t="s">
        <v>1322</v>
      </c>
    </row>
    <row r="415" spans="1:2">
      <c r="A415" s="145" t="s">
        <v>1323</v>
      </c>
      <c r="B415" s="145" t="s">
        <v>1324</v>
      </c>
    </row>
    <row r="416" spans="1:2">
      <c r="A416" s="145" t="s">
        <v>1325</v>
      </c>
      <c r="B416" s="145" t="s">
        <v>1326</v>
      </c>
    </row>
    <row r="417" spans="1:2">
      <c r="A417" s="145" t="s">
        <v>1327</v>
      </c>
      <c r="B417" s="145" t="s">
        <v>1328</v>
      </c>
    </row>
    <row r="418" spans="1:2">
      <c r="A418" s="145" t="s">
        <v>1329</v>
      </c>
      <c r="B418" s="145" t="s">
        <v>1330</v>
      </c>
    </row>
    <row r="419" spans="1:2">
      <c r="A419" s="145" t="s">
        <v>1331</v>
      </c>
      <c r="B419" s="145" t="s">
        <v>1332</v>
      </c>
    </row>
    <row r="420" spans="1:2">
      <c r="A420" s="145" t="s">
        <v>1333</v>
      </c>
      <c r="B420" s="145" t="s">
        <v>1334</v>
      </c>
    </row>
    <row r="421" spans="1:2">
      <c r="A421" s="145" t="s">
        <v>1335</v>
      </c>
      <c r="B421" s="145" t="s">
        <v>1336</v>
      </c>
    </row>
    <row r="422" spans="1:2">
      <c r="A422" s="145" t="s">
        <v>1337</v>
      </c>
      <c r="B422" s="145" t="s">
        <v>1338</v>
      </c>
    </row>
    <row r="423" spans="1:2">
      <c r="A423" s="145" t="s">
        <v>1339</v>
      </c>
      <c r="B423" s="145" t="s">
        <v>1340</v>
      </c>
    </row>
    <row r="424" spans="1:2">
      <c r="A424" s="145" t="s">
        <v>1341</v>
      </c>
      <c r="B424" s="145" t="s">
        <v>1342</v>
      </c>
    </row>
    <row r="425" spans="1:2">
      <c r="A425" s="145" t="s">
        <v>1343</v>
      </c>
      <c r="B425" s="145" t="s">
        <v>1344</v>
      </c>
    </row>
    <row r="426" spans="1:2">
      <c r="A426" s="145" t="s">
        <v>1345</v>
      </c>
      <c r="B426" s="145" t="s">
        <v>1346</v>
      </c>
    </row>
    <row r="427" spans="1:2">
      <c r="A427" s="145" t="s">
        <v>1347</v>
      </c>
      <c r="B427" s="145" t="s">
        <v>1348</v>
      </c>
    </row>
    <row r="428" spans="1:2">
      <c r="A428" s="145" t="s">
        <v>1349</v>
      </c>
      <c r="B428" s="145" t="s">
        <v>1350</v>
      </c>
    </row>
    <row r="429" spans="1:2">
      <c r="A429" s="145" t="s">
        <v>1351</v>
      </c>
      <c r="B429" s="145" t="s">
        <v>1352</v>
      </c>
    </row>
    <row r="430" spans="1:2">
      <c r="A430" s="145" t="s">
        <v>1353</v>
      </c>
      <c r="B430" s="145" t="s">
        <v>1354</v>
      </c>
    </row>
    <row r="431" spans="1:2">
      <c r="A431" s="145" t="s">
        <v>1355</v>
      </c>
      <c r="B431" s="145" t="s">
        <v>1356</v>
      </c>
    </row>
    <row r="432" spans="1:2">
      <c r="A432" s="145" t="s">
        <v>1357</v>
      </c>
      <c r="B432" s="145" t="s">
        <v>1358</v>
      </c>
    </row>
    <row r="433" spans="1:2">
      <c r="A433" s="145" t="s">
        <v>1359</v>
      </c>
      <c r="B433" s="145" t="s">
        <v>1360</v>
      </c>
    </row>
    <row r="434" spans="1:2">
      <c r="A434" s="145" t="s">
        <v>1361</v>
      </c>
      <c r="B434" s="145" t="s">
        <v>1362</v>
      </c>
    </row>
    <row r="435" spans="1:2">
      <c r="A435" s="145" t="s">
        <v>1363</v>
      </c>
      <c r="B435" s="145" t="s">
        <v>1364</v>
      </c>
    </row>
    <row r="436" spans="1:2">
      <c r="A436" s="145" t="s">
        <v>1365</v>
      </c>
      <c r="B436" s="145" t="s">
        <v>1366</v>
      </c>
    </row>
    <row r="437" spans="1:2">
      <c r="A437" s="145" t="s">
        <v>1367</v>
      </c>
      <c r="B437" s="145" t="s">
        <v>1368</v>
      </c>
    </row>
    <row r="438" spans="1:2">
      <c r="A438" s="145" t="s">
        <v>1369</v>
      </c>
      <c r="B438" s="145" t="s">
        <v>1370</v>
      </c>
    </row>
    <row r="439" spans="1:2">
      <c r="A439" s="145" t="s">
        <v>1371</v>
      </c>
      <c r="B439" s="145" t="s">
        <v>1372</v>
      </c>
    </row>
    <row r="440" spans="1:2">
      <c r="A440" s="145" t="s">
        <v>1373</v>
      </c>
      <c r="B440" s="145" t="s">
        <v>1374</v>
      </c>
    </row>
    <row r="441" spans="1:2">
      <c r="A441" s="145" t="s">
        <v>1375</v>
      </c>
      <c r="B441" s="145" t="s">
        <v>1376</v>
      </c>
    </row>
    <row r="442" spans="1:2">
      <c r="A442" s="145" t="s">
        <v>1377</v>
      </c>
      <c r="B442" s="145" t="s">
        <v>1378</v>
      </c>
    </row>
    <row r="443" spans="1:2">
      <c r="A443" s="145" t="s">
        <v>1379</v>
      </c>
      <c r="B443" s="145" t="s">
        <v>1380</v>
      </c>
    </row>
    <row r="444" spans="1:2">
      <c r="A444" s="145" t="s">
        <v>1381</v>
      </c>
      <c r="B444" s="145" t="s">
        <v>1382</v>
      </c>
    </row>
    <row r="445" spans="1:2">
      <c r="A445" s="145" t="s">
        <v>1383</v>
      </c>
      <c r="B445" s="145" t="s">
        <v>1384</v>
      </c>
    </row>
    <row r="446" spans="1:2">
      <c r="A446" s="145" t="s">
        <v>1385</v>
      </c>
      <c r="B446" s="145" t="s">
        <v>1386</v>
      </c>
    </row>
    <row r="447" spans="1:2">
      <c r="A447" s="145" t="s">
        <v>1387</v>
      </c>
      <c r="B447" s="145" t="s">
        <v>1388</v>
      </c>
    </row>
    <row r="448" spans="1:2">
      <c r="A448" s="145" t="s">
        <v>1389</v>
      </c>
      <c r="B448" s="145" t="s">
        <v>1390</v>
      </c>
    </row>
    <row r="449" spans="1:2">
      <c r="A449" s="145" t="s">
        <v>1391</v>
      </c>
      <c r="B449" s="145" t="s">
        <v>1392</v>
      </c>
    </row>
    <row r="450" spans="1:2">
      <c r="A450" s="145" t="s">
        <v>1393</v>
      </c>
      <c r="B450" s="145" t="s">
        <v>1394</v>
      </c>
    </row>
    <row r="451" spans="1:2">
      <c r="A451" s="145" t="s">
        <v>1395</v>
      </c>
      <c r="B451" s="145" t="s">
        <v>1396</v>
      </c>
    </row>
    <row r="452" spans="1:2">
      <c r="A452" s="145" t="s">
        <v>1397</v>
      </c>
      <c r="B452" s="145" t="s">
        <v>1398</v>
      </c>
    </row>
    <row r="453" spans="1:2">
      <c r="A453" s="145" t="s">
        <v>1399</v>
      </c>
      <c r="B453" s="145" t="s">
        <v>1400</v>
      </c>
    </row>
    <row r="454" spans="1:2">
      <c r="A454" s="145" t="s">
        <v>1401</v>
      </c>
      <c r="B454" s="145" t="s">
        <v>1402</v>
      </c>
    </row>
    <row r="455" spans="1:2">
      <c r="A455" s="145" t="s">
        <v>1403</v>
      </c>
      <c r="B455" s="145" t="s">
        <v>1404</v>
      </c>
    </row>
    <row r="456" spans="1:2">
      <c r="A456" s="145" t="s">
        <v>1405</v>
      </c>
      <c r="B456" s="145" t="s">
        <v>1406</v>
      </c>
    </row>
    <row r="457" spans="1:2">
      <c r="A457" s="145" t="s">
        <v>1407</v>
      </c>
      <c r="B457" s="145" t="s">
        <v>1408</v>
      </c>
    </row>
    <row r="458" spans="1:2">
      <c r="A458" s="145" t="s">
        <v>1409</v>
      </c>
      <c r="B458" s="145" t="s">
        <v>1410</v>
      </c>
    </row>
    <row r="459" spans="1:2">
      <c r="A459" s="145" t="s">
        <v>1411</v>
      </c>
      <c r="B459" s="145" t="s">
        <v>1412</v>
      </c>
    </row>
    <row r="460" spans="1:2">
      <c r="A460" s="145" t="s">
        <v>1413</v>
      </c>
      <c r="B460" s="145" t="s">
        <v>1414</v>
      </c>
    </row>
    <row r="461" spans="1:2">
      <c r="A461" s="145" t="s">
        <v>1415</v>
      </c>
      <c r="B461" s="145" t="s">
        <v>1416</v>
      </c>
    </row>
    <row r="462" spans="1:2">
      <c r="A462" s="145" t="s">
        <v>1417</v>
      </c>
      <c r="B462" s="145" t="s">
        <v>1418</v>
      </c>
    </row>
    <row r="463" spans="1:2">
      <c r="A463" s="145" t="s">
        <v>1419</v>
      </c>
      <c r="B463" s="145" t="s">
        <v>1420</v>
      </c>
    </row>
    <row r="464" spans="1:2">
      <c r="A464" s="145" t="s">
        <v>1421</v>
      </c>
      <c r="B464" s="145" t="s">
        <v>1422</v>
      </c>
    </row>
    <row r="465" spans="1:2">
      <c r="A465" s="145" t="s">
        <v>1423</v>
      </c>
      <c r="B465" s="145" t="s">
        <v>1424</v>
      </c>
    </row>
    <row r="466" spans="1:2">
      <c r="A466" s="145" t="s">
        <v>1425</v>
      </c>
      <c r="B466" s="145" t="s">
        <v>1426</v>
      </c>
    </row>
    <row r="467" spans="1:2">
      <c r="A467" s="145" t="s">
        <v>1427</v>
      </c>
      <c r="B467" s="145" t="s">
        <v>1428</v>
      </c>
    </row>
    <row r="468" spans="1:2">
      <c r="A468" s="145" t="s">
        <v>1429</v>
      </c>
      <c r="B468" s="145" t="s">
        <v>1430</v>
      </c>
    </row>
    <row r="469" spans="1:2">
      <c r="A469" s="145" t="s">
        <v>1431</v>
      </c>
      <c r="B469" s="145" t="s">
        <v>1432</v>
      </c>
    </row>
    <row r="470" spans="1:2">
      <c r="A470" s="145" t="s">
        <v>1433</v>
      </c>
      <c r="B470" s="145" t="s">
        <v>1434</v>
      </c>
    </row>
    <row r="471" spans="1:2">
      <c r="A471" s="145" t="s">
        <v>1435</v>
      </c>
      <c r="B471" s="145" t="s">
        <v>1436</v>
      </c>
    </row>
    <row r="472" spans="1:2">
      <c r="A472" s="145" t="s">
        <v>1437</v>
      </c>
      <c r="B472" s="145" t="s">
        <v>1438</v>
      </c>
    </row>
    <row r="473" spans="1:2">
      <c r="A473" s="145" t="s">
        <v>1439</v>
      </c>
      <c r="B473" s="145" t="s">
        <v>1440</v>
      </c>
    </row>
    <row r="474" spans="1:2">
      <c r="A474" s="145" t="s">
        <v>1441</v>
      </c>
      <c r="B474" s="145" t="s">
        <v>1442</v>
      </c>
    </row>
    <row r="475" spans="1:2">
      <c r="A475" s="145" t="s">
        <v>1443</v>
      </c>
      <c r="B475" s="145" t="s">
        <v>1444</v>
      </c>
    </row>
    <row r="476" spans="1:2">
      <c r="A476" s="145" t="s">
        <v>1445</v>
      </c>
      <c r="B476" s="145" t="s">
        <v>1446</v>
      </c>
    </row>
    <row r="477" spans="1:2">
      <c r="A477" s="145" t="s">
        <v>1447</v>
      </c>
      <c r="B477" s="145" t="s">
        <v>1448</v>
      </c>
    </row>
    <row r="478" spans="1:2">
      <c r="A478" s="145" t="s">
        <v>1449</v>
      </c>
      <c r="B478" s="145" t="s">
        <v>1450</v>
      </c>
    </row>
    <row r="479" spans="1:2">
      <c r="A479" s="145" t="s">
        <v>1451</v>
      </c>
      <c r="B479" s="145" t="s">
        <v>1452</v>
      </c>
    </row>
    <row r="480" spans="1:2">
      <c r="A480" s="145" t="s">
        <v>1453</v>
      </c>
      <c r="B480" s="145" t="s">
        <v>1454</v>
      </c>
    </row>
    <row r="481" spans="1:2">
      <c r="A481" s="145" t="s">
        <v>1455</v>
      </c>
      <c r="B481" s="145" t="s">
        <v>1456</v>
      </c>
    </row>
    <row r="482" spans="1:2">
      <c r="A482" s="145" t="s">
        <v>1457</v>
      </c>
      <c r="B482" s="145" t="s">
        <v>1458</v>
      </c>
    </row>
    <row r="483" spans="1:2">
      <c r="A483" s="145" t="s">
        <v>1459</v>
      </c>
      <c r="B483" s="145" t="s">
        <v>1460</v>
      </c>
    </row>
    <row r="484" spans="1:2">
      <c r="A484" s="145" t="s">
        <v>1461</v>
      </c>
      <c r="B484" s="145" t="s">
        <v>1462</v>
      </c>
    </row>
    <row r="485" spans="1:2">
      <c r="A485" s="145" t="s">
        <v>1463</v>
      </c>
      <c r="B485" s="145" t="s">
        <v>1464</v>
      </c>
    </row>
    <row r="486" spans="1:2">
      <c r="A486" s="145" t="s">
        <v>1465</v>
      </c>
      <c r="B486" s="145" t="s">
        <v>1466</v>
      </c>
    </row>
    <row r="487" spans="1:2">
      <c r="A487" s="145" t="s">
        <v>1467</v>
      </c>
      <c r="B487" s="145" t="s">
        <v>1468</v>
      </c>
    </row>
    <row r="488" spans="1:2">
      <c r="A488" s="145" t="s">
        <v>1469</v>
      </c>
      <c r="B488" s="145" t="s">
        <v>1470</v>
      </c>
    </row>
    <row r="489" spans="1:2">
      <c r="A489" s="145" t="s">
        <v>1471</v>
      </c>
      <c r="B489" s="145" t="s">
        <v>1472</v>
      </c>
    </row>
    <row r="490" spans="1:2">
      <c r="A490" s="145" t="s">
        <v>1473</v>
      </c>
      <c r="B490" s="145" t="s">
        <v>1474</v>
      </c>
    </row>
    <row r="491" spans="1:2">
      <c r="A491" s="145" t="s">
        <v>1475</v>
      </c>
      <c r="B491" s="145" t="s">
        <v>1476</v>
      </c>
    </row>
    <row r="492" spans="1:2">
      <c r="A492" s="145" t="s">
        <v>1477</v>
      </c>
      <c r="B492" s="145" t="s">
        <v>1478</v>
      </c>
    </row>
    <row r="493" spans="1:2">
      <c r="A493" s="145" t="s">
        <v>1479</v>
      </c>
      <c r="B493" s="145" t="s">
        <v>1480</v>
      </c>
    </row>
    <row r="494" spans="1:2">
      <c r="A494" s="145" t="s">
        <v>1481</v>
      </c>
      <c r="B494" s="145" t="s">
        <v>1482</v>
      </c>
    </row>
    <row r="495" spans="1:2">
      <c r="A495" s="145" t="s">
        <v>1483</v>
      </c>
      <c r="B495" s="145" t="s">
        <v>1484</v>
      </c>
    </row>
    <row r="496" spans="1:2">
      <c r="A496" s="145" t="s">
        <v>1485</v>
      </c>
      <c r="B496" s="145" t="s">
        <v>1486</v>
      </c>
    </row>
    <row r="497" spans="1:2">
      <c r="A497" s="145" t="s">
        <v>1487</v>
      </c>
      <c r="B497" s="145" t="s">
        <v>1488</v>
      </c>
    </row>
    <row r="498" spans="1:2">
      <c r="A498" s="145" t="s">
        <v>1489</v>
      </c>
      <c r="B498" s="145" t="s">
        <v>1490</v>
      </c>
    </row>
    <row r="499" spans="1:2">
      <c r="A499" s="145" t="s">
        <v>1491</v>
      </c>
      <c r="B499" s="145" t="s">
        <v>1492</v>
      </c>
    </row>
    <row r="500" spans="1:2">
      <c r="A500" s="145" t="s">
        <v>1493</v>
      </c>
      <c r="B500" s="145" t="s">
        <v>1494</v>
      </c>
    </row>
    <row r="501" spans="1:2">
      <c r="A501" s="145" t="s">
        <v>1495</v>
      </c>
      <c r="B501" s="145" t="s">
        <v>243</v>
      </c>
    </row>
    <row r="502" spans="1:2">
      <c r="A502" s="145" t="s">
        <v>1496</v>
      </c>
      <c r="B502" s="145" t="s">
        <v>1497</v>
      </c>
    </row>
    <row r="503" spans="1:2">
      <c r="A503" s="145" t="s">
        <v>1498</v>
      </c>
      <c r="B503" s="145" t="s">
        <v>1499</v>
      </c>
    </row>
    <row r="504" spans="1:2">
      <c r="A504" s="145" t="s">
        <v>1500</v>
      </c>
      <c r="B504" s="145" t="s">
        <v>1501</v>
      </c>
    </row>
    <row r="505" spans="1:2">
      <c r="A505" s="145" t="s">
        <v>1502</v>
      </c>
      <c r="B505" s="145" t="s">
        <v>1503</v>
      </c>
    </row>
    <row r="506" spans="1:2">
      <c r="A506" s="145" t="s">
        <v>1504</v>
      </c>
      <c r="B506" s="145" t="s">
        <v>1505</v>
      </c>
    </row>
    <row r="507" spans="1:2">
      <c r="A507" s="145" t="s">
        <v>1506</v>
      </c>
      <c r="B507" s="145" t="s">
        <v>1507</v>
      </c>
    </row>
    <row r="508" spans="1:2">
      <c r="A508" s="145" t="s">
        <v>1508</v>
      </c>
      <c r="B508" s="145" t="s">
        <v>1509</v>
      </c>
    </row>
    <row r="509" spans="1:2">
      <c r="A509" s="145" t="s">
        <v>1510</v>
      </c>
      <c r="B509" s="145" t="s">
        <v>1511</v>
      </c>
    </row>
    <row r="510" spans="1:2">
      <c r="A510" s="145" t="s">
        <v>1512</v>
      </c>
      <c r="B510" s="145" t="s">
        <v>1513</v>
      </c>
    </row>
    <row r="511" spans="1:2">
      <c r="A511" s="145" t="s">
        <v>1514</v>
      </c>
      <c r="B511" s="145" t="s">
        <v>1515</v>
      </c>
    </row>
    <row r="512" spans="1:2">
      <c r="A512" s="145" t="s">
        <v>1516</v>
      </c>
      <c r="B512" s="145" t="s">
        <v>1517</v>
      </c>
    </row>
    <row r="513" spans="1:2">
      <c r="A513" s="145" t="s">
        <v>1518</v>
      </c>
      <c r="B513" s="145" t="s">
        <v>1519</v>
      </c>
    </row>
    <row r="514" spans="1:2">
      <c r="A514" s="145" t="s">
        <v>1520</v>
      </c>
      <c r="B514" s="145" t="s">
        <v>1521</v>
      </c>
    </row>
    <row r="515" spans="1:2">
      <c r="A515" s="145" t="s">
        <v>1522</v>
      </c>
      <c r="B515" s="145" t="s">
        <v>1523</v>
      </c>
    </row>
    <row r="516" spans="1:2">
      <c r="A516" s="145" t="s">
        <v>1524</v>
      </c>
      <c r="B516" s="145" t="s">
        <v>1525</v>
      </c>
    </row>
    <row r="517" spans="1:2">
      <c r="A517" s="145" t="s">
        <v>1526</v>
      </c>
      <c r="B517" s="145" t="s">
        <v>1527</v>
      </c>
    </row>
    <row r="518" spans="1:2">
      <c r="A518" s="145" t="s">
        <v>1528</v>
      </c>
      <c r="B518" s="145" t="s">
        <v>1529</v>
      </c>
    </row>
    <row r="519" spans="1:2">
      <c r="A519" s="145" t="s">
        <v>1530</v>
      </c>
      <c r="B519" s="145" t="s">
        <v>1531</v>
      </c>
    </row>
    <row r="520" spans="1:2">
      <c r="A520" s="145" t="s">
        <v>1532</v>
      </c>
      <c r="B520" s="145" t="s">
        <v>1533</v>
      </c>
    </row>
    <row r="521" spans="1:2">
      <c r="A521" s="145" t="s">
        <v>1534</v>
      </c>
      <c r="B521" s="145" t="s">
        <v>1535</v>
      </c>
    </row>
    <row r="522" spans="1:2">
      <c r="A522" s="145" t="s">
        <v>1536</v>
      </c>
      <c r="B522" s="145" t="s">
        <v>1537</v>
      </c>
    </row>
    <row r="523" spans="1:2">
      <c r="A523" s="145" t="s">
        <v>1538</v>
      </c>
      <c r="B523" s="145" t="s">
        <v>1539</v>
      </c>
    </row>
    <row r="524" spans="1:2">
      <c r="A524" s="145" t="s">
        <v>1540</v>
      </c>
      <c r="B524" s="145" t="s">
        <v>1541</v>
      </c>
    </row>
    <row r="525" spans="1:2">
      <c r="A525" s="145" t="s">
        <v>1542</v>
      </c>
      <c r="B525" s="145" t="s">
        <v>1543</v>
      </c>
    </row>
    <row r="526" spans="1:2">
      <c r="A526" s="145" t="s">
        <v>1544</v>
      </c>
      <c r="B526" s="145" t="s">
        <v>1545</v>
      </c>
    </row>
    <row r="527" spans="1:2">
      <c r="A527" s="145" t="s">
        <v>1546</v>
      </c>
      <c r="B527" s="145" t="s">
        <v>1547</v>
      </c>
    </row>
    <row r="528" spans="1:2">
      <c r="A528" s="145" t="s">
        <v>1548</v>
      </c>
      <c r="B528" s="145" t="s">
        <v>1549</v>
      </c>
    </row>
    <row r="529" spans="1:2">
      <c r="A529" s="145" t="s">
        <v>1550</v>
      </c>
      <c r="B529" s="145" t="s">
        <v>1551</v>
      </c>
    </row>
    <row r="530" spans="1:2">
      <c r="A530" s="145" t="s">
        <v>1552</v>
      </c>
      <c r="B530" s="145" t="s">
        <v>1553</v>
      </c>
    </row>
    <row r="531" spans="1:2">
      <c r="A531" s="145" t="s">
        <v>1554</v>
      </c>
      <c r="B531" s="145" t="s">
        <v>1555</v>
      </c>
    </row>
    <row r="532" spans="1:2">
      <c r="A532" s="145" t="s">
        <v>1556</v>
      </c>
      <c r="B532" s="145" t="s">
        <v>1557</v>
      </c>
    </row>
    <row r="533" spans="1:2">
      <c r="A533" s="145" t="s">
        <v>1558</v>
      </c>
      <c r="B533" s="145" t="s">
        <v>1559</v>
      </c>
    </row>
    <row r="534" spans="1:2">
      <c r="A534" s="145" t="s">
        <v>1560</v>
      </c>
      <c r="B534" s="145" t="s">
        <v>1561</v>
      </c>
    </row>
    <row r="535" spans="1:2">
      <c r="A535" s="145" t="s">
        <v>1562</v>
      </c>
      <c r="B535" s="145" t="s">
        <v>1563</v>
      </c>
    </row>
    <row r="536" spans="1:2">
      <c r="A536" s="145" t="s">
        <v>1564</v>
      </c>
      <c r="B536" s="145" t="s">
        <v>1565</v>
      </c>
    </row>
    <row r="537" spans="1:2">
      <c r="A537" s="145" t="s">
        <v>1566</v>
      </c>
      <c r="B537" s="145" t="s">
        <v>1567</v>
      </c>
    </row>
    <row r="538" spans="1:2">
      <c r="A538" s="145" t="s">
        <v>1568</v>
      </c>
      <c r="B538" s="145" t="s">
        <v>1569</v>
      </c>
    </row>
    <row r="539" spans="1:2">
      <c r="A539" s="145" t="s">
        <v>1570</v>
      </c>
      <c r="B539" s="145" t="s">
        <v>1571</v>
      </c>
    </row>
    <row r="540" spans="1:2">
      <c r="A540" s="145" t="s">
        <v>1572</v>
      </c>
      <c r="B540" s="145" t="s">
        <v>1573</v>
      </c>
    </row>
    <row r="541" spans="1:2">
      <c r="A541" s="145" t="s">
        <v>1574</v>
      </c>
      <c r="B541" s="145" t="s">
        <v>1575</v>
      </c>
    </row>
    <row r="542" spans="1:2">
      <c r="A542" s="145" t="s">
        <v>1576</v>
      </c>
      <c r="B542" s="145" t="s">
        <v>1577</v>
      </c>
    </row>
    <row r="543" spans="1:2">
      <c r="A543" s="145" t="s">
        <v>1578</v>
      </c>
      <c r="B543" s="145" t="s">
        <v>1579</v>
      </c>
    </row>
    <row r="544" spans="1:2">
      <c r="A544" s="145" t="s">
        <v>1580</v>
      </c>
      <c r="B544" s="145" t="s">
        <v>1581</v>
      </c>
    </row>
    <row r="545" spans="1:2">
      <c r="A545" s="145" t="s">
        <v>1582</v>
      </c>
      <c r="B545" s="145" t="s">
        <v>1583</v>
      </c>
    </row>
    <row r="546" spans="1:2">
      <c r="A546" s="145" t="s">
        <v>1584</v>
      </c>
      <c r="B546" s="145" t="s">
        <v>1585</v>
      </c>
    </row>
    <row r="547" spans="1:2">
      <c r="A547" s="145" t="s">
        <v>1586</v>
      </c>
      <c r="B547" s="145" t="s">
        <v>1587</v>
      </c>
    </row>
    <row r="548" spans="1:2">
      <c r="A548" s="145" t="s">
        <v>1588</v>
      </c>
      <c r="B548" s="145" t="s">
        <v>1589</v>
      </c>
    </row>
    <row r="549" spans="1:2">
      <c r="A549" s="145" t="s">
        <v>1590</v>
      </c>
      <c r="B549" s="145" t="s">
        <v>1591</v>
      </c>
    </row>
    <row r="550" spans="1:2">
      <c r="A550" s="145" t="s">
        <v>1592</v>
      </c>
      <c r="B550" s="145" t="s">
        <v>1593</v>
      </c>
    </row>
    <row r="551" spans="1:2">
      <c r="A551" s="145" t="s">
        <v>1594</v>
      </c>
      <c r="B551" s="145" t="s">
        <v>1595</v>
      </c>
    </row>
    <row r="552" spans="1:2">
      <c r="A552" s="145" t="s">
        <v>1596</v>
      </c>
      <c r="B552" s="145" t="s">
        <v>1597</v>
      </c>
    </row>
    <row r="553" spans="1:2">
      <c r="A553" s="145" t="s">
        <v>1598</v>
      </c>
      <c r="B553" s="145" t="s">
        <v>1599</v>
      </c>
    </row>
    <row r="554" spans="1:2">
      <c r="A554" s="145" t="s">
        <v>1600</v>
      </c>
      <c r="B554" s="145" t="s">
        <v>1601</v>
      </c>
    </row>
    <row r="555" spans="1:2">
      <c r="A555" s="145" t="s">
        <v>1602</v>
      </c>
      <c r="B555" s="145" t="s">
        <v>1603</v>
      </c>
    </row>
    <row r="556" spans="1:2">
      <c r="A556" s="145" t="s">
        <v>1604</v>
      </c>
      <c r="B556" s="145" t="s">
        <v>1605</v>
      </c>
    </row>
    <row r="557" spans="1:2">
      <c r="A557" s="145" t="s">
        <v>1606</v>
      </c>
      <c r="B557" s="145" t="s">
        <v>1607</v>
      </c>
    </row>
    <row r="558" spans="1:2">
      <c r="A558" s="145" t="s">
        <v>1608</v>
      </c>
      <c r="B558" s="145" t="s">
        <v>1609</v>
      </c>
    </row>
    <row r="559" spans="1:2">
      <c r="A559" s="145" t="s">
        <v>1610</v>
      </c>
      <c r="B559" s="145" t="s">
        <v>1611</v>
      </c>
    </row>
    <row r="560" spans="1:2">
      <c r="A560" s="145" t="s">
        <v>1612</v>
      </c>
      <c r="B560" s="145" t="s">
        <v>1613</v>
      </c>
    </row>
    <row r="561" spans="1:2">
      <c r="A561" s="145" t="s">
        <v>1614</v>
      </c>
      <c r="B561" s="145" t="s">
        <v>1615</v>
      </c>
    </row>
    <row r="562" spans="1:2">
      <c r="A562" s="145" t="s">
        <v>1616</v>
      </c>
      <c r="B562" s="145" t="s">
        <v>1617</v>
      </c>
    </row>
    <row r="563" spans="1:2">
      <c r="A563" s="145" t="s">
        <v>1618</v>
      </c>
      <c r="B563" s="145" t="s">
        <v>1619</v>
      </c>
    </row>
    <row r="564" spans="1:2">
      <c r="A564" s="145" t="s">
        <v>1620</v>
      </c>
      <c r="B564" s="145" t="s">
        <v>1621</v>
      </c>
    </row>
    <row r="565" spans="1:2">
      <c r="A565" s="145" t="s">
        <v>1622</v>
      </c>
      <c r="B565" s="145" t="s">
        <v>1623</v>
      </c>
    </row>
    <row r="566" spans="1:2">
      <c r="A566" s="145" t="s">
        <v>1624</v>
      </c>
      <c r="B566" s="145" t="s">
        <v>1625</v>
      </c>
    </row>
    <row r="567" spans="1:2">
      <c r="A567" s="145" t="s">
        <v>1626</v>
      </c>
      <c r="B567" s="145" t="s">
        <v>1627</v>
      </c>
    </row>
    <row r="568" spans="1:2">
      <c r="A568" s="145" t="s">
        <v>1628</v>
      </c>
      <c r="B568" s="145" t="s">
        <v>1629</v>
      </c>
    </row>
    <row r="569" spans="1:2">
      <c r="A569" s="145" t="s">
        <v>1630</v>
      </c>
      <c r="B569" s="145" t="s">
        <v>1631</v>
      </c>
    </row>
    <row r="570" spans="1:2">
      <c r="A570" s="145" t="s">
        <v>1632</v>
      </c>
      <c r="B570" s="145" t="s">
        <v>1633</v>
      </c>
    </row>
    <row r="571" spans="1:2">
      <c r="A571" s="145" t="s">
        <v>1634</v>
      </c>
      <c r="B571" s="145" t="s">
        <v>1635</v>
      </c>
    </row>
    <row r="572" spans="1:2">
      <c r="A572" s="145" t="s">
        <v>1636</v>
      </c>
      <c r="B572" s="145" t="s">
        <v>1637</v>
      </c>
    </row>
    <row r="573" spans="1:2">
      <c r="A573" s="145" t="s">
        <v>1638</v>
      </c>
      <c r="B573" s="145" t="s">
        <v>1639</v>
      </c>
    </row>
    <row r="574" spans="1:2">
      <c r="A574" s="145" t="s">
        <v>1640</v>
      </c>
      <c r="B574" s="145" t="s">
        <v>1641</v>
      </c>
    </row>
    <row r="575" spans="1:2">
      <c r="A575" s="145" t="s">
        <v>1642</v>
      </c>
      <c r="B575" s="145" t="s">
        <v>1643</v>
      </c>
    </row>
    <row r="576" spans="1:2">
      <c r="A576" s="145" t="s">
        <v>1644</v>
      </c>
      <c r="B576" s="145" t="s">
        <v>1645</v>
      </c>
    </row>
    <row r="577" spans="1:2">
      <c r="A577" s="145" t="s">
        <v>1646</v>
      </c>
      <c r="B577" s="145" t="s">
        <v>1647</v>
      </c>
    </row>
    <row r="578" spans="1:2">
      <c r="A578" s="145" t="s">
        <v>1648</v>
      </c>
      <c r="B578" s="145" t="s">
        <v>1649</v>
      </c>
    </row>
    <row r="579" spans="1:2">
      <c r="A579" s="145" t="s">
        <v>1650</v>
      </c>
      <c r="B579" s="145" t="s">
        <v>1651</v>
      </c>
    </row>
    <row r="580" spans="1:2">
      <c r="A580" s="145" t="s">
        <v>1652</v>
      </c>
      <c r="B580" s="145" t="s">
        <v>1653</v>
      </c>
    </row>
    <row r="581" spans="1:2">
      <c r="A581" s="145" t="s">
        <v>1654</v>
      </c>
      <c r="B581" s="145" t="s">
        <v>1655</v>
      </c>
    </row>
    <row r="582" spans="1:2">
      <c r="A582" s="145" t="s">
        <v>1656</v>
      </c>
      <c r="B582" s="145" t="s">
        <v>1657</v>
      </c>
    </row>
    <row r="583" spans="1:2">
      <c r="A583" s="145" t="s">
        <v>1658</v>
      </c>
      <c r="B583" s="145" t="s">
        <v>1659</v>
      </c>
    </row>
    <row r="584" spans="1:2">
      <c r="A584" s="145" t="s">
        <v>1660</v>
      </c>
      <c r="B584" s="145" t="s">
        <v>1661</v>
      </c>
    </row>
    <row r="585" spans="1:2">
      <c r="A585" s="145" t="s">
        <v>1662</v>
      </c>
      <c r="B585" s="145" t="s">
        <v>1663</v>
      </c>
    </row>
    <row r="586" spans="1:2">
      <c r="A586" s="145" t="s">
        <v>1664</v>
      </c>
      <c r="B586" s="145" t="s">
        <v>1665</v>
      </c>
    </row>
    <row r="587" spans="1:2">
      <c r="A587" s="145" t="s">
        <v>1666</v>
      </c>
      <c r="B587" s="145" t="s">
        <v>1667</v>
      </c>
    </row>
    <row r="588" spans="1:2">
      <c r="A588" s="145" t="s">
        <v>1668</v>
      </c>
      <c r="B588" s="145" t="s">
        <v>83</v>
      </c>
    </row>
    <row r="589" spans="1:2">
      <c r="A589" s="145" t="s">
        <v>1669</v>
      </c>
      <c r="B589" s="145" t="s">
        <v>1670</v>
      </c>
    </row>
    <row r="590" spans="1:2">
      <c r="A590" s="145" t="s">
        <v>1671</v>
      </c>
      <c r="B590" s="145" t="s">
        <v>1672</v>
      </c>
    </row>
    <row r="591" spans="1:2">
      <c r="A591" s="145" t="s">
        <v>1673</v>
      </c>
      <c r="B591" s="145" t="s">
        <v>1674</v>
      </c>
    </row>
    <row r="592" spans="1:2">
      <c r="A592" s="145" t="s">
        <v>1675</v>
      </c>
      <c r="B592" s="145" t="s">
        <v>1676</v>
      </c>
    </row>
    <row r="593" spans="1:2">
      <c r="A593" s="145" t="s">
        <v>1677</v>
      </c>
      <c r="B593" s="145" t="s">
        <v>1678</v>
      </c>
    </row>
    <row r="594" spans="1:2">
      <c r="A594" s="145" t="s">
        <v>1679</v>
      </c>
      <c r="B594" s="145" t="s">
        <v>1680</v>
      </c>
    </row>
    <row r="595" spans="1:2">
      <c r="A595" s="145" t="s">
        <v>1681</v>
      </c>
      <c r="B595" s="145" t="s">
        <v>1682</v>
      </c>
    </row>
    <row r="596" spans="1:2">
      <c r="A596" s="145" t="s">
        <v>1683</v>
      </c>
      <c r="B596" s="145" t="s">
        <v>1684</v>
      </c>
    </row>
    <row r="597" spans="1:2">
      <c r="A597" s="145" t="s">
        <v>1685</v>
      </c>
      <c r="B597" s="145" t="s">
        <v>1686</v>
      </c>
    </row>
    <row r="598" spans="1:2">
      <c r="A598" s="145" t="s">
        <v>1687</v>
      </c>
      <c r="B598" s="145" t="s">
        <v>1688</v>
      </c>
    </row>
    <row r="599" spans="1:2">
      <c r="A599" s="145" t="s">
        <v>1689</v>
      </c>
      <c r="B599" s="145" t="s">
        <v>1690</v>
      </c>
    </row>
    <row r="600" spans="1:2">
      <c r="A600" s="145" t="s">
        <v>1691</v>
      </c>
      <c r="B600" s="145" t="s">
        <v>1692</v>
      </c>
    </row>
    <row r="601" spans="1:2">
      <c r="A601" s="145" t="s">
        <v>1693</v>
      </c>
      <c r="B601" s="145" t="s">
        <v>1694</v>
      </c>
    </row>
    <row r="602" spans="1:2">
      <c r="A602" s="145" t="s">
        <v>1695</v>
      </c>
      <c r="B602" s="145" t="s">
        <v>1696</v>
      </c>
    </row>
    <row r="603" spans="1:2">
      <c r="A603" s="145" t="s">
        <v>1697</v>
      </c>
      <c r="B603" s="145" t="s">
        <v>1698</v>
      </c>
    </row>
    <row r="604" spans="1:2">
      <c r="A604" s="145" t="s">
        <v>1699</v>
      </c>
      <c r="B604" s="145" t="s">
        <v>1700</v>
      </c>
    </row>
    <row r="605" spans="1:2">
      <c r="A605" s="145" t="s">
        <v>1701</v>
      </c>
      <c r="B605" s="145" t="s">
        <v>1702</v>
      </c>
    </row>
    <row r="606" spans="1:2">
      <c r="A606" s="145" t="s">
        <v>1703</v>
      </c>
      <c r="B606" s="145" t="s">
        <v>1704</v>
      </c>
    </row>
    <row r="607" spans="1:2">
      <c r="A607" s="145" t="s">
        <v>1705</v>
      </c>
      <c r="B607" s="145" t="s">
        <v>1706</v>
      </c>
    </row>
    <row r="608" spans="1:2">
      <c r="A608" s="145" t="s">
        <v>1707</v>
      </c>
      <c r="B608" s="145" t="s">
        <v>1708</v>
      </c>
    </row>
    <row r="609" spans="1:2">
      <c r="A609" s="145" t="s">
        <v>1709</v>
      </c>
      <c r="B609" s="145" t="s">
        <v>1710</v>
      </c>
    </row>
    <row r="610" spans="1:2">
      <c r="A610" s="145" t="s">
        <v>1711</v>
      </c>
      <c r="B610" s="145" t="s">
        <v>1712</v>
      </c>
    </row>
    <row r="611" spans="1:2">
      <c r="A611" s="145" t="s">
        <v>1713</v>
      </c>
      <c r="B611" s="145" t="s">
        <v>1714</v>
      </c>
    </row>
    <row r="612" spans="1:2">
      <c r="A612" s="145" t="s">
        <v>1715</v>
      </c>
      <c r="B612" s="145" t="s">
        <v>1716</v>
      </c>
    </row>
    <row r="613" spans="1:2">
      <c r="A613" s="145" t="s">
        <v>1717</v>
      </c>
      <c r="B613" s="145" t="s">
        <v>1718</v>
      </c>
    </row>
    <row r="614" spans="1:2">
      <c r="A614" s="145" t="s">
        <v>1719</v>
      </c>
      <c r="B614" s="145" t="s">
        <v>1720</v>
      </c>
    </row>
    <row r="615" spans="1:2">
      <c r="A615" s="145" t="s">
        <v>1721</v>
      </c>
      <c r="B615" s="145" t="s">
        <v>1722</v>
      </c>
    </row>
    <row r="616" spans="1:2">
      <c r="A616" s="145" t="s">
        <v>1723</v>
      </c>
      <c r="B616" s="145" t="s">
        <v>1724</v>
      </c>
    </row>
    <row r="617" spans="1:2">
      <c r="A617" s="145" t="s">
        <v>1725</v>
      </c>
      <c r="B617" s="145" t="s">
        <v>1726</v>
      </c>
    </row>
    <row r="618" spans="1:2">
      <c r="A618" s="145" t="s">
        <v>1727</v>
      </c>
      <c r="B618" s="145" t="s">
        <v>1728</v>
      </c>
    </row>
    <row r="619" spans="1:2">
      <c r="A619" s="145" t="s">
        <v>1729</v>
      </c>
      <c r="B619" s="145" t="s">
        <v>1730</v>
      </c>
    </row>
    <row r="620" spans="1:2">
      <c r="A620" s="145" t="s">
        <v>1731</v>
      </c>
      <c r="B620" s="145" t="s">
        <v>1732</v>
      </c>
    </row>
    <row r="621" spans="1:2">
      <c r="A621" s="145" t="s">
        <v>1733</v>
      </c>
      <c r="B621" s="145" t="s">
        <v>1734</v>
      </c>
    </row>
    <row r="622" spans="1:2">
      <c r="A622" s="145" t="s">
        <v>1735</v>
      </c>
      <c r="B622" s="145" t="s">
        <v>1736</v>
      </c>
    </row>
    <row r="623" spans="1:2">
      <c r="A623" s="145" t="s">
        <v>1737</v>
      </c>
      <c r="B623" s="145" t="s">
        <v>1738</v>
      </c>
    </row>
    <row r="624" spans="1:2">
      <c r="A624" s="145" t="s">
        <v>1739</v>
      </c>
      <c r="B624" s="145" t="s">
        <v>1740</v>
      </c>
    </row>
    <row r="625" spans="1:2">
      <c r="A625" s="145" t="s">
        <v>1741</v>
      </c>
      <c r="B625" s="145" t="s">
        <v>1742</v>
      </c>
    </row>
    <row r="626" spans="1:2">
      <c r="A626" s="145" t="s">
        <v>1743</v>
      </c>
      <c r="B626" s="145" t="s">
        <v>1744</v>
      </c>
    </row>
    <row r="627" spans="1:2">
      <c r="A627" s="145" t="s">
        <v>1745</v>
      </c>
      <c r="B627" s="145" t="s">
        <v>248</v>
      </c>
    </row>
    <row r="628" spans="1:2">
      <c r="A628" s="145" t="s">
        <v>1746</v>
      </c>
      <c r="B628" s="145" t="s">
        <v>1747</v>
      </c>
    </row>
    <row r="629" spans="1:2">
      <c r="A629" s="145" t="s">
        <v>1748</v>
      </c>
      <c r="B629" s="145" t="s">
        <v>1749</v>
      </c>
    </row>
    <row r="630" spans="1:2">
      <c r="A630" s="145" t="s">
        <v>1750</v>
      </c>
      <c r="B630" s="145" t="s">
        <v>1751</v>
      </c>
    </row>
    <row r="631" spans="1:2">
      <c r="A631" s="145" t="s">
        <v>1752</v>
      </c>
      <c r="B631" s="145" t="s">
        <v>1753</v>
      </c>
    </row>
    <row r="632" spans="1:2">
      <c r="A632" s="145" t="s">
        <v>1754</v>
      </c>
      <c r="B632" s="145" t="s">
        <v>1755</v>
      </c>
    </row>
    <row r="633" spans="1:2">
      <c r="A633" s="145" t="s">
        <v>1756</v>
      </c>
      <c r="B633" s="145" t="s">
        <v>1757</v>
      </c>
    </row>
    <row r="634" spans="1:2">
      <c r="A634" s="145" t="s">
        <v>1758</v>
      </c>
      <c r="B634" s="145" t="s">
        <v>1759</v>
      </c>
    </row>
    <row r="635" spans="1:2">
      <c r="A635" s="145" t="s">
        <v>1760</v>
      </c>
      <c r="B635" s="145" t="s">
        <v>1761</v>
      </c>
    </row>
    <row r="636" spans="1:2">
      <c r="A636" s="145" t="s">
        <v>1762</v>
      </c>
      <c r="B636" s="145" t="s">
        <v>1763</v>
      </c>
    </row>
    <row r="637" spans="1:2">
      <c r="A637" s="145" t="s">
        <v>1764</v>
      </c>
      <c r="B637" s="145" t="s">
        <v>1765</v>
      </c>
    </row>
    <row r="638" spans="1:2">
      <c r="A638" s="145" t="s">
        <v>1766</v>
      </c>
      <c r="B638" s="145" t="s">
        <v>1767</v>
      </c>
    </row>
    <row r="639" spans="1:2">
      <c r="A639" s="145" t="s">
        <v>1768</v>
      </c>
      <c r="B639" s="145" t="s">
        <v>1769</v>
      </c>
    </row>
    <row r="640" spans="1:2">
      <c r="A640" s="145" t="s">
        <v>1770</v>
      </c>
      <c r="B640" s="145" t="s">
        <v>1771</v>
      </c>
    </row>
    <row r="641" spans="1:2">
      <c r="A641" s="145" t="s">
        <v>1772</v>
      </c>
      <c r="B641" s="145" t="s">
        <v>1773</v>
      </c>
    </row>
    <row r="642" spans="1:2">
      <c r="A642" s="145" t="s">
        <v>1774</v>
      </c>
      <c r="B642" s="145" t="s">
        <v>1775</v>
      </c>
    </row>
    <row r="643" spans="1:2">
      <c r="A643" s="145" t="s">
        <v>1776</v>
      </c>
      <c r="B643" s="145" t="s">
        <v>1777</v>
      </c>
    </row>
    <row r="644" spans="1:2">
      <c r="A644" s="145" t="s">
        <v>1778</v>
      </c>
      <c r="B644" s="145" t="s">
        <v>1779</v>
      </c>
    </row>
    <row r="645" spans="1:2">
      <c r="A645" s="145" t="s">
        <v>1780</v>
      </c>
      <c r="B645" s="145" t="s">
        <v>1781</v>
      </c>
    </row>
    <row r="646" spans="1:2">
      <c r="A646" s="145" t="s">
        <v>1782</v>
      </c>
      <c r="B646" s="145" t="s">
        <v>1783</v>
      </c>
    </row>
    <row r="647" spans="1:2">
      <c r="A647" s="145" t="s">
        <v>1784</v>
      </c>
      <c r="B647" s="145" t="s">
        <v>1785</v>
      </c>
    </row>
    <row r="648" spans="1:2">
      <c r="A648" s="145" t="s">
        <v>1786</v>
      </c>
      <c r="B648" s="145" t="s">
        <v>1787</v>
      </c>
    </row>
    <row r="649" spans="1:2">
      <c r="A649" s="145" t="s">
        <v>1788</v>
      </c>
      <c r="B649" s="145" t="s">
        <v>1789</v>
      </c>
    </row>
    <row r="650" spans="1:2">
      <c r="A650" s="145" t="s">
        <v>1790</v>
      </c>
      <c r="B650" s="145" t="s">
        <v>1791</v>
      </c>
    </row>
    <row r="651" spans="1:2">
      <c r="A651" s="145" t="s">
        <v>1792</v>
      </c>
      <c r="B651" s="145" t="s">
        <v>1793</v>
      </c>
    </row>
    <row r="652" spans="1:2">
      <c r="A652" s="145" t="s">
        <v>1794</v>
      </c>
      <c r="B652" s="145" t="s">
        <v>1795</v>
      </c>
    </row>
    <row r="653" spans="1:2">
      <c r="A653" s="145" t="s">
        <v>1796</v>
      </c>
      <c r="B653" s="145" t="s">
        <v>1797</v>
      </c>
    </row>
    <row r="654" spans="1:2">
      <c r="A654" s="145" t="s">
        <v>1798</v>
      </c>
      <c r="B654" s="145" t="s">
        <v>1799</v>
      </c>
    </row>
    <row r="655" spans="1:2">
      <c r="A655" s="145" t="s">
        <v>1800</v>
      </c>
      <c r="B655" s="145" t="s">
        <v>1801</v>
      </c>
    </row>
    <row r="656" spans="1:2">
      <c r="A656" s="145" t="s">
        <v>1802</v>
      </c>
      <c r="B656" s="145" t="s">
        <v>1803</v>
      </c>
    </row>
    <row r="657" spans="1:2">
      <c r="A657" s="145" t="s">
        <v>1804</v>
      </c>
      <c r="B657" s="145" t="s">
        <v>1805</v>
      </c>
    </row>
    <row r="658" spans="1:2">
      <c r="A658" s="145" t="s">
        <v>1806</v>
      </c>
      <c r="B658" s="145" t="s">
        <v>1807</v>
      </c>
    </row>
    <row r="659" spans="1:2">
      <c r="A659" s="145" t="s">
        <v>1808</v>
      </c>
      <c r="B659" s="145" t="s">
        <v>1809</v>
      </c>
    </row>
    <row r="660" spans="1:2">
      <c r="A660" s="145" t="s">
        <v>1810</v>
      </c>
      <c r="B660" s="145" t="s">
        <v>1811</v>
      </c>
    </row>
    <row r="661" spans="1:2">
      <c r="A661" s="145" t="s">
        <v>1812</v>
      </c>
      <c r="B661" s="145" t="s">
        <v>1813</v>
      </c>
    </row>
    <row r="662" spans="1:2">
      <c r="A662" s="145" t="s">
        <v>1814</v>
      </c>
      <c r="B662" s="145" t="s">
        <v>1815</v>
      </c>
    </row>
    <row r="663" spans="1:2">
      <c r="A663" s="145" t="s">
        <v>1816</v>
      </c>
      <c r="B663" s="145" t="s">
        <v>1817</v>
      </c>
    </row>
    <row r="664" spans="1:2">
      <c r="A664" s="145" t="s">
        <v>1818</v>
      </c>
      <c r="B664" s="145" t="s">
        <v>1819</v>
      </c>
    </row>
    <row r="665" spans="1:2">
      <c r="A665" s="145" t="s">
        <v>1820</v>
      </c>
      <c r="B665" s="145" t="s">
        <v>1821</v>
      </c>
    </row>
    <row r="666" spans="1:2">
      <c r="A666" s="145" t="s">
        <v>1822</v>
      </c>
      <c r="B666" s="145" t="s">
        <v>1823</v>
      </c>
    </row>
    <row r="667" spans="1:2">
      <c r="A667" s="145" t="s">
        <v>1824</v>
      </c>
      <c r="B667" s="145" t="s">
        <v>1825</v>
      </c>
    </row>
    <row r="668" spans="1:2">
      <c r="A668" s="145" t="s">
        <v>1826</v>
      </c>
      <c r="B668" s="145" t="s">
        <v>1827</v>
      </c>
    </row>
    <row r="669" spans="1:2">
      <c r="A669" s="145" t="s">
        <v>1828</v>
      </c>
      <c r="B669" s="145" t="s">
        <v>1829</v>
      </c>
    </row>
    <row r="670" spans="1:2">
      <c r="A670" s="145" t="s">
        <v>1830</v>
      </c>
      <c r="B670" s="145" t="s">
        <v>1831</v>
      </c>
    </row>
    <row r="671" spans="1:2">
      <c r="A671" s="145" t="s">
        <v>1832</v>
      </c>
      <c r="B671" s="145" t="s">
        <v>1833</v>
      </c>
    </row>
    <row r="672" spans="1:2">
      <c r="A672" s="145" t="s">
        <v>1834</v>
      </c>
      <c r="B672" s="145" t="s">
        <v>1835</v>
      </c>
    </row>
    <row r="673" spans="1:2">
      <c r="A673" s="145" t="s">
        <v>1836</v>
      </c>
      <c r="B673" s="145" t="s">
        <v>1837</v>
      </c>
    </row>
    <row r="674" spans="1:2">
      <c r="A674" s="145" t="s">
        <v>1838</v>
      </c>
      <c r="B674" s="145" t="s">
        <v>1839</v>
      </c>
    </row>
    <row r="675" spans="1:2">
      <c r="A675" s="145" t="s">
        <v>1840</v>
      </c>
      <c r="B675" s="145" t="s">
        <v>1841</v>
      </c>
    </row>
    <row r="676" spans="1:2">
      <c r="A676" s="145" t="s">
        <v>1842</v>
      </c>
      <c r="B676" s="145" t="s">
        <v>1843</v>
      </c>
    </row>
    <row r="677" spans="1:2">
      <c r="A677" s="145" t="s">
        <v>1844</v>
      </c>
      <c r="B677" s="145" t="s">
        <v>1845</v>
      </c>
    </row>
    <row r="678" spans="1:2">
      <c r="A678" s="145" t="s">
        <v>1846</v>
      </c>
      <c r="B678" s="145" t="s">
        <v>1847</v>
      </c>
    </row>
    <row r="679" spans="1:2">
      <c r="A679" s="145" t="s">
        <v>1848</v>
      </c>
      <c r="B679" s="145" t="s">
        <v>1849</v>
      </c>
    </row>
    <row r="680" spans="1:2">
      <c r="A680" s="145" t="s">
        <v>1850</v>
      </c>
      <c r="B680" s="145" t="s">
        <v>1851</v>
      </c>
    </row>
    <row r="681" spans="1:2">
      <c r="A681" s="145" t="s">
        <v>1852</v>
      </c>
      <c r="B681" s="145" t="s">
        <v>1853</v>
      </c>
    </row>
    <row r="682" spans="1:2">
      <c r="A682" s="145" t="s">
        <v>1854</v>
      </c>
      <c r="B682" s="145" t="s">
        <v>1855</v>
      </c>
    </row>
    <row r="683" spans="1:2">
      <c r="A683" s="145" t="s">
        <v>1856</v>
      </c>
      <c r="B683" s="145" t="s">
        <v>1857</v>
      </c>
    </row>
    <row r="684" spans="1:2">
      <c r="A684" s="145" t="s">
        <v>1858</v>
      </c>
      <c r="B684" s="145" t="s">
        <v>1859</v>
      </c>
    </row>
    <row r="685" spans="1:2">
      <c r="A685" s="145" t="s">
        <v>1860</v>
      </c>
      <c r="B685" s="145" t="s">
        <v>1861</v>
      </c>
    </row>
    <row r="686" spans="1:2">
      <c r="A686" s="145" t="s">
        <v>1862</v>
      </c>
      <c r="B686" s="145" t="s">
        <v>1863</v>
      </c>
    </row>
    <row r="687" spans="1:2">
      <c r="A687" s="145" t="s">
        <v>1864</v>
      </c>
      <c r="B687" s="145" t="s">
        <v>1865</v>
      </c>
    </row>
    <row r="688" spans="1:2">
      <c r="A688" s="145" t="s">
        <v>1866</v>
      </c>
      <c r="B688" s="145" t="s">
        <v>1867</v>
      </c>
    </row>
    <row r="689" spans="1:2">
      <c r="A689" s="145" t="s">
        <v>1868</v>
      </c>
      <c r="B689" s="145" t="s">
        <v>1869</v>
      </c>
    </row>
    <row r="690" spans="1:2">
      <c r="A690" s="145" t="s">
        <v>1870</v>
      </c>
      <c r="B690" s="145" t="s">
        <v>1871</v>
      </c>
    </row>
    <row r="691" spans="1:2">
      <c r="A691" s="145" t="s">
        <v>1872</v>
      </c>
      <c r="B691" s="145" t="s">
        <v>1873</v>
      </c>
    </row>
    <row r="692" spans="1:2">
      <c r="A692" s="145" t="s">
        <v>1874</v>
      </c>
      <c r="B692" s="145" t="s">
        <v>1875</v>
      </c>
    </row>
    <row r="693" spans="1:2">
      <c r="A693" s="145" t="s">
        <v>1876</v>
      </c>
      <c r="B693" s="145" t="s">
        <v>1877</v>
      </c>
    </row>
    <row r="694" spans="1:2">
      <c r="A694" s="145" t="s">
        <v>1878</v>
      </c>
      <c r="B694" s="145" t="s">
        <v>1879</v>
      </c>
    </row>
    <row r="695" spans="1:2">
      <c r="A695" s="145" t="s">
        <v>1880</v>
      </c>
      <c r="B695" s="145" t="s">
        <v>1881</v>
      </c>
    </row>
    <row r="696" spans="1:2">
      <c r="A696" s="145" t="s">
        <v>1882</v>
      </c>
      <c r="B696" s="145" t="s">
        <v>1883</v>
      </c>
    </row>
    <row r="697" spans="1:2">
      <c r="A697" s="145" t="s">
        <v>1884</v>
      </c>
      <c r="B697" s="145" t="s">
        <v>1885</v>
      </c>
    </row>
    <row r="698" spans="1:2">
      <c r="A698" s="145" t="s">
        <v>1886</v>
      </c>
      <c r="B698" s="145" t="s">
        <v>1887</v>
      </c>
    </row>
    <row r="699" spans="1:2">
      <c r="A699" s="145" t="s">
        <v>1888</v>
      </c>
      <c r="B699" s="145" t="s">
        <v>1889</v>
      </c>
    </row>
    <row r="700" spans="1:2">
      <c r="A700" s="145" t="s">
        <v>1890</v>
      </c>
      <c r="B700" s="145" t="s">
        <v>1891</v>
      </c>
    </row>
    <row r="701" spans="1:2">
      <c r="A701" s="145" t="s">
        <v>1892</v>
      </c>
      <c r="B701" s="145" t="s">
        <v>1893</v>
      </c>
    </row>
    <row r="702" spans="1:2">
      <c r="A702" s="145" t="s">
        <v>1894</v>
      </c>
      <c r="B702" s="145" t="s">
        <v>1895</v>
      </c>
    </row>
    <row r="703" spans="1:2">
      <c r="A703" s="145" t="s">
        <v>1896</v>
      </c>
      <c r="B703" s="145" t="s">
        <v>1897</v>
      </c>
    </row>
    <row r="704" spans="1:2">
      <c r="A704" s="145" t="s">
        <v>1898</v>
      </c>
      <c r="B704" s="145" t="s">
        <v>1899</v>
      </c>
    </row>
    <row r="705" spans="1:2">
      <c r="A705" s="145" t="s">
        <v>1900</v>
      </c>
      <c r="B705" s="145" t="s">
        <v>1901</v>
      </c>
    </row>
    <row r="706" spans="1:2">
      <c r="A706" s="145" t="s">
        <v>1902</v>
      </c>
      <c r="B706" s="145" t="s">
        <v>1903</v>
      </c>
    </row>
    <row r="707" spans="1:2">
      <c r="A707" s="145" t="s">
        <v>1904</v>
      </c>
      <c r="B707" s="145" t="s">
        <v>1905</v>
      </c>
    </row>
    <row r="708" spans="1:2">
      <c r="A708" s="145" t="s">
        <v>1906</v>
      </c>
      <c r="B708" s="145" t="s">
        <v>1907</v>
      </c>
    </row>
    <row r="709" spans="1:2">
      <c r="A709" s="145" t="s">
        <v>1908</v>
      </c>
      <c r="B709" s="145" t="s">
        <v>1909</v>
      </c>
    </row>
    <row r="710" spans="1:2">
      <c r="A710" s="145" t="s">
        <v>1910</v>
      </c>
      <c r="B710" s="145" t="s">
        <v>1911</v>
      </c>
    </row>
    <row r="711" spans="1:2">
      <c r="A711" s="145" t="s">
        <v>1912</v>
      </c>
      <c r="B711" s="145" t="s">
        <v>1913</v>
      </c>
    </row>
    <row r="712" spans="1:2">
      <c r="A712" s="145" t="s">
        <v>1914</v>
      </c>
      <c r="B712" s="145" t="s">
        <v>1915</v>
      </c>
    </row>
    <row r="713" spans="1:2">
      <c r="A713" s="145" t="s">
        <v>1916</v>
      </c>
      <c r="B713" s="145" t="s">
        <v>1917</v>
      </c>
    </row>
    <row r="714" spans="1:2">
      <c r="A714" s="145" t="s">
        <v>1918</v>
      </c>
      <c r="B714" s="145" t="s">
        <v>1919</v>
      </c>
    </row>
    <row r="715" spans="1:2">
      <c r="A715" s="145" t="s">
        <v>1920</v>
      </c>
      <c r="B715" s="145" t="s">
        <v>1921</v>
      </c>
    </row>
    <row r="716" spans="1:2">
      <c r="A716" s="145" t="s">
        <v>1922</v>
      </c>
      <c r="B716" s="145" t="s">
        <v>1923</v>
      </c>
    </row>
    <row r="717" spans="1:2">
      <c r="A717" s="145" t="s">
        <v>1924</v>
      </c>
      <c r="B717" s="145" t="s">
        <v>1925</v>
      </c>
    </row>
    <row r="718" spans="1:2">
      <c r="A718" s="145" t="s">
        <v>1926</v>
      </c>
      <c r="B718" s="145" t="s">
        <v>1927</v>
      </c>
    </row>
    <row r="719" spans="1:2">
      <c r="A719" s="145" t="s">
        <v>1928</v>
      </c>
      <c r="B719" s="145" t="s">
        <v>1929</v>
      </c>
    </row>
    <row r="720" spans="1:2">
      <c r="A720" s="145" t="s">
        <v>1930</v>
      </c>
      <c r="B720" s="145" t="s">
        <v>1931</v>
      </c>
    </row>
    <row r="721" spans="1:2">
      <c r="A721" s="145" t="s">
        <v>1932</v>
      </c>
      <c r="B721" s="145" t="s">
        <v>1933</v>
      </c>
    </row>
    <row r="722" spans="1:2">
      <c r="A722" s="145" t="s">
        <v>1934</v>
      </c>
      <c r="B722" s="145" t="s">
        <v>1935</v>
      </c>
    </row>
    <row r="723" spans="1:2">
      <c r="A723" s="145" t="s">
        <v>1936</v>
      </c>
      <c r="B723" s="145" t="s">
        <v>1937</v>
      </c>
    </row>
    <row r="724" spans="1:2">
      <c r="A724" s="145" t="s">
        <v>1938</v>
      </c>
      <c r="B724" s="145" t="s">
        <v>1939</v>
      </c>
    </row>
    <row r="725" spans="1:2">
      <c r="A725" s="145" t="s">
        <v>1940</v>
      </c>
      <c r="B725" s="145" t="s">
        <v>1941</v>
      </c>
    </row>
    <row r="726" spans="1:2">
      <c r="A726" s="145" t="s">
        <v>1942</v>
      </c>
      <c r="B726" s="145" t="s">
        <v>1943</v>
      </c>
    </row>
    <row r="727" spans="1:2">
      <c r="A727" s="145" t="s">
        <v>1944</v>
      </c>
      <c r="B727" s="145" t="s">
        <v>1945</v>
      </c>
    </row>
    <row r="728" spans="1:2">
      <c r="A728" s="145" t="s">
        <v>1946</v>
      </c>
      <c r="B728" s="145" t="s">
        <v>1947</v>
      </c>
    </row>
    <row r="729" spans="1:2">
      <c r="A729" s="145" t="s">
        <v>1948</v>
      </c>
      <c r="B729" s="145" t="s">
        <v>1949</v>
      </c>
    </row>
    <row r="730" spans="1:2">
      <c r="A730" s="145" t="s">
        <v>1950</v>
      </c>
      <c r="B730" s="145" t="s">
        <v>1951</v>
      </c>
    </row>
    <row r="731" spans="1:2">
      <c r="A731" s="145" t="s">
        <v>1952</v>
      </c>
      <c r="B731" s="145" t="s">
        <v>1953</v>
      </c>
    </row>
    <row r="732" spans="1:2">
      <c r="A732" s="145" t="s">
        <v>1954</v>
      </c>
      <c r="B732" s="145" t="s">
        <v>1955</v>
      </c>
    </row>
    <row r="733" spans="1:2">
      <c r="A733" s="145" t="s">
        <v>1956</v>
      </c>
      <c r="B733" s="145" t="s">
        <v>1957</v>
      </c>
    </row>
    <row r="734" spans="1:2">
      <c r="A734" s="145" t="s">
        <v>1958</v>
      </c>
      <c r="B734" s="145" t="s">
        <v>1959</v>
      </c>
    </row>
    <row r="735" spans="1:2">
      <c r="A735" s="145" t="s">
        <v>1960</v>
      </c>
      <c r="B735" s="145" t="s">
        <v>1961</v>
      </c>
    </row>
    <row r="736" spans="1:2">
      <c r="A736" s="145" t="s">
        <v>1962</v>
      </c>
      <c r="B736" s="145" t="s">
        <v>1963</v>
      </c>
    </row>
    <row r="737" spans="1:2">
      <c r="A737" s="145" t="s">
        <v>1964</v>
      </c>
      <c r="B737" s="145" t="s">
        <v>1965</v>
      </c>
    </row>
    <row r="738" spans="1:2">
      <c r="A738" s="145" t="s">
        <v>1966</v>
      </c>
      <c r="B738" s="145" t="s">
        <v>1967</v>
      </c>
    </row>
    <row r="739" spans="1:2">
      <c r="A739" s="145" t="s">
        <v>1968</v>
      </c>
      <c r="B739" s="145" t="s">
        <v>1969</v>
      </c>
    </row>
    <row r="740" spans="1:2">
      <c r="A740" s="145" t="s">
        <v>1970</v>
      </c>
      <c r="B740" s="145" t="s">
        <v>1971</v>
      </c>
    </row>
    <row r="741" spans="1:2">
      <c r="A741" s="145" t="s">
        <v>1972</v>
      </c>
      <c r="B741" s="145" t="s">
        <v>1973</v>
      </c>
    </row>
    <row r="742" spans="1:2">
      <c r="A742" s="145" t="s">
        <v>1974</v>
      </c>
      <c r="B742" s="145" t="s">
        <v>1975</v>
      </c>
    </row>
    <row r="743" spans="1:2">
      <c r="A743" s="145" t="s">
        <v>1976</v>
      </c>
      <c r="B743" s="145" t="s">
        <v>1977</v>
      </c>
    </row>
    <row r="744" spans="1:2">
      <c r="A744" s="145" t="s">
        <v>1978</v>
      </c>
      <c r="B744" s="145" t="s">
        <v>1979</v>
      </c>
    </row>
    <row r="745" spans="1:2">
      <c r="A745" s="145" t="s">
        <v>1980</v>
      </c>
      <c r="B745" s="145" t="s">
        <v>1981</v>
      </c>
    </row>
    <row r="746" spans="1:2">
      <c r="A746" s="145" t="s">
        <v>1982</v>
      </c>
      <c r="B746" s="145" t="s">
        <v>1983</v>
      </c>
    </row>
    <row r="747" spans="1:2">
      <c r="A747" s="145" t="s">
        <v>1984</v>
      </c>
      <c r="B747" s="145" t="s">
        <v>1985</v>
      </c>
    </row>
    <row r="748" spans="1:2">
      <c r="A748" s="145" t="s">
        <v>1986</v>
      </c>
      <c r="B748" s="145" t="s">
        <v>1987</v>
      </c>
    </row>
    <row r="749" spans="1:2">
      <c r="A749" s="145" t="s">
        <v>1988</v>
      </c>
      <c r="B749" s="145" t="s">
        <v>1989</v>
      </c>
    </row>
    <row r="750" spans="1:2">
      <c r="A750" s="145" t="s">
        <v>1990</v>
      </c>
      <c r="B750" s="145" t="s">
        <v>1991</v>
      </c>
    </row>
    <row r="751" spans="1:2">
      <c r="A751" s="145" t="s">
        <v>1992</v>
      </c>
      <c r="B751" s="145" t="s">
        <v>1993</v>
      </c>
    </row>
    <row r="752" spans="1:2">
      <c r="A752" s="145" t="s">
        <v>1994</v>
      </c>
      <c r="B752" s="145" t="s">
        <v>1995</v>
      </c>
    </row>
    <row r="753" spans="1:2">
      <c r="A753" s="145" t="s">
        <v>1996</v>
      </c>
      <c r="B753" s="145" t="s">
        <v>1997</v>
      </c>
    </row>
    <row r="754" spans="1:2">
      <c r="A754" s="145" t="s">
        <v>1998</v>
      </c>
      <c r="B754" s="145" t="s">
        <v>1999</v>
      </c>
    </row>
    <row r="755" spans="1:2">
      <c r="A755" s="145" t="s">
        <v>2000</v>
      </c>
      <c r="B755" s="145" t="s">
        <v>2001</v>
      </c>
    </row>
    <row r="756" spans="1:2">
      <c r="A756" s="145" t="s">
        <v>2002</v>
      </c>
      <c r="B756" s="145" t="s">
        <v>2003</v>
      </c>
    </row>
    <row r="757" spans="1:2">
      <c r="A757" s="145" t="s">
        <v>2004</v>
      </c>
      <c r="B757" s="145" t="s">
        <v>2005</v>
      </c>
    </row>
    <row r="758" spans="1:2">
      <c r="A758" s="145" t="s">
        <v>2006</v>
      </c>
      <c r="B758" s="145" t="s">
        <v>2007</v>
      </c>
    </row>
    <row r="759" spans="1:2">
      <c r="A759" s="145" t="s">
        <v>2008</v>
      </c>
      <c r="B759" s="145" t="s">
        <v>2009</v>
      </c>
    </row>
    <row r="760" spans="1:2">
      <c r="A760" s="145" t="s">
        <v>2010</v>
      </c>
      <c r="B760" s="145" t="s">
        <v>2011</v>
      </c>
    </row>
    <row r="761" spans="1:2">
      <c r="A761" s="145" t="s">
        <v>2012</v>
      </c>
      <c r="B761" s="145" t="s">
        <v>2013</v>
      </c>
    </row>
    <row r="762" spans="1:2">
      <c r="A762" s="145" t="s">
        <v>2014</v>
      </c>
      <c r="B762" s="145" t="s">
        <v>2015</v>
      </c>
    </row>
    <row r="763" spans="1:2">
      <c r="A763" s="145" t="s">
        <v>2016</v>
      </c>
      <c r="B763" s="145" t="s">
        <v>2017</v>
      </c>
    </row>
    <row r="764" spans="1:2">
      <c r="A764" s="145" t="s">
        <v>2018</v>
      </c>
      <c r="B764" s="145" t="s">
        <v>2019</v>
      </c>
    </row>
    <row r="765" spans="1:2">
      <c r="A765" s="145" t="s">
        <v>2020</v>
      </c>
      <c r="B765" s="145" t="s">
        <v>2021</v>
      </c>
    </row>
    <row r="766" spans="1:2">
      <c r="A766" s="145" t="s">
        <v>2022</v>
      </c>
      <c r="B766" s="145" t="s">
        <v>2023</v>
      </c>
    </row>
    <row r="767" spans="1:2">
      <c r="A767" s="145" t="s">
        <v>2024</v>
      </c>
      <c r="B767" s="145" t="s">
        <v>2025</v>
      </c>
    </row>
    <row r="768" spans="1:2">
      <c r="A768" s="145" t="s">
        <v>2026</v>
      </c>
      <c r="B768" s="145" t="s">
        <v>2027</v>
      </c>
    </row>
    <row r="769" spans="1:2">
      <c r="A769" s="145" t="s">
        <v>2028</v>
      </c>
      <c r="B769" s="145" t="s">
        <v>2029</v>
      </c>
    </row>
    <row r="770" spans="1:2">
      <c r="A770" s="145" t="s">
        <v>2030</v>
      </c>
      <c r="B770" s="145" t="s">
        <v>2031</v>
      </c>
    </row>
    <row r="771" spans="1:2">
      <c r="A771" s="145" t="s">
        <v>2032</v>
      </c>
      <c r="B771" s="145" t="s">
        <v>2033</v>
      </c>
    </row>
    <row r="772" spans="1:2">
      <c r="A772" s="145" t="s">
        <v>2034</v>
      </c>
      <c r="B772" s="145" t="s">
        <v>2035</v>
      </c>
    </row>
    <row r="773" spans="1:2">
      <c r="A773" s="145" t="s">
        <v>2036</v>
      </c>
      <c r="B773" s="145" t="s">
        <v>2037</v>
      </c>
    </row>
    <row r="774" spans="1:2">
      <c r="A774" s="145" t="s">
        <v>2038</v>
      </c>
      <c r="B774" s="145" t="s">
        <v>2039</v>
      </c>
    </row>
    <row r="775" spans="1:2">
      <c r="A775" s="145" t="s">
        <v>2040</v>
      </c>
      <c r="B775" s="145" t="s">
        <v>2041</v>
      </c>
    </row>
    <row r="776" spans="1:2">
      <c r="A776" s="145" t="s">
        <v>2042</v>
      </c>
      <c r="B776" s="145" t="s">
        <v>2043</v>
      </c>
    </row>
    <row r="777" spans="1:2">
      <c r="A777" s="145" t="s">
        <v>2044</v>
      </c>
      <c r="B777" s="145" t="s">
        <v>2045</v>
      </c>
    </row>
    <row r="778" spans="1:2">
      <c r="A778" s="145" t="s">
        <v>2046</v>
      </c>
      <c r="B778" s="145" t="s">
        <v>2047</v>
      </c>
    </row>
    <row r="779" spans="1:2">
      <c r="A779" s="145" t="s">
        <v>2048</v>
      </c>
      <c r="B779" s="145" t="s">
        <v>2049</v>
      </c>
    </row>
    <row r="780" spans="1:2">
      <c r="A780" s="145" t="s">
        <v>2050</v>
      </c>
      <c r="B780" s="145" t="s">
        <v>2051</v>
      </c>
    </row>
    <row r="781" spans="1:2">
      <c r="A781" s="145" t="s">
        <v>2052</v>
      </c>
      <c r="B781" s="145" t="s">
        <v>2053</v>
      </c>
    </row>
    <row r="782" spans="1:2">
      <c r="A782" s="145" t="s">
        <v>2054</v>
      </c>
      <c r="B782" s="145" t="s">
        <v>2055</v>
      </c>
    </row>
    <row r="783" spans="1:2">
      <c r="A783" s="145" t="s">
        <v>2056</v>
      </c>
      <c r="B783" s="145" t="s">
        <v>2057</v>
      </c>
    </row>
    <row r="784" spans="1:2">
      <c r="A784" s="145" t="s">
        <v>2058</v>
      </c>
      <c r="B784" s="145" t="s">
        <v>2059</v>
      </c>
    </row>
    <row r="785" spans="1:2">
      <c r="A785" s="145" t="s">
        <v>2060</v>
      </c>
      <c r="B785" s="145" t="s">
        <v>2061</v>
      </c>
    </row>
    <row r="786" spans="1:2">
      <c r="A786" s="145" t="s">
        <v>2062</v>
      </c>
      <c r="B786" s="145" t="s">
        <v>2063</v>
      </c>
    </row>
    <row r="787" spans="1:2">
      <c r="A787" s="145" t="s">
        <v>2064</v>
      </c>
      <c r="B787" s="145" t="s">
        <v>2065</v>
      </c>
    </row>
    <row r="788" spans="1:2">
      <c r="A788" s="145" t="s">
        <v>2066</v>
      </c>
      <c r="B788" s="145" t="s">
        <v>2067</v>
      </c>
    </row>
    <row r="789" spans="1:2">
      <c r="A789" s="145" t="s">
        <v>2068</v>
      </c>
      <c r="B789" s="145" t="s">
        <v>2069</v>
      </c>
    </row>
    <row r="790" spans="1:2">
      <c r="A790" s="145" t="s">
        <v>2070</v>
      </c>
      <c r="B790" s="145" t="s">
        <v>2071</v>
      </c>
    </row>
    <row r="791" spans="1:2">
      <c r="A791" s="145" t="s">
        <v>2072</v>
      </c>
      <c r="B791" s="145" t="s">
        <v>2073</v>
      </c>
    </row>
    <row r="792" spans="1:2">
      <c r="A792" s="145" t="s">
        <v>2074</v>
      </c>
      <c r="B792" s="145" t="s">
        <v>2075</v>
      </c>
    </row>
    <row r="793" spans="1:2">
      <c r="A793" s="145" t="s">
        <v>2076</v>
      </c>
      <c r="B793" s="145" t="s">
        <v>2077</v>
      </c>
    </row>
    <row r="794" spans="1:2">
      <c r="A794" s="145" t="s">
        <v>2078</v>
      </c>
      <c r="B794" s="145" t="s">
        <v>2079</v>
      </c>
    </row>
    <row r="795" spans="1:2">
      <c r="A795" s="145" t="s">
        <v>2080</v>
      </c>
      <c r="B795" s="145" t="s">
        <v>2081</v>
      </c>
    </row>
    <row r="796" spans="1:2">
      <c r="A796" s="145" t="s">
        <v>2082</v>
      </c>
      <c r="B796" s="145" t="s">
        <v>2083</v>
      </c>
    </row>
    <row r="797" spans="1:2">
      <c r="A797" s="145" t="s">
        <v>2084</v>
      </c>
      <c r="B797" s="145" t="s">
        <v>2085</v>
      </c>
    </row>
    <row r="798" spans="1:2">
      <c r="A798" s="145" t="s">
        <v>2086</v>
      </c>
      <c r="B798" s="145" t="s">
        <v>2087</v>
      </c>
    </row>
    <row r="799" spans="1:2">
      <c r="A799" s="145" t="s">
        <v>2088</v>
      </c>
      <c r="B799" s="145" t="s">
        <v>2089</v>
      </c>
    </row>
    <row r="800" spans="1:2">
      <c r="A800" s="145" t="s">
        <v>2090</v>
      </c>
      <c r="B800" s="145" t="s">
        <v>2091</v>
      </c>
    </row>
    <row r="801" spans="1:2">
      <c r="A801" s="145" t="s">
        <v>2092</v>
      </c>
      <c r="B801" s="145" t="s">
        <v>2093</v>
      </c>
    </row>
    <row r="802" spans="1:2">
      <c r="A802" s="145" t="s">
        <v>2094</v>
      </c>
      <c r="B802" s="145" t="s">
        <v>2095</v>
      </c>
    </row>
    <row r="803" spans="1:2">
      <c r="A803" s="145" t="s">
        <v>2096</v>
      </c>
      <c r="B803" s="145" t="s">
        <v>2097</v>
      </c>
    </row>
    <row r="804" spans="1:2">
      <c r="A804" s="145" t="s">
        <v>2098</v>
      </c>
      <c r="B804" s="145" t="s">
        <v>2099</v>
      </c>
    </row>
    <row r="805" spans="1:2">
      <c r="A805" s="145" t="s">
        <v>2100</v>
      </c>
      <c r="B805" s="145" t="s">
        <v>2101</v>
      </c>
    </row>
    <row r="806" spans="1:2">
      <c r="A806" s="145" t="s">
        <v>2102</v>
      </c>
      <c r="B806" s="145" t="s">
        <v>2103</v>
      </c>
    </row>
    <row r="807" spans="1:2">
      <c r="A807" s="145" t="s">
        <v>2104</v>
      </c>
      <c r="B807" s="145" t="s">
        <v>2105</v>
      </c>
    </row>
    <row r="808" spans="1:2">
      <c r="A808" s="145" t="s">
        <v>2106</v>
      </c>
      <c r="B808" s="145" t="s">
        <v>2107</v>
      </c>
    </row>
    <row r="809" spans="1:2">
      <c r="A809" s="145" t="s">
        <v>2108</v>
      </c>
      <c r="B809" s="145" t="s">
        <v>2109</v>
      </c>
    </row>
    <row r="810" spans="1:2">
      <c r="A810" s="145" t="s">
        <v>2110</v>
      </c>
      <c r="B810" s="145" t="s">
        <v>2111</v>
      </c>
    </row>
    <row r="811" spans="1:2">
      <c r="A811" s="145" t="s">
        <v>2112</v>
      </c>
      <c r="B811" s="145" t="s">
        <v>2113</v>
      </c>
    </row>
    <row r="812" spans="1:2">
      <c r="A812" s="145" t="s">
        <v>2114</v>
      </c>
      <c r="B812" s="145" t="s">
        <v>2115</v>
      </c>
    </row>
    <row r="813" spans="1:2">
      <c r="A813" s="145" t="s">
        <v>2116</v>
      </c>
      <c r="B813" s="145" t="s">
        <v>2117</v>
      </c>
    </row>
    <row r="814" spans="1:2">
      <c r="A814" s="145" t="s">
        <v>2118</v>
      </c>
      <c r="B814" s="145" t="s">
        <v>2119</v>
      </c>
    </row>
    <row r="815" spans="1:2">
      <c r="A815" s="145" t="s">
        <v>2120</v>
      </c>
      <c r="B815" s="145" t="s">
        <v>2121</v>
      </c>
    </row>
    <row r="816" spans="1:2">
      <c r="A816" s="145" t="s">
        <v>2122</v>
      </c>
      <c r="B816" s="145" t="s">
        <v>2123</v>
      </c>
    </row>
    <row r="817" spans="1:2">
      <c r="A817" s="145" t="s">
        <v>2124</v>
      </c>
      <c r="B817" s="145" t="s">
        <v>2125</v>
      </c>
    </row>
    <row r="818" spans="1:2">
      <c r="A818" s="145" t="s">
        <v>2126</v>
      </c>
      <c r="B818" s="145" t="s">
        <v>2127</v>
      </c>
    </row>
    <row r="819" spans="1:2">
      <c r="A819" s="145" t="s">
        <v>2128</v>
      </c>
      <c r="B819" s="145" t="s">
        <v>2129</v>
      </c>
    </row>
    <row r="820" spans="1:2">
      <c r="A820" s="145" t="s">
        <v>2130</v>
      </c>
      <c r="B820" s="145" t="s">
        <v>2131</v>
      </c>
    </row>
    <row r="821" spans="1:2">
      <c r="A821" s="145" t="s">
        <v>2132</v>
      </c>
      <c r="B821" s="145" t="s">
        <v>2133</v>
      </c>
    </row>
    <row r="822" spans="1:2">
      <c r="A822" s="145" t="s">
        <v>2134</v>
      </c>
      <c r="B822" s="145" t="s">
        <v>2135</v>
      </c>
    </row>
    <row r="823" spans="1:2">
      <c r="A823" s="145" t="s">
        <v>2136</v>
      </c>
      <c r="B823" s="145" t="s">
        <v>2137</v>
      </c>
    </row>
    <row r="824" spans="1:2">
      <c r="A824" s="145" t="s">
        <v>2138</v>
      </c>
      <c r="B824" s="145" t="s">
        <v>2139</v>
      </c>
    </row>
    <row r="825" spans="1:2">
      <c r="A825" s="145" t="s">
        <v>2140</v>
      </c>
      <c r="B825" s="145" t="s">
        <v>2141</v>
      </c>
    </row>
    <row r="826" spans="1:2">
      <c r="A826" s="145" t="s">
        <v>2142</v>
      </c>
      <c r="B826" s="145" t="s">
        <v>2143</v>
      </c>
    </row>
    <row r="827" spans="1:2">
      <c r="A827" s="145" t="s">
        <v>2144</v>
      </c>
      <c r="B827" s="145" t="s">
        <v>2145</v>
      </c>
    </row>
    <row r="828" spans="1:2">
      <c r="A828" s="145" t="s">
        <v>2146</v>
      </c>
      <c r="B828" s="145" t="s">
        <v>2147</v>
      </c>
    </row>
    <row r="829" spans="1:2">
      <c r="A829" s="145" t="s">
        <v>2148</v>
      </c>
      <c r="B829" s="145" t="s">
        <v>2149</v>
      </c>
    </row>
    <row r="830" spans="1:2">
      <c r="A830" s="145" t="s">
        <v>2150</v>
      </c>
      <c r="B830" s="145" t="s">
        <v>2151</v>
      </c>
    </row>
    <row r="831" spans="1:2">
      <c r="A831" s="145" t="s">
        <v>2152</v>
      </c>
      <c r="B831" s="145" t="s">
        <v>2153</v>
      </c>
    </row>
    <row r="832" spans="1:2">
      <c r="A832" s="145" t="s">
        <v>2154</v>
      </c>
      <c r="B832" s="145" t="s">
        <v>2155</v>
      </c>
    </row>
    <row r="833" spans="1:2">
      <c r="A833" s="145" t="s">
        <v>2156</v>
      </c>
      <c r="B833" s="145" t="s">
        <v>2157</v>
      </c>
    </row>
    <row r="834" spans="1:2">
      <c r="A834" s="145" t="s">
        <v>2158</v>
      </c>
      <c r="B834" s="145" t="s">
        <v>2159</v>
      </c>
    </row>
    <row r="835" spans="1:2">
      <c r="A835" s="145" t="s">
        <v>2160</v>
      </c>
      <c r="B835" s="145" t="s">
        <v>2161</v>
      </c>
    </row>
    <row r="836" spans="1:2">
      <c r="A836" s="145" t="s">
        <v>2162</v>
      </c>
      <c r="B836" s="145" t="s">
        <v>2163</v>
      </c>
    </row>
    <row r="837" spans="1:2">
      <c r="A837" s="145" t="s">
        <v>2164</v>
      </c>
      <c r="B837" s="145" t="s">
        <v>2165</v>
      </c>
    </row>
    <row r="838" spans="1:2">
      <c r="A838" s="145" t="s">
        <v>2166</v>
      </c>
      <c r="B838" s="145" t="s">
        <v>2167</v>
      </c>
    </row>
    <row r="839" spans="1:2">
      <c r="A839" s="145" t="s">
        <v>2168</v>
      </c>
      <c r="B839" s="145" t="s">
        <v>2169</v>
      </c>
    </row>
    <row r="840" spans="1:2">
      <c r="A840" s="145" t="s">
        <v>2170</v>
      </c>
      <c r="B840" s="145" t="s">
        <v>2171</v>
      </c>
    </row>
    <row r="841" spans="1:2">
      <c r="A841" s="145" t="s">
        <v>2172</v>
      </c>
      <c r="B841" s="145" t="s">
        <v>2173</v>
      </c>
    </row>
    <row r="842" spans="1:2">
      <c r="A842" s="145" t="s">
        <v>2174</v>
      </c>
      <c r="B842" s="145" t="s">
        <v>2175</v>
      </c>
    </row>
    <row r="843" spans="1:2">
      <c r="A843" s="145" t="s">
        <v>120</v>
      </c>
      <c r="B843" s="145" t="s">
        <v>2176</v>
      </c>
    </row>
    <row r="844" spans="1:2">
      <c r="A844" s="145" t="s">
        <v>2177</v>
      </c>
      <c r="B844" s="145" t="s">
        <v>2178</v>
      </c>
    </row>
    <row r="845" spans="1:2">
      <c r="A845" s="145" t="s">
        <v>2179</v>
      </c>
      <c r="B845" s="145" t="s">
        <v>2180</v>
      </c>
    </row>
    <row r="846" spans="1:2">
      <c r="A846" s="145" t="s">
        <v>2181</v>
      </c>
      <c r="B846" s="145" t="s">
        <v>2182</v>
      </c>
    </row>
    <row r="847" spans="1:2">
      <c r="A847" s="145" t="s">
        <v>2183</v>
      </c>
      <c r="B847" s="145" t="s">
        <v>2184</v>
      </c>
    </row>
    <row r="848" spans="1:2">
      <c r="A848" s="145" t="s">
        <v>2185</v>
      </c>
      <c r="B848" s="145" t="s">
        <v>2186</v>
      </c>
    </row>
    <row r="849" spans="1:2">
      <c r="A849" s="145" t="s">
        <v>2187</v>
      </c>
      <c r="B849" s="145" t="s">
        <v>2188</v>
      </c>
    </row>
    <row r="850" spans="1:2">
      <c r="A850" s="145" t="s">
        <v>2189</v>
      </c>
      <c r="B850" s="145" t="s">
        <v>2190</v>
      </c>
    </row>
    <row r="851" spans="1:2">
      <c r="A851" s="145" t="s">
        <v>2191</v>
      </c>
      <c r="B851" s="145" t="s">
        <v>2192</v>
      </c>
    </row>
    <row r="852" spans="1:2">
      <c r="A852" s="145" t="s">
        <v>2193</v>
      </c>
      <c r="B852" s="145" t="s">
        <v>2194</v>
      </c>
    </row>
    <row r="853" spans="1:2">
      <c r="A853" s="145" t="s">
        <v>2195</v>
      </c>
      <c r="B853" s="145" t="s">
        <v>2196</v>
      </c>
    </row>
    <row r="854" spans="1:2">
      <c r="A854" s="145" t="s">
        <v>2197</v>
      </c>
      <c r="B854" s="145" t="s">
        <v>2198</v>
      </c>
    </row>
    <row r="855" spans="1:2">
      <c r="A855" s="145" t="s">
        <v>2199</v>
      </c>
      <c r="B855" s="145" t="s">
        <v>2200</v>
      </c>
    </row>
    <row r="856" spans="1:2">
      <c r="A856" s="145" t="s">
        <v>2201</v>
      </c>
      <c r="B856" s="145" t="s">
        <v>2202</v>
      </c>
    </row>
    <row r="857" spans="1:2">
      <c r="A857" s="145" t="s">
        <v>2203</v>
      </c>
      <c r="B857" s="145" t="s">
        <v>2204</v>
      </c>
    </row>
    <row r="858" spans="1:2">
      <c r="A858" s="145" t="s">
        <v>2205</v>
      </c>
      <c r="B858" s="145" t="s">
        <v>2206</v>
      </c>
    </row>
    <row r="859" spans="1:2">
      <c r="A859" s="145" t="s">
        <v>2207</v>
      </c>
      <c r="B859" s="145" t="s">
        <v>2208</v>
      </c>
    </row>
    <row r="860" spans="1:2">
      <c r="A860" s="145" t="s">
        <v>2209</v>
      </c>
      <c r="B860" s="145" t="s">
        <v>2210</v>
      </c>
    </row>
    <row r="861" spans="1:2">
      <c r="A861" s="145" t="s">
        <v>2211</v>
      </c>
      <c r="B861" s="145" t="s">
        <v>2212</v>
      </c>
    </row>
    <row r="862" spans="1:2">
      <c r="A862" s="145" t="s">
        <v>2213</v>
      </c>
      <c r="B862" s="145" t="s">
        <v>2214</v>
      </c>
    </row>
    <row r="863" spans="1:2">
      <c r="A863" s="145" t="s">
        <v>2215</v>
      </c>
      <c r="B863" s="145" t="s">
        <v>2216</v>
      </c>
    </row>
    <row r="864" spans="1:2">
      <c r="A864" s="145" t="s">
        <v>2217</v>
      </c>
      <c r="B864" s="145" t="s">
        <v>2218</v>
      </c>
    </row>
    <row r="865" spans="1:2">
      <c r="A865" s="145" t="s">
        <v>2219</v>
      </c>
      <c r="B865" s="145" t="s">
        <v>2220</v>
      </c>
    </row>
    <row r="866" spans="1:2">
      <c r="A866" s="145" t="s">
        <v>2221</v>
      </c>
      <c r="B866" s="145" t="s">
        <v>2222</v>
      </c>
    </row>
    <row r="867" spans="1:2">
      <c r="A867" s="145" t="s">
        <v>2223</v>
      </c>
      <c r="B867" s="145" t="s">
        <v>2224</v>
      </c>
    </row>
    <row r="868" spans="1:2">
      <c r="A868" s="145" t="s">
        <v>2225</v>
      </c>
      <c r="B868" s="145" t="s">
        <v>2226</v>
      </c>
    </row>
    <row r="869" spans="1:2">
      <c r="A869" s="145" t="s">
        <v>2227</v>
      </c>
      <c r="B869" s="145" t="s">
        <v>2228</v>
      </c>
    </row>
    <row r="870" spans="1:2">
      <c r="A870" s="145" t="s">
        <v>2229</v>
      </c>
      <c r="B870" s="145" t="s">
        <v>2230</v>
      </c>
    </row>
    <row r="871" spans="1:2">
      <c r="A871" s="145" t="s">
        <v>2231</v>
      </c>
      <c r="B871" s="145" t="s">
        <v>2232</v>
      </c>
    </row>
    <row r="872" spans="1:2">
      <c r="A872" s="145" t="s">
        <v>2233</v>
      </c>
      <c r="B872" s="145" t="s">
        <v>324</v>
      </c>
    </row>
    <row r="873" spans="1:2">
      <c r="A873" s="145" t="s">
        <v>2234</v>
      </c>
      <c r="B873" s="145" t="s">
        <v>2235</v>
      </c>
    </row>
    <row r="874" spans="1:2">
      <c r="A874" s="145" t="s">
        <v>2236</v>
      </c>
      <c r="B874" s="145" t="s">
        <v>2237</v>
      </c>
    </row>
    <row r="875" spans="1:2">
      <c r="A875" s="145" t="s">
        <v>2238</v>
      </c>
      <c r="B875" s="145" t="s">
        <v>2239</v>
      </c>
    </row>
    <row r="876" spans="1:2">
      <c r="A876" s="145" t="s">
        <v>2240</v>
      </c>
      <c r="B876" s="145" t="s">
        <v>2241</v>
      </c>
    </row>
    <row r="877" spans="1:2">
      <c r="A877" s="145" t="s">
        <v>2242</v>
      </c>
      <c r="B877" s="145" t="s">
        <v>2243</v>
      </c>
    </row>
    <row r="878" spans="1:2">
      <c r="A878" s="145" t="s">
        <v>2244</v>
      </c>
      <c r="B878" s="145" t="s">
        <v>2245</v>
      </c>
    </row>
    <row r="879" spans="1:2">
      <c r="A879" s="145" t="s">
        <v>2246</v>
      </c>
      <c r="B879" s="145" t="s">
        <v>2247</v>
      </c>
    </row>
    <row r="880" spans="1:2">
      <c r="A880" s="145" t="s">
        <v>2248</v>
      </c>
      <c r="B880" s="145" t="s">
        <v>2249</v>
      </c>
    </row>
    <row r="881" spans="1:2">
      <c r="A881" s="145" t="s">
        <v>2250</v>
      </c>
      <c r="B881" s="145" t="s">
        <v>2251</v>
      </c>
    </row>
    <row r="882" spans="1:2">
      <c r="A882" s="145" t="s">
        <v>2252</v>
      </c>
      <c r="B882" s="145" t="s">
        <v>2253</v>
      </c>
    </row>
    <row r="883" spans="1:2">
      <c r="A883" s="145" t="s">
        <v>2254</v>
      </c>
      <c r="B883" s="145" t="s">
        <v>2255</v>
      </c>
    </row>
    <row r="884" spans="1:2">
      <c r="A884" s="145" t="s">
        <v>2256</v>
      </c>
      <c r="B884" s="145" t="s">
        <v>2257</v>
      </c>
    </row>
    <row r="885" spans="1:2">
      <c r="A885" s="145" t="s">
        <v>2258</v>
      </c>
      <c r="B885" s="145" t="s">
        <v>2259</v>
      </c>
    </row>
    <row r="886" spans="1:2">
      <c r="A886" s="145" t="s">
        <v>2260</v>
      </c>
      <c r="B886" s="145" t="s">
        <v>2261</v>
      </c>
    </row>
    <row r="887" spans="1:2">
      <c r="A887" s="145" t="s">
        <v>2262</v>
      </c>
      <c r="B887" s="145" t="s">
        <v>2263</v>
      </c>
    </row>
    <row r="888" spans="1:2">
      <c r="A888" s="145" t="s">
        <v>2264</v>
      </c>
      <c r="B888" s="145" t="s">
        <v>2265</v>
      </c>
    </row>
    <row r="889" spans="1:2">
      <c r="A889" s="145" t="s">
        <v>2266</v>
      </c>
      <c r="B889" s="145" t="s">
        <v>2267</v>
      </c>
    </row>
    <row r="890" spans="1:2">
      <c r="A890" s="145" t="s">
        <v>2268</v>
      </c>
      <c r="B890" s="145" t="s">
        <v>2269</v>
      </c>
    </row>
    <row r="891" spans="1:2">
      <c r="A891" s="145" t="s">
        <v>2270</v>
      </c>
      <c r="B891" s="145" t="s">
        <v>2271</v>
      </c>
    </row>
    <row r="892" spans="1:2">
      <c r="A892" s="145" t="s">
        <v>2272</v>
      </c>
      <c r="B892" s="145" t="s">
        <v>2273</v>
      </c>
    </row>
    <row r="893" spans="1:2">
      <c r="A893" s="145" t="s">
        <v>2274</v>
      </c>
      <c r="B893" s="145" t="s">
        <v>2275</v>
      </c>
    </row>
    <row r="894" spans="1:2">
      <c r="A894" s="145" t="s">
        <v>2276</v>
      </c>
      <c r="B894" s="145" t="s">
        <v>2277</v>
      </c>
    </row>
    <row r="895" spans="1:2">
      <c r="A895" s="145" t="s">
        <v>2278</v>
      </c>
      <c r="B895" s="145" t="s">
        <v>2279</v>
      </c>
    </row>
    <row r="896" spans="1:2">
      <c r="A896" s="145" t="s">
        <v>2280</v>
      </c>
      <c r="B896" s="145" t="s">
        <v>2281</v>
      </c>
    </row>
    <row r="897" spans="1:2">
      <c r="A897" s="145" t="s">
        <v>2282</v>
      </c>
      <c r="B897" s="145" t="s">
        <v>2283</v>
      </c>
    </row>
    <row r="898" spans="1:2">
      <c r="A898" s="145" t="s">
        <v>2284</v>
      </c>
      <c r="B898" s="145" t="s">
        <v>2285</v>
      </c>
    </row>
    <row r="899" spans="1:2">
      <c r="A899" s="145" t="s">
        <v>2286</v>
      </c>
      <c r="B899" s="145" t="s">
        <v>2287</v>
      </c>
    </row>
    <row r="900" spans="1:2">
      <c r="A900" s="145" t="s">
        <v>2288</v>
      </c>
      <c r="B900" s="145" t="s">
        <v>2289</v>
      </c>
    </row>
    <row r="901" spans="1:2">
      <c r="A901" s="145" t="s">
        <v>2290</v>
      </c>
      <c r="B901" s="145" t="s">
        <v>2291</v>
      </c>
    </row>
    <row r="902" spans="1:2">
      <c r="A902" s="145" t="s">
        <v>2292</v>
      </c>
      <c r="B902" s="145" t="s">
        <v>2293</v>
      </c>
    </row>
    <row r="903" spans="1:2">
      <c r="A903" s="145" t="s">
        <v>2294</v>
      </c>
      <c r="B903" s="145" t="s">
        <v>2295</v>
      </c>
    </row>
    <row r="904" spans="1:2">
      <c r="A904" s="145" t="s">
        <v>2296</v>
      </c>
      <c r="B904" s="145" t="s">
        <v>2297</v>
      </c>
    </row>
    <row r="905" spans="1:2">
      <c r="A905" s="145" t="s">
        <v>2298</v>
      </c>
      <c r="B905" s="145" t="s">
        <v>2299</v>
      </c>
    </row>
    <row r="906" spans="1:2">
      <c r="A906" s="145" t="s">
        <v>2300</v>
      </c>
      <c r="B906" s="145" t="s">
        <v>2301</v>
      </c>
    </row>
    <row r="907" spans="1:2">
      <c r="A907" s="145" t="s">
        <v>2302</v>
      </c>
      <c r="B907" s="145" t="s">
        <v>2303</v>
      </c>
    </row>
    <row r="908" spans="1:2">
      <c r="A908" s="145" t="s">
        <v>2304</v>
      </c>
      <c r="B908" s="145" t="s">
        <v>2305</v>
      </c>
    </row>
    <row r="909" spans="1:2">
      <c r="A909" s="145" t="s">
        <v>2306</v>
      </c>
      <c r="B909" s="145" t="s">
        <v>2307</v>
      </c>
    </row>
    <row r="910" spans="1:2">
      <c r="A910" s="145" t="s">
        <v>2308</v>
      </c>
      <c r="B910" s="145" t="s">
        <v>2309</v>
      </c>
    </row>
    <row r="911" spans="1:2">
      <c r="A911" s="145" t="s">
        <v>2310</v>
      </c>
      <c r="B911" s="145" t="s">
        <v>2311</v>
      </c>
    </row>
    <row r="912" spans="1:2">
      <c r="A912" s="145" t="s">
        <v>2312</v>
      </c>
      <c r="B912" s="145" t="s">
        <v>2313</v>
      </c>
    </row>
    <row r="913" spans="1:2">
      <c r="A913" s="145" t="s">
        <v>2314</v>
      </c>
      <c r="B913" s="145" t="s">
        <v>2315</v>
      </c>
    </row>
    <row r="914" spans="1:2">
      <c r="A914" s="145" t="s">
        <v>2316</v>
      </c>
      <c r="B914" s="145" t="s">
        <v>2317</v>
      </c>
    </row>
    <row r="915" spans="1:2">
      <c r="A915" s="145" t="s">
        <v>2318</v>
      </c>
      <c r="B915" s="145" t="s">
        <v>2319</v>
      </c>
    </row>
    <row r="916" spans="1:2">
      <c r="A916" s="145" t="s">
        <v>2320</v>
      </c>
      <c r="B916" s="145" t="s">
        <v>2321</v>
      </c>
    </row>
    <row r="917" spans="1:2">
      <c r="A917" s="145" t="s">
        <v>2322</v>
      </c>
      <c r="B917" s="145" t="s">
        <v>2323</v>
      </c>
    </row>
    <row r="918" spans="1:2">
      <c r="A918" s="145" t="s">
        <v>2324</v>
      </c>
      <c r="B918" s="145" t="s">
        <v>2325</v>
      </c>
    </row>
    <row r="919" spans="1:2">
      <c r="A919" s="145" t="s">
        <v>2326</v>
      </c>
      <c r="B919" s="145" t="s">
        <v>2327</v>
      </c>
    </row>
    <row r="920" spans="1:2">
      <c r="A920" s="145" t="s">
        <v>2328</v>
      </c>
      <c r="B920" s="145" t="s">
        <v>2329</v>
      </c>
    </row>
    <row r="921" spans="1:2">
      <c r="A921" s="145" t="s">
        <v>2330</v>
      </c>
      <c r="B921" s="145" t="s">
        <v>2331</v>
      </c>
    </row>
    <row r="922" spans="1:2">
      <c r="A922" s="145" t="s">
        <v>2332</v>
      </c>
      <c r="B922" s="145" t="s">
        <v>2333</v>
      </c>
    </row>
    <row r="923" spans="1:2">
      <c r="A923" s="145" t="s">
        <v>2334</v>
      </c>
      <c r="B923" s="145" t="s">
        <v>2335</v>
      </c>
    </row>
    <row r="924" spans="1:2">
      <c r="A924" s="145" t="s">
        <v>2336</v>
      </c>
      <c r="B924" s="145" t="s">
        <v>2337</v>
      </c>
    </row>
    <row r="925" spans="1:2">
      <c r="A925" s="145" t="s">
        <v>2338</v>
      </c>
      <c r="B925" s="145" t="s">
        <v>2339</v>
      </c>
    </row>
    <row r="926" spans="1:2">
      <c r="A926" s="145" t="s">
        <v>2340</v>
      </c>
      <c r="B926" s="145" t="s">
        <v>2341</v>
      </c>
    </row>
    <row r="927" spans="1:2">
      <c r="A927" s="145" t="s">
        <v>2342</v>
      </c>
      <c r="B927" s="145" t="s">
        <v>2343</v>
      </c>
    </row>
    <row r="928" spans="1:2">
      <c r="A928" s="145" t="s">
        <v>2344</v>
      </c>
      <c r="B928" s="145" t="s">
        <v>2345</v>
      </c>
    </row>
    <row r="929" spans="1:2">
      <c r="A929" s="145" t="s">
        <v>2346</v>
      </c>
      <c r="B929" s="145" t="s">
        <v>2347</v>
      </c>
    </row>
    <row r="930" spans="1:2">
      <c r="A930" s="145" t="s">
        <v>2348</v>
      </c>
      <c r="B930" s="145" t="s">
        <v>2349</v>
      </c>
    </row>
    <row r="931" spans="1:2">
      <c r="A931" s="145" t="s">
        <v>2350</v>
      </c>
      <c r="B931" s="145" t="s">
        <v>2351</v>
      </c>
    </row>
    <row r="932" spans="1:2">
      <c r="A932" s="145" t="s">
        <v>2352</v>
      </c>
      <c r="B932" s="145" t="s">
        <v>2353</v>
      </c>
    </row>
    <row r="933" spans="1:2">
      <c r="A933" s="145" t="s">
        <v>2354</v>
      </c>
      <c r="B933" s="145" t="s">
        <v>2355</v>
      </c>
    </row>
    <row r="934" spans="1:2">
      <c r="A934" s="145" t="s">
        <v>2356</v>
      </c>
      <c r="B934" s="145" t="s">
        <v>2357</v>
      </c>
    </row>
    <row r="935" spans="1:2">
      <c r="A935" s="145" t="s">
        <v>2358</v>
      </c>
      <c r="B935" s="145" t="s">
        <v>2359</v>
      </c>
    </row>
    <row r="936" spans="1:2">
      <c r="A936" s="145" t="s">
        <v>2360</v>
      </c>
      <c r="B936" s="145" t="s">
        <v>2361</v>
      </c>
    </row>
    <row r="937" spans="1:2">
      <c r="A937" s="145" t="s">
        <v>2362</v>
      </c>
      <c r="B937" s="145" t="s">
        <v>2363</v>
      </c>
    </row>
    <row r="938" spans="1:2">
      <c r="A938" s="145" t="s">
        <v>2364</v>
      </c>
      <c r="B938" s="145" t="s">
        <v>2365</v>
      </c>
    </row>
    <row r="939" spans="1:2">
      <c r="A939" s="145" t="s">
        <v>2366</v>
      </c>
      <c r="B939" s="145" t="s">
        <v>2367</v>
      </c>
    </row>
    <row r="940" spans="1:2">
      <c r="A940" s="145" t="s">
        <v>2368</v>
      </c>
      <c r="B940" s="145" t="s">
        <v>2369</v>
      </c>
    </row>
    <row r="941" spans="1:2">
      <c r="A941" s="145" t="s">
        <v>2370</v>
      </c>
      <c r="B941" s="145" t="s">
        <v>2371</v>
      </c>
    </row>
    <row r="942" spans="1:2">
      <c r="A942" s="145" t="s">
        <v>2372</v>
      </c>
      <c r="B942" s="145" t="s">
        <v>2373</v>
      </c>
    </row>
    <row r="943" spans="1:2">
      <c r="A943" s="145" t="s">
        <v>2374</v>
      </c>
      <c r="B943" s="145" t="s">
        <v>2375</v>
      </c>
    </row>
    <row r="944" spans="1:2">
      <c r="A944" s="145" t="s">
        <v>2376</v>
      </c>
      <c r="B944" s="145" t="s">
        <v>2377</v>
      </c>
    </row>
    <row r="945" spans="1:2">
      <c r="A945" s="145" t="s">
        <v>2378</v>
      </c>
      <c r="B945" s="145" t="s">
        <v>2379</v>
      </c>
    </row>
    <row r="946" spans="1:2">
      <c r="A946" s="145" t="s">
        <v>2380</v>
      </c>
      <c r="B946" s="145" t="s">
        <v>2381</v>
      </c>
    </row>
    <row r="947" spans="1:2">
      <c r="A947" s="145" t="s">
        <v>2382</v>
      </c>
      <c r="B947" s="145" t="s">
        <v>2383</v>
      </c>
    </row>
    <row r="948" spans="1:2">
      <c r="A948" s="145" t="s">
        <v>2384</v>
      </c>
      <c r="B948" s="145" t="s">
        <v>2385</v>
      </c>
    </row>
    <row r="949" spans="1:2">
      <c r="A949" s="145" t="s">
        <v>2386</v>
      </c>
      <c r="B949" s="145" t="s">
        <v>2387</v>
      </c>
    </row>
    <row r="950" spans="1:2">
      <c r="A950" s="145" t="s">
        <v>2388</v>
      </c>
      <c r="B950" s="145" t="s">
        <v>2389</v>
      </c>
    </row>
    <row r="951" spans="1:2">
      <c r="A951" s="145" t="s">
        <v>2390</v>
      </c>
      <c r="B951" s="145" t="s">
        <v>2391</v>
      </c>
    </row>
    <row r="952" spans="1:2">
      <c r="A952" s="145" t="s">
        <v>2392</v>
      </c>
      <c r="B952" s="145" t="s">
        <v>2393</v>
      </c>
    </row>
    <row r="953" spans="1:2">
      <c r="A953" s="145" t="s">
        <v>2394</v>
      </c>
      <c r="B953" s="145" t="s">
        <v>2395</v>
      </c>
    </row>
    <row r="954" spans="1:2">
      <c r="A954" s="145" t="s">
        <v>2396</v>
      </c>
      <c r="B954" s="145" t="s">
        <v>2397</v>
      </c>
    </row>
    <row r="955" spans="1:2">
      <c r="A955" s="145" t="s">
        <v>2398</v>
      </c>
      <c r="B955" s="145" t="s">
        <v>2399</v>
      </c>
    </row>
    <row r="956" spans="1:2">
      <c r="A956" s="145" t="s">
        <v>2400</v>
      </c>
      <c r="B956" s="145" t="s">
        <v>2401</v>
      </c>
    </row>
    <row r="957" spans="1:2">
      <c r="A957" s="145" t="s">
        <v>2402</v>
      </c>
      <c r="B957" s="145" t="s">
        <v>2403</v>
      </c>
    </row>
    <row r="958" spans="1:2">
      <c r="A958" s="145" t="s">
        <v>2404</v>
      </c>
      <c r="B958" s="145" t="s">
        <v>2405</v>
      </c>
    </row>
    <row r="959" spans="1:2">
      <c r="A959" s="145" t="s">
        <v>2406</v>
      </c>
      <c r="B959" s="145" t="s">
        <v>2407</v>
      </c>
    </row>
    <row r="960" spans="1:2">
      <c r="A960" s="145" t="s">
        <v>2408</v>
      </c>
      <c r="B960" s="145" t="s">
        <v>2409</v>
      </c>
    </row>
    <row r="961" spans="1:2">
      <c r="A961" s="145" t="s">
        <v>2410</v>
      </c>
      <c r="B961" s="145" t="s">
        <v>2411</v>
      </c>
    </row>
    <row r="962" spans="1:2">
      <c r="A962" s="145" t="s">
        <v>2412</v>
      </c>
      <c r="B962" s="145" t="s">
        <v>2413</v>
      </c>
    </row>
    <row r="963" spans="1:2">
      <c r="A963" s="145" t="s">
        <v>2414</v>
      </c>
      <c r="B963" s="145" t="s">
        <v>2415</v>
      </c>
    </row>
    <row r="964" spans="1:2">
      <c r="A964" s="145" t="s">
        <v>2416</v>
      </c>
      <c r="B964" s="145" t="s">
        <v>2417</v>
      </c>
    </row>
    <row r="965" spans="1:2">
      <c r="A965" s="145" t="s">
        <v>2418</v>
      </c>
      <c r="B965" s="145" t="s">
        <v>2419</v>
      </c>
    </row>
    <row r="966" spans="1:2">
      <c r="A966" s="145" t="s">
        <v>2420</v>
      </c>
      <c r="B966" s="145" t="s">
        <v>253</v>
      </c>
    </row>
    <row r="967" spans="1:2">
      <c r="A967" s="145" t="s">
        <v>2421</v>
      </c>
      <c r="B967" s="145" t="s">
        <v>2422</v>
      </c>
    </row>
    <row r="968" spans="1:2">
      <c r="A968" s="145" t="s">
        <v>2423</v>
      </c>
      <c r="B968" s="145" t="s">
        <v>2424</v>
      </c>
    </row>
    <row r="969" spans="1:2">
      <c r="A969" s="145" t="s">
        <v>2425</v>
      </c>
      <c r="B969" s="145" t="s">
        <v>2426</v>
      </c>
    </row>
    <row r="970" spans="1:2">
      <c r="A970" s="145" t="s">
        <v>2427</v>
      </c>
      <c r="B970" s="145" t="s">
        <v>2428</v>
      </c>
    </row>
    <row r="971" spans="1:2">
      <c r="A971" s="145" t="s">
        <v>2429</v>
      </c>
      <c r="B971" s="145" t="s">
        <v>2430</v>
      </c>
    </row>
    <row r="972" spans="1:2">
      <c r="A972" s="145" t="s">
        <v>2431</v>
      </c>
      <c r="B972" s="145" t="s">
        <v>2432</v>
      </c>
    </row>
    <row r="973" spans="1:2">
      <c r="A973" s="145" t="s">
        <v>2433</v>
      </c>
      <c r="B973" s="145" t="s">
        <v>2434</v>
      </c>
    </row>
    <row r="974" spans="1:2">
      <c r="A974" s="145" t="s">
        <v>2435</v>
      </c>
      <c r="B974" s="145" t="s">
        <v>2436</v>
      </c>
    </row>
    <row r="975" spans="1:2">
      <c r="A975" s="145" t="s">
        <v>2437</v>
      </c>
      <c r="B975" s="145" t="s">
        <v>2438</v>
      </c>
    </row>
    <row r="976" spans="1:2">
      <c r="A976" s="145" t="s">
        <v>2439</v>
      </c>
      <c r="B976" s="145" t="s">
        <v>2440</v>
      </c>
    </row>
    <row r="977" spans="1:2">
      <c r="A977" s="145" t="s">
        <v>2441</v>
      </c>
      <c r="B977" s="145" t="s">
        <v>2442</v>
      </c>
    </row>
    <row r="978" spans="1:2">
      <c r="A978" s="145" t="s">
        <v>2443</v>
      </c>
      <c r="B978" s="145" t="s">
        <v>2444</v>
      </c>
    </row>
    <row r="979" spans="1:2">
      <c r="A979" s="145" t="s">
        <v>2445</v>
      </c>
      <c r="B979" s="145" t="s">
        <v>2446</v>
      </c>
    </row>
    <row r="980" spans="1:2">
      <c r="A980" s="145" t="s">
        <v>2447</v>
      </c>
      <c r="B980" s="145" t="s">
        <v>2448</v>
      </c>
    </row>
    <row r="981" spans="1:2">
      <c r="A981" s="145" t="s">
        <v>2449</v>
      </c>
      <c r="B981" s="145" t="s">
        <v>2450</v>
      </c>
    </row>
    <row r="982" spans="1:2">
      <c r="A982" s="145" t="s">
        <v>2451</v>
      </c>
      <c r="B982" s="145" t="s">
        <v>2452</v>
      </c>
    </row>
    <row r="983" spans="1:2">
      <c r="A983" s="145" t="s">
        <v>2453</v>
      </c>
      <c r="B983" s="145" t="s">
        <v>2454</v>
      </c>
    </row>
    <row r="984" spans="1:2">
      <c r="A984" s="145" t="s">
        <v>2455</v>
      </c>
      <c r="B984" s="145" t="s">
        <v>2456</v>
      </c>
    </row>
    <row r="985" spans="1:2">
      <c r="A985" s="145" t="s">
        <v>2457</v>
      </c>
      <c r="B985" s="145" t="s">
        <v>2458</v>
      </c>
    </row>
    <row r="986" spans="1:2">
      <c r="A986" s="145" t="s">
        <v>2459</v>
      </c>
      <c r="B986" s="145" t="s">
        <v>2460</v>
      </c>
    </row>
    <row r="987" spans="1:2">
      <c r="A987" s="145" t="s">
        <v>2461</v>
      </c>
      <c r="B987" s="145" t="s">
        <v>2462</v>
      </c>
    </row>
    <row r="988" spans="1:2">
      <c r="A988" s="145" t="s">
        <v>2463</v>
      </c>
      <c r="B988" s="145" t="s">
        <v>2464</v>
      </c>
    </row>
    <row r="989" spans="1:2">
      <c r="A989" s="145" t="s">
        <v>2465</v>
      </c>
      <c r="B989" s="145" t="s">
        <v>2466</v>
      </c>
    </row>
    <row r="990" spans="1:2">
      <c r="A990" s="145" t="s">
        <v>2467</v>
      </c>
      <c r="B990" s="145" t="s">
        <v>2468</v>
      </c>
    </row>
    <row r="991" spans="1:2">
      <c r="A991" s="145" t="s">
        <v>2469</v>
      </c>
      <c r="B991" s="145" t="s">
        <v>258</v>
      </c>
    </row>
    <row r="992" spans="1:2">
      <c r="A992" s="145" t="s">
        <v>2470</v>
      </c>
      <c r="B992" s="145" t="s">
        <v>2471</v>
      </c>
    </row>
    <row r="993" spans="1:2">
      <c r="A993" s="145" t="s">
        <v>2472</v>
      </c>
      <c r="B993" s="145" t="s">
        <v>2473</v>
      </c>
    </row>
    <row r="994" spans="1:2">
      <c r="A994" s="145" t="s">
        <v>2474</v>
      </c>
      <c r="B994" s="145" t="s">
        <v>2475</v>
      </c>
    </row>
    <row r="995" spans="1:2">
      <c r="A995" s="145" t="s">
        <v>2476</v>
      </c>
      <c r="B995" s="145" t="s">
        <v>2477</v>
      </c>
    </row>
    <row r="996" spans="1:2">
      <c r="A996" s="145" t="s">
        <v>2478</v>
      </c>
      <c r="B996" s="145" t="s">
        <v>2479</v>
      </c>
    </row>
    <row r="997" spans="1:2">
      <c r="A997" s="145" t="s">
        <v>2480</v>
      </c>
      <c r="B997" s="145" t="s">
        <v>2481</v>
      </c>
    </row>
    <row r="998" spans="1:2">
      <c r="A998" s="145" t="s">
        <v>2482</v>
      </c>
      <c r="B998" s="145" t="s">
        <v>2483</v>
      </c>
    </row>
    <row r="999" spans="1:2">
      <c r="A999" s="145" t="s">
        <v>2484</v>
      </c>
      <c r="B999" s="145" t="s">
        <v>2485</v>
      </c>
    </row>
    <row r="1000" spans="1:2">
      <c r="A1000" s="145" t="s">
        <v>2486</v>
      </c>
      <c r="B1000" s="145" t="s">
        <v>2487</v>
      </c>
    </row>
    <row r="1001" spans="1:2">
      <c r="A1001" s="145" t="s">
        <v>2488</v>
      </c>
      <c r="B1001" s="145" t="s">
        <v>2489</v>
      </c>
    </row>
    <row r="1002" spans="1:2">
      <c r="A1002" s="145" t="s">
        <v>2490</v>
      </c>
      <c r="B1002" s="145" t="s">
        <v>2491</v>
      </c>
    </row>
    <row r="1003" spans="1:2">
      <c r="A1003" s="145" t="s">
        <v>2492</v>
      </c>
      <c r="B1003" s="145" t="s">
        <v>2493</v>
      </c>
    </row>
    <row r="1004" spans="1:2">
      <c r="A1004" s="145" t="s">
        <v>2494</v>
      </c>
      <c r="B1004" s="145" t="s">
        <v>2495</v>
      </c>
    </row>
    <row r="1005" spans="1:2">
      <c r="A1005" s="145" t="s">
        <v>2496</v>
      </c>
      <c r="B1005" s="145" t="s">
        <v>2497</v>
      </c>
    </row>
    <row r="1006" spans="1:2">
      <c r="A1006" s="145" t="s">
        <v>2498</v>
      </c>
      <c r="B1006" s="145" t="s">
        <v>2499</v>
      </c>
    </row>
    <row r="1007" spans="1:2">
      <c r="A1007" s="145" t="s">
        <v>2500</v>
      </c>
      <c r="B1007" s="145" t="s">
        <v>2501</v>
      </c>
    </row>
    <row r="1008" spans="1:2">
      <c r="A1008" s="145" t="s">
        <v>2502</v>
      </c>
      <c r="B1008" s="145" t="s">
        <v>2503</v>
      </c>
    </row>
    <row r="1009" spans="1:2">
      <c r="A1009" s="145" t="s">
        <v>2504</v>
      </c>
      <c r="B1009" s="145" t="s">
        <v>2505</v>
      </c>
    </row>
    <row r="1010" spans="1:2">
      <c r="A1010" s="145" t="s">
        <v>2506</v>
      </c>
      <c r="B1010" s="145" t="s">
        <v>2507</v>
      </c>
    </row>
    <row r="1011" spans="1:2">
      <c r="A1011" s="145" t="s">
        <v>2508</v>
      </c>
      <c r="B1011" s="145" t="s">
        <v>2509</v>
      </c>
    </row>
    <row r="1012" spans="1:2">
      <c r="A1012" s="145" t="s">
        <v>2510</v>
      </c>
      <c r="B1012" s="145" t="s">
        <v>2511</v>
      </c>
    </row>
    <row r="1013" spans="1:2">
      <c r="A1013" s="145" t="s">
        <v>2512</v>
      </c>
      <c r="B1013" s="145" t="s">
        <v>2513</v>
      </c>
    </row>
    <row r="1014" spans="1:2">
      <c r="A1014" s="145" t="s">
        <v>2514</v>
      </c>
      <c r="B1014" s="145" t="s">
        <v>2515</v>
      </c>
    </row>
    <row r="1015" spans="1:2">
      <c r="A1015" s="145" t="s">
        <v>2516</v>
      </c>
      <c r="B1015" s="145" t="s">
        <v>2517</v>
      </c>
    </row>
    <row r="1016" spans="1:2">
      <c r="A1016" s="145" t="s">
        <v>2518</v>
      </c>
      <c r="B1016" s="145" t="s">
        <v>2519</v>
      </c>
    </row>
    <row r="1017" spans="1:2">
      <c r="A1017" s="145" t="s">
        <v>2520</v>
      </c>
      <c r="B1017" s="145" t="s">
        <v>2521</v>
      </c>
    </row>
    <row r="1018" spans="1:2">
      <c r="A1018" s="145" t="s">
        <v>2522</v>
      </c>
      <c r="B1018" s="145" t="s">
        <v>2523</v>
      </c>
    </row>
    <row r="1019" spans="1:2">
      <c r="A1019" s="145" t="s">
        <v>2524</v>
      </c>
      <c r="B1019" s="145" t="s">
        <v>2525</v>
      </c>
    </row>
    <row r="1020" spans="1:2">
      <c r="A1020" s="145" t="s">
        <v>2526</v>
      </c>
      <c r="B1020" s="145" t="s">
        <v>2527</v>
      </c>
    </row>
    <row r="1021" spans="1:2">
      <c r="A1021" s="145" t="s">
        <v>2528</v>
      </c>
      <c r="B1021" s="145" t="s">
        <v>2529</v>
      </c>
    </row>
    <row r="1022" spans="1:2">
      <c r="A1022" s="145" t="s">
        <v>2530</v>
      </c>
      <c r="B1022" s="145" t="s">
        <v>2531</v>
      </c>
    </row>
    <row r="1023" spans="1:2">
      <c r="A1023" s="145" t="s">
        <v>2532</v>
      </c>
      <c r="B1023" s="145" t="s">
        <v>2533</v>
      </c>
    </row>
    <row r="1024" spans="1:2">
      <c r="A1024" s="145" t="s">
        <v>2534</v>
      </c>
      <c r="B1024" s="145" t="s">
        <v>2535</v>
      </c>
    </row>
    <row r="1025" spans="1:2">
      <c r="A1025" s="145" t="s">
        <v>2536</v>
      </c>
      <c r="B1025" s="145" t="s">
        <v>2537</v>
      </c>
    </row>
    <row r="1026" spans="1:2">
      <c r="A1026" s="145" t="s">
        <v>2538</v>
      </c>
      <c r="B1026" s="145" t="s">
        <v>2539</v>
      </c>
    </row>
    <row r="1027" spans="1:2">
      <c r="A1027" s="145" t="s">
        <v>2540</v>
      </c>
      <c r="B1027" s="145" t="s">
        <v>2541</v>
      </c>
    </row>
    <row r="1028" spans="1:2">
      <c r="A1028" s="145" t="s">
        <v>2542</v>
      </c>
      <c r="B1028" s="145" t="s">
        <v>2543</v>
      </c>
    </row>
    <row r="1029" spans="1:2">
      <c r="A1029" s="145" t="s">
        <v>2544</v>
      </c>
      <c r="B1029" s="145" t="s">
        <v>2545</v>
      </c>
    </row>
    <row r="1030" spans="1:2">
      <c r="A1030" s="145" t="s">
        <v>2546</v>
      </c>
      <c r="B1030" s="145" t="s">
        <v>2547</v>
      </c>
    </row>
    <row r="1031" spans="1:2">
      <c r="A1031" s="145" t="s">
        <v>2548</v>
      </c>
      <c r="B1031" s="145" t="s">
        <v>2549</v>
      </c>
    </row>
    <row r="1032" spans="1:2">
      <c r="A1032" s="145" t="s">
        <v>2550</v>
      </c>
      <c r="B1032" s="145" t="s">
        <v>2551</v>
      </c>
    </row>
    <row r="1033" spans="1:2">
      <c r="A1033" s="145" t="s">
        <v>2552</v>
      </c>
      <c r="B1033" s="145" t="s">
        <v>2553</v>
      </c>
    </row>
    <row r="1034" spans="1:2">
      <c r="A1034" s="145" t="s">
        <v>2554</v>
      </c>
      <c r="B1034" s="145" t="s">
        <v>2555</v>
      </c>
    </row>
    <row r="1035" spans="1:2">
      <c r="A1035" s="145" t="s">
        <v>2556</v>
      </c>
      <c r="B1035" s="145" t="s">
        <v>2557</v>
      </c>
    </row>
    <row r="1036" spans="1:2">
      <c r="A1036" s="145" t="s">
        <v>2558</v>
      </c>
      <c r="B1036" s="145" t="s">
        <v>2559</v>
      </c>
    </row>
    <row r="1037" spans="1:2">
      <c r="A1037" s="145" t="s">
        <v>2560</v>
      </c>
      <c r="B1037" s="145" t="s">
        <v>2561</v>
      </c>
    </row>
    <row r="1038" spans="1:2">
      <c r="A1038" s="145" t="s">
        <v>2562</v>
      </c>
      <c r="B1038" s="145" t="s">
        <v>2563</v>
      </c>
    </row>
    <row r="1039" spans="1:2">
      <c r="A1039" s="145" t="s">
        <v>2564</v>
      </c>
      <c r="B1039" s="145" t="s">
        <v>2565</v>
      </c>
    </row>
    <row r="1040" spans="1:2">
      <c r="A1040" s="145" t="s">
        <v>2566</v>
      </c>
      <c r="B1040" s="145" t="s">
        <v>2567</v>
      </c>
    </row>
    <row r="1041" spans="1:2">
      <c r="A1041" s="145" t="s">
        <v>2568</v>
      </c>
      <c r="B1041" s="145" t="s">
        <v>2569</v>
      </c>
    </row>
    <row r="1042" spans="1:2">
      <c r="A1042" s="145" t="s">
        <v>2570</v>
      </c>
      <c r="B1042" s="145" t="s">
        <v>2571</v>
      </c>
    </row>
    <row r="1043" spans="1:2">
      <c r="A1043" s="145" t="s">
        <v>2572</v>
      </c>
      <c r="B1043" s="145" t="s">
        <v>2573</v>
      </c>
    </row>
    <row r="1044" spans="1:2">
      <c r="A1044" s="145" t="s">
        <v>2574</v>
      </c>
      <c r="B1044" s="145" t="s">
        <v>2575</v>
      </c>
    </row>
    <row r="1045" spans="1:2">
      <c r="A1045" s="145" t="s">
        <v>2576</v>
      </c>
      <c r="B1045" s="145" t="s">
        <v>2577</v>
      </c>
    </row>
    <row r="1046" spans="1:2">
      <c r="A1046" s="145" t="s">
        <v>2578</v>
      </c>
      <c r="B1046" s="145" t="s">
        <v>2579</v>
      </c>
    </row>
    <row r="1047" spans="1:2">
      <c r="A1047" s="145" t="s">
        <v>2580</v>
      </c>
      <c r="B1047" s="145" t="s">
        <v>2581</v>
      </c>
    </row>
    <row r="1048" spans="1:2">
      <c r="A1048" s="145" t="s">
        <v>2582</v>
      </c>
      <c r="B1048" s="145" t="s">
        <v>2583</v>
      </c>
    </row>
    <row r="1049" spans="1:2">
      <c r="A1049" s="145" t="s">
        <v>2584</v>
      </c>
      <c r="B1049" s="145" t="s">
        <v>2585</v>
      </c>
    </row>
    <row r="1050" spans="1:2">
      <c r="A1050" s="145" t="s">
        <v>2586</v>
      </c>
      <c r="B1050" s="145" t="s">
        <v>2587</v>
      </c>
    </row>
    <row r="1051" spans="1:2">
      <c r="A1051" s="145" t="s">
        <v>2588</v>
      </c>
      <c r="B1051" s="145" t="s">
        <v>2589</v>
      </c>
    </row>
    <row r="1052" spans="1:2">
      <c r="A1052" s="145" t="s">
        <v>2590</v>
      </c>
      <c r="B1052" s="145" t="s">
        <v>2591</v>
      </c>
    </row>
    <row r="1053" spans="1:2">
      <c r="A1053" s="145" t="s">
        <v>2592</v>
      </c>
      <c r="B1053" s="145" t="s">
        <v>2593</v>
      </c>
    </row>
    <row r="1054" spans="1:2">
      <c r="A1054" s="145" t="s">
        <v>2594</v>
      </c>
      <c r="B1054" s="145" t="s">
        <v>2595</v>
      </c>
    </row>
    <row r="1055" spans="1:2">
      <c r="A1055" s="145" t="s">
        <v>2596</v>
      </c>
      <c r="B1055" s="145" t="s">
        <v>2597</v>
      </c>
    </row>
    <row r="1056" spans="1:2">
      <c r="A1056" s="145" t="s">
        <v>2598</v>
      </c>
      <c r="B1056" s="145" t="s">
        <v>2599</v>
      </c>
    </row>
    <row r="1057" spans="1:2">
      <c r="A1057" s="145" t="s">
        <v>2600</v>
      </c>
      <c r="B1057" s="145" t="s">
        <v>2601</v>
      </c>
    </row>
    <row r="1058" spans="1:2">
      <c r="A1058" s="145" t="s">
        <v>2602</v>
      </c>
      <c r="B1058" s="145" t="s">
        <v>2603</v>
      </c>
    </row>
    <row r="1059" spans="1:2">
      <c r="A1059" s="145" t="s">
        <v>2604</v>
      </c>
      <c r="B1059" s="145" t="s">
        <v>2605</v>
      </c>
    </row>
    <row r="1060" spans="1:2">
      <c r="A1060" s="145" t="s">
        <v>2606</v>
      </c>
      <c r="B1060" s="145" t="s">
        <v>2607</v>
      </c>
    </row>
    <row r="1061" spans="1:2">
      <c r="A1061" s="145" t="s">
        <v>2608</v>
      </c>
      <c r="B1061" s="145" t="s">
        <v>2609</v>
      </c>
    </row>
    <row r="1062" spans="1:2">
      <c r="A1062" s="145" t="s">
        <v>2610</v>
      </c>
      <c r="B1062" s="145" t="s">
        <v>2611</v>
      </c>
    </row>
    <row r="1063" spans="1:2">
      <c r="A1063" s="145" t="s">
        <v>2612</v>
      </c>
      <c r="B1063" s="145" t="s">
        <v>2613</v>
      </c>
    </row>
    <row r="1064" spans="1:2">
      <c r="A1064" s="145" t="s">
        <v>2614</v>
      </c>
      <c r="B1064" s="145" t="s">
        <v>2615</v>
      </c>
    </row>
    <row r="1065" spans="1:2">
      <c r="A1065" s="145" t="s">
        <v>2616</v>
      </c>
      <c r="B1065" s="145" t="s">
        <v>2617</v>
      </c>
    </row>
    <row r="1066" spans="1:2">
      <c r="A1066" s="145" t="s">
        <v>2618</v>
      </c>
      <c r="B1066" s="145" t="s">
        <v>2619</v>
      </c>
    </row>
    <row r="1067" spans="1:2">
      <c r="A1067" s="145" t="s">
        <v>2620</v>
      </c>
      <c r="B1067" s="145" t="s">
        <v>2621</v>
      </c>
    </row>
    <row r="1068" spans="1:2">
      <c r="A1068" s="145" t="s">
        <v>2622</v>
      </c>
      <c r="B1068" s="145" t="s">
        <v>2623</v>
      </c>
    </row>
    <row r="1069" spans="1:2">
      <c r="A1069" s="145" t="s">
        <v>2624</v>
      </c>
      <c r="B1069" s="145" t="s">
        <v>2625</v>
      </c>
    </row>
    <row r="1070" spans="1:2">
      <c r="A1070" s="145" t="s">
        <v>2626</v>
      </c>
      <c r="B1070" s="145" t="s">
        <v>2627</v>
      </c>
    </row>
    <row r="1071" spans="1:2">
      <c r="A1071" s="145" t="s">
        <v>2628</v>
      </c>
      <c r="B1071" s="145" t="s">
        <v>2629</v>
      </c>
    </row>
    <row r="1072" spans="1:2">
      <c r="A1072" s="145" t="s">
        <v>2630</v>
      </c>
      <c r="B1072" s="145" t="s">
        <v>2631</v>
      </c>
    </row>
    <row r="1073" spans="1:2">
      <c r="A1073" s="145" t="s">
        <v>2632</v>
      </c>
      <c r="B1073" s="145" t="s">
        <v>2633</v>
      </c>
    </row>
    <row r="1074" spans="1:2">
      <c r="A1074" s="145" t="s">
        <v>2634</v>
      </c>
      <c r="B1074" s="145" t="s">
        <v>2635</v>
      </c>
    </row>
    <row r="1075" spans="1:2">
      <c r="A1075" s="145" t="s">
        <v>2636</v>
      </c>
      <c r="B1075" s="145" t="s">
        <v>2637</v>
      </c>
    </row>
    <row r="1076" spans="1:2">
      <c r="A1076" s="145" t="s">
        <v>2638</v>
      </c>
      <c r="B1076" s="145" t="s">
        <v>2639</v>
      </c>
    </row>
    <row r="1077" spans="1:2">
      <c r="A1077" s="145" t="s">
        <v>2640</v>
      </c>
      <c r="B1077" s="145" t="s">
        <v>2641</v>
      </c>
    </row>
    <row r="1078" spans="1:2">
      <c r="A1078" s="145" t="s">
        <v>2642</v>
      </c>
      <c r="B1078" s="145" t="s">
        <v>2643</v>
      </c>
    </row>
    <row r="1079" spans="1:2">
      <c r="A1079" s="145" t="s">
        <v>2644</v>
      </c>
      <c r="B1079" s="145" t="s">
        <v>2645</v>
      </c>
    </row>
    <row r="1080" spans="1:2">
      <c r="A1080" s="145" t="s">
        <v>2646</v>
      </c>
      <c r="B1080" s="145" t="s">
        <v>2647</v>
      </c>
    </row>
    <row r="1081" spans="1:2">
      <c r="A1081" s="145" t="s">
        <v>2648</v>
      </c>
      <c r="B1081" s="145" t="s">
        <v>2649</v>
      </c>
    </row>
    <row r="1082" spans="1:2">
      <c r="A1082" s="145" t="s">
        <v>2650</v>
      </c>
      <c r="B1082" s="145" t="s">
        <v>2651</v>
      </c>
    </row>
    <row r="1083" spans="1:2">
      <c r="A1083" s="145" t="s">
        <v>2652</v>
      </c>
      <c r="B1083" s="145" t="s">
        <v>2653</v>
      </c>
    </row>
    <row r="1084" spans="1:2">
      <c r="A1084" s="145" t="s">
        <v>2654</v>
      </c>
      <c r="B1084" s="145" t="s">
        <v>2655</v>
      </c>
    </row>
    <row r="1085" spans="1:2">
      <c r="A1085" s="145" t="s">
        <v>2656</v>
      </c>
      <c r="B1085" s="145" t="s">
        <v>2657</v>
      </c>
    </row>
    <row r="1086" spans="1:2">
      <c r="A1086" s="145" t="s">
        <v>2658</v>
      </c>
      <c r="B1086" s="145" t="s">
        <v>2659</v>
      </c>
    </row>
    <row r="1087" spans="1:2">
      <c r="A1087" s="145" t="s">
        <v>2660</v>
      </c>
      <c r="B1087" s="145" t="s">
        <v>2661</v>
      </c>
    </row>
    <row r="1088" spans="1:2">
      <c r="A1088" s="145" t="s">
        <v>2662</v>
      </c>
      <c r="B1088" s="145" t="s">
        <v>2663</v>
      </c>
    </row>
    <row r="1089" spans="1:2">
      <c r="A1089" s="145" t="s">
        <v>2664</v>
      </c>
      <c r="B1089" s="145" t="s">
        <v>2665</v>
      </c>
    </row>
    <row r="1090" spans="1:2">
      <c r="A1090" s="145" t="s">
        <v>2666</v>
      </c>
      <c r="B1090" s="145" t="s">
        <v>2667</v>
      </c>
    </row>
    <row r="1091" spans="1:2">
      <c r="A1091" s="145" t="s">
        <v>2668</v>
      </c>
      <c r="B1091" s="145" t="s">
        <v>2669</v>
      </c>
    </row>
    <row r="1092" spans="1:2">
      <c r="A1092" s="145" t="s">
        <v>2670</v>
      </c>
      <c r="B1092" s="145" t="s">
        <v>2671</v>
      </c>
    </row>
    <row r="1093" spans="1:2">
      <c r="A1093" s="145" t="s">
        <v>2672</v>
      </c>
      <c r="B1093" s="145" t="s">
        <v>2673</v>
      </c>
    </row>
    <row r="1094" spans="1:2">
      <c r="A1094" s="145" t="s">
        <v>2674</v>
      </c>
      <c r="B1094" s="145" t="s">
        <v>2675</v>
      </c>
    </row>
    <row r="1095" spans="1:2">
      <c r="A1095" s="145" t="s">
        <v>2676</v>
      </c>
      <c r="B1095" s="145" t="s">
        <v>2677</v>
      </c>
    </row>
    <row r="1096" spans="1:2">
      <c r="A1096" s="145" t="s">
        <v>2678</v>
      </c>
      <c r="B1096" s="145" t="s">
        <v>2679</v>
      </c>
    </row>
    <row r="1097" spans="1:2">
      <c r="A1097" s="145" t="s">
        <v>2680</v>
      </c>
      <c r="B1097" s="145" t="s">
        <v>2681</v>
      </c>
    </row>
    <row r="1098" spans="1:2">
      <c r="A1098" s="145" t="s">
        <v>2682</v>
      </c>
      <c r="B1098" s="145" t="s">
        <v>2683</v>
      </c>
    </row>
    <row r="1099" spans="1:2">
      <c r="A1099" s="145" t="s">
        <v>2684</v>
      </c>
      <c r="B1099" s="145" t="s">
        <v>2685</v>
      </c>
    </row>
    <row r="1100" spans="1:2">
      <c r="A1100" s="145" t="s">
        <v>2686</v>
      </c>
      <c r="B1100" s="145" t="s">
        <v>2687</v>
      </c>
    </row>
    <row r="1101" spans="1:2">
      <c r="A1101" s="145" t="s">
        <v>2688</v>
      </c>
      <c r="B1101" s="145" t="s">
        <v>2689</v>
      </c>
    </row>
    <row r="1102" spans="1:2">
      <c r="A1102" s="145" t="s">
        <v>2690</v>
      </c>
      <c r="B1102" s="145" t="s">
        <v>2691</v>
      </c>
    </row>
    <row r="1103" spans="1:2">
      <c r="A1103" s="145" t="s">
        <v>2692</v>
      </c>
      <c r="B1103" s="145" t="s">
        <v>2693</v>
      </c>
    </row>
    <row r="1104" spans="1:2">
      <c r="A1104" s="145" t="s">
        <v>2694</v>
      </c>
      <c r="B1104" s="145" t="s">
        <v>2695</v>
      </c>
    </row>
    <row r="1105" spans="1:2">
      <c r="A1105" s="145" t="s">
        <v>2696</v>
      </c>
      <c r="B1105" s="145" t="s">
        <v>2697</v>
      </c>
    </row>
    <row r="1106" spans="1:2">
      <c r="A1106" s="145" t="s">
        <v>2698</v>
      </c>
      <c r="B1106" s="145" t="s">
        <v>2699</v>
      </c>
    </row>
    <row r="1107" spans="1:2">
      <c r="A1107" s="145" t="s">
        <v>2700</v>
      </c>
      <c r="B1107" s="145" t="s">
        <v>2701</v>
      </c>
    </row>
    <row r="1108" spans="1:2">
      <c r="A1108" s="145" t="s">
        <v>2702</v>
      </c>
      <c r="B1108" s="145" t="s">
        <v>2703</v>
      </c>
    </row>
    <row r="1109" spans="1:2">
      <c r="A1109" s="145" t="s">
        <v>2704</v>
      </c>
      <c r="B1109" s="145" t="s">
        <v>2705</v>
      </c>
    </row>
    <row r="1110" spans="1:2">
      <c r="A1110" s="145" t="s">
        <v>2706</v>
      </c>
      <c r="B1110" s="145" t="s">
        <v>2707</v>
      </c>
    </row>
    <row r="1111" spans="1:2">
      <c r="A1111" s="145" t="s">
        <v>2708</v>
      </c>
      <c r="B1111" s="145" t="s">
        <v>2709</v>
      </c>
    </row>
    <row r="1112" spans="1:2">
      <c r="A1112" s="145" t="s">
        <v>2710</v>
      </c>
      <c r="B1112" s="145" t="s">
        <v>2711</v>
      </c>
    </row>
    <row r="1113" spans="1:2">
      <c r="A1113" s="145" t="s">
        <v>2712</v>
      </c>
      <c r="B1113" s="145" t="s">
        <v>2713</v>
      </c>
    </row>
    <row r="1114" spans="1:2">
      <c r="A1114" s="145" t="s">
        <v>2714</v>
      </c>
      <c r="B1114" s="145" t="s">
        <v>2715</v>
      </c>
    </row>
    <row r="1115" spans="1:2">
      <c r="A1115" s="145" t="s">
        <v>2716</v>
      </c>
      <c r="B1115" s="145" t="s">
        <v>2717</v>
      </c>
    </row>
    <row r="1116" spans="1:2">
      <c r="A1116" s="145" t="s">
        <v>2718</v>
      </c>
      <c r="B1116" s="145" t="s">
        <v>2719</v>
      </c>
    </row>
    <row r="1117" spans="1:2">
      <c r="A1117" s="145" t="s">
        <v>2720</v>
      </c>
      <c r="B1117" s="145" t="s">
        <v>2721</v>
      </c>
    </row>
    <row r="1118" spans="1:2">
      <c r="A1118" s="145" t="s">
        <v>2722</v>
      </c>
      <c r="B1118" s="145" t="s">
        <v>2723</v>
      </c>
    </row>
    <row r="1119" spans="1:2">
      <c r="A1119" s="145" t="s">
        <v>2724</v>
      </c>
      <c r="B1119" s="145" t="s">
        <v>2725</v>
      </c>
    </row>
    <row r="1120" spans="1:2">
      <c r="A1120" s="145" t="s">
        <v>2726</v>
      </c>
      <c r="B1120" s="145" t="s">
        <v>2727</v>
      </c>
    </row>
    <row r="1121" spans="1:2">
      <c r="A1121" s="145" t="s">
        <v>2728</v>
      </c>
      <c r="B1121" s="145" t="s">
        <v>2729</v>
      </c>
    </row>
    <row r="1122" spans="1:2">
      <c r="A1122" s="145" t="s">
        <v>2730</v>
      </c>
      <c r="B1122" s="145" t="s">
        <v>2731</v>
      </c>
    </row>
    <row r="1123" spans="1:2">
      <c r="A1123" s="145" t="s">
        <v>2732</v>
      </c>
      <c r="B1123" s="145" t="s">
        <v>2733</v>
      </c>
    </row>
    <row r="1124" spans="1:2">
      <c r="A1124" s="145" t="s">
        <v>2734</v>
      </c>
      <c r="B1124" s="145" t="s">
        <v>2735</v>
      </c>
    </row>
    <row r="1125" spans="1:2">
      <c r="A1125" s="145" t="s">
        <v>2736</v>
      </c>
      <c r="B1125" s="145" t="s">
        <v>2737</v>
      </c>
    </row>
    <row r="1126" spans="1:2">
      <c r="A1126" s="145" t="s">
        <v>2738</v>
      </c>
      <c r="B1126" s="145" t="s">
        <v>2739</v>
      </c>
    </row>
    <row r="1127" spans="1:2">
      <c r="A1127" s="145" t="s">
        <v>2740</v>
      </c>
      <c r="B1127" s="145" t="s">
        <v>2741</v>
      </c>
    </row>
    <row r="1128" spans="1:2">
      <c r="A1128" s="145" t="s">
        <v>2742</v>
      </c>
      <c r="B1128" s="145" t="s">
        <v>2743</v>
      </c>
    </row>
    <row r="1129" spans="1:2">
      <c r="A1129" s="145" t="s">
        <v>2744</v>
      </c>
      <c r="B1129" s="145" t="s">
        <v>2745</v>
      </c>
    </row>
    <row r="1130" spans="1:2">
      <c r="A1130" s="145" t="s">
        <v>2746</v>
      </c>
      <c r="B1130" s="145" t="s">
        <v>2747</v>
      </c>
    </row>
    <row r="1131" spans="1:2">
      <c r="A1131" s="145" t="s">
        <v>2748</v>
      </c>
      <c r="B1131" s="145" t="s">
        <v>2749</v>
      </c>
    </row>
    <row r="1132" spans="1:2">
      <c r="A1132" s="145" t="s">
        <v>2750</v>
      </c>
      <c r="B1132" s="145" t="s">
        <v>2751</v>
      </c>
    </row>
    <row r="1133" spans="1:2">
      <c r="A1133" s="145" t="s">
        <v>2752</v>
      </c>
      <c r="B1133" s="145" t="s">
        <v>2753</v>
      </c>
    </row>
    <row r="1134" spans="1:2">
      <c r="A1134" s="145" t="s">
        <v>2754</v>
      </c>
      <c r="B1134" s="145" t="s">
        <v>2755</v>
      </c>
    </row>
    <row r="1135" spans="1:2">
      <c r="A1135" s="145" t="s">
        <v>2756</v>
      </c>
      <c r="B1135" s="145" t="s">
        <v>2757</v>
      </c>
    </row>
    <row r="1136" spans="1:2">
      <c r="A1136" s="145" t="s">
        <v>2758</v>
      </c>
      <c r="B1136" s="145" t="s">
        <v>2759</v>
      </c>
    </row>
    <row r="1137" spans="1:2">
      <c r="A1137" s="145" t="s">
        <v>2760</v>
      </c>
      <c r="B1137" s="145" t="s">
        <v>2761</v>
      </c>
    </row>
    <row r="1138" spans="1:2">
      <c r="A1138" s="145" t="s">
        <v>2762</v>
      </c>
      <c r="B1138" s="145" t="s">
        <v>2763</v>
      </c>
    </row>
    <row r="1139" spans="1:2">
      <c r="A1139" s="145" t="s">
        <v>2764</v>
      </c>
      <c r="B1139" s="145" t="s">
        <v>2765</v>
      </c>
    </row>
    <row r="1140" spans="1:2">
      <c r="A1140" s="145" t="s">
        <v>2766</v>
      </c>
      <c r="B1140" s="145" t="s">
        <v>2767</v>
      </c>
    </row>
    <row r="1141" spans="1:2">
      <c r="A1141" s="145" t="s">
        <v>2768</v>
      </c>
      <c r="B1141" s="145" t="s">
        <v>2769</v>
      </c>
    </row>
    <row r="1142" spans="1:2">
      <c r="A1142" s="145" t="s">
        <v>2770</v>
      </c>
      <c r="B1142" s="145" t="s">
        <v>2771</v>
      </c>
    </row>
    <row r="1143" spans="1:2">
      <c r="A1143" s="145" t="s">
        <v>2772</v>
      </c>
      <c r="B1143" s="145" t="s">
        <v>2773</v>
      </c>
    </row>
    <row r="1144" spans="1:2">
      <c r="A1144" s="145" t="s">
        <v>2774</v>
      </c>
      <c r="B1144" s="145" t="s">
        <v>2775</v>
      </c>
    </row>
    <row r="1145" spans="1:2">
      <c r="A1145" s="145" t="s">
        <v>2776</v>
      </c>
      <c r="B1145" s="145" t="s">
        <v>2777</v>
      </c>
    </row>
    <row r="1146" spans="1:2">
      <c r="A1146" s="145" t="s">
        <v>2778</v>
      </c>
      <c r="B1146" s="145" t="s">
        <v>2779</v>
      </c>
    </row>
    <row r="1147" spans="1:2">
      <c r="A1147" s="145" t="s">
        <v>2780</v>
      </c>
      <c r="B1147" s="145" t="s">
        <v>2781</v>
      </c>
    </row>
    <row r="1148" spans="1:2">
      <c r="A1148" s="145" t="s">
        <v>2782</v>
      </c>
      <c r="B1148" s="145" t="s">
        <v>2783</v>
      </c>
    </row>
    <row r="1149" spans="1:2">
      <c r="A1149" s="145" t="s">
        <v>2784</v>
      </c>
      <c r="B1149" s="145" t="s">
        <v>2785</v>
      </c>
    </row>
    <row r="1150" spans="1:2">
      <c r="A1150" s="145" t="s">
        <v>2786</v>
      </c>
      <c r="B1150" s="145" t="s">
        <v>2787</v>
      </c>
    </row>
    <row r="1151" spans="1:2">
      <c r="A1151" s="145" t="s">
        <v>2788</v>
      </c>
      <c r="B1151" s="145" t="s">
        <v>2789</v>
      </c>
    </row>
    <row r="1152" spans="1:2">
      <c r="A1152" s="145" t="s">
        <v>2790</v>
      </c>
      <c r="B1152" s="145" t="s">
        <v>2791</v>
      </c>
    </row>
    <row r="1153" spans="1:2">
      <c r="A1153" s="145" t="s">
        <v>2792</v>
      </c>
      <c r="B1153" s="145" t="s">
        <v>2793</v>
      </c>
    </row>
    <row r="1154" spans="1:2">
      <c r="A1154" s="145" t="s">
        <v>2794</v>
      </c>
      <c r="B1154" s="145" t="s">
        <v>2795</v>
      </c>
    </row>
    <row r="1155" spans="1:2">
      <c r="A1155" s="145" t="s">
        <v>2796</v>
      </c>
      <c r="B1155" s="145" t="s">
        <v>2797</v>
      </c>
    </row>
    <row r="1156" spans="1:2">
      <c r="A1156" s="145" t="s">
        <v>2798</v>
      </c>
      <c r="B1156" s="145" t="s">
        <v>2799</v>
      </c>
    </row>
    <row r="1157" spans="1:2">
      <c r="A1157" s="145" t="s">
        <v>2800</v>
      </c>
      <c r="B1157" s="145" t="s">
        <v>2801</v>
      </c>
    </row>
    <row r="1158" spans="1:2">
      <c r="A1158" s="145" t="s">
        <v>2802</v>
      </c>
      <c r="B1158" s="145" t="s">
        <v>2803</v>
      </c>
    </row>
    <row r="1159" spans="1:2">
      <c r="A1159" s="145" t="s">
        <v>2804</v>
      </c>
      <c r="B1159" s="145" t="s">
        <v>2805</v>
      </c>
    </row>
    <row r="1160" spans="1:2">
      <c r="A1160" s="145" t="s">
        <v>2806</v>
      </c>
      <c r="B1160" s="145" t="s">
        <v>2807</v>
      </c>
    </row>
    <row r="1161" spans="1:2">
      <c r="A1161" s="145" t="s">
        <v>2808</v>
      </c>
      <c r="B1161" s="145" t="s">
        <v>2809</v>
      </c>
    </row>
    <row r="1162" spans="1:2">
      <c r="A1162" s="145" t="s">
        <v>2810</v>
      </c>
      <c r="B1162" s="145" t="s">
        <v>2811</v>
      </c>
    </row>
    <row r="1163" spans="1:2">
      <c r="A1163" s="145" t="s">
        <v>2812</v>
      </c>
      <c r="B1163" s="145" t="s">
        <v>2813</v>
      </c>
    </row>
    <row r="1164" spans="1:2">
      <c r="A1164" s="145" t="s">
        <v>2814</v>
      </c>
      <c r="B1164" s="145" t="s">
        <v>2815</v>
      </c>
    </row>
    <row r="1165" spans="1:2">
      <c r="A1165" s="145" t="s">
        <v>2816</v>
      </c>
      <c r="B1165" s="145" t="s">
        <v>2817</v>
      </c>
    </row>
    <row r="1166" spans="1:2">
      <c r="A1166" s="145" t="s">
        <v>2818</v>
      </c>
      <c r="B1166" s="145" t="s">
        <v>2819</v>
      </c>
    </row>
    <row r="1167" spans="1:2">
      <c r="A1167" s="145" t="s">
        <v>2820</v>
      </c>
      <c r="B1167" s="145" t="s">
        <v>2821</v>
      </c>
    </row>
    <row r="1168" spans="1:2">
      <c r="A1168" s="145" t="s">
        <v>2822</v>
      </c>
      <c r="B1168" s="145" t="s">
        <v>2823</v>
      </c>
    </row>
    <row r="1169" spans="1:2">
      <c r="A1169" s="145" t="s">
        <v>2824</v>
      </c>
      <c r="B1169" s="145" t="s">
        <v>2825</v>
      </c>
    </row>
    <row r="1170" spans="1:2">
      <c r="A1170" s="145" t="s">
        <v>2826</v>
      </c>
      <c r="B1170" s="145" t="s">
        <v>2827</v>
      </c>
    </row>
    <row r="1171" spans="1:2">
      <c r="A1171" s="145" t="s">
        <v>2828</v>
      </c>
      <c r="B1171" s="145" t="s">
        <v>2829</v>
      </c>
    </row>
    <row r="1172" spans="1:2">
      <c r="A1172" s="145" t="s">
        <v>2830</v>
      </c>
      <c r="B1172" s="145" t="s">
        <v>2831</v>
      </c>
    </row>
    <row r="1173" spans="1:2">
      <c r="A1173" s="145" t="s">
        <v>2832</v>
      </c>
      <c r="B1173" s="145" t="s">
        <v>2833</v>
      </c>
    </row>
    <row r="1174" spans="1:2">
      <c r="A1174" s="145" t="s">
        <v>2834</v>
      </c>
      <c r="B1174" s="145" t="s">
        <v>2835</v>
      </c>
    </row>
    <row r="1175" spans="1:2">
      <c r="A1175" s="145" t="s">
        <v>2836</v>
      </c>
      <c r="B1175" s="145" t="s">
        <v>2837</v>
      </c>
    </row>
    <row r="1176" spans="1:2">
      <c r="A1176" s="145" t="s">
        <v>2838</v>
      </c>
      <c r="B1176" s="145" t="s">
        <v>2839</v>
      </c>
    </row>
    <row r="1177" spans="1:2">
      <c r="A1177" s="145" t="s">
        <v>2840</v>
      </c>
      <c r="B1177" s="145" t="s">
        <v>2841</v>
      </c>
    </row>
    <row r="1178" spans="1:2">
      <c r="A1178" s="145" t="s">
        <v>2842</v>
      </c>
      <c r="B1178" s="145" t="s">
        <v>2843</v>
      </c>
    </row>
    <row r="1179" spans="1:2">
      <c r="A1179" s="145" t="s">
        <v>2844</v>
      </c>
      <c r="B1179" s="145" t="s">
        <v>2845</v>
      </c>
    </row>
    <row r="1180" spans="1:2">
      <c r="A1180" s="145" t="s">
        <v>2846</v>
      </c>
      <c r="B1180" s="145" t="s">
        <v>2847</v>
      </c>
    </row>
    <row r="1181" spans="1:2">
      <c r="A1181" s="145" t="s">
        <v>2848</v>
      </c>
      <c r="B1181" s="145" t="s">
        <v>2849</v>
      </c>
    </row>
    <row r="1182" spans="1:2">
      <c r="A1182" s="145" t="s">
        <v>2850</v>
      </c>
      <c r="B1182" s="145" t="s">
        <v>2851</v>
      </c>
    </row>
    <row r="1183" spans="1:2">
      <c r="A1183" s="145" t="s">
        <v>2852</v>
      </c>
      <c r="B1183" s="145" t="s">
        <v>2853</v>
      </c>
    </row>
    <row r="1184" spans="1:2">
      <c r="A1184" s="145" t="s">
        <v>2854</v>
      </c>
      <c r="B1184" s="145" t="s">
        <v>2855</v>
      </c>
    </row>
    <row r="1185" spans="1:2">
      <c r="A1185" s="145" t="s">
        <v>2856</v>
      </c>
      <c r="B1185" s="145" t="s">
        <v>2857</v>
      </c>
    </row>
    <row r="1186" spans="1:2">
      <c r="A1186" s="145" t="s">
        <v>2858</v>
      </c>
      <c r="B1186" s="145" t="s">
        <v>2859</v>
      </c>
    </row>
    <row r="1187" spans="1:2">
      <c r="A1187" s="145" t="s">
        <v>2860</v>
      </c>
      <c r="B1187" s="145" t="s">
        <v>2861</v>
      </c>
    </row>
    <row r="1188" spans="1:2">
      <c r="A1188" s="145" t="s">
        <v>2862</v>
      </c>
      <c r="B1188" s="145" t="s">
        <v>2863</v>
      </c>
    </row>
    <row r="1189" spans="1:2">
      <c r="A1189" s="145" t="s">
        <v>2864</v>
      </c>
      <c r="B1189" s="145" t="s">
        <v>2865</v>
      </c>
    </row>
    <row r="1190" spans="1:2">
      <c r="A1190" s="145" t="s">
        <v>2866</v>
      </c>
      <c r="B1190" s="145" t="s">
        <v>2867</v>
      </c>
    </row>
    <row r="1191" spans="1:2">
      <c r="A1191" s="145" t="s">
        <v>2868</v>
      </c>
      <c r="B1191" s="145" t="s">
        <v>2869</v>
      </c>
    </row>
    <row r="1192" spans="1:2">
      <c r="A1192" s="145" t="s">
        <v>2870</v>
      </c>
      <c r="B1192" s="145" t="s">
        <v>2871</v>
      </c>
    </row>
    <row r="1193" spans="1:2">
      <c r="A1193" s="145" t="s">
        <v>2872</v>
      </c>
      <c r="B1193" s="145" t="s">
        <v>2873</v>
      </c>
    </row>
    <row r="1194" spans="1:2">
      <c r="A1194" s="145" t="s">
        <v>2874</v>
      </c>
      <c r="B1194" s="145" t="s">
        <v>2875</v>
      </c>
    </row>
    <row r="1195" spans="1:2">
      <c r="A1195" s="145" t="s">
        <v>2876</v>
      </c>
      <c r="B1195" s="145" t="s">
        <v>2877</v>
      </c>
    </row>
    <row r="1196" spans="1:2">
      <c r="A1196" s="145" t="s">
        <v>2878</v>
      </c>
      <c r="B1196" s="145" t="s">
        <v>2879</v>
      </c>
    </row>
    <row r="1197" spans="1:2">
      <c r="A1197" s="145" t="s">
        <v>2880</v>
      </c>
      <c r="B1197" s="145" t="s">
        <v>2881</v>
      </c>
    </row>
    <row r="1198" spans="1:2">
      <c r="A1198" s="145" t="s">
        <v>2882</v>
      </c>
      <c r="B1198" s="145" t="s">
        <v>2883</v>
      </c>
    </row>
    <row r="1199" spans="1:2">
      <c r="A1199" s="145" t="s">
        <v>2884</v>
      </c>
      <c r="B1199" s="145" t="s">
        <v>2885</v>
      </c>
    </row>
    <row r="1200" spans="1:2">
      <c r="A1200" s="145" t="s">
        <v>2886</v>
      </c>
      <c r="B1200" s="145" t="s">
        <v>2887</v>
      </c>
    </row>
    <row r="1201" spans="1:2">
      <c r="A1201" s="145" t="s">
        <v>2888</v>
      </c>
      <c r="B1201" s="145" t="s">
        <v>2889</v>
      </c>
    </row>
    <row r="1202" spans="1:2">
      <c r="A1202" s="145" t="s">
        <v>2890</v>
      </c>
      <c r="B1202" s="145" t="s">
        <v>2891</v>
      </c>
    </row>
    <row r="1203" spans="1:2">
      <c r="A1203" s="145" t="s">
        <v>2892</v>
      </c>
      <c r="B1203" s="145" t="s">
        <v>2893</v>
      </c>
    </row>
    <row r="1204" spans="1:2">
      <c r="A1204" s="145" t="s">
        <v>2894</v>
      </c>
      <c r="B1204" s="145" t="s">
        <v>2895</v>
      </c>
    </row>
    <row r="1205" spans="1:2">
      <c r="A1205" s="145" t="s">
        <v>2896</v>
      </c>
      <c r="B1205" s="145" t="s">
        <v>2897</v>
      </c>
    </row>
    <row r="1206" spans="1:2">
      <c r="A1206" s="145" t="s">
        <v>2898</v>
      </c>
      <c r="B1206" s="145" t="s">
        <v>2899</v>
      </c>
    </row>
    <row r="1207" spans="1:2">
      <c r="A1207" s="145" t="s">
        <v>2900</v>
      </c>
      <c r="B1207" s="145" t="s">
        <v>2901</v>
      </c>
    </row>
    <row r="1208" spans="1:2">
      <c r="A1208" s="145" t="s">
        <v>2902</v>
      </c>
      <c r="B1208" s="145" t="s">
        <v>2903</v>
      </c>
    </row>
    <row r="1209" spans="1:2">
      <c r="A1209" s="145" t="s">
        <v>2904</v>
      </c>
      <c r="B1209" s="145" t="s">
        <v>2905</v>
      </c>
    </row>
    <row r="1210" spans="1:2">
      <c r="A1210" s="145" t="s">
        <v>2906</v>
      </c>
      <c r="B1210" s="145" t="s">
        <v>2907</v>
      </c>
    </row>
    <row r="1211" spans="1:2">
      <c r="A1211" s="145" t="s">
        <v>2908</v>
      </c>
      <c r="B1211" s="145" t="s">
        <v>2909</v>
      </c>
    </row>
    <row r="1212" spans="1:2">
      <c r="A1212" s="145" t="s">
        <v>2910</v>
      </c>
      <c r="B1212" s="145" t="s">
        <v>2911</v>
      </c>
    </row>
    <row r="1213" spans="1:2">
      <c r="A1213" s="145" t="s">
        <v>2912</v>
      </c>
      <c r="B1213" s="145" t="s">
        <v>2913</v>
      </c>
    </row>
    <row r="1214" spans="1:2">
      <c r="A1214" s="145" t="s">
        <v>2914</v>
      </c>
      <c r="B1214" s="145" t="s">
        <v>2915</v>
      </c>
    </row>
    <row r="1215" spans="1:2">
      <c r="A1215" s="145" t="s">
        <v>2916</v>
      </c>
      <c r="B1215" s="145" t="s">
        <v>2917</v>
      </c>
    </row>
    <row r="1216" spans="1:2">
      <c r="A1216" s="145" t="s">
        <v>2918</v>
      </c>
      <c r="B1216" s="145" t="s">
        <v>2919</v>
      </c>
    </row>
    <row r="1217" spans="1:2">
      <c r="A1217" s="145" t="s">
        <v>2920</v>
      </c>
      <c r="B1217" s="145" t="s">
        <v>2921</v>
      </c>
    </row>
    <row r="1218" spans="1:2">
      <c r="A1218" s="145" t="s">
        <v>2922</v>
      </c>
      <c r="B1218" s="145" t="s">
        <v>2923</v>
      </c>
    </row>
    <row r="1219" spans="1:2">
      <c r="A1219" s="145" t="s">
        <v>2924</v>
      </c>
      <c r="B1219" s="145" t="s">
        <v>2925</v>
      </c>
    </row>
    <row r="1220" spans="1:2">
      <c r="A1220" s="145" t="s">
        <v>2926</v>
      </c>
      <c r="B1220" s="145" t="s">
        <v>2927</v>
      </c>
    </row>
    <row r="1221" spans="1:2">
      <c r="A1221" s="145" t="s">
        <v>2928</v>
      </c>
      <c r="B1221" s="145" t="s">
        <v>2929</v>
      </c>
    </row>
    <row r="1222" spans="1:2">
      <c r="A1222" s="145" t="s">
        <v>2930</v>
      </c>
      <c r="B1222" s="145" t="s">
        <v>2931</v>
      </c>
    </row>
    <row r="1223" spans="1:2">
      <c r="A1223" s="145" t="s">
        <v>2932</v>
      </c>
      <c r="B1223" s="145" t="s">
        <v>2933</v>
      </c>
    </row>
    <row r="1224" spans="1:2">
      <c r="A1224" s="145" t="s">
        <v>2934</v>
      </c>
      <c r="B1224" s="145" t="s">
        <v>2935</v>
      </c>
    </row>
    <row r="1225" spans="1:2">
      <c r="A1225" s="145" t="s">
        <v>2936</v>
      </c>
      <c r="B1225" s="145" t="s">
        <v>2937</v>
      </c>
    </row>
    <row r="1226" spans="1:2">
      <c r="A1226" s="145" t="s">
        <v>2938</v>
      </c>
      <c r="B1226" s="145" t="s">
        <v>2939</v>
      </c>
    </row>
    <row r="1227" spans="1:2">
      <c r="A1227" s="145" t="s">
        <v>2940</v>
      </c>
      <c r="B1227" s="145" t="s">
        <v>2941</v>
      </c>
    </row>
    <row r="1228" spans="1:2">
      <c r="A1228" s="145" t="s">
        <v>2942</v>
      </c>
      <c r="B1228" s="145" t="s">
        <v>2943</v>
      </c>
    </row>
    <row r="1229" spans="1:2">
      <c r="A1229" s="145" t="s">
        <v>2944</v>
      </c>
      <c r="B1229" s="145" t="s">
        <v>2945</v>
      </c>
    </row>
    <row r="1230" spans="1:2">
      <c r="A1230" s="145" t="s">
        <v>2946</v>
      </c>
      <c r="B1230" s="145" t="s">
        <v>2947</v>
      </c>
    </row>
    <row r="1231" spans="1:2">
      <c r="A1231" s="145" t="s">
        <v>2948</v>
      </c>
      <c r="B1231" s="145" t="s">
        <v>2949</v>
      </c>
    </row>
    <row r="1232" spans="1:2">
      <c r="A1232" s="145" t="s">
        <v>2950</v>
      </c>
      <c r="B1232" s="145" t="s">
        <v>2951</v>
      </c>
    </row>
    <row r="1233" spans="1:2">
      <c r="A1233" s="145" t="s">
        <v>2952</v>
      </c>
      <c r="B1233" s="145" t="s">
        <v>2953</v>
      </c>
    </row>
    <row r="1234" spans="1:2">
      <c r="A1234" s="145" t="s">
        <v>2954</v>
      </c>
      <c r="B1234" s="145" t="s">
        <v>2955</v>
      </c>
    </row>
    <row r="1235" spans="1:2">
      <c r="A1235" s="145" t="s">
        <v>2956</v>
      </c>
      <c r="B1235" s="145" t="s">
        <v>2957</v>
      </c>
    </row>
    <row r="1236" spans="1:2">
      <c r="A1236" s="145" t="s">
        <v>2958</v>
      </c>
      <c r="B1236" s="145" t="s">
        <v>2959</v>
      </c>
    </row>
    <row r="1237" spans="1:2">
      <c r="A1237" s="145" t="s">
        <v>2960</v>
      </c>
      <c r="B1237" s="145" t="s">
        <v>2961</v>
      </c>
    </row>
    <row r="1238" spans="1:2">
      <c r="A1238" s="145" t="s">
        <v>2962</v>
      </c>
      <c r="B1238" s="145" t="s">
        <v>2963</v>
      </c>
    </row>
    <row r="1239" spans="1:2">
      <c r="A1239" s="145" t="s">
        <v>2964</v>
      </c>
      <c r="B1239" s="145" t="s">
        <v>2965</v>
      </c>
    </row>
    <row r="1240" spans="1:2">
      <c r="A1240" s="145" t="s">
        <v>2966</v>
      </c>
      <c r="B1240" s="145" t="s">
        <v>2967</v>
      </c>
    </row>
    <row r="1241" spans="1:2">
      <c r="A1241" s="145" t="s">
        <v>2968</v>
      </c>
      <c r="B1241" s="145" t="s">
        <v>2969</v>
      </c>
    </row>
    <row r="1242" spans="1:2">
      <c r="A1242" s="145" t="s">
        <v>2970</v>
      </c>
      <c r="B1242" s="145" t="s">
        <v>2971</v>
      </c>
    </row>
    <row r="1243" spans="1:2">
      <c r="A1243" s="145" t="s">
        <v>2972</v>
      </c>
      <c r="B1243" s="145" t="s">
        <v>2973</v>
      </c>
    </row>
    <row r="1244" spans="1:2">
      <c r="A1244" s="145" t="s">
        <v>2974</v>
      </c>
      <c r="B1244" s="145" t="s">
        <v>2975</v>
      </c>
    </row>
    <row r="1245" spans="1:2">
      <c r="A1245" s="145" t="s">
        <v>2976</v>
      </c>
      <c r="B1245" s="145" t="s">
        <v>2977</v>
      </c>
    </row>
    <row r="1246" spans="1:2">
      <c r="A1246" s="145" t="s">
        <v>2978</v>
      </c>
      <c r="B1246" s="145" t="s">
        <v>2979</v>
      </c>
    </row>
    <row r="1247" spans="1:2">
      <c r="A1247" s="145" t="s">
        <v>2980</v>
      </c>
      <c r="B1247" s="145" t="s">
        <v>2981</v>
      </c>
    </row>
    <row r="1248" spans="1:2">
      <c r="A1248" s="145" t="s">
        <v>2982</v>
      </c>
      <c r="B1248" s="145" t="s">
        <v>2983</v>
      </c>
    </row>
    <row r="1249" spans="1:2">
      <c r="A1249" s="145" t="s">
        <v>2984</v>
      </c>
      <c r="B1249" s="145" t="s">
        <v>2985</v>
      </c>
    </row>
    <row r="1250" spans="1:2">
      <c r="A1250" s="145" t="s">
        <v>2986</v>
      </c>
      <c r="B1250" s="145" t="s">
        <v>2987</v>
      </c>
    </row>
    <row r="1251" spans="1:2">
      <c r="A1251" s="145" t="s">
        <v>2988</v>
      </c>
      <c r="B1251" s="145" t="s">
        <v>2989</v>
      </c>
    </row>
    <row r="1252" spans="1:2">
      <c r="A1252" s="145" t="s">
        <v>2990</v>
      </c>
      <c r="B1252" s="145" t="s">
        <v>2991</v>
      </c>
    </row>
    <row r="1253" spans="1:2">
      <c r="A1253" s="145" t="s">
        <v>2992</v>
      </c>
      <c r="B1253" s="145" t="s">
        <v>2993</v>
      </c>
    </row>
    <row r="1254" spans="1:2">
      <c r="A1254" s="145" t="s">
        <v>2994</v>
      </c>
      <c r="B1254" s="145" t="s">
        <v>2995</v>
      </c>
    </row>
    <row r="1255" spans="1:2">
      <c r="A1255" s="145" t="s">
        <v>2996</v>
      </c>
      <c r="B1255" s="145" t="s">
        <v>2997</v>
      </c>
    </row>
    <row r="1256" spans="1:2">
      <c r="A1256" s="145" t="s">
        <v>2998</v>
      </c>
      <c r="B1256" s="145" t="s">
        <v>2999</v>
      </c>
    </row>
    <row r="1257" spans="1:2">
      <c r="A1257" s="145" t="s">
        <v>3000</v>
      </c>
      <c r="B1257" s="145" t="s">
        <v>3001</v>
      </c>
    </row>
    <row r="1258" spans="1:2">
      <c r="A1258" s="145" t="s">
        <v>3002</v>
      </c>
      <c r="B1258" s="145" t="s">
        <v>3003</v>
      </c>
    </row>
    <row r="1259" spans="1:2">
      <c r="A1259" s="145" t="s">
        <v>3004</v>
      </c>
      <c r="B1259" s="145" t="s">
        <v>3005</v>
      </c>
    </row>
    <row r="1260" spans="1:2">
      <c r="A1260" s="145" t="s">
        <v>3006</v>
      </c>
      <c r="B1260" s="145" t="s">
        <v>3007</v>
      </c>
    </row>
    <row r="1261" spans="1:2">
      <c r="A1261" s="145" t="s">
        <v>3008</v>
      </c>
      <c r="B1261" s="145" t="s">
        <v>3009</v>
      </c>
    </row>
    <row r="1262" spans="1:2">
      <c r="A1262" s="145" t="s">
        <v>3010</v>
      </c>
      <c r="B1262" s="145" t="s">
        <v>262</v>
      </c>
    </row>
    <row r="1263" spans="1:2">
      <c r="A1263" s="145" t="s">
        <v>3011</v>
      </c>
      <c r="B1263" s="145" t="s">
        <v>3012</v>
      </c>
    </row>
    <row r="1264" spans="1:2">
      <c r="A1264" s="145" t="s">
        <v>3013</v>
      </c>
      <c r="B1264" s="145" t="s">
        <v>3014</v>
      </c>
    </row>
    <row r="1265" spans="1:2">
      <c r="A1265" s="145" t="s">
        <v>3015</v>
      </c>
      <c r="B1265" s="145" t="s">
        <v>3016</v>
      </c>
    </row>
    <row r="1266" spans="1:2">
      <c r="A1266" s="145" t="s">
        <v>3017</v>
      </c>
      <c r="B1266" s="145" t="s">
        <v>3018</v>
      </c>
    </row>
    <row r="1267" spans="1:2">
      <c r="A1267" s="145" t="s">
        <v>3019</v>
      </c>
      <c r="B1267" s="145" t="s">
        <v>3020</v>
      </c>
    </row>
    <row r="1268" spans="1:2">
      <c r="A1268" s="145" t="s">
        <v>3021</v>
      </c>
      <c r="B1268" s="145" t="s">
        <v>3022</v>
      </c>
    </row>
    <row r="1269" spans="1:2">
      <c r="A1269" s="145" t="s">
        <v>3023</v>
      </c>
      <c r="B1269" s="145" t="s">
        <v>267</v>
      </c>
    </row>
    <row r="1270" spans="1:2">
      <c r="A1270" s="145" t="s">
        <v>3024</v>
      </c>
      <c r="B1270" s="145" t="s">
        <v>3025</v>
      </c>
    </row>
    <row r="1271" spans="1:2">
      <c r="A1271" s="145" t="s">
        <v>3026</v>
      </c>
      <c r="B1271" s="145" t="s">
        <v>3027</v>
      </c>
    </row>
    <row r="1272" spans="1:2">
      <c r="A1272" s="145" t="s">
        <v>3028</v>
      </c>
      <c r="B1272" s="145" t="s">
        <v>3029</v>
      </c>
    </row>
    <row r="1273" spans="1:2">
      <c r="A1273" s="145" t="s">
        <v>3030</v>
      </c>
      <c r="B1273" s="145" t="s">
        <v>3031</v>
      </c>
    </row>
    <row r="1274" spans="1:2">
      <c r="A1274" s="145" t="s">
        <v>3032</v>
      </c>
      <c r="B1274" s="145" t="s">
        <v>3033</v>
      </c>
    </row>
    <row r="1275" spans="1:2">
      <c r="A1275" s="145" t="s">
        <v>3034</v>
      </c>
      <c r="B1275" s="145" t="s">
        <v>3035</v>
      </c>
    </row>
    <row r="1276" spans="1:2">
      <c r="A1276" s="145" t="s">
        <v>3036</v>
      </c>
      <c r="B1276" s="145" t="s">
        <v>3037</v>
      </c>
    </row>
    <row r="1277" spans="1:2">
      <c r="A1277" s="145" t="s">
        <v>3038</v>
      </c>
      <c r="B1277" s="145" t="s">
        <v>3039</v>
      </c>
    </row>
    <row r="1278" spans="1:2">
      <c r="A1278" s="145" t="s">
        <v>3040</v>
      </c>
      <c r="B1278" s="145" t="s">
        <v>3041</v>
      </c>
    </row>
    <row r="1279" spans="1:2">
      <c r="A1279" s="145" t="s">
        <v>3042</v>
      </c>
      <c r="B1279" s="145" t="s">
        <v>272</v>
      </c>
    </row>
    <row r="1280" spans="1:2">
      <c r="A1280" s="145" t="s">
        <v>3043</v>
      </c>
      <c r="B1280" s="145" t="s">
        <v>3044</v>
      </c>
    </row>
    <row r="1281" spans="1:2">
      <c r="A1281" s="145" t="s">
        <v>3045</v>
      </c>
      <c r="B1281" s="145" t="s">
        <v>3046</v>
      </c>
    </row>
    <row r="1282" spans="1:2">
      <c r="A1282" s="145" t="s">
        <v>3047</v>
      </c>
      <c r="B1282" s="145" t="s">
        <v>3048</v>
      </c>
    </row>
    <row r="1283" spans="1:2">
      <c r="A1283" s="145" t="s">
        <v>3049</v>
      </c>
      <c r="B1283" s="145" t="s">
        <v>277</v>
      </c>
    </row>
    <row r="1284" spans="1:2">
      <c r="A1284" s="145" t="s">
        <v>3050</v>
      </c>
      <c r="B1284" s="145" t="s">
        <v>282</v>
      </c>
    </row>
    <row r="1285" spans="1:2">
      <c r="A1285" s="145" t="s">
        <v>3051</v>
      </c>
      <c r="B1285" s="145" t="s">
        <v>287</v>
      </c>
    </row>
    <row r="1286" spans="1:2">
      <c r="A1286" s="145" t="s">
        <v>3052</v>
      </c>
      <c r="B1286" s="145" t="s">
        <v>3053</v>
      </c>
    </row>
    <row r="1287" spans="1:2">
      <c r="A1287" s="145" t="s">
        <v>3054</v>
      </c>
      <c r="B1287" s="145" t="s">
        <v>3055</v>
      </c>
    </row>
    <row r="1288" spans="1:2">
      <c r="A1288" s="145" t="s">
        <v>3056</v>
      </c>
      <c r="B1288" s="145" t="s">
        <v>3057</v>
      </c>
    </row>
    <row r="1289" spans="1:2">
      <c r="A1289" s="145" t="s">
        <v>3058</v>
      </c>
      <c r="B1289" s="145" t="s">
        <v>3059</v>
      </c>
    </row>
    <row r="1290" spans="1:2">
      <c r="A1290" s="145" t="s">
        <v>3060</v>
      </c>
      <c r="B1290" s="145" t="s">
        <v>3061</v>
      </c>
    </row>
    <row r="1291" spans="1:2">
      <c r="A1291" s="145" t="s">
        <v>3062</v>
      </c>
      <c r="B1291" s="145" t="s">
        <v>3063</v>
      </c>
    </row>
    <row r="1292" spans="1:2">
      <c r="A1292" s="145" t="s">
        <v>3064</v>
      </c>
      <c r="B1292" s="145" t="s">
        <v>3065</v>
      </c>
    </row>
    <row r="1293" spans="1:2">
      <c r="A1293" s="145" t="s">
        <v>3066</v>
      </c>
      <c r="B1293" s="145" t="s">
        <v>3067</v>
      </c>
    </row>
    <row r="1294" spans="1:2">
      <c r="A1294" s="145" t="s">
        <v>3068</v>
      </c>
      <c r="B1294" s="145" t="s">
        <v>3069</v>
      </c>
    </row>
    <row r="1295" spans="1:2">
      <c r="A1295" s="145" t="s">
        <v>3070</v>
      </c>
      <c r="B1295" s="145" t="s">
        <v>3071</v>
      </c>
    </row>
    <row r="1296" spans="1:2">
      <c r="A1296" s="145" t="s">
        <v>3072</v>
      </c>
      <c r="B1296" s="145" t="s">
        <v>3073</v>
      </c>
    </row>
    <row r="1297" spans="1:2">
      <c r="A1297" s="145" t="s">
        <v>3074</v>
      </c>
      <c r="B1297" s="145" t="s">
        <v>3075</v>
      </c>
    </row>
    <row r="1298" spans="1:2">
      <c r="A1298" s="145" t="s">
        <v>3076</v>
      </c>
      <c r="B1298" s="145" t="s">
        <v>3077</v>
      </c>
    </row>
    <row r="1299" spans="1:2">
      <c r="A1299" s="145" t="s">
        <v>3078</v>
      </c>
      <c r="B1299" s="145" t="s">
        <v>3079</v>
      </c>
    </row>
    <row r="1300" spans="1:2">
      <c r="A1300" s="145" t="s">
        <v>3080</v>
      </c>
      <c r="B1300" s="145" t="s">
        <v>292</v>
      </c>
    </row>
    <row r="1301" spans="1:2">
      <c r="A1301" s="145" t="s">
        <v>3081</v>
      </c>
      <c r="B1301" s="145" t="s">
        <v>3082</v>
      </c>
    </row>
    <row r="1302" spans="1:2">
      <c r="A1302" s="145" t="s">
        <v>3083</v>
      </c>
      <c r="B1302" s="145" t="s">
        <v>3084</v>
      </c>
    </row>
    <row r="1303" spans="1:2">
      <c r="A1303" s="145" t="s">
        <v>3085</v>
      </c>
      <c r="B1303" s="145" t="s">
        <v>297</v>
      </c>
    </row>
    <row r="1304" spans="1:2">
      <c r="A1304" s="145" t="s">
        <v>3086</v>
      </c>
      <c r="B1304" s="145" t="s">
        <v>3087</v>
      </c>
    </row>
    <row r="1305" spans="1:2">
      <c r="A1305" s="145" t="s">
        <v>3088</v>
      </c>
      <c r="B1305" s="145" t="s">
        <v>3089</v>
      </c>
    </row>
    <row r="1306" spans="1:2">
      <c r="A1306" s="145" t="s">
        <v>3090</v>
      </c>
      <c r="B1306" s="145" t="s">
        <v>3091</v>
      </c>
    </row>
    <row r="1307" spans="1:2">
      <c r="A1307" s="145" t="s">
        <v>3092</v>
      </c>
      <c r="B1307" s="145" t="s">
        <v>3093</v>
      </c>
    </row>
    <row r="1308" spans="1:2">
      <c r="A1308" s="145" t="s">
        <v>3094</v>
      </c>
      <c r="B1308" s="145" t="s">
        <v>3095</v>
      </c>
    </row>
    <row r="1309" spans="1:2">
      <c r="A1309" s="145" t="s">
        <v>3096</v>
      </c>
      <c r="B1309" s="145" t="s">
        <v>3097</v>
      </c>
    </row>
    <row r="1310" spans="1:2">
      <c r="A1310" s="145" t="s">
        <v>3098</v>
      </c>
      <c r="B1310" s="145" t="s">
        <v>3099</v>
      </c>
    </row>
    <row r="1311" spans="1:2">
      <c r="A1311" s="145" t="s">
        <v>3100</v>
      </c>
      <c r="B1311" s="145" t="s">
        <v>3101</v>
      </c>
    </row>
    <row r="1312" spans="1:2">
      <c r="A1312" s="145" t="s">
        <v>3102</v>
      </c>
      <c r="B1312" s="145" t="s">
        <v>3103</v>
      </c>
    </row>
    <row r="1313" spans="1:2">
      <c r="A1313" s="145" t="s">
        <v>3104</v>
      </c>
      <c r="B1313" s="145" t="s">
        <v>3105</v>
      </c>
    </row>
    <row r="1314" spans="1:2">
      <c r="A1314" s="145" t="s">
        <v>3106</v>
      </c>
      <c r="B1314" s="145" t="s">
        <v>3107</v>
      </c>
    </row>
    <row r="1315" spans="1:2">
      <c r="A1315" s="145" t="s">
        <v>3108</v>
      </c>
      <c r="B1315" s="145" t="s">
        <v>3109</v>
      </c>
    </row>
    <row r="1316" spans="1:2">
      <c r="A1316" s="145" t="s">
        <v>3110</v>
      </c>
      <c r="B1316" s="145" t="s">
        <v>3111</v>
      </c>
    </row>
    <row r="1317" spans="1:2">
      <c r="A1317" s="145" t="s">
        <v>3112</v>
      </c>
      <c r="B1317" s="145" t="s">
        <v>3113</v>
      </c>
    </row>
    <row r="1318" spans="1:2">
      <c r="A1318" s="145" t="s">
        <v>3114</v>
      </c>
      <c r="B1318" s="145" t="s">
        <v>3115</v>
      </c>
    </row>
    <row r="1319" spans="1:2">
      <c r="A1319" s="145" t="s">
        <v>3116</v>
      </c>
      <c r="B1319" s="145" t="s">
        <v>3117</v>
      </c>
    </row>
    <row r="1320" spans="1:2">
      <c r="A1320" s="145" t="s">
        <v>3118</v>
      </c>
      <c r="B1320" s="145" t="s">
        <v>3119</v>
      </c>
    </row>
    <row r="1321" spans="1:2">
      <c r="A1321" s="145" t="s">
        <v>3120</v>
      </c>
      <c r="B1321" s="145" t="s">
        <v>3121</v>
      </c>
    </row>
    <row r="1322" spans="1:2">
      <c r="A1322" s="145" t="s">
        <v>3122</v>
      </c>
      <c r="B1322" s="145" t="s">
        <v>3123</v>
      </c>
    </row>
    <row r="1323" spans="1:2">
      <c r="A1323" s="145" t="s">
        <v>3124</v>
      </c>
      <c r="B1323" s="145" t="s">
        <v>3125</v>
      </c>
    </row>
    <row r="1324" spans="1:2">
      <c r="A1324" s="145" t="s">
        <v>3126</v>
      </c>
      <c r="B1324" s="145" t="s">
        <v>3127</v>
      </c>
    </row>
    <row r="1325" spans="1:2">
      <c r="A1325" s="145" t="s">
        <v>3128</v>
      </c>
      <c r="B1325" s="145" t="s">
        <v>3129</v>
      </c>
    </row>
    <row r="1326" spans="1:2">
      <c r="A1326" s="145" t="s">
        <v>3130</v>
      </c>
      <c r="B1326" s="145" t="s">
        <v>3131</v>
      </c>
    </row>
    <row r="1327" spans="1:2">
      <c r="A1327" s="145" t="s">
        <v>3132</v>
      </c>
      <c r="B1327" s="145" t="s">
        <v>3133</v>
      </c>
    </row>
    <row r="1328" spans="1:2">
      <c r="A1328" s="145" t="s">
        <v>3134</v>
      </c>
      <c r="B1328" s="145" t="s">
        <v>3135</v>
      </c>
    </row>
    <row r="1329" spans="1:2">
      <c r="A1329" s="145" t="s">
        <v>3136</v>
      </c>
      <c r="B1329" s="145" t="s">
        <v>3137</v>
      </c>
    </row>
    <row r="1330" spans="1:2">
      <c r="A1330" s="145" t="s">
        <v>3138</v>
      </c>
      <c r="B1330" s="145" t="s">
        <v>3139</v>
      </c>
    </row>
    <row r="1331" spans="1:2">
      <c r="A1331" s="145" t="s">
        <v>3140</v>
      </c>
      <c r="B1331" s="145" t="s">
        <v>3141</v>
      </c>
    </row>
    <row r="1332" spans="1:2">
      <c r="A1332" s="145" t="s">
        <v>3142</v>
      </c>
      <c r="B1332" s="145" t="s">
        <v>3143</v>
      </c>
    </row>
    <row r="1333" spans="1:2">
      <c r="A1333" s="145" t="s">
        <v>3144</v>
      </c>
      <c r="B1333" s="145" t="s">
        <v>3145</v>
      </c>
    </row>
    <row r="1334" spans="1:2">
      <c r="A1334" s="145" t="s">
        <v>3146</v>
      </c>
      <c r="B1334" s="145" t="s">
        <v>3147</v>
      </c>
    </row>
    <row r="1335" spans="1:2">
      <c r="A1335" s="145" t="s">
        <v>3148</v>
      </c>
      <c r="B1335" s="145" t="s">
        <v>3149</v>
      </c>
    </row>
    <row r="1336" spans="1:2">
      <c r="A1336" s="145" t="s">
        <v>3150</v>
      </c>
      <c r="B1336" s="145" t="s">
        <v>3151</v>
      </c>
    </row>
    <row r="1337" spans="1:2">
      <c r="A1337" s="145" t="s">
        <v>3152</v>
      </c>
      <c r="B1337" s="145" t="s">
        <v>3153</v>
      </c>
    </row>
    <row r="1338" spans="1:2">
      <c r="A1338" s="145" t="s">
        <v>3154</v>
      </c>
      <c r="B1338" s="145" t="s">
        <v>3155</v>
      </c>
    </row>
    <row r="1339" spans="1:2">
      <c r="A1339" s="145" t="s">
        <v>3156</v>
      </c>
      <c r="B1339" s="145" t="s">
        <v>3157</v>
      </c>
    </row>
    <row r="1340" spans="1:2">
      <c r="A1340" s="145" t="s">
        <v>3158</v>
      </c>
      <c r="B1340" s="145" t="s">
        <v>3159</v>
      </c>
    </row>
    <row r="1341" spans="1:2">
      <c r="A1341" s="145" t="s">
        <v>3160</v>
      </c>
      <c r="B1341" s="145" t="s">
        <v>3161</v>
      </c>
    </row>
    <row r="1342" spans="1:2">
      <c r="A1342" s="145" t="s">
        <v>3162</v>
      </c>
      <c r="B1342" s="145" t="s">
        <v>3163</v>
      </c>
    </row>
    <row r="1343" spans="1:2">
      <c r="A1343" s="145" t="s">
        <v>3164</v>
      </c>
      <c r="B1343" s="145" t="s">
        <v>3165</v>
      </c>
    </row>
    <row r="1344" spans="1:2">
      <c r="A1344" s="145" t="s">
        <v>3166</v>
      </c>
      <c r="B1344" s="145" t="s">
        <v>3167</v>
      </c>
    </row>
    <row r="1345" spans="1:2">
      <c r="A1345" s="145" t="s">
        <v>3168</v>
      </c>
      <c r="B1345" s="145" t="s">
        <v>3169</v>
      </c>
    </row>
    <row r="1346" spans="1:2">
      <c r="A1346" s="145" t="s">
        <v>3170</v>
      </c>
      <c r="B1346" s="145" t="s">
        <v>3171</v>
      </c>
    </row>
    <row r="1347" spans="1:2">
      <c r="A1347" s="145" t="s">
        <v>3172</v>
      </c>
      <c r="B1347" s="145" t="s">
        <v>3173</v>
      </c>
    </row>
    <row r="1348" spans="1:2">
      <c r="A1348" s="145" t="s">
        <v>3174</v>
      </c>
      <c r="B1348" s="145" t="s">
        <v>3175</v>
      </c>
    </row>
    <row r="1349" spans="1:2">
      <c r="A1349" s="145" t="s">
        <v>3176</v>
      </c>
      <c r="B1349" s="145" t="s">
        <v>3177</v>
      </c>
    </row>
    <row r="1350" spans="1:2">
      <c r="A1350" s="145" t="s">
        <v>3178</v>
      </c>
      <c r="B1350" s="145" t="s">
        <v>3179</v>
      </c>
    </row>
    <row r="1351" spans="1:2">
      <c r="A1351" s="145" t="s">
        <v>3180</v>
      </c>
      <c r="B1351" s="145" t="s">
        <v>3181</v>
      </c>
    </row>
    <row r="1352" spans="1:2">
      <c r="A1352" s="145" t="s">
        <v>3182</v>
      </c>
      <c r="B1352" s="145" t="s">
        <v>3183</v>
      </c>
    </row>
    <row r="1353" spans="1:2">
      <c r="A1353" s="145" t="s">
        <v>3184</v>
      </c>
      <c r="B1353" s="145" t="s">
        <v>3185</v>
      </c>
    </row>
    <row r="1354" spans="1:2">
      <c r="A1354" s="145" t="s">
        <v>3186</v>
      </c>
      <c r="B1354" s="145" t="s">
        <v>3187</v>
      </c>
    </row>
    <row r="1355" spans="1:2">
      <c r="A1355" s="145" t="s">
        <v>3188</v>
      </c>
      <c r="B1355" s="145" t="s">
        <v>302</v>
      </c>
    </row>
    <row r="1356" spans="1:2">
      <c r="A1356" s="145" t="s">
        <v>3189</v>
      </c>
      <c r="B1356" s="145" t="s">
        <v>3190</v>
      </c>
    </row>
    <row r="1357" spans="1:2">
      <c r="A1357" s="145" t="s">
        <v>3191</v>
      </c>
      <c r="B1357" s="145" t="s">
        <v>307</v>
      </c>
    </row>
    <row r="1358" spans="1:2">
      <c r="A1358" s="145" t="s">
        <v>3192</v>
      </c>
      <c r="B1358" s="145" t="s">
        <v>3193</v>
      </c>
    </row>
    <row r="1359" spans="1:2">
      <c r="A1359" s="145" t="s">
        <v>3194</v>
      </c>
      <c r="B1359" s="145" t="s">
        <v>3195</v>
      </c>
    </row>
    <row r="1360" spans="1:2">
      <c r="A1360" s="145" t="s">
        <v>3196</v>
      </c>
      <c r="B1360" s="145" t="s">
        <v>3197</v>
      </c>
    </row>
    <row r="1361" spans="1:2">
      <c r="A1361" s="145" t="s">
        <v>3198</v>
      </c>
      <c r="B1361" s="145" t="s">
        <v>3199</v>
      </c>
    </row>
    <row r="1362" spans="1:2">
      <c r="A1362" s="145" t="s">
        <v>3200</v>
      </c>
      <c r="B1362" s="145" t="s">
        <v>3201</v>
      </c>
    </row>
    <row r="1363" spans="1:2">
      <c r="A1363" s="145" t="s">
        <v>3202</v>
      </c>
      <c r="B1363" s="145" t="s">
        <v>3203</v>
      </c>
    </row>
    <row r="1364" spans="1:2">
      <c r="A1364" s="145" t="s">
        <v>3204</v>
      </c>
      <c r="B1364" s="145" t="s">
        <v>3205</v>
      </c>
    </row>
    <row r="1365" spans="1:2">
      <c r="A1365" s="145" t="s">
        <v>3206</v>
      </c>
      <c r="B1365" s="145" t="s">
        <v>3207</v>
      </c>
    </row>
    <row r="1366" spans="1:2">
      <c r="A1366" s="145" t="s">
        <v>3208</v>
      </c>
      <c r="B1366" s="145" t="s">
        <v>3209</v>
      </c>
    </row>
    <row r="1367" spans="1:2">
      <c r="A1367" s="145" t="s">
        <v>3210</v>
      </c>
      <c r="B1367" s="145" t="s">
        <v>3211</v>
      </c>
    </row>
    <row r="1368" spans="1:2">
      <c r="A1368" s="145" t="s">
        <v>3212</v>
      </c>
      <c r="B1368" s="145" t="s">
        <v>3213</v>
      </c>
    </row>
    <row r="1369" spans="1:2">
      <c r="A1369" s="145" t="s">
        <v>3214</v>
      </c>
      <c r="B1369" s="145" t="s">
        <v>3215</v>
      </c>
    </row>
    <row r="1370" spans="1:2">
      <c r="A1370" s="145" t="s">
        <v>3216</v>
      </c>
      <c r="B1370" s="145" t="s">
        <v>3217</v>
      </c>
    </row>
    <row r="1371" spans="1:2">
      <c r="A1371" s="145" t="s">
        <v>3218</v>
      </c>
      <c r="B1371" s="145" t="s">
        <v>3219</v>
      </c>
    </row>
    <row r="1372" spans="1:2">
      <c r="A1372" s="145" t="s">
        <v>3220</v>
      </c>
      <c r="B1372" s="145" t="s">
        <v>3221</v>
      </c>
    </row>
    <row r="1373" spans="1:2">
      <c r="A1373" s="145" t="s">
        <v>3222</v>
      </c>
      <c r="B1373" s="145" t="s">
        <v>3223</v>
      </c>
    </row>
    <row r="1374" spans="1:2">
      <c r="A1374" s="145" t="s">
        <v>3224</v>
      </c>
      <c r="B1374" s="145" t="s">
        <v>3225</v>
      </c>
    </row>
    <row r="1375" spans="1:2">
      <c r="A1375" s="145" t="s">
        <v>3226</v>
      </c>
      <c r="B1375" s="145" t="s">
        <v>3227</v>
      </c>
    </row>
    <row r="1376" spans="1:2">
      <c r="A1376" s="145" t="s">
        <v>3228</v>
      </c>
      <c r="B1376" s="145" t="s">
        <v>3229</v>
      </c>
    </row>
    <row r="1377" spans="1:2">
      <c r="A1377" s="145" t="s">
        <v>3230</v>
      </c>
      <c r="B1377" s="145" t="s">
        <v>3231</v>
      </c>
    </row>
    <row r="1378" spans="1:2">
      <c r="A1378" s="145" t="s">
        <v>3232</v>
      </c>
      <c r="B1378" s="145" t="s">
        <v>3233</v>
      </c>
    </row>
    <row r="1379" spans="1:2">
      <c r="A1379" s="145" t="s">
        <v>3234</v>
      </c>
      <c r="B1379" s="145" t="s">
        <v>3235</v>
      </c>
    </row>
    <row r="1380" spans="1:2">
      <c r="A1380" s="145" t="s">
        <v>3236</v>
      </c>
      <c r="B1380" s="145" t="s">
        <v>3237</v>
      </c>
    </row>
    <row r="1381" spans="1:2">
      <c r="A1381" s="145" t="s">
        <v>3238</v>
      </c>
      <c r="B1381" s="145" t="s">
        <v>3239</v>
      </c>
    </row>
    <row r="1382" spans="1:2">
      <c r="A1382" s="145" t="s">
        <v>3240</v>
      </c>
      <c r="B1382" s="145" t="s">
        <v>3241</v>
      </c>
    </row>
    <row r="1383" spans="1:2">
      <c r="A1383" s="145" t="s">
        <v>3242</v>
      </c>
      <c r="B1383" s="145" t="s">
        <v>3243</v>
      </c>
    </row>
    <row r="1384" spans="1:2">
      <c r="A1384" s="145" t="s">
        <v>3244</v>
      </c>
      <c r="B1384" s="145" t="s">
        <v>3245</v>
      </c>
    </row>
    <row r="1385" spans="1:2">
      <c r="A1385" s="145" t="s">
        <v>3246</v>
      </c>
      <c r="B1385" s="145" t="s">
        <v>869</v>
      </c>
    </row>
    <row r="1386" spans="1:2">
      <c r="A1386" s="145" t="s">
        <v>3247</v>
      </c>
      <c r="B1386" s="145" t="s">
        <v>3248</v>
      </c>
    </row>
    <row r="1387" spans="1:2">
      <c r="A1387" s="145" t="s">
        <v>3249</v>
      </c>
      <c r="B1387" s="145" t="s">
        <v>312</v>
      </c>
    </row>
    <row r="1388" spans="1:2">
      <c r="A1388" s="145" t="s">
        <v>3250</v>
      </c>
      <c r="B1388" s="145" t="s">
        <v>3251</v>
      </c>
    </row>
    <row r="1389" spans="1:2">
      <c r="A1389" s="145" t="s">
        <v>3252</v>
      </c>
      <c r="B1389" s="145" t="s">
        <v>317</v>
      </c>
    </row>
    <row r="1390" spans="1:2">
      <c r="A1390" s="145" t="s">
        <v>3253</v>
      </c>
      <c r="B1390" s="145" t="s">
        <v>3254</v>
      </c>
    </row>
    <row r="1391" spans="1:2">
      <c r="A1391" s="145" t="s">
        <v>3255</v>
      </c>
      <c r="B1391" s="145" t="s">
        <v>322</v>
      </c>
    </row>
    <row r="1392" spans="1:2">
      <c r="A1392" s="145" t="s">
        <v>3256</v>
      </c>
      <c r="B1392" s="145" t="s">
        <v>327</v>
      </c>
    </row>
    <row r="1393" spans="1:2">
      <c r="A1393" s="145" t="s">
        <v>3257</v>
      </c>
      <c r="B1393" s="145" t="s">
        <v>84</v>
      </c>
    </row>
    <row r="1394" spans="1:2">
      <c r="A1394" s="145" t="s">
        <v>3258</v>
      </c>
      <c r="B1394" s="145" t="s">
        <v>3259</v>
      </c>
    </row>
    <row r="1395" spans="1:2">
      <c r="A1395" s="145" t="s">
        <v>3260</v>
      </c>
      <c r="B1395" s="145" t="s">
        <v>3261</v>
      </c>
    </row>
    <row r="1396" spans="1:2">
      <c r="A1396" s="145" t="s">
        <v>3262</v>
      </c>
      <c r="B1396" s="145" t="s">
        <v>3263</v>
      </c>
    </row>
    <row r="1397" spans="1:2">
      <c r="A1397" s="145" t="s">
        <v>3264</v>
      </c>
      <c r="B1397" s="145" t="s">
        <v>332</v>
      </c>
    </row>
    <row r="1398" spans="1:2">
      <c r="A1398" s="145" t="s">
        <v>3265</v>
      </c>
      <c r="B1398" s="145" t="s">
        <v>3266</v>
      </c>
    </row>
    <row r="1399" spans="1:2">
      <c r="A1399" s="145" t="s">
        <v>3267</v>
      </c>
      <c r="B1399" s="145" t="s">
        <v>3268</v>
      </c>
    </row>
    <row r="1400" spans="1:2">
      <c r="A1400" s="145" t="s">
        <v>3269</v>
      </c>
      <c r="B1400" s="145" t="s">
        <v>3270</v>
      </c>
    </row>
    <row r="1401" spans="1:2">
      <c r="A1401" s="145" t="s">
        <v>3271</v>
      </c>
      <c r="B1401" s="145" t="s">
        <v>3272</v>
      </c>
    </row>
    <row r="1402" spans="1:2">
      <c r="A1402" s="145" t="s">
        <v>3273</v>
      </c>
      <c r="B1402" s="145" t="s">
        <v>3274</v>
      </c>
    </row>
    <row r="1403" spans="1:2">
      <c r="A1403" s="145" t="s">
        <v>3275</v>
      </c>
      <c r="B1403" s="145" t="s">
        <v>3276</v>
      </c>
    </row>
    <row r="1404" spans="1:2">
      <c r="A1404" s="145" t="s">
        <v>3277</v>
      </c>
      <c r="B1404" s="145" t="s">
        <v>3278</v>
      </c>
    </row>
    <row r="1405" spans="1:2">
      <c r="A1405" s="145" t="s">
        <v>3279</v>
      </c>
      <c r="B1405" s="145" t="s">
        <v>3280</v>
      </c>
    </row>
    <row r="1406" spans="1:2">
      <c r="A1406" s="145" t="s">
        <v>3281</v>
      </c>
      <c r="B1406" s="145" t="s">
        <v>3282</v>
      </c>
    </row>
    <row r="1407" spans="1:2">
      <c r="A1407" s="145" t="s">
        <v>3283</v>
      </c>
      <c r="B1407" s="145" t="s">
        <v>3284</v>
      </c>
    </row>
    <row r="1408" spans="1:2">
      <c r="A1408" s="145" t="s">
        <v>3285</v>
      </c>
      <c r="B1408" s="145" t="s">
        <v>3286</v>
      </c>
    </row>
    <row r="1409" spans="1:2">
      <c r="A1409" s="145" t="s">
        <v>3287</v>
      </c>
      <c r="B1409" s="145" t="s">
        <v>3288</v>
      </c>
    </row>
    <row r="1410" spans="1:2">
      <c r="A1410" s="145" t="s">
        <v>3289</v>
      </c>
      <c r="B1410" s="145" t="s">
        <v>3290</v>
      </c>
    </row>
    <row r="1411" spans="1:2">
      <c r="A1411" s="145" t="s">
        <v>3291</v>
      </c>
      <c r="B1411" s="145" t="s">
        <v>3292</v>
      </c>
    </row>
    <row r="1412" spans="1:2">
      <c r="A1412" s="145" t="s">
        <v>3293</v>
      </c>
      <c r="B1412" s="145" t="s">
        <v>3294</v>
      </c>
    </row>
    <row r="1413" spans="1:2">
      <c r="A1413" s="145" t="s">
        <v>3295</v>
      </c>
      <c r="B1413" s="145" t="s">
        <v>3296</v>
      </c>
    </row>
    <row r="1414" spans="1:2">
      <c r="A1414" s="145" t="s">
        <v>3297</v>
      </c>
      <c r="B1414" s="145" t="s">
        <v>3298</v>
      </c>
    </row>
    <row r="1415" spans="1:2">
      <c r="A1415" s="145" t="s">
        <v>3299</v>
      </c>
      <c r="B1415" s="145" t="s">
        <v>3300</v>
      </c>
    </row>
    <row r="1416" spans="1:2">
      <c r="A1416" s="145" t="s">
        <v>3301</v>
      </c>
      <c r="B1416" s="145" t="s">
        <v>3302</v>
      </c>
    </row>
    <row r="1417" spans="1:2">
      <c r="A1417" s="145" t="s">
        <v>3303</v>
      </c>
      <c r="B1417" s="145" t="s">
        <v>3304</v>
      </c>
    </row>
    <row r="1418" spans="1:2">
      <c r="A1418" s="145" t="s">
        <v>3305</v>
      </c>
      <c r="B1418" s="145" t="s">
        <v>3306</v>
      </c>
    </row>
    <row r="1419" spans="1:2">
      <c r="A1419" s="145" t="s">
        <v>3307</v>
      </c>
      <c r="B1419" s="145" t="s">
        <v>3308</v>
      </c>
    </row>
    <row r="1420" spans="1:2">
      <c r="A1420" s="145" t="s">
        <v>3309</v>
      </c>
      <c r="B1420" s="145" t="s">
        <v>3310</v>
      </c>
    </row>
    <row r="1421" spans="1:2">
      <c r="A1421" s="145" t="s">
        <v>3311</v>
      </c>
      <c r="B1421" s="145" t="s">
        <v>3312</v>
      </c>
    </row>
    <row r="1422" spans="1:2">
      <c r="A1422" s="145" t="s">
        <v>3313</v>
      </c>
      <c r="B1422" s="145" t="s">
        <v>3314</v>
      </c>
    </row>
    <row r="1423" spans="1:2">
      <c r="A1423" s="145" t="s">
        <v>3315</v>
      </c>
      <c r="B1423" s="145" t="s">
        <v>3316</v>
      </c>
    </row>
    <row r="1424" spans="1:2">
      <c r="A1424" s="145" t="s">
        <v>3317</v>
      </c>
      <c r="B1424" s="145" t="s">
        <v>3318</v>
      </c>
    </row>
    <row r="1425" spans="1:2">
      <c r="A1425" s="145" t="s">
        <v>3319</v>
      </c>
      <c r="B1425" s="145" t="s">
        <v>3320</v>
      </c>
    </row>
    <row r="1426" spans="1:2">
      <c r="A1426" s="145" t="s">
        <v>3321</v>
      </c>
      <c r="B1426" s="145" t="s">
        <v>3322</v>
      </c>
    </row>
    <row r="1427" spans="1:2">
      <c r="A1427" s="145" t="s">
        <v>3323</v>
      </c>
      <c r="B1427" s="145" t="s">
        <v>3324</v>
      </c>
    </row>
    <row r="1428" spans="1:2">
      <c r="A1428" s="145" t="s">
        <v>3325</v>
      </c>
      <c r="B1428" s="145" t="s">
        <v>3326</v>
      </c>
    </row>
    <row r="1429" spans="1:2">
      <c r="A1429" s="145" t="s">
        <v>3327</v>
      </c>
      <c r="B1429" s="145" t="s">
        <v>3328</v>
      </c>
    </row>
    <row r="1430" spans="1:2">
      <c r="A1430" s="145" t="s">
        <v>3329</v>
      </c>
      <c r="B1430" s="145" t="s">
        <v>3330</v>
      </c>
    </row>
    <row r="1431" spans="1:2">
      <c r="A1431" s="145" t="s">
        <v>3331</v>
      </c>
      <c r="B1431" s="145" t="s">
        <v>3332</v>
      </c>
    </row>
    <row r="1432" spans="1:2">
      <c r="A1432" s="145" t="s">
        <v>3333</v>
      </c>
      <c r="B1432" s="145" t="s">
        <v>3334</v>
      </c>
    </row>
    <row r="1433" spans="1:2">
      <c r="A1433" s="145" t="s">
        <v>3335</v>
      </c>
      <c r="B1433" s="145" t="s">
        <v>3336</v>
      </c>
    </row>
    <row r="1434" spans="1:2">
      <c r="A1434" s="145" t="s">
        <v>3337</v>
      </c>
      <c r="B1434" s="145" t="s">
        <v>3338</v>
      </c>
    </row>
    <row r="1435" spans="1:2">
      <c r="A1435" s="145" t="s">
        <v>3339</v>
      </c>
      <c r="B1435" s="145" t="s">
        <v>3340</v>
      </c>
    </row>
    <row r="1436" spans="1:2">
      <c r="A1436" s="145" t="s">
        <v>3341</v>
      </c>
      <c r="B1436" s="145" t="s">
        <v>3342</v>
      </c>
    </row>
    <row r="1437" spans="1:2">
      <c r="A1437" s="145" t="s">
        <v>3343</v>
      </c>
      <c r="B1437" s="145" t="s">
        <v>3344</v>
      </c>
    </row>
    <row r="1438" spans="1:2">
      <c r="A1438" s="145" t="s">
        <v>3345</v>
      </c>
      <c r="B1438" s="145" t="s">
        <v>3346</v>
      </c>
    </row>
    <row r="1439" spans="1:2">
      <c r="A1439" s="145" t="s">
        <v>3347</v>
      </c>
      <c r="B1439" s="145" t="s">
        <v>3348</v>
      </c>
    </row>
    <row r="1440" spans="1:2">
      <c r="A1440" s="145" t="s">
        <v>3349</v>
      </c>
      <c r="B1440" s="145" t="s">
        <v>3350</v>
      </c>
    </row>
    <row r="1441" spans="1:2">
      <c r="A1441" s="145" t="s">
        <v>3351</v>
      </c>
      <c r="B1441" s="145" t="s">
        <v>3352</v>
      </c>
    </row>
    <row r="1442" spans="1:2">
      <c r="A1442" s="145" t="s">
        <v>3353</v>
      </c>
      <c r="B1442" s="145" t="s">
        <v>3354</v>
      </c>
    </row>
    <row r="1443" spans="1:2">
      <c r="A1443" s="145" t="s">
        <v>3355</v>
      </c>
      <c r="B1443" s="145" t="s">
        <v>3356</v>
      </c>
    </row>
    <row r="1444" spans="1:2">
      <c r="A1444" s="145" t="s">
        <v>3357</v>
      </c>
      <c r="B1444" s="145" t="s">
        <v>3358</v>
      </c>
    </row>
    <row r="1445" spans="1:2">
      <c r="A1445" s="145" t="s">
        <v>3359</v>
      </c>
      <c r="B1445" s="145" t="s">
        <v>3360</v>
      </c>
    </row>
    <row r="1446" spans="1:2">
      <c r="A1446" s="145" t="s">
        <v>3361</v>
      </c>
      <c r="B1446" s="145" t="s">
        <v>3362</v>
      </c>
    </row>
    <row r="1447" spans="1:2">
      <c r="A1447" s="145" t="s">
        <v>3363</v>
      </c>
      <c r="B1447" s="145" t="s">
        <v>3364</v>
      </c>
    </row>
    <row r="1448" spans="1:2">
      <c r="A1448" s="145" t="s">
        <v>3365</v>
      </c>
      <c r="B1448" s="145" t="s">
        <v>3366</v>
      </c>
    </row>
    <row r="1449" spans="1:2">
      <c r="A1449" s="145" t="s">
        <v>3367</v>
      </c>
      <c r="B1449" s="145" t="s">
        <v>3368</v>
      </c>
    </row>
    <row r="1450" spans="1:2">
      <c r="A1450" s="145" t="s">
        <v>3369</v>
      </c>
      <c r="B1450" s="145" t="s">
        <v>3370</v>
      </c>
    </row>
    <row r="1451" spans="1:2">
      <c r="A1451" s="145" t="s">
        <v>3371</v>
      </c>
      <c r="B1451" s="145" t="s">
        <v>3372</v>
      </c>
    </row>
    <row r="1452" spans="1:2">
      <c r="A1452" s="145" t="s">
        <v>3373</v>
      </c>
      <c r="B1452" s="145" t="s">
        <v>3374</v>
      </c>
    </row>
    <row r="1453" spans="1:2">
      <c r="A1453" s="145" t="s">
        <v>3375</v>
      </c>
      <c r="B1453" s="145" t="s">
        <v>3376</v>
      </c>
    </row>
    <row r="1454" spans="1:2">
      <c r="A1454" s="145" t="s">
        <v>3377</v>
      </c>
      <c r="B1454" s="145" t="s">
        <v>3378</v>
      </c>
    </row>
    <row r="1455" spans="1:2">
      <c r="A1455" s="145" t="s">
        <v>3379</v>
      </c>
      <c r="B1455" s="145" t="s">
        <v>3380</v>
      </c>
    </row>
    <row r="1456" spans="1:2">
      <c r="A1456" s="145" t="s">
        <v>3381</v>
      </c>
      <c r="B1456" s="145" t="s">
        <v>3382</v>
      </c>
    </row>
    <row r="1457" spans="1:2">
      <c r="A1457" s="145" t="s">
        <v>3383</v>
      </c>
      <c r="B1457" s="145" t="s">
        <v>3384</v>
      </c>
    </row>
    <row r="1458" spans="1:2">
      <c r="A1458" s="145" t="s">
        <v>3385</v>
      </c>
    </row>
    <row r="1459" spans="1:2">
      <c r="A1459" s="145" t="s">
        <v>3386</v>
      </c>
    </row>
    <row r="1460" spans="1:2">
      <c r="A1460" s="145" t="s">
        <v>3387</v>
      </c>
    </row>
    <row r="1461" spans="1:2">
      <c r="A1461" s="145" t="s">
        <v>3388</v>
      </c>
    </row>
    <row r="1462" spans="1:2">
      <c r="A1462" s="145" t="s">
        <v>3389</v>
      </c>
    </row>
    <row r="1463" spans="1:2">
      <c r="A1463" s="145" t="s">
        <v>3390</v>
      </c>
    </row>
    <row r="1464" spans="1:2">
      <c r="A1464" s="145" t="s">
        <v>3391</v>
      </c>
    </row>
    <row r="1465" spans="1:2">
      <c r="A1465" s="145" t="s">
        <v>3392</v>
      </c>
    </row>
    <row r="1466" spans="1:2">
      <c r="A1466" s="145" t="s">
        <v>3393</v>
      </c>
    </row>
    <row r="1467" spans="1:2">
      <c r="A1467" s="145" t="s">
        <v>3394</v>
      </c>
    </row>
    <row r="1468" spans="1:2">
      <c r="A1468" s="145" t="s">
        <v>3395</v>
      </c>
    </row>
    <row r="1469" spans="1:2">
      <c r="A1469" s="145" t="s">
        <v>3396</v>
      </c>
    </row>
    <row r="1470" spans="1:2">
      <c r="A1470" s="145" t="s">
        <v>3397</v>
      </c>
    </row>
    <row r="1471" spans="1:2">
      <c r="A1471" s="145" t="s">
        <v>3398</v>
      </c>
    </row>
    <row r="1472" spans="1:2">
      <c r="A1472" s="145" t="s">
        <v>3399</v>
      </c>
    </row>
    <row r="1473" spans="1:1">
      <c r="A1473" s="145" t="s">
        <v>3400</v>
      </c>
    </row>
    <row r="1474" spans="1:1">
      <c r="A1474" s="145" t="s">
        <v>3401</v>
      </c>
    </row>
    <row r="1475" spans="1:1">
      <c r="A1475" s="145" t="s">
        <v>3402</v>
      </c>
    </row>
    <row r="1476" spans="1:1">
      <c r="A1476" s="145" t="s">
        <v>3403</v>
      </c>
    </row>
    <row r="1477" spans="1:1">
      <c r="A1477" s="145" t="s">
        <v>3404</v>
      </c>
    </row>
    <row r="1478" spans="1:1">
      <c r="A1478" s="145" t="s">
        <v>3405</v>
      </c>
    </row>
    <row r="1479" spans="1:1">
      <c r="A1479" s="145" t="s">
        <v>3406</v>
      </c>
    </row>
    <row r="1480" spans="1:1">
      <c r="A1480" s="145" t="s">
        <v>3407</v>
      </c>
    </row>
    <row r="1481" spans="1:1">
      <c r="A1481" s="145" t="s">
        <v>3408</v>
      </c>
    </row>
    <row r="1482" spans="1:1">
      <c r="A1482" s="145" t="s">
        <v>3409</v>
      </c>
    </row>
    <row r="1483" spans="1:1">
      <c r="A1483" s="145" t="s">
        <v>3410</v>
      </c>
    </row>
    <row r="1484" spans="1:1">
      <c r="A1484" s="145" t="s">
        <v>3411</v>
      </c>
    </row>
    <row r="1485" spans="1:1">
      <c r="A1485" s="145" t="s">
        <v>3412</v>
      </c>
    </row>
    <row r="1486" spans="1:1">
      <c r="A1486" s="145" t="s">
        <v>3413</v>
      </c>
    </row>
    <row r="1487" spans="1:1">
      <c r="A1487" s="145" t="s">
        <v>3414</v>
      </c>
    </row>
    <row r="1488" spans="1:1">
      <c r="A1488" s="145" t="s">
        <v>3415</v>
      </c>
    </row>
    <row r="1489" spans="1:1">
      <c r="A1489" s="145" t="s">
        <v>3416</v>
      </c>
    </row>
    <row r="1490" spans="1:1">
      <c r="A1490" s="145" t="s">
        <v>3417</v>
      </c>
    </row>
    <row r="1491" spans="1:1">
      <c r="A1491" s="145" t="s">
        <v>3418</v>
      </c>
    </row>
    <row r="1492" spans="1:1">
      <c r="A1492" s="145" t="s">
        <v>3419</v>
      </c>
    </row>
    <row r="1493" spans="1:1">
      <c r="A1493" s="145" t="s">
        <v>3420</v>
      </c>
    </row>
    <row r="1494" spans="1:1">
      <c r="A1494" s="145" t="s">
        <v>3421</v>
      </c>
    </row>
    <row r="1495" spans="1:1">
      <c r="A1495" s="145" t="s">
        <v>3422</v>
      </c>
    </row>
    <row r="1496" spans="1:1">
      <c r="A1496" s="145" t="s">
        <v>3423</v>
      </c>
    </row>
    <row r="1497" spans="1:1">
      <c r="A1497" s="145" t="s">
        <v>3424</v>
      </c>
    </row>
    <row r="1498" spans="1:1">
      <c r="A1498" s="145" t="s">
        <v>3425</v>
      </c>
    </row>
    <row r="1499" spans="1:1">
      <c r="A1499" s="145" t="s">
        <v>3426</v>
      </c>
    </row>
    <row r="1500" spans="1:1">
      <c r="A1500" s="145" t="s">
        <v>3427</v>
      </c>
    </row>
    <row r="1501" spans="1:1">
      <c r="A1501" s="145" t="s">
        <v>3428</v>
      </c>
    </row>
    <row r="1502" spans="1:1">
      <c r="A1502" s="145" t="s">
        <v>3429</v>
      </c>
    </row>
    <row r="1503" spans="1:1">
      <c r="A1503" s="145" t="s">
        <v>3430</v>
      </c>
    </row>
    <row r="1504" spans="1:1">
      <c r="A1504" s="145" t="s">
        <v>3431</v>
      </c>
    </row>
    <row r="1505" spans="1:1">
      <c r="A1505" s="145" t="s">
        <v>3432</v>
      </c>
    </row>
    <row r="1506" spans="1:1">
      <c r="A1506" s="145" t="s">
        <v>3433</v>
      </c>
    </row>
    <row r="1507" spans="1:1">
      <c r="A1507" s="145" t="s">
        <v>3434</v>
      </c>
    </row>
    <row r="1508" spans="1:1">
      <c r="A1508" s="145" t="s">
        <v>3435</v>
      </c>
    </row>
    <row r="1509" spans="1:1">
      <c r="A1509" s="145" t="s">
        <v>3436</v>
      </c>
    </row>
    <row r="1510" spans="1:1">
      <c r="A1510" s="145" t="s">
        <v>3437</v>
      </c>
    </row>
    <row r="1511" spans="1:1">
      <c r="A1511" s="145" t="s">
        <v>3438</v>
      </c>
    </row>
    <row r="1512" spans="1:1">
      <c r="A1512" s="145" t="s">
        <v>3439</v>
      </c>
    </row>
    <row r="1513" spans="1:1">
      <c r="A1513" s="145" t="s">
        <v>3440</v>
      </c>
    </row>
    <row r="1514" spans="1:1">
      <c r="A1514" s="145" t="s">
        <v>3441</v>
      </c>
    </row>
    <row r="1515" spans="1:1">
      <c r="A1515" s="145" t="s">
        <v>3442</v>
      </c>
    </row>
    <row r="1516" spans="1:1">
      <c r="A1516" s="145" t="s">
        <v>3443</v>
      </c>
    </row>
    <row r="1517" spans="1:1">
      <c r="A1517" s="145" t="s">
        <v>3444</v>
      </c>
    </row>
    <row r="1518" spans="1:1">
      <c r="A1518" s="145" t="s">
        <v>3445</v>
      </c>
    </row>
    <row r="1519" spans="1:1">
      <c r="A1519" s="145" t="s">
        <v>3446</v>
      </c>
    </row>
    <row r="1520" spans="1:1">
      <c r="A1520" s="145" t="s">
        <v>3447</v>
      </c>
    </row>
    <row r="1521" spans="1:1">
      <c r="A1521" s="145" t="s">
        <v>3448</v>
      </c>
    </row>
    <row r="1522" spans="1:1">
      <c r="A1522" s="145" t="s">
        <v>3449</v>
      </c>
    </row>
    <row r="1523" spans="1:1">
      <c r="A1523" s="145" t="s">
        <v>3450</v>
      </c>
    </row>
    <row r="1524" spans="1:1">
      <c r="A1524" s="145" t="s">
        <v>3451</v>
      </c>
    </row>
    <row r="1525" spans="1:1">
      <c r="A1525" s="145" t="s">
        <v>3452</v>
      </c>
    </row>
    <row r="1526" spans="1:1">
      <c r="A1526" s="145" t="s">
        <v>3453</v>
      </c>
    </row>
    <row r="1527" spans="1:1">
      <c r="A1527" s="145" t="s">
        <v>3454</v>
      </c>
    </row>
    <row r="1528" spans="1:1">
      <c r="A1528" s="145" t="s">
        <v>3455</v>
      </c>
    </row>
    <row r="1529" spans="1:1">
      <c r="A1529" s="145" t="s">
        <v>3456</v>
      </c>
    </row>
    <row r="1530" spans="1:1">
      <c r="A1530" s="145" t="s">
        <v>3457</v>
      </c>
    </row>
    <row r="1531" spans="1:1">
      <c r="A1531" s="145" t="s">
        <v>3458</v>
      </c>
    </row>
    <row r="1532" spans="1:1">
      <c r="A1532" s="145" t="s">
        <v>3459</v>
      </c>
    </row>
    <row r="1533" spans="1:1">
      <c r="A1533" s="145" t="s">
        <v>3460</v>
      </c>
    </row>
    <row r="1534" spans="1:1">
      <c r="A1534" s="145" t="s">
        <v>3461</v>
      </c>
    </row>
    <row r="1535" spans="1:1">
      <c r="A1535" s="145" t="s">
        <v>3462</v>
      </c>
    </row>
    <row r="1536" spans="1:1">
      <c r="A1536" s="145" t="s">
        <v>3463</v>
      </c>
    </row>
    <row r="1537" spans="1:1">
      <c r="A1537" s="145" t="s">
        <v>3464</v>
      </c>
    </row>
    <row r="1538" spans="1:1">
      <c r="A1538" s="145" t="s">
        <v>3465</v>
      </c>
    </row>
    <row r="1539" spans="1:1">
      <c r="A1539" s="145" t="s">
        <v>3466</v>
      </c>
    </row>
    <row r="1540" spans="1:1">
      <c r="A1540" s="145" t="s">
        <v>3467</v>
      </c>
    </row>
    <row r="1541" spans="1:1">
      <c r="A1541" s="145" t="s">
        <v>3468</v>
      </c>
    </row>
    <row r="1542" spans="1:1">
      <c r="A1542" s="145" t="s">
        <v>3469</v>
      </c>
    </row>
    <row r="1543" spans="1:1">
      <c r="A1543" s="145" t="s">
        <v>3470</v>
      </c>
    </row>
    <row r="1544" spans="1:1">
      <c r="A1544" s="145" t="s">
        <v>3471</v>
      </c>
    </row>
    <row r="1545" spans="1:1">
      <c r="A1545" s="145" t="s">
        <v>3472</v>
      </c>
    </row>
    <row r="1546" spans="1:1">
      <c r="A1546" s="145" t="s">
        <v>3473</v>
      </c>
    </row>
    <row r="1547" spans="1:1">
      <c r="A1547" s="145" t="s">
        <v>3474</v>
      </c>
    </row>
    <row r="1548" spans="1:1">
      <c r="A1548" s="145" t="s">
        <v>3475</v>
      </c>
    </row>
    <row r="1549" spans="1:1">
      <c r="A1549" s="145" t="s">
        <v>3476</v>
      </c>
    </row>
    <row r="1550" spans="1:1">
      <c r="A1550" s="145" t="s">
        <v>3477</v>
      </c>
    </row>
    <row r="1551" spans="1:1">
      <c r="A1551" s="145" t="s">
        <v>3478</v>
      </c>
    </row>
    <row r="1552" spans="1:1">
      <c r="A1552" s="145" t="s">
        <v>3479</v>
      </c>
    </row>
    <row r="1553" spans="1:1">
      <c r="A1553" s="145" t="s">
        <v>3480</v>
      </c>
    </row>
    <row r="1554" spans="1:1">
      <c r="A1554" s="145" t="s">
        <v>3481</v>
      </c>
    </row>
    <row r="1555" spans="1:1">
      <c r="A1555" s="145" t="s">
        <v>3482</v>
      </c>
    </row>
    <row r="1556" spans="1:1">
      <c r="A1556" s="145" t="s">
        <v>3483</v>
      </c>
    </row>
    <row r="1557" spans="1:1">
      <c r="A1557" s="145" t="s">
        <v>3484</v>
      </c>
    </row>
    <row r="1558" spans="1:1">
      <c r="A1558" s="145" t="s">
        <v>3485</v>
      </c>
    </row>
    <row r="1559" spans="1:1">
      <c r="A1559" s="145" t="s">
        <v>3486</v>
      </c>
    </row>
    <row r="1560" spans="1:1">
      <c r="A1560" s="145" t="s">
        <v>3487</v>
      </c>
    </row>
    <row r="1561" spans="1:1">
      <c r="A1561" s="145" t="s">
        <v>3488</v>
      </c>
    </row>
    <row r="1562" spans="1:1">
      <c r="A1562" s="145" t="s">
        <v>3489</v>
      </c>
    </row>
    <row r="1563" spans="1:1">
      <c r="A1563" s="145" t="s">
        <v>3490</v>
      </c>
    </row>
    <row r="1564" spans="1:1">
      <c r="A1564" s="145" t="s">
        <v>3491</v>
      </c>
    </row>
    <row r="1565" spans="1:1">
      <c r="A1565" s="145" t="s">
        <v>3492</v>
      </c>
    </row>
    <row r="1566" spans="1:1">
      <c r="A1566" s="145" t="s">
        <v>3493</v>
      </c>
    </row>
    <row r="1567" spans="1:1">
      <c r="A1567" s="145" t="s">
        <v>3494</v>
      </c>
    </row>
    <row r="1568" spans="1:1">
      <c r="A1568" s="145" t="s">
        <v>3495</v>
      </c>
    </row>
    <row r="1569" spans="1:1">
      <c r="A1569" s="145" t="s">
        <v>3496</v>
      </c>
    </row>
    <row r="1570" spans="1:1">
      <c r="A1570" s="145" t="s">
        <v>3497</v>
      </c>
    </row>
    <row r="1571" spans="1:1">
      <c r="A1571" s="145" t="s">
        <v>3498</v>
      </c>
    </row>
    <row r="1572" spans="1:1">
      <c r="A1572" s="145" t="s">
        <v>3499</v>
      </c>
    </row>
    <row r="1573" spans="1:1">
      <c r="A1573" s="145" t="s">
        <v>3500</v>
      </c>
    </row>
    <row r="1574" spans="1:1">
      <c r="A1574" s="145" t="s">
        <v>3501</v>
      </c>
    </row>
    <row r="1575" spans="1:1">
      <c r="A1575" s="145" t="s">
        <v>3502</v>
      </c>
    </row>
    <row r="1576" spans="1:1">
      <c r="A1576" s="145" t="s">
        <v>3503</v>
      </c>
    </row>
    <row r="1577" spans="1:1">
      <c r="A1577" s="145" t="s">
        <v>3504</v>
      </c>
    </row>
    <row r="1578" spans="1:1">
      <c r="A1578" s="145" t="s">
        <v>3505</v>
      </c>
    </row>
    <row r="1579" spans="1:1">
      <c r="A1579" s="145" t="s">
        <v>3506</v>
      </c>
    </row>
    <row r="1580" spans="1:1">
      <c r="A1580" s="145" t="s">
        <v>3507</v>
      </c>
    </row>
    <row r="1581" spans="1:1">
      <c r="A1581" s="145" t="s">
        <v>3508</v>
      </c>
    </row>
    <row r="1582" spans="1:1">
      <c r="A1582" s="145" t="s">
        <v>3509</v>
      </c>
    </row>
    <row r="1583" spans="1:1">
      <c r="A1583" s="145" t="s">
        <v>3510</v>
      </c>
    </row>
    <row r="1584" spans="1:1">
      <c r="A1584" s="145" t="s">
        <v>3511</v>
      </c>
    </row>
    <row r="1585" spans="1:1">
      <c r="A1585" s="145" t="s">
        <v>3512</v>
      </c>
    </row>
    <row r="1586" spans="1:1">
      <c r="A1586" s="145" t="s">
        <v>3513</v>
      </c>
    </row>
    <row r="1587" spans="1:1">
      <c r="A1587" s="145" t="s">
        <v>3514</v>
      </c>
    </row>
    <row r="1588" spans="1:1">
      <c r="A1588" s="145" t="s">
        <v>3515</v>
      </c>
    </row>
    <row r="1589" spans="1:1">
      <c r="A1589" s="145" t="s">
        <v>3516</v>
      </c>
    </row>
    <row r="1590" spans="1:1">
      <c r="A1590" s="145" t="s">
        <v>3517</v>
      </c>
    </row>
    <row r="1591" spans="1:1">
      <c r="A1591" s="145" t="s">
        <v>3518</v>
      </c>
    </row>
    <row r="1592" spans="1:1">
      <c r="A1592" s="145" t="s">
        <v>3519</v>
      </c>
    </row>
    <row r="1593" spans="1:1">
      <c r="A1593" s="145" t="s">
        <v>3520</v>
      </c>
    </row>
    <row r="1594" spans="1:1">
      <c r="A1594" s="145" t="s">
        <v>3521</v>
      </c>
    </row>
    <row r="1595" spans="1:1">
      <c r="A1595" s="145" t="s">
        <v>3522</v>
      </c>
    </row>
    <row r="1596" spans="1:1">
      <c r="A1596" s="145" t="s">
        <v>3523</v>
      </c>
    </row>
    <row r="1597" spans="1:1">
      <c r="A1597" s="145" t="s">
        <v>3524</v>
      </c>
    </row>
    <row r="1598" spans="1:1">
      <c r="A1598" s="145" t="s">
        <v>3525</v>
      </c>
    </row>
    <row r="1599" spans="1:1">
      <c r="A1599" s="145" t="s">
        <v>3526</v>
      </c>
    </row>
    <row r="1600" spans="1:1">
      <c r="A1600" s="145" t="s">
        <v>3527</v>
      </c>
    </row>
    <row r="1601" spans="1:1">
      <c r="A1601" s="145" t="s">
        <v>3528</v>
      </c>
    </row>
    <row r="1602" spans="1:1">
      <c r="A1602" s="145" t="s">
        <v>3529</v>
      </c>
    </row>
    <row r="1603" spans="1:1">
      <c r="A1603" s="145" t="s">
        <v>3530</v>
      </c>
    </row>
    <row r="1604" spans="1:1">
      <c r="A1604" s="145" t="s">
        <v>3531</v>
      </c>
    </row>
    <row r="1605" spans="1:1">
      <c r="A1605" s="145" t="s">
        <v>3532</v>
      </c>
    </row>
    <row r="1606" spans="1:1">
      <c r="A1606" s="145" t="s">
        <v>3533</v>
      </c>
    </row>
    <row r="1607" spans="1:1">
      <c r="A1607" s="145" t="s">
        <v>3534</v>
      </c>
    </row>
    <row r="1608" spans="1:1">
      <c r="A1608" s="145" t="s">
        <v>3535</v>
      </c>
    </row>
    <row r="1609" spans="1:1">
      <c r="A1609" s="145" t="s">
        <v>3536</v>
      </c>
    </row>
    <row r="1610" spans="1:1">
      <c r="A1610" s="145" t="s">
        <v>3537</v>
      </c>
    </row>
    <row r="1611" spans="1:1">
      <c r="A1611" s="145" t="s">
        <v>3538</v>
      </c>
    </row>
    <row r="1612" spans="1:1">
      <c r="A1612" s="145" t="s">
        <v>3539</v>
      </c>
    </row>
    <row r="1613" spans="1:1">
      <c r="A1613" s="145" t="s">
        <v>3540</v>
      </c>
    </row>
    <row r="1614" spans="1:1">
      <c r="A1614" s="145" t="s">
        <v>3541</v>
      </c>
    </row>
    <row r="1615" spans="1:1">
      <c r="A1615" s="145" t="s">
        <v>3542</v>
      </c>
    </row>
    <row r="1616" spans="1:1">
      <c r="A1616" s="145" t="s">
        <v>3543</v>
      </c>
    </row>
    <row r="1617" spans="1:1">
      <c r="A1617" s="145" t="s">
        <v>3544</v>
      </c>
    </row>
    <row r="1618" spans="1:1">
      <c r="A1618" s="145" t="s">
        <v>3545</v>
      </c>
    </row>
    <row r="1619" spans="1:1">
      <c r="A1619" s="145" t="s">
        <v>3546</v>
      </c>
    </row>
    <row r="1620" spans="1:1">
      <c r="A1620" s="145" t="s">
        <v>3547</v>
      </c>
    </row>
    <row r="1621" spans="1:1">
      <c r="A1621" s="145" t="s">
        <v>3548</v>
      </c>
    </row>
    <row r="1622" spans="1:1">
      <c r="A1622" s="145" t="s">
        <v>3549</v>
      </c>
    </row>
    <row r="1623" spans="1:1">
      <c r="A1623" s="145" t="s">
        <v>3550</v>
      </c>
    </row>
    <row r="1624" spans="1:1">
      <c r="A1624" s="145" t="s">
        <v>3551</v>
      </c>
    </row>
    <row r="1625" spans="1:1">
      <c r="A1625" s="145" t="s">
        <v>3552</v>
      </c>
    </row>
    <row r="1626" spans="1:1">
      <c r="A1626" s="145" t="s">
        <v>3553</v>
      </c>
    </row>
    <row r="1627" spans="1:1">
      <c r="A1627" s="145" t="s">
        <v>3554</v>
      </c>
    </row>
    <row r="1628" spans="1:1">
      <c r="A1628" s="145" t="s">
        <v>3555</v>
      </c>
    </row>
    <row r="1629" spans="1:1">
      <c r="A1629" s="145" t="s">
        <v>3556</v>
      </c>
    </row>
    <row r="1630" spans="1:1">
      <c r="A1630" s="145" t="s">
        <v>3557</v>
      </c>
    </row>
    <row r="1631" spans="1:1">
      <c r="A1631" s="145" t="s">
        <v>3558</v>
      </c>
    </row>
    <row r="1632" spans="1:1">
      <c r="A1632" s="145" t="s">
        <v>3559</v>
      </c>
    </row>
    <row r="1633" spans="1:1">
      <c r="A1633" s="145" t="s">
        <v>3560</v>
      </c>
    </row>
    <row r="1634" spans="1:1">
      <c r="A1634" s="145" t="s">
        <v>3561</v>
      </c>
    </row>
    <row r="1635" spans="1:1">
      <c r="A1635" s="145" t="s">
        <v>3562</v>
      </c>
    </row>
    <row r="1636" spans="1:1">
      <c r="A1636" s="145" t="s">
        <v>3563</v>
      </c>
    </row>
    <row r="1637" spans="1:1">
      <c r="A1637" s="145" t="s">
        <v>3564</v>
      </c>
    </row>
    <row r="1638" spans="1:1">
      <c r="A1638" s="145" t="s">
        <v>3565</v>
      </c>
    </row>
    <row r="1639" spans="1:1">
      <c r="A1639" s="145" t="s">
        <v>3566</v>
      </c>
    </row>
    <row r="1640" spans="1:1">
      <c r="A1640" s="145" t="s">
        <v>3567</v>
      </c>
    </row>
    <row r="1641" spans="1:1">
      <c r="A1641" s="145" t="s">
        <v>3568</v>
      </c>
    </row>
    <row r="1642" spans="1:1">
      <c r="A1642" s="145" t="s">
        <v>3569</v>
      </c>
    </row>
    <row r="1643" spans="1:1">
      <c r="A1643" s="145" t="s">
        <v>3570</v>
      </c>
    </row>
    <row r="1644" spans="1:1">
      <c r="A1644" s="145" t="s">
        <v>3571</v>
      </c>
    </row>
    <row r="1645" spans="1:1">
      <c r="A1645" s="145" t="s">
        <v>3572</v>
      </c>
    </row>
    <row r="1646" spans="1:1">
      <c r="A1646" s="145" t="s">
        <v>3573</v>
      </c>
    </row>
    <row r="1647" spans="1:1">
      <c r="A1647" s="145" t="s">
        <v>3574</v>
      </c>
    </row>
    <row r="1648" spans="1:1">
      <c r="A1648" s="145" t="s">
        <v>3575</v>
      </c>
    </row>
    <row r="1649" spans="1:1">
      <c r="A1649" s="145" t="s">
        <v>3576</v>
      </c>
    </row>
    <row r="1650" spans="1:1">
      <c r="A1650" s="145" t="s">
        <v>3577</v>
      </c>
    </row>
    <row r="1651" spans="1:1">
      <c r="A1651" s="145" t="s">
        <v>3578</v>
      </c>
    </row>
    <row r="1652" spans="1:1">
      <c r="A1652" s="145" t="s">
        <v>3579</v>
      </c>
    </row>
    <row r="1653" spans="1:1">
      <c r="A1653" s="145" t="s">
        <v>3580</v>
      </c>
    </row>
    <row r="1654" spans="1:1">
      <c r="A1654" s="145" t="s">
        <v>3581</v>
      </c>
    </row>
    <row r="1655" spans="1:1">
      <c r="A1655" s="145" t="s">
        <v>3582</v>
      </c>
    </row>
    <row r="1656" spans="1:1">
      <c r="A1656" s="145" t="s">
        <v>3583</v>
      </c>
    </row>
    <row r="1657" spans="1:1">
      <c r="A1657" s="145" t="s">
        <v>3584</v>
      </c>
    </row>
    <row r="1658" spans="1:1">
      <c r="A1658" s="145" t="s">
        <v>3585</v>
      </c>
    </row>
    <row r="1659" spans="1:1">
      <c r="A1659" s="145" t="s">
        <v>3586</v>
      </c>
    </row>
    <row r="1660" spans="1:1">
      <c r="A1660" s="145" t="s">
        <v>3587</v>
      </c>
    </row>
    <row r="1661" spans="1:1">
      <c r="A1661" s="145" t="s">
        <v>3588</v>
      </c>
    </row>
    <row r="1662" spans="1:1">
      <c r="A1662" s="145" t="s">
        <v>3589</v>
      </c>
    </row>
    <row r="1663" spans="1:1">
      <c r="A1663" s="145" t="s">
        <v>3590</v>
      </c>
    </row>
    <row r="1664" spans="1:1">
      <c r="A1664" s="145" t="s">
        <v>3591</v>
      </c>
    </row>
    <row r="1665" spans="1:1">
      <c r="A1665" s="145" t="s">
        <v>3592</v>
      </c>
    </row>
    <row r="1666" spans="1:1">
      <c r="A1666" s="145" t="s">
        <v>3593</v>
      </c>
    </row>
    <row r="1667" spans="1:1">
      <c r="A1667" s="145" t="s">
        <v>3594</v>
      </c>
    </row>
    <row r="1668" spans="1:1">
      <c r="A1668" s="145" t="s">
        <v>3595</v>
      </c>
    </row>
    <row r="1669" spans="1:1">
      <c r="A1669" s="145" t="s">
        <v>3596</v>
      </c>
    </row>
    <row r="1670" spans="1:1">
      <c r="A1670" s="145" t="s">
        <v>3597</v>
      </c>
    </row>
    <row r="1671" spans="1:1">
      <c r="A1671" s="145" t="s">
        <v>3598</v>
      </c>
    </row>
    <row r="1672" spans="1:1">
      <c r="A1672" s="145" t="s">
        <v>3599</v>
      </c>
    </row>
    <row r="1673" spans="1:1">
      <c r="A1673" s="145" t="s">
        <v>3600</v>
      </c>
    </row>
    <row r="1674" spans="1:1">
      <c r="A1674" s="145" t="s">
        <v>3601</v>
      </c>
    </row>
    <row r="1675" spans="1:1">
      <c r="A1675" s="145" t="s">
        <v>3602</v>
      </c>
    </row>
    <row r="1676" spans="1:1">
      <c r="A1676" s="145" t="s">
        <v>3603</v>
      </c>
    </row>
    <row r="1677" spans="1:1">
      <c r="A1677" s="145" t="s">
        <v>3604</v>
      </c>
    </row>
    <row r="1678" spans="1:1">
      <c r="A1678" s="145" t="s">
        <v>3605</v>
      </c>
    </row>
    <row r="1679" spans="1:1">
      <c r="A1679" s="145" t="s">
        <v>3606</v>
      </c>
    </row>
    <row r="1680" spans="1:1">
      <c r="A1680" s="145" t="s">
        <v>3607</v>
      </c>
    </row>
    <row r="1681" spans="1:1">
      <c r="A1681" s="145" t="s">
        <v>3608</v>
      </c>
    </row>
    <row r="1682" spans="1:1">
      <c r="A1682" s="145" t="s">
        <v>3609</v>
      </c>
    </row>
    <row r="1683" spans="1:1">
      <c r="A1683" s="145" t="s">
        <v>3610</v>
      </c>
    </row>
    <row r="1684" spans="1:1">
      <c r="A1684" s="145" t="s">
        <v>3611</v>
      </c>
    </row>
    <row r="1685" spans="1:1">
      <c r="A1685" s="145" t="s">
        <v>3612</v>
      </c>
    </row>
    <row r="1686" spans="1:1">
      <c r="A1686" s="145" t="s">
        <v>3613</v>
      </c>
    </row>
    <row r="1687" spans="1:1">
      <c r="A1687" s="145" t="s">
        <v>3614</v>
      </c>
    </row>
    <row r="1688" spans="1:1">
      <c r="A1688" s="145" t="s">
        <v>3615</v>
      </c>
    </row>
    <row r="1689" spans="1:1">
      <c r="A1689" s="145" t="s">
        <v>3616</v>
      </c>
    </row>
    <row r="1690" spans="1:1">
      <c r="A1690" s="145" t="s">
        <v>3617</v>
      </c>
    </row>
    <row r="1691" spans="1:1">
      <c r="A1691" s="145" t="s">
        <v>3618</v>
      </c>
    </row>
    <row r="1692" spans="1:1">
      <c r="A1692" s="145" t="s">
        <v>3619</v>
      </c>
    </row>
    <row r="1693" spans="1:1">
      <c r="A1693" s="145" t="s">
        <v>3620</v>
      </c>
    </row>
    <row r="1694" spans="1:1">
      <c r="A1694" s="145" t="s">
        <v>3621</v>
      </c>
    </row>
    <row r="1695" spans="1:1">
      <c r="A1695" s="145" t="s">
        <v>3622</v>
      </c>
    </row>
    <row r="1696" spans="1:1">
      <c r="A1696" s="145" t="s">
        <v>3623</v>
      </c>
    </row>
    <row r="1697" spans="1:1">
      <c r="A1697" s="145" t="s">
        <v>3624</v>
      </c>
    </row>
    <row r="1698" spans="1:1">
      <c r="A1698" s="145" t="s">
        <v>3625</v>
      </c>
    </row>
    <row r="1699" spans="1:1">
      <c r="A1699" s="145" t="s">
        <v>3626</v>
      </c>
    </row>
    <row r="1700" spans="1:1">
      <c r="A1700" s="145" t="s">
        <v>3627</v>
      </c>
    </row>
    <row r="1701" spans="1:1">
      <c r="A1701" s="145" t="s">
        <v>3628</v>
      </c>
    </row>
    <row r="1702" spans="1:1">
      <c r="A1702" s="145" t="s">
        <v>3629</v>
      </c>
    </row>
    <row r="1703" spans="1:1">
      <c r="A1703" s="145" t="s">
        <v>3630</v>
      </c>
    </row>
    <row r="1704" spans="1:1">
      <c r="A1704" s="145" t="s">
        <v>3631</v>
      </c>
    </row>
    <row r="1705" spans="1:1">
      <c r="A1705" s="145" t="s">
        <v>3632</v>
      </c>
    </row>
    <row r="1706" spans="1:1">
      <c r="A1706" s="145" t="s">
        <v>3633</v>
      </c>
    </row>
    <row r="1707" spans="1:1">
      <c r="A1707" s="145" t="s">
        <v>3634</v>
      </c>
    </row>
    <row r="1708" spans="1:1">
      <c r="A1708" s="145" t="s">
        <v>3635</v>
      </c>
    </row>
    <row r="1709" spans="1:1">
      <c r="A1709" s="145" t="s">
        <v>3636</v>
      </c>
    </row>
    <row r="1710" spans="1:1">
      <c r="A1710" s="145" t="s">
        <v>3637</v>
      </c>
    </row>
    <row r="1711" spans="1:1">
      <c r="A1711" s="145" t="s">
        <v>3638</v>
      </c>
    </row>
    <row r="1712" spans="1:1">
      <c r="A1712" s="145" t="s">
        <v>3639</v>
      </c>
    </row>
    <row r="1713" spans="1:1">
      <c r="A1713" s="145" t="s">
        <v>3640</v>
      </c>
    </row>
    <row r="1714" spans="1:1">
      <c r="A1714" s="145" t="s">
        <v>3641</v>
      </c>
    </row>
    <row r="1715" spans="1:1">
      <c r="A1715" s="145" t="s">
        <v>3642</v>
      </c>
    </row>
    <row r="1716" spans="1:1">
      <c r="A1716" s="145" t="s">
        <v>3643</v>
      </c>
    </row>
    <row r="1717" spans="1:1">
      <c r="A1717" s="145" t="s">
        <v>3644</v>
      </c>
    </row>
    <row r="1718" spans="1:1">
      <c r="A1718" s="145" t="s">
        <v>3645</v>
      </c>
    </row>
    <row r="1719" spans="1:1">
      <c r="A1719" s="145" t="s">
        <v>3646</v>
      </c>
    </row>
    <row r="1720" spans="1:1">
      <c r="A1720" s="145" t="s">
        <v>3647</v>
      </c>
    </row>
    <row r="1721" spans="1:1">
      <c r="A1721" s="145" t="s">
        <v>3648</v>
      </c>
    </row>
    <row r="1722" spans="1:1">
      <c r="A1722" s="145" t="s">
        <v>3649</v>
      </c>
    </row>
    <row r="1723" spans="1:1">
      <c r="A1723" s="145" t="s">
        <v>3650</v>
      </c>
    </row>
    <row r="1724" spans="1:1">
      <c r="A1724" s="145" t="s">
        <v>3651</v>
      </c>
    </row>
    <row r="1725" spans="1:1">
      <c r="A1725" s="145" t="s">
        <v>3652</v>
      </c>
    </row>
    <row r="1726" spans="1:1">
      <c r="A1726" s="145" t="s">
        <v>3653</v>
      </c>
    </row>
    <row r="1727" spans="1:1">
      <c r="A1727" s="145" t="s">
        <v>3654</v>
      </c>
    </row>
    <row r="1728" spans="1:1">
      <c r="A1728" s="145" t="s">
        <v>3655</v>
      </c>
    </row>
    <row r="1729" spans="1:1">
      <c r="A1729" s="145" t="s">
        <v>3656</v>
      </c>
    </row>
    <row r="1730" spans="1:1">
      <c r="A1730" s="145" t="s">
        <v>3657</v>
      </c>
    </row>
    <row r="1731" spans="1:1">
      <c r="A1731" s="145" t="s">
        <v>3658</v>
      </c>
    </row>
    <row r="1732" spans="1:1">
      <c r="A1732" s="145" t="s">
        <v>3659</v>
      </c>
    </row>
    <row r="1733" spans="1:1">
      <c r="A1733" s="145" t="s">
        <v>3660</v>
      </c>
    </row>
    <row r="1734" spans="1:1">
      <c r="A1734" s="145" t="s">
        <v>3661</v>
      </c>
    </row>
    <row r="1735" spans="1:1">
      <c r="A1735" s="145" t="s">
        <v>3662</v>
      </c>
    </row>
    <row r="1736" spans="1:1">
      <c r="A1736" s="145" t="s">
        <v>3663</v>
      </c>
    </row>
    <row r="1737" spans="1:1">
      <c r="A1737" s="145" t="s">
        <v>3664</v>
      </c>
    </row>
    <row r="1738" spans="1:1">
      <c r="A1738" s="145" t="s">
        <v>3665</v>
      </c>
    </row>
    <row r="1739" spans="1:1">
      <c r="A1739" s="145" t="s">
        <v>3666</v>
      </c>
    </row>
    <row r="1740" spans="1:1">
      <c r="A1740" s="145" t="s">
        <v>3667</v>
      </c>
    </row>
    <row r="1741" spans="1:1">
      <c r="A1741" s="145" t="s">
        <v>3668</v>
      </c>
    </row>
    <row r="1742" spans="1:1">
      <c r="A1742" s="145" t="s">
        <v>3669</v>
      </c>
    </row>
    <row r="1743" spans="1:1">
      <c r="A1743" s="145" t="s">
        <v>3670</v>
      </c>
    </row>
    <row r="1744" spans="1:1">
      <c r="A1744" s="145" t="s">
        <v>3671</v>
      </c>
    </row>
    <row r="1745" spans="1:1">
      <c r="A1745" s="145" t="s">
        <v>3672</v>
      </c>
    </row>
    <row r="1746" spans="1:1">
      <c r="A1746" s="145" t="s">
        <v>3673</v>
      </c>
    </row>
    <row r="1747" spans="1:1">
      <c r="A1747" s="145" t="s">
        <v>3674</v>
      </c>
    </row>
    <row r="1748" spans="1:1">
      <c r="A1748" s="145" t="s">
        <v>3675</v>
      </c>
    </row>
    <row r="1749" spans="1:1">
      <c r="A1749" s="145" t="s">
        <v>3676</v>
      </c>
    </row>
    <row r="1750" spans="1:1">
      <c r="A1750" s="145" t="s">
        <v>3677</v>
      </c>
    </row>
    <row r="1751" spans="1:1">
      <c r="A1751" s="145" t="s">
        <v>3678</v>
      </c>
    </row>
    <row r="1752" spans="1:1">
      <c r="A1752" s="145" t="s">
        <v>3679</v>
      </c>
    </row>
    <row r="1753" spans="1:1">
      <c r="A1753" s="145" t="s">
        <v>3680</v>
      </c>
    </row>
    <row r="1754" spans="1:1">
      <c r="A1754" s="145" t="s">
        <v>3681</v>
      </c>
    </row>
    <row r="1755" spans="1:1">
      <c r="A1755" s="145" t="s">
        <v>3682</v>
      </c>
    </row>
    <row r="1756" spans="1:1">
      <c r="A1756" s="145" t="s">
        <v>3683</v>
      </c>
    </row>
    <row r="1757" spans="1:1">
      <c r="A1757" s="145" t="s">
        <v>3684</v>
      </c>
    </row>
    <row r="1758" spans="1:1">
      <c r="A1758" s="145" t="s">
        <v>3685</v>
      </c>
    </row>
    <row r="1759" spans="1:1">
      <c r="A1759" s="145" t="s">
        <v>3686</v>
      </c>
    </row>
    <row r="1760" spans="1:1">
      <c r="A1760" s="145" t="s">
        <v>3687</v>
      </c>
    </row>
    <row r="1761" spans="1:1">
      <c r="A1761" s="145" t="s">
        <v>3688</v>
      </c>
    </row>
    <row r="1762" spans="1:1">
      <c r="A1762" s="145" t="s">
        <v>3689</v>
      </c>
    </row>
    <row r="1763" spans="1:1">
      <c r="A1763" s="145" t="s">
        <v>3690</v>
      </c>
    </row>
    <row r="1764" spans="1:1">
      <c r="A1764" s="145" t="s">
        <v>3691</v>
      </c>
    </row>
    <row r="1765" spans="1:1">
      <c r="A1765" s="145" t="s">
        <v>3692</v>
      </c>
    </row>
    <row r="1766" spans="1:1">
      <c r="A1766" s="145" t="s">
        <v>3693</v>
      </c>
    </row>
    <row r="1767" spans="1:1">
      <c r="A1767" s="145" t="s">
        <v>3694</v>
      </c>
    </row>
    <row r="1768" spans="1:1">
      <c r="A1768" s="145" t="s">
        <v>3695</v>
      </c>
    </row>
    <row r="1769" spans="1:1">
      <c r="A1769" s="145" t="s">
        <v>3696</v>
      </c>
    </row>
    <row r="1770" spans="1:1">
      <c r="A1770" s="145" t="s">
        <v>3697</v>
      </c>
    </row>
    <row r="1771" spans="1:1">
      <c r="A1771" s="145" t="s">
        <v>3698</v>
      </c>
    </row>
    <row r="1772" spans="1:1">
      <c r="A1772" s="145" t="s">
        <v>3699</v>
      </c>
    </row>
    <row r="1773" spans="1:1">
      <c r="A1773" s="145" t="s">
        <v>3700</v>
      </c>
    </row>
    <row r="1774" spans="1:1">
      <c r="A1774" s="145" t="s">
        <v>3701</v>
      </c>
    </row>
    <row r="1775" spans="1:1">
      <c r="A1775" s="145" t="s">
        <v>3702</v>
      </c>
    </row>
    <row r="1776" spans="1:1">
      <c r="A1776" s="145" t="s">
        <v>3703</v>
      </c>
    </row>
    <row r="1777" spans="1:1">
      <c r="A1777" s="145" t="s">
        <v>3704</v>
      </c>
    </row>
    <row r="1778" spans="1:1">
      <c r="A1778" s="145" t="s">
        <v>3705</v>
      </c>
    </row>
    <row r="1779" spans="1:1">
      <c r="A1779" s="145" t="s">
        <v>3706</v>
      </c>
    </row>
    <row r="1780" spans="1:1">
      <c r="A1780" s="145" t="s">
        <v>3707</v>
      </c>
    </row>
    <row r="1781" spans="1:1">
      <c r="A1781" s="145" t="s">
        <v>3708</v>
      </c>
    </row>
    <row r="1782" spans="1:1">
      <c r="A1782" s="145" t="s">
        <v>3709</v>
      </c>
    </row>
    <row r="1783" spans="1:1">
      <c r="A1783" s="145" t="s">
        <v>3710</v>
      </c>
    </row>
    <row r="1784" spans="1:1">
      <c r="A1784" s="145" t="s">
        <v>3711</v>
      </c>
    </row>
    <row r="1785" spans="1:1">
      <c r="A1785" s="145" t="s">
        <v>3712</v>
      </c>
    </row>
    <row r="1786" spans="1:1">
      <c r="A1786" s="145" t="s">
        <v>3713</v>
      </c>
    </row>
    <row r="1787" spans="1:1">
      <c r="A1787" s="145" t="s">
        <v>3714</v>
      </c>
    </row>
    <row r="1788" spans="1:1">
      <c r="A1788" s="145" t="s">
        <v>3715</v>
      </c>
    </row>
    <row r="1789" spans="1:1">
      <c r="A1789" s="145" t="s">
        <v>3716</v>
      </c>
    </row>
    <row r="1790" spans="1:1">
      <c r="A1790" s="145" t="s">
        <v>3717</v>
      </c>
    </row>
    <row r="1791" spans="1:1">
      <c r="A1791" s="145" t="s">
        <v>3718</v>
      </c>
    </row>
    <row r="1792" spans="1:1">
      <c r="A1792" s="145" t="s">
        <v>3719</v>
      </c>
    </row>
    <row r="1793" spans="1:1">
      <c r="A1793" s="145" t="s">
        <v>3720</v>
      </c>
    </row>
    <row r="1794" spans="1:1">
      <c r="A1794" s="145" t="s">
        <v>3721</v>
      </c>
    </row>
    <row r="1795" spans="1:1">
      <c r="A1795" s="145" t="s">
        <v>3722</v>
      </c>
    </row>
    <row r="1796" spans="1:1">
      <c r="A1796" s="145" t="s">
        <v>3723</v>
      </c>
    </row>
    <row r="1797" spans="1:1">
      <c r="A1797" s="145" t="s">
        <v>3724</v>
      </c>
    </row>
    <row r="1798" spans="1:1">
      <c r="A1798" s="145" t="s">
        <v>3725</v>
      </c>
    </row>
    <row r="1799" spans="1:1">
      <c r="A1799" s="145" t="s">
        <v>3726</v>
      </c>
    </row>
    <row r="1800" spans="1:1">
      <c r="A1800" s="145" t="s">
        <v>3727</v>
      </c>
    </row>
    <row r="1801" spans="1:1">
      <c r="A1801" s="145" t="s">
        <v>3728</v>
      </c>
    </row>
    <row r="1802" spans="1:1">
      <c r="A1802" s="145" t="s">
        <v>3729</v>
      </c>
    </row>
    <row r="1803" spans="1:1">
      <c r="A1803" s="145" t="s">
        <v>3730</v>
      </c>
    </row>
    <row r="1804" spans="1:1">
      <c r="A1804" s="145" t="s">
        <v>3731</v>
      </c>
    </row>
    <row r="1805" spans="1:1">
      <c r="A1805" s="145" t="s">
        <v>3732</v>
      </c>
    </row>
    <row r="1806" spans="1:1">
      <c r="A1806" s="145" t="s">
        <v>3733</v>
      </c>
    </row>
    <row r="1807" spans="1:1">
      <c r="A1807" s="145" t="s">
        <v>3734</v>
      </c>
    </row>
    <row r="1808" spans="1:1">
      <c r="A1808" s="145" t="s">
        <v>3735</v>
      </c>
    </row>
    <row r="1809" spans="1:1">
      <c r="A1809" s="145" t="s">
        <v>3736</v>
      </c>
    </row>
    <row r="1810" spans="1:1">
      <c r="A1810" s="145" t="s">
        <v>3737</v>
      </c>
    </row>
    <row r="1811" spans="1:1">
      <c r="A1811" s="145" t="s">
        <v>3738</v>
      </c>
    </row>
    <row r="1812" spans="1:1">
      <c r="A1812" s="145" t="s">
        <v>3739</v>
      </c>
    </row>
    <row r="1813" spans="1:1">
      <c r="A1813" s="145" t="s">
        <v>3740</v>
      </c>
    </row>
    <row r="1814" spans="1:1">
      <c r="A1814" s="145" t="s">
        <v>3741</v>
      </c>
    </row>
    <row r="1815" spans="1:1">
      <c r="A1815" s="145" t="s">
        <v>3742</v>
      </c>
    </row>
    <row r="1816" spans="1:1">
      <c r="A1816" s="145" t="s">
        <v>3743</v>
      </c>
    </row>
    <row r="1817" spans="1:1">
      <c r="A1817" s="145" t="s">
        <v>3744</v>
      </c>
    </row>
    <row r="1818" spans="1:1">
      <c r="A1818" s="145" t="s">
        <v>3745</v>
      </c>
    </row>
    <row r="1819" spans="1:1">
      <c r="A1819" s="145" t="s">
        <v>3746</v>
      </c>
    </row>
    <row r="1820" spans="1:1">
      <c r="A1820" s="145" t="s">
        <v>3747</v>
      </c>
    </row>
    <row r="1821" spans="1:1">
      <c r="A1821" s="145" t="s">
        <v>3748</v>
      </c>
    </row>
    <row r="1822" spans="1:1">
      <c r="A1822" s="145" t="s">
        <v>3749</v>
      </c>
    </row>
    <row r="1823" spans="1:1">
      <c r="A1823" s="145" t="s">
        <v>3750</v>
      </c>
    </row>
    <row r="1824" spans="1:1">
      <c r="A1824" s="145" t="s">
        <v>3751</v>
      </c>
    </row>
    <row r="1825" spans="1:1">
      <c r="A1825" s="145" t="s">
        <v>3752</v>
      </c>
    </row>
    <row r="1826" spans="1:1">
      <c r="A1826" s="145" t="s">
        <v>3753</v>
      </c>
    </row>
    <row r="1827" spans="1:1">
      <c r="A1827" s="145" t="s">
        <v>3754</v>
      </c>
    </row>
    <row r="1828" spans="1:1">
      <c r="A1828" s="145" t="s">
        <v>3755</v>
      </c>
    </row>
    <row r="1829" spans="1:1">
      <c r="A1829" s="145" t="s">
        <v>3756</v>
      </c>
    </row>
    <row r="1830" spans="1:1">
      <c r="A1830" s="145" t="s">
        <v>3757</v>
      </c>
    </row>
    <row r="1831" spans="1:1">
      <c r="A1831" s="145" t="s">
        <v>3758</v>
      </c>
    </row>
    <row r="1832" spans="1:1">
      <c r="A1832" s="145" t="s">
        <v>3759</v>
      </c>
    </row>
    <row r="1833" spans="1:1">
      <c r="A1833" s="145" t="s">
        <v>3760</v>
      </c>
    </row>
    <row r="1834" spans="1:1">
      <c r="A1834" s="145" t="s">
        <v>3761</v>
      </c>
    </row>
    <row r="1835" spans="1:1">
      <c r="A1835" s="145" t="s">
        <v>3762</v>
      </c>
    </row>
    <row r="1836" spans="1:1">
      <c r="A1836" s="145" t="s">
        <v>3763</v>
      </c>
    </row>
    <row r="1837" spans="1:1">
      <c r="A1837" s="145" t="s">
        <v>3764</v>
      </c>
    </row>
    <row r="1838" spans="1:1">
      <c r="A1838" s="145" t="s">
        <v>3765</v>
      </c>
    </row>
    <row r="1839" spans="1:1">
      <c r="A1839" s="145" t="s">
        <v>3766</v>
      </c>
    </row>
    <row r="1840" spans="1:1">
      <c r="A1840" s="145" t="s">
        <v>3767</v>
      </c>
    </row>
    <row r="1841" spans="1:1">
      <c r="A1841" s="145" t="s">
        <v>3768</v>
      </c>
    </row>
    <row r="1842" spans="1:1">
      <c r="A1842" s="145" t="s">
        <v>3769</v>
      </c>
    </row>
    <row r="1843" spans="1:1">
      <c r="A1843" s="145" t="s">
        <v>3770</v>
      </c>
    </row>
    <row r="1844" spans="1:1">
      <c r="A1844" s="145" t="s">
        <v>3771</v>
      </c>
    </row>
    <row r="1845" spans="1:1">
      <c r="A1845" s="145" t="s">
        <v>3772</v>
      </c>
    </row>
    <row r="1846" spans="1:1">
      <c r="A1846" s="145" t="s">
        <v>3773</v>
      </c>
    </row>
    <row r="1847" spans="1:1">
      <c r="A1847" s="145" t="s">
        <v>3774</v>
      </c>
    </row>
    <row r="1848" spans="1:1">
      <c r="A1848" s="145" t="s">
        <v>3775</v>
      </c>
    </row>
    <row r="1849" spans="1:1">
      <c r="A1849" s="145" t="s">
        <v>3776</v>
      </c>
    </row>
    <row r="1850" spans="1:1">
      <c r="A1850" s="145" t="s">
        <v>3777</v>
      </c>
    </row>
    <row r="1851" spans="1:1">
      <c r="A1851" s="145" t="s">
        <v>3778</v>
      </c>
    </row>
    <row r="1852" spans="1:1">
      <c r="A1852" s="145" t="s">
        <v>3779</v>
      </c>
    </row>
    <row r="1853" spans="1:1">
      <c r="A1853" s="145" t="s">
        <v>3780</v>
      </c>
    </row>
    <row r="1854" spans="1:1">
      <c r="A1854" s="145" t="s">
        <v>3781</v>
      </c>
    </row>
    <row r="1855" spans="1:1">
      <c r="A1855" s="145" t="s">
        <v>3782</v>
      </c>
    </row>
    <row r="1856" spans="1:1">
      <c r="A1856" s="145" t="s">
        <v>3783</v>
      </c>
    </row>
    <row r="1857" spans="1:1">
      <c r="A1857" s="145" t="s">
        <v>3784</v>
      </c>
    </row>
    <row r="1858" spans="1:1">
      <c r="A1858" s="145" t="s">
        <v>3785</v>
      </c>
    </row>
    <row r="1859" spans="1:1">
      <c r="A1859" s="145" t="s">
        <v>3786</v>
      </c>
    </row>
    <row r="1860" spans="1:1">
      <c r="A1860" s="145" t="s">
        <v>3787</v>
      </c>
    </row>
    <row r="1861" spans="1:1">
      <c r="A1861" s="145" t="s">
        <v>3788</v>
      </c>
    </row>
    <row r="1862" spans="1:1">
      <c r="A1862" s="145" t="s">
        <v>3789</v>
      </c>
    </row>
    <row r="1863" spans="1:1">
      <c r="A1863" s="145" t="s">
        <v>3790</v>
      </c>
    </row>
    <row r="1864" spans="1:1">
      <c r="A1864" s="145" t="s">
        <v>3791</v>
      </c>
    </row>
    <row r="1865" spans="1:1">
      <c r="A1865" s="145" t="s">
        <v>3792</v>
      </c>
    </row>
    <row r="1866" spans="1:1">
      <c r="A1866" s="145" t="s">
        <v>3793</v>
      </c>
    </row>
    <row r="1867" spans="1:1">
      <c r="A1867" s="145" t="s">
        <v>3794</v>
      </c>
    </row>
    <row r="1868" spans="1:1">
      <c r="A1868" s="145" t="s">
        <v>3795</v>
      </c>
    </row>
    <row r="1869" spans="1:1">
      <c r="A1869" s="145" t="s">
        <v>3796</v>
      </c>
    </row>
    <row r="1870" spans="1:1">
      <c r="A1870" s="145" t="s">
        <v>3797</v>
      </c>
    </row>
    <row r="1871" spans="1:1">
      <c r="A1871" s="145" t="s">
        <v>3798</v>
      </c>
    </row>
    <row r="1872" spans="1:1">
      <c r="A1872" s="145" t="s">
        <v>3799</v>
      </c>
    </row>
    <row r="1873" spans="1:1">
      <c r="A1873" s="145" t="s">
        <v>3800</v>
      </c>
    </row>
    <row r="1874" spans="1:1">
      <c r="A1874" s="145" t="s">
        <v>3801</v>
      </c>
    </row>
    <row r="1875" spans="1:1">
      <c r="A1875" s="145" t="s">
        <v>3802</v>
      </c>
    </row>
    <row r="1876" spans="1:1">
      <c r="A1876" s="145" t="s">
        <v>3803</v>
      </c>
    </row>
    <row r="1877" spans="1:1">
      <c r="A1877" s="145" t="s">
        <v>3804</v>
      </c>
    </row>
    <row r="1878" spans="1:1">
      <c r="A1878" s="145" t="s">
        <v>3805</v>
      </c>
    </row>
    <row r="1879" spans="1:1">
      <c r="A1879" s="145" t="s">
        <v>3806</v>
      </c>
    </row>
    <row r="1880" spans="1:1">
      <c r="A1880" s="145" t="s">
        <v>3807</v>
      </c>
    </row>
    <row r="1881" spans="1:1">
      <c r="A1881" s="145" t="s">
        <v>3808</v>
      </c>
    </row>
    <row r="1882" spans="1:1">
      <c r="A1882" s="145" t="s">
        <v>3809</v>
      </c>
    </row>
    <row r="1883" spans="1:1">
      <c r="A1883" s="145" t="s">
        <v>3810</v>
      </c>
    </row>
    <row r="1884" spans="1:1">
      <c r="A1884" s="145" t="s">
        <v>3811</v>
      </c>
    </row>
    <row r="1885" spans="1:1">
      <c r="A1885" s="145" t="s">
        <v>3812</v>
      </c>
    </row>
    <row r="1886" spans="1:1">
      <c r="A1886" s="145" t="s">
        <v>3813</v>
      </c>
    </row>
    <row r="1887" spans="1:1">
      <c r="A1887" s="145" t="s">
        <v>3814</v>
      </c>
    </row>
    <row r="1888" spans="1:1">
      <c r="A1888" s="145" t="s">
        <v>3815</v>
      </c>
    </row>
    <row r="1889" spans="1:1">
      <c r="A1889" s="145" t="s">
        <v>3816</v>
      </c>
    </row>
    <row r="1890" spans="1:1">
      <c r="A1890" s="145" t="s">
        <v>3817</v>
      </c>
    </row>
    <row r="1891" spans="1:1">
      <c r="A1891" s="145" t="s">
        <v>3818</v>
      </c>
    </row>
    <row r="1892" spans="1:1">
      <c r="A1892" s="145" t="s">
        <v>3819</v>
      </c>
    </row>
    <row r="1893" spans="1:1">
      <c r="A1893" s="145" t="s">
        <v>3820</v>
      </c>
    </row>
    <row r="1894" spans="1:1">
      <c r="A1894" s="145" t="s">
        <v>3821</v>
      </c>
    </row>
    <row r="1895" spans="1:1">
      <c r="A1895" s="145" t="s">
        <v>3822</v>
      </c>
    </row>
    <row r="1896" spans="1:1">
      <c r="A1896" s="145" t="s">
        <v>3823</v>
      </c>
    </row>
    <row r="1897" spans="1:1">
      <c r="A1897" s="145" t="s">
        <v>3824</v>
      </c>
    </row>
    <row r="1898" spans="1:1">
      <c r="A1898" s="145" t="s">
        <v>3825</v>
      </c>
    </row>
    <row r="1899" spans="1:1">
      <c r="A1899" s="145" t="s">
        <v>3826</v>
      </c>
    </row>
    <row r="1900" spans="1:1">
      <c r="A1900" s="145" t="s">
        <v>3827</v>
      </c>
    </row>
    <row r="1901" spans="1:1">
      <c r="A1901" s="145" t="s">
        <v>3828</v>
      </c>
    </row>
    <row r="1902" spans="1:1">
      <c r="A1902" s="145" t="s">
        <v>3829</v>
      </c>
    </row>
    <row r="1903" spans="1:1">
      <c r="A1903" s="145" t="s">
        <v>3830</v>
      </c>
    </row>
    <row r="1904" spans="1:1">
      <c r="A1904" s="145" t="s">
        <v>3831</v>
      </c>
    </row>
    <row r="1905" spans="1:1">
      <c r="A1905" s="145" t="s">
        <v>3832</v>
      </c>
    </row>
    <row r="1906" spans="1:1">
      <c r="A1906" s="145" t="s">
        <v>3833</v>
      </c>
    </row>
    <row r="1907" spans="1:1">
      <c r="A1907" s="145" t="s">
        <v>3834</v>
      </c>
    </row>
    <row r="1908" spans="1:1">
      <c r="A1908" s="145" t="s">
        <v>3835</v>
      </c>
    </row>
    <row r="1909" spans="1:1">
      <c r="A1909" s="145" t="s">
        <v>3836</v>
      </c>
    </row>
    <row r="1910" spans="1:1">
      <c r="A1910" s="145" t="s">
        <v>3837</v>
      </c>
    </row>
    <row r="1911" spans="1:1">
      <c r="A1911" s="145" t="s">
        <v>3838</v>
      </c>
    </row>
    <row r="1912" spans="1:1">
      <c r="A1912" s="145" t="s">
        <v>3839</v>
      </c>
    </row>
    <row r="1913" spans="1:1">
      <c r="A1913" s="145" t="s">
        <v>3840</v>
      </c>
    </row>
    <row r="1914" spans="1:1">
      <c r="A1914" s="145" t="s">
        <v>3841</v>
      </c>
    </row>
    <row r="1915" spans="1:1">
      <c r="A1915" s="145" t="s">
        <v>3842</v>
      </c>
    </row>
    <row r="1916" spans="1:1">
      <c r="A1916" s="145" t="s">
        <v>3843</v>
      </c>
    </row>
    <row r="1917" spans="1:1">
      <c r="A1917" s="145" t="s">
        <v>3844</v>
      </c>
    </row>
    <row r="1918" spans="1:1">
      <c r="A1918" s="145" t="s">
        <v>3845</v>
      </c>
    </row>
    <row r="1919" spans="1:1">
      <c r="A1919" s="145" t="s">
        <v>3846</v>
      </c>
    </row>
    <row r="1920" spans="1:1">
      <c r="A1920" s="145" t="s">
        <v>3847</v>
      </c>
    </row>
    <row r="1921" spans="1:1">
      <c r="A1921" s="145" t="s">
        <v>3848</v>
      </c>
    </row>
    <row r="1922" spans="1:1">
      <c r="A1922" s="145" t="s">
        <v>3849</v>
      </c>
    </row>
    <row r="1923" spans="1:1">
      <c r="A1923" s="145" t="s">
        <v>3850</v>
      </c>
    </row>
    <row r="1924" spans="1:1">
      <c r="A1924" s="145" t="s">
        <v>3851</v>
      </c>
    </row>
    <row r="1925" spans="1:1">
      <c r="A1925" s="145" t="s">
        <v>3852</v>
      </c>
    </row>
    <row r="1926" spans="1:1">
      <c r="A1926" s="145" t="s">
        <v>3853</v>
      </c>
    </row>
    <row r="1927" spans="1:1">
      <c r="A1927" s="145" t="s">
        <v>3854</v>
      </c>
    </row>
    <row r="1928" spans="1:1">
      <c r="A1928" s="145" t="s">
        <v>3855</v>
      </c>
    </row>
    <row r="1929" spans="1:1">
      <c r="A1929" s="145" t="s">
        <v>3856</v>
      </c>
    </row>
    <row r="1930" spans="1:1">
      <c r="A1930" s="145" t="s">
        <v>3857</v>
      </c>
    </row>
    <row r="1931" spans="1:1">
      <c r="A1931" s="145" t="s">
        <v>3858</v>
      </c>
    </row>
    <row r="1932" spans="1:1">
      <c r="A1932" s="145" t="s">
        <v>3859</v>
      </c>
    </row>
    <row r="1933" spans="1:1">
      <c r="A1933" s="145" t="s">
        <v>3860</v>
      </c>
    </row>
    <row r="1934" spans="1:1">
      <c r="A1934" s="145" t="s">
        <v>3861</v>
      </c>
    </row>
    <row r="1935" spans="1:1">
      <c r="A1935" s="145" t="s">
        <v>3862</v>
      </c>
    </row>
    <row r="1936" spans="1:1">
      <c r="A1936" s="145" t="s">
        <v>3863</v>
      </c>
    </row>
    <row r="1937" spans="1:1">
      <c r="A1937" s="145" t="s">
        <v>3864</v>
      </c>
    </row>
    <row r="1938" spans="1:1">
      <c r="A1938" s="145" t="s">
        <v>3865</v>
      </c>
    </row>
    <row r="1939" spans="1:1">
      <c r="A1939" s="145" t="s">
        <v>3866</v>
      </c>
    </row>
    <row r="1940" spans="1:1">
      <c r="A1940" s="145" t="s">
        <v>3867</v>
      </c>
    </row>
    <row r="1941" spans="1:1">
      <c r="A1941" s="145" t="s">
        <v>3868</v>
      </c>
    </row>
    <row r="1942" spans="1:1">
      <c r="A1942" s="145" t="s">
        <v>3869</v>
      </c>
    </row>
    <row r="1943" spans="1:1">
      <c r="A1943" s="145" t="s">
        <v>3870</v>
      </c>
    </row>
    <row r="1944" spans="1:1">
      <c r="A1944" s="145" t="s">
        <v>3871</v>
      </c>
    </row>
    <row r="1945" spans="1:1">
      <c r="A1945" s="145" t="s">
        <v>3872</v>
      </c>
    </row>
    <row r="1946" spans="1:1">
      <c r="A1946" s="145" t="s">
        <v>3873</v>
      </c>
    </row>
    <row r="1947" spans="1:1">
      <c r="A1947" s="145" t="s">
        <v>3874</v>
      </c>
    </row>
    <row r="1948" spans="1:1">
      <c r="A1948" s="145" t="s">
        <v>3875</v>
      </c>
    </row>
    <row r="1949" spans="1:1">
      <c r="A1949" s="145" t="s">
        <v>3876</v>
      </c>
    </row>
    <row r="1950" spans="1:1">
      <c r="A1950" s="145" t="s">
        <v>3877</v>
      </c>
    </row>
    <row r="1951" spans="1:1">
      <c r="A1951" s="145" t="s">
        <v>3878</v>
      </c>
    </row>
    <row r="1952" spans="1:1">
      <c r="A1952" s="145" t="s">
        <v>3879</v>
      </c>
    </row>
    <row r="1953" spans="1:1">
      <c r="A1953" s="145" t="s">
        <v>3880</v>
      </c>
    </row>
    <row r="1954" spans="1:1">
      <c r="A1954" s="145" t="s">
        <v>3881</v>
      </c>
    </row>
    <row r="1955" spans="1:1">
      <c r="A1955" s="145" t="s">
        <v>3882</v>
      </c>
    </row>
    <row r="1956" spans="1:1">
      <c r="A1956" s="145" t="s">
        <v>3883</v>
      </c>
    </row>
    <row r="1957" spans="1:1">
      <c r="A1957" s="145" t="s">
        <v>3884</v>
      </c>
    </row>
    <row r="1958" spans="1:1">
      <c r="A1958" s="145" t="s">
        <v>3885</v>
      </c>
    </row>
    <row r="1959" spans="1:1">
      <c r="A1959" s="145" t="s">
        <v>3886</v>
      </c>
    </row>
    <row r="1960" spans="1:1">
      <c r="A1960" s="145" t="s">
        <v>3887</v>
      </c>
    </row>
    <row r="1961" spans="1:1">
      <c r="A1961" s="145" t="s">
        <v>3888</v>
      </c>
    </row>
    <row r="1962" spans="1:1">
      <c r="A1962" s="145" t="s">
        <v>3889</v>
      </c>
    </row>
    <row r="1963" spans="1:1">
      <c r="A1963" s="145" t="s">
        <v>3890</v>
      </c>
    </row>
    <row r="1964" spans="1:1">
      <c r="A1964" s="145" t="s">
        <v>3891</v>
      </c>
    </row>
    <row r="1965" spans="1:1">
      <c r="A1965" s="145" t="s">
        <v>3892</v>
      </c>
    </row>
    <row r="1966" spans="1:1">
      <c r="A1966" s="145" t="s">
        <v>3893</v>
      </c>
    </row>
    <row r="1967" spans="1:1">
      <c r="A1967" s="145" t="s">
        <v>3894</v>
      </c>
    </row>
    <row r="1968" spans="1:1">
      <c r="A1968" s="145" t="s">
        <v>3895</v>
      </c>
    </row>
    <row r="1969" spans="1:1">
      <c r="A1969" s="145" t="s">
        <v>3896</v>
      </c>
    </row>
    <row r="1970" spans="1:1">
      <c r="A1970" s="145" t="s">
        <v>3897</v>
      </c>
    </row>
    <row r="1971" spans="1:1">
      <c r="A1971" s="145" t="s">
        <v>3898</v>
      </c>
    </row>
    <row r="1972" spans="1:1">
      <c r="A1972" s="145" t="s">
        <v>3899</v>
      </c>
    </row>
    <row r="1973" spans="1:1">
      <c r="A1973" s="145" t="s">
        <v>3900</v>
      </c>
    </row>
    <row r="1974" spans="1:1">
      <c r="A1974" s="145" t="s">
        <v>3901</v>
      </c>
    </row>
    <row r="1975" spans="1:1">
      <c r="A1975" s="145" t="s">
        <v>3902</v>
      </c>
    </row>
    <row r="1976" spans="1:1">
      <c r="A1976" s="145" t="s">
        <v>3903</v>
      </c>
    </row>
    <row r="1977" spans="1:1">
      <c r="A1977" s="145" t="s">
        <v>3904</v>
      </c>
    </row>
    <row r="1978" spans="1:1">
      <c r="A1978" s="145" t="s">
        <v>3905</v>
      </c>
    </row>
    <row r="1979" spans="1:1">
      <c r="A1979" s="145" t="s">
        <v>3906</v>
      </c>
    </row>
    <row r="1980" spans="1:1">
      <c r="A1980" s="145" t="s">
        <v>3907</v>
      </c>
    </row>
    <row r="1981" spans="1:1">
      <c r="A1981" s="145" t="s">
        <v>3908</v>
      </c>
    </row>
    <row r="1982" spans="1:1">
      <c r="A1982" s="145" t="s">
        <v>3909</v>
      </c>
    </row>
    <row r="1983" spans="1:1">
      <c r="A1983" s="145" t="s">
        <v>3910</v>
      </c>
    </row>
    <row r="1984" spans="1:1">
      <c r="A1984" s="145" t="s">
        <v>3911</v>
      </c>
    </row>
    <row r="1985" spans="1:1">
      <c r="A1985" s="145" t="s">
        <v>3912</v>
      </c>
    </row>
    <row r="1986" spans="1:1">
      <c r="A1986" s="145" t="s">
        <v>3913</v>
      </c>
    </row>
    <row r="1987" spans="1:1">
      <c r="A1987" s="145" t="s">
        <v>3914</v>
      </c>
    </row>
    <row r="1988" spans="1:1">
      <c r="A1988" s="145" t="s">
        <v>3915</v>
      </c>
    </row>
    <row r="1989" spans="1:1">
      <c r="A1989" s="145" t="s">
        <v>3916</v>
      </c>
    </row>
    <row r="1990" spans="1:1">
      <c r="A1990" s="145" t="s">
        <v>3917</v>
      </c>
    </row>
    <row r="1991" spans="1:1">
      <c r="A1991" s="145" t="s">
        <v>3918</v>
      </c>
    </row>
    <row r="1992" spans="1:1">
      <c r="A1992" s="145" t="s">
        <v>3919</v>
      </c>
    </row>
    <row r="1993" spans="1:1">
      <c r="A1993" s="145" t="s">
        <v>3920</v>
      </c>
    </row>
    <row r="1994" spans="1:1">
      <c r="A1994" s="145" t="s">
        <v>3921</v>
      </c>
    </row>
    <row r="1995" spans="1:1">
      <c r="A1995" s="145" t="s">
        <v>3922</v>
      </c>
    </row>
    <row r="1996" spans="1:1">
      <c r="A1996" s="145" t="s">
        <v>3923</v>
      </c>
    </row>
    <row r="1997" spans="1:1">
      <c r="A1997" s="145" t="s">
        <v>3924</v>
      </c>
    </row>
    <row r="1998" spans="1:1">
      <c r="A1998" s="145" t="s">
        <v>3925</v>
      </c>
    </row>
    <row r="1999" spans="1:1">
      <c r="A1999" s="145" t="s">
        <v>3926</v>
      </c>
    </row>
    <row r="2000" spans="1:1">
      <c r="A2000" s="145" t="s">
        <v>3927</v>
      </c>
    </row>
    <row r="2001" spans="1:1">
      <c r="A2001" s="145" t="s">
        <v>3928</v>
      </c>
    </row>
    <row r="2002" spans="1:1">
      <c r="A2002" s="145" t="s">
        <v>3929</v>
      </c>
    </row>
    <row r="2003" spans="1:1">
      <c r="A2003" s="145" t="s">
        <v>3930</v>
      </c>
    </row>
    <row r="2004" spans="1:1">
      <c r="A2004" s="145" t="s">
        <v>3931</v>
      </c>
    </row>
    <row r="2005" spans="1:1">
      <c r="A2005" s="145" t="s">
        <v>3932</v>
      </c>
    </row>
    <row r="2006" spans="1:1">
      <c r="A2006" s="145" t="s">
        <v>3933</v>
      </c>
    </row>
    <row r="2007" spans="1:1">
      <c r="A2007" s="145" t="s">
        <v>3934</v>
      </c>
    </row>
    <row r="2008" spans="1:1">
      <c r="A2008" s="145" t="s">
        <v>3935</v>
      </c>
    </row>
    <row r="2009" spans="1:1">
      <c r="A2009" s="145" t="s">
        <v>3936</v>
      </c>
    </row>
    <row r="2010" spans="1:1">
      <c r="A2010" s="145" t="s">
        <v>3937</v>
      </c>
    </row>
    <row r="2011" spans="1:1">
      <c r="A2011" s="145" t="s">
        <v>3938</v>
      </c>
    </row>
    <row r="2012" spans="1:1">
      <c r="A2012" s="145" t="s">
        <v>3939</v>
      </c>
    </row>
    <row r="2013" spans="1:1">
      <c r="A2013" s="145" t="s">
        <v>3940</v>
      </c>
    </row>
    <row r="2014" spans="1:1">
      <c r="A2014" s="145" t="s">
        <v>3941</v>
      </c>
    </row>
    <row r="2015" spans="1:1">
      <c r="A2015" s="145" t="s">
        <v>3942</v>
      </c>
    </row>
    <row r="2016" spans="1:1">
      <c r="A2016" s="145" t="s">
        <v>3943</v>
      </c>
    </row>
    <row r="2017" spans="1:1">
      <c r="A2017" s="145" t="s">
        <v>3944</v>
      </c>
    </row>
    <row r="2018" spans="1:1">
      <c r="A2018" s="145" t="s">
        <v>3945</v>
      </c>
    </row>
    <row r="2019" spans="1:1">
      <c r="A2019" s="145" t="s">
        <v>3946</v>
      </c>
    </row>
    <row r="2020" spans="1:1">
      <c r="A2020" s="145" t="s">
        <v>3947</v>
      </c>
    </row>
    <row r="2021" spans="1:1">
      <c r="A2021" s="145" t="s">
        <v>3948</v>
      </c>
    </row>
    <row r="2022" spans="1:1">
      <c r="A2022" s="145" t="s">
        <v>3949</v>
      </c>
    </row>
    <row r="2023" spans="1:1">
      <c r="A2023" s="145" t="s">
        <v>3950</v>
      </c>
    </row>
    <row r="2024" spans="1:1">
      <c r="A2024" s="145" t="s">
        <v>3951</v>
      </c>
    </row>
    <row r="2025" spans="1:1">
      <c r="A2025" s="145" t="s">
        <v>3952</v>
      </c>
    </row>
    <row r="2026" spans="1:1">
      <c r="A2026" s="145" t="s">
        <v>3953</v>
      </c>
    </row>
    <row r="2027" spans="1:1">
      <c r="A2027" s="145" t="s">
        <v>3954</v>
      </c>
    </row>
    <row r="2028" spans="1:1">
      <c r="A2028" s="145" t="s">
        <v>3955</v>
      </c>
    </row>
    <row r="2029" spans="1:1">
      <c r="A2029" s="145" t="s">
        <v>3956</v>
      </c>
    </row>
    <row r="2030" spans="1:1">
      <c r="A2030" s="145" t="s">
        <v>3957</v>
      </c>
    </row>
    <row r="2031" spans="1:1">
      <c r="A2031" s="145" t="s">
        <v>3958</v>
      </c>
    </row>
    <row r="2032" spans="1:1">
      <c r="A2032" s="145" t="s">
        <v>3959</v>
      </c>
    </row>
    <row r="2033" spans="1:1">
      <c r="A2033" s="145" t="s">
        <v>3960</v>
      </c>
    </row>
    <row r="2034" spans="1:1">
      <c r="A2034" s="145" t="s">
        <v>3961</v>
      </c>
    </row>
    <row r="2035" spans="1:1">
      <c r="A2035" s="145" t="s">
        <v>3962</v>
      </c>
    </row>
    <row r="2036" spans="1:1">
      <c r="A2036" s="145" t="s">
        <v>3963</v>
      </c>
    </row>
    <row r="2037" spans="1:1">
      <c r="A2037" s="145" t="s">
        <v>3964</v>
      </c>
    </row>
    <row r="2038" spans="1:1">
      <c r="A2038" s="145" t="s">
        <v>3965</v>
      </c>
    </row>
    <row r="2039" spans="1:1">
      <c r="A2039" s="145" t="s">
        <v>3966</v>
      </c>
    </row>
    <row r="2040" spans="1:1">
      <c r="A2040" s="145" t="s">
        <v>3967</v>
      </c>
    </row>
    <row r="2041" spans="1:1">
      <c r="A2041" s="145" t="s">
        <v>3968</v>
      </c>
    </row>
    <row r="2042" spans="1:1">
      <c r="A2042" s="145" t="s">
        <v>3969</v>
      </c>
    </row>
    <row r="2043" spans="1:1">
      <c r="A2043" s="145" t="s">
        <v>3970</v>
      </c>
    </row>
    <row r="2044" spans="1:1">
      <c r="A2044" s="145" t="s">
        <v>3971</v>
      </c>
    </row>
    <row r="2045" spans="1:1">
      <c r="A2045" s="145" t="s">
        <v>3972</v>
      </c>
    </row>
    <row r="2046" spans="1:1">
      <c r="A2046" s="145" t="s">
        <v>3973</v>
      </c>
    </row>
    <row r="2047" spans="1:1">
      <c r="A2047" s="145" t="s">
        <v>3974</v>
      </c>
    </row>
    <row r="2048" spans="1:1">
      <c r="A2048" s="145" t="s">
        <v>3975</v>
      </c>
    </row>
    <row r="2049" spans="1:1">
      <c r="A2049" s="145" t="s">
        <v>3976</v>
      </c>
    </row>
    <row r="2050" spans="1:1">
      <c r="A2050" s="145" t="s">
        <v>3977</v>
      </c>
    </row>
    <row r="2051" spans="1:1">
      <c r="A2051" s="145" t="s">
        <v>3978</v>
      </c>
    </row>
    <row r="2052" spans="1:1">
      <c r="A2052" s="145" t="s">
        <v>3979</v>
      </c>
    </row>
    <row r="2053" spans="1:1">
      <c r="A2053" s="145" t="s">
        <v>3980</v>
      </c>
    </row>
    <row r="2054" spans="1:1">
      <c r="A2054" s="145" t="s">
        <v>3981</v>
      </c>
    </row>
    <row r="2055" spans="1:1">
      <c r="A2055" s="145" t="s">
        <v>3982</v>
      </c>
    </row>
    <row r="2056" spans="1:1">
      <c r="A2056" s="145" t="s">
        <v>3983</v>
      </c>
    </row>
    <row r="2057" spans="1:1">
      <c r="A2057" s="145" t="s">
        <v>3984</v>
      </c>
    </row>
    <row r="2058" spans="1:1">
      <c r="A2058" s="145" t="s">
        <v>3985</v>
      </c>
    </row>
    <row r="2059" spans="1:1">
      <c r="A2059" s="145" t="s">
        <v>3986</v>
      </c>
    </row>
    <row r="2060" spans="1:1">
      <c r="A2060" s="145" t="s">
        <v>3987</v>
      </c>
    </row>
    <row r="2061" spans="1:1">
      <c r="A2061" s="145" t="s">
        <v>3988</v>
      </c>
    </row>
    <row r="2062" spans="1:1">
      <c r="A2062" s="145" t="s">
        <v>3989</v>
      </c>
    </row>
    <row r="2063" spans="1:1">
      <c r="A2063" s="145" t="s">
        <v>3990</v>
      </c>
    </row>
    <row r="2064" spans="1:1">
      <c r="A2064" s="145" t="s">
        <v>3991</v>
      </c>
    </row>
    <row r="2065" spans="1:1">
      <c r="A2065" s="145" t="s">
        <v>3992</v>
      </c>
    </row>
    <row r="2066" spans="1:1">
      <c r="A2066" s="145" t="s">
        <v>3993</v>
      </c>
    </row>
    <row r="2067" spans="1:1">
      <c r="A2067" s="145" t="s">
        <v>3994</v>
      </c>
    </row>
    <row r="2068" spans="1:1">
      <c r="A2068" s="145" t="s">
        <v>3995</v>
      </c>
    </row>
    <row r="2069" spans="1:1">
      <c r="A2069" s="145" t="s">
        <v>3996</v>
      </c>
    </row>
    <row r="2070" spans="1:1">
      <c r="A2070" s="145" t="s">
        <v>3997</v>
      </c>
    </row>
    <row r="2071" spans="1:1">
      <c r="A2071" s="145" t="s">
        <v>3998</v>
      </c>
    </row>
    <row r="2072" spans="1:1">
      <c r="A2072" s="145" t="s">
        <v>3999</v>
      </c>
    </row>
    <row r="2073" spans="1:1">
      <c r="A2073" s="145" t="s">
        <v>4000</v>
      </c>
    </row>
    <row r="2074" spans="1:1">
      <c r="A2074" s="145" t="s">
        <v>4001</v>
      </c>
    </row>
    <row r="2075" spans="1:1">
      <c r="A2075" s="145" t="s">
        <v>4002</v>
      </c>
    </row>
    <row r="2076" spans="1:1">
      <c r="A2076" s="145" t="s">
        <v>4003</v>
      </c>
    </row>
    <row r="2077" spans="1:1">
      <c r="A2077" s="145" t="s">
        <v>4004</v>
      </c>
    </row>
    <row r="2078" spans="1:1">
      <c r="A2078" s="145" t="s">
        <v>4005</v>
      </c>
    </row>
    <row r="2079" spans="1:1">
      <c r="A2079" s="145" t="s">
        <v>4006</v>
      </c>
    </row>
    <row r="2080" spans="1:1">
      <c r="A2080" s="145" t="s">
        <v>4007</v>
      </c>
    </row>
    <row r="2081" spans="1:1">
      <c r="A2081" s="145" t="s">
        <v>4008</v>
      </c>
    </row>
    <row r="2082" spans="1:1">
      <c r="A2082" s="145" t="s">
        <v>4009</v>
      </c>
    </row>
    <row r="2083" spans="1:1">
      <c r="A2083" s="145" t="s">
        <v>4010</v>
      </c>
    </row>
    <row r="2084" spans="1:1">
      <c r="A2084" s="145" t="s">
        <v>4011</v>
      </c>
    </row>
    <row r="2085" spans="1:1">
      <c r="A2085" s="145" t="s">
        <v>4012</v>
      </c>
    </row>
    <row r="2086" spans="1:1">
      <c r="A2086" s="145" t="s">
        <v>4013</v>
      </c>
    </row>
    <row r="2087" spans="1:1">
      <c r="A2087" s="145" t="s">
        <v>4014</v>
      </c>
    </row>
    <row r="2088" spans="1:1">
      <c r="A2088" s="145" t="s">
        <v>4015</v>
      </c>
    </row>
    <row r="2089" spans="1:1">
      <c r="A2089" s="145" t="s">
        <v>4016</v>
      </c>
    </row>
    <row r="2090" spans="1:1">
      <c r="A2090" s="145" t="s">
        <v>4017</v>
      </c>
    </row>
    <row r="2091" spans="1:1">
      <c r="A2091" s="145" t="s">
        <v>4018</v>
      </c>
    </row>
    <row r="2092" spans="1:1">
      <c r="A2092" s="145" t="s">
        <v>4019</v>
      </c>
    </row>
    <row r="2093" spans="1:1">
      <c r="A2093" s="145" t="s">
        <v>4020</v>
      </c>
    </row>
    <row r="2094" spans="1:1">
      <c r="A2094" s="145" t="s">
        <v>4021</v>
      </c>
    </row>
    <row r="2095" spans="1:1">
      <c r="A2095" s="145" t="s">
        <v>4022</v>
      </c>
    </row>
    <row r="2096" spans="1:1">
      <c r="A2096" s="145" t="s">
        <v>4023</v>
      </c>
    </row>
    <row r="2097" spans="1:1">
      <c r="A2097" s="145" t="s">
        <v>4024</v>
      </c>
    </row>
    <row r="2098" spans="1:1">
      <c r="A2098" s="145" t="s">
        <v>4025</v>
      </c>
    </row>
    <row r="2099" spans="1:1">
      <c r="A2099" s="145" t="s">
        <v>4026</v>
      </c>
    </row>
    <row r="2100" spans="1:1">
      <c r="A2100" s="145" t="s">
        <v>4027</v>
      </c>
    </row>
    <row r="2101" spans="1:1">
      <c r="A2101" s="145" t="s">
        <v>4028</v>
      </c>
    </row>
    <row r="2102" spans="1:1">
      <c r="A2102" s="145" t="s">
        <v>4029</v>
      </c>
    </row>
    <row r="2103" spans="1:1">
      <c r="A2103" s="145" t="s">
        <v>4030</v>
      </c>
    </row>
    <row r="2104" spans="1:1">
      <c r="A2104" s="145" t="s">
        <v>4031</v>
      </c>
    </row>
    <row r="2105" spans="1:1">
      <c r="A2105" s="145" t="s">
        <v>4032</v>
      </c>
    </row>
    <row r="2106" spans="1:1">
      <c r="A2106" s="145" t="s">
        <v>4033</v>
      </c>
    </row>
    <row r="2107" spans="1:1">
      <c r="A2107" s="145" t="s">
        <v>4034</v>
      </c>
    </row>
    <row r="2108" spans="1:1">
      <c r="A2108" s="145" t="s">
        <v>4035</v>
      </c>
    </row>
    <row r="2109" spans="1:1">
      <c r="A2109" s="145" t="s">
        <v>4036</v>
      </c>
    </row>
    <row r="2110" spans="1:1">
      <c r="A2110" s="145" t="s">
        <v>4037</v>
      </c>
    </row>
    <row r="2111" spans="1:1">
      <c r="A2111" s="145" t="s">
        <v>4038</v>
      </c>
    </row>
    <row r="2112" spans="1:1">
      <c r="A2112" s="145" t="s">
        <v>4039</v>
      </c>
    </row>
    <row r="2113" spans="1:1">
      <c r="A2113" s="145" t="s">
        <v>4040</v>
      </c>
    </row>
    <row r="2114" spans="1:1">
      <c r="A2114" s="145" t="s">
        <v>4041</v>
      </c>
    </row>
    <row r="2115" spans="1:1">
      <c r="A2115" s="145" t="s">
        <v>4042</v>
      </c>
    </row>
    <row r="2116" spans="1:1">
      <c r="A2116" s="145" t="s">
        <v>4043</v>
      </c>
    </row>
    <row r="2117" spans="1:1">
      <c r="A2117" s="145" t="s">
        <v>4044</v>
      </c>
    </row>
    <row r="2118" spans="1:1">
      <c r="A2118" s="145" t="s">
        <v>4045</v>
      </c>
    </row>
    <row r="2119" spans="1:1">
      <c r="A2119" s="145" t="s">
        <v>4046</v>
      </c>
    </row>
    <row r="2120" spans="1:1">
      <c r="A2120" s="145" t="s">
        <v>4047</v>
      </c>
    </row>
    <row r="2121" spans="1:1">
      <c r="A2121" s="145" t="s">
        <v>4048</v>
      </c>
    </row>
    <row r="2122" spans="1:1">
      <c r="A2122" s="145" t="s">
        <v>4049</v>
      </c>
    </row>
    <row r="2123" spans="1:1">
      <c r="A2123" s="145" t="s">
        <v>4050</v>
      </c>
    </row>
    <row r="2124" spans="1:1">
      <c r="A2124" s="145" t="s">
        <v>4051</v>
      </c>
    </row>
    <row r="2125" spans="1:1">
      <c r="A2125" s="145" t="s">
        <v>4052</v>
      </c>
    </row>
    <row r="2126" spans="1:1">
      <c r="A2126" s="145" t="s">
        <v>4053</v>
      </c>
    </row>
    <row r="2127" spans="1:1">
      <c r="A2127" s="145" t="s">
        <v>4054</v>
      </c>
    </row>
    <row r="2128" spans="1:1">
      <c r="A2128" s="145" t="s">
        <v>4055</v>
      </c>
    </row>
    <row r="2129" spans="1:1">
      <c r="A2129" s="145" t="s">
        <v>4056</v>
      </c>
    </row>
    <row r="2130" spans="1:1">
      <c r="A2130" s="145" t="s">
        <v>4057</v>
      </c>
    </row>
    <row r="2131" spans="1:1">
      <c r="A2131" s="145" t="s">
        <v>4058</v>
      </c>
    </row>
    <row r="2132" spans="1:1">
      <c r="A2132" s="145" t="s">
        <v>4059</v>
      </c>
    </row>
    <row r="2133" spans="1:1">
      <c r="A2133" s="145" t="s">
        <v>4060</v>
      </c>
    </row>
    <row r="2134" spans="1:1">
      <c r="A2134" s="145" t="s">
        <v>4061</v>
      </c>
    </row>
    <row r="2135" spans="1:1">
      <c r="A2135" s="145" t="s">
        <v>4062</v>
      </c>
    </row>
    <row r="2136" spans="1:1">
      <c r="A2136" s="145" t="s">
        <v>4063</v>
      </c>
    </row>
    <row r="2137" spans="1:1">
      <c r="A2137" s="145" t="s">
        <v>4064</v>
      </c>
    </row>
    <row r="2138" spans="1:1">
      <c r="A2138" s="145" t="s">
        <v>4065</v>
      </c>
    </row>
    <row r="2139" spans="1:1">
      <c r="A2139" s="145" t="s">
        <v>4066</v>
      </c>
    </row>
    <row r="2140" spans="1:1">
      <c r="A2140" s="145" t="s">
        <v>4067</v>
      </c>
    </row>
    <row r="2141" spans="1:1">
      <c r="A2141" s="145" t="s">
        <v>4068</v>
      </c>
    </row>
    <row r="2142" spans="1:1">
      <c r="A2142" s="145" t="s">
        <v>4069</v>
      </c>
    </row>
    <row r="2143" spans="1:1">
      <c r="A2143" s="145" t="s">
        <v>4070</v>
      </c>
    </row>
    <row r="2144" spans="1:1">
      <c r="A2144" s="145" t="s">
        <v>4071</v>
      </c>
    </row>
    <row r="2145" spans="1:1">
      <c r="A2145" s="145" t="s">
        <v>4072</v>
      </c>
    </row>
    <row r="2146" spans="1:1">
      <c r="A2146" s="145" t="s">
        <v>4073</v>
      </c>
    </row>
    <row r="2147" spans="1:1">
      <c r="A2147" s="145" t="s">
        <v>4074</v>
      </c>
    </row>
    <row r="2148" spans="1:1">
      <c r="A2148" s="145" t="s">
        <v>4075</v>
      </c>
    </row>
    <row r="2149" spans="1:1">
      <c r="A2149" s="145" t="s">
        <v>4076</v>
      </c>
    </row>
    <row r="2150" spans="1:1">
      <c r="A2150" s="145" t="s">
        <v>4077</v>
      </c>
    </row>
    <row r="2151" spans="1:1">
      <c r="A2151" s="145" t="s">
        <v>4078</v>
      </c>
    </row>
    <row r="2152" spans="1:1">
      <c r="A2152" s="145" t="s">
        <v>4079</v>
      </c>
    </row>
    <row r="2153" spans="1:1">
      <c r="A2153" s="145" t="s">
        <v>4080</v>
      </c>
    </row>
    <row r="2154" spans="1:1">
      <c r="A2154" s="145" t="s">
        <v>4081</v>
      </c>
    </row>
    <row r="2155" spans="1:1">
      <c r="A2155" s="145" t="s">
        <v>4082</v>
      </c>
    </row>
    <row r="2156" spans="1:1">
      <c r="A2156" s="145" t="s">
        <v>4083</v>
      </c>
    </row>
    <row r="2157" spans="1:1">
      <c r="A2157" s="145" t="s">
        <v>4084</v>
      </c>
    </row>
    <row r="2158" spans="1:1">
      <c r="A2158" s="145" t="s">
        <v>4085</v>
      </c>
    </row>
    <row r="2159" spans="1:1">
      <c r="A2159" s="145" t="s">
        <v>4086</v>
      </c>
    </row>
    <row r="2160" spans="1:1">
      <c r="A2160" s="145" t="s">
        <v>4087</v>
      </c>
    </row>
    <row r="2161" spans="1:1">
      <c r="A2161" s="145" t="s">
        <v>4088</v>
      </c>
    </row>
    <row r="2162" spans="1:1">
      <c r="A2162" s="145" t="s">
        <v>4089</v>
      </c>
    </row>
    <row r="2163" spans="1:1">
      <c r="A2163" s="145" t="s">
        <v>4090</v>
      </c>
    </row>
    <row r="2164" spans="1:1">
      <c r="A2164" s="145" t="s">
        <v>4091</v>
      </c>
    </row>
    <row r="2165" spans="1:1">
      <c r="A2165" s="145" t="s">
        <v>4092</v>
      </c>
    </row>
    <row r="2166" spans="1:1">
      <c r="A2166" s="145" t="s">
        <v>4093</v>
      </c>
    </row>
    <row r="2167" spans="1:1">
      <c r="A2167" s="145" t="s">
        <v>4094</v>
      </c>
    </row>
    <row r="2168" spans="1:1">
      <c r="A2168" s="145" t="s">
        <v>4095</v>
      </c>
    </row>
    <row r="2169" spans="1:1">
      <c r="A2169" s="145" t="s">
        <v>4096</v>
      </c>
    </row>
    <row r="2170" spans="1:1">
      <c r="A2170" s="145" t="s">
        <v>4097</v>
      </c>
    </row>
    <row r="2171" spans="1:1">
      <c r="A2171" s="145" t="s">
        <v>4098</v>
      </c>
    </row>
    <row r="2172" spans="1:1">
      <c r="A2172" s="145" t="s">
        <v>4099</v>
      </c>
    </row>
    <row r="2173" spans="1:1">
      <c r="A2173" s="145" t="s">
        <v>4100</v>
      </c>
    </row>
    <row r="2174" spans="1:1">
      <c r="A2174" s="145" t="s">
        <v>4101</v>
      </c>
    </row>
    <row r="2175" spans="1:1">
      <c r="A2175" s="145" t="s">
        <v>4102</v>
      </c>
    </row>
    <row r="2176" spans="1:1">
      <c r="A2176" s="145" t="s">
        <v>4103</v>
      </c>
    </row>
    <row r="2177" spans="1:1">
      <c r="A2177" s="145" t="s">
        <v>4104</v>
      </c>
    </row>
    <row r="2178" spans="1:1">
      <c r="A2178" s="145" t="s">
        <v>4105</v>
      </c>
    </row>
    <row r="2179" spans="1:1">
      <c r="A2179" s="145" t="s">
        <v>4106</v>
      </c>
    </row>
    <row r="2180" spans="1:1">
      <c r="A2180" s="145" t="s">
        <v>4107</v>
      </c>
    </row>
    <row r="2181" spans="1:1">
      <c r="A2181" s="145" t="s">
        <v>4108</v>
      </c>
    </row>
    <row r="2182" spans="1:1">
      <c r="A2182" s="145" t="s">
        <v>4109</v>
      </c>
    </row>
    <row r="2183" spans="1:1">
      <c r="A2183" s="145" t="s">
        <v>4110</v>
      </c>
    </row>
    <row r="2184" spans="1:1">
      <c r="A2184" s="145" t="s">
        <v>4111</v>
      </c>
    </row>
    <row r="2185" spans="1:1">
      <c r="A2185" s="145" t="s">
        <v>4112</v>
      </c>
    </row>
    <row r="2186" spans="1:1">
      <c r="A2186" s="145" t="s">
        <v>4113</v>
      </c>
    </row>
    <row r="2187" spans="1:1">
      <c r="A2187" s="145" t="s">
        <v>4114</v>
      </c>
    </row>
    <row r="2188" spans="1:1">
      <c r="A2188" s="145" t="s">
        <v>4115</v>
      </c>
    </row>
    <row r="2189" spans="1:1">
      <c r="A2189" s="145" t="s">
        <v>4116</v>
      </c>
    </row>
    <row r="2190" spans="1:1">
      <c r="A2190" s="145" t="s">
        <v>4117</v>
      </c>
    </row>
    <row r="2191" spans="1:1">
      <c r="A2191" s="145" t="s">
        <v>4118</v>
      </c>
    </row>
    <row r="2192" spans="1:1">
      <c r="A2192" s="145" t="s">
        <v>4119</v>
      </c>
    </row>
    <row r="2193" spans="1:1">
      <c r="A2193" s="145" t="s">
        <v>4120</v>
      </c>
    </row>
    <row r="2194" spans="1:1">
      <c r="A2194" s="145" t="s">
        <v>4121</v>
      </c>
    </row>
    <row r="2195" spans="1:1">
      <c r="A2195" s="145" t="s">
        <v>4122</v>
      </c>
    </row>
    <row r="2196" spans="1:1">
      <c r="A2196" s="145" t="s">
        <v>4123</v>
      </c>
    </row>
    <row r="2197" spans="1:1">
      <c r="A2197" s="145" t="s">
        <v>4124</v>
      </c>
    </row>
    <row r="2198" spans="1:1">
      <c r="A2198" s="145" t="s">
        <v>4125</v>
      </c>
    </row>
    <row r="2199" spans="1:1">
      <c r="A2199" s="145" t="s">
        <v>4126</v>
      </c>
    </row>
    <row r="2200" spans="1:1">
      <c r="A2200" s="145" t="s">
        <v>4127</v>
      </c>
    </row>
    <row r="2201" spans="1:1">
      <c r="A2201" s="145" t="s">
        <v>4128</v>
      </c>
    </row>
    <row r="2202" spans="1:1">
      <c r="A2202" s="145" t="s">
        <v>4129</v>
      </c>
    </row>
    <row r="2203" spans="1:1">
      <c r="A2203" s="145" t="s">
        <v>4130</v>
      </c>
    </row>
    <row r="2204" spans="1:1">
      <c r="A2204" s="145" t="s">
        <v>4131</v>
      </c>
    </row>
    <row r="2205" spans="1:1">
      <c r="A2205" s="145" t="s">
        <v>4132</v>
      </c>
    </row>
    <row r="2206" spans="1:1">
      <c r="A2206" s="145" t="s">
        <v>4133</v>
      </c>
    </row>
    <row r="2207" spans="1:1">
      <c r="A2207" s="145" t="s">
        <v>4134</v>
      </c>
    </row>
    <row r="2208" spans="1:1">
      <c r="A2208" s="145" t="s">
        <v>4135</v>
      </c>
    </row>
    <row r="2209" spans="1:1">
      <c r="A2209" s="145" t="s">
        <v>4136</v>
      </c>
    </row>
    <row r="2210" spans="1:1">
      <c r="A2210" s="145" t="s">
        <v>4137</v>
      </c>
    </row>
    <row r="2211" spans="1:1">
      <c r="A2211" s="145" t="s">
        <v>4138</v>
      </c>
    </row>
    <row r="2212" spans="1:1">
      <c r="A2212" s="145" t="s">
        <v>4139</v>
      </c>
    </row>
    <row r="2213" spans="1:1">
      <c r="A2213" s="145" t="s">
        <v>4140</v>
      </c>
    </row>
    <row r="2214" spans="1:1">
      <c r="A2214" s="145" t="s">
        <v>4141</v>
      </c>
    </row>
    <row r="2215" spans="1:1">
      <c r="A2215" s="145" t="s">
        <v>4142</v>
      </c>
    </row>
    <row r="2216" spans="1:1">
      <c r="A2216" s="145" t="s">
        <v>4143</v>
      </c>
    </row>
    <row r="2217" spans="1:1">
      <c r="A2217" s="145" t="s">
        <v>4144</v>
      </c>
    </row>
    <row r="2218" spans="1:1">
      <c r="A2218" s="145" t="s">
        <v>4145</v>
      </c>
    </row>
    <row r="2219" spans="1:1">
      <c r="A2219" s="145" t="s">
        <v>4146</v>
      </c>
    </row>
    <row r="2220" spans="1:1">
      <c r="A2220" s="145" t="s">
        <v>4147</v>
      </c>
    </row>
    <row r="2221" spans="1:1">
      <c r="A2221" s="145" t="s">
        <v>4148</v>
      </c>
    </row>
    <row r="2222" spans="1:1">
      <c r="A2222" s="145" t="s">
        <v>4149</v>
      </c>
    </row>
    <row r="2223" spans="1:1">
      <c r="A2223" s="145" t="s">
        <v>4150</v>
      </c>
    </row>
    <row r="2224" spans="1:1">
      <c r="A2224" s="145" t="s">
        <v>4151</v>
      </c>
    </row>
    <row r="2225" spans="1:1">
      <c r="A2225" s="145" t="s">
        <v>4152</v>
      </c>
    </row>
    <row r="2226" spans="1:1">
      <c r="A2226" s="145" t="s">
        <v>4153</v>
      </c>
    </row>
    <row r="2227" spans="1:1">
      <c r="A2227" s="145" t="s">
        <v>4154</v>
      </c>
    </row>
    <row r="2228" spans="1:1">
      <c r="A2228" s="145" t="s">
        <v>4155</v>
      </c>
    </row>
    <row r="2229" spans="1:1">
      <c r="A2229" s="145" t="s">
        <v>4156</v>
      </c>
    </row>
    <row r="2230" spans="1:1">
      <c r="A2230" s="145" t="s">
        <v>4157</v>
      </c>
    </row>
    <row r="2231" spans="1:1">
      <c r="A2231" s="145" t="s">
        <v>4158</v>
      </c>
    </row>
    <row r="2232" spans="1:1">
      <c r="A2232" s="145" t="s">
        <v>4159</v>
      </c>
    </row>
    <row r="2233" spans="1:1">
      <c r="A2233" s="145" t="s">
        <v>4160</v>
      </c>
    </row>
    <row r="2234" spans="1:1">
      <c r="A2234" s="145" t="s">
        <v>4161</v>
      </c>
    </row>
    <row r="2235" spans="1:1">
      <c r="A2235" s="145" t="s">
        <v>4162</v>
      </c>
    </row>
    <row r="2236" spans="1:1">
      <c r="A2236" s="145" t="s">
        <v>4163</v>
      </c>
    </row>
    <row r="2237" spans="1:1">
      <c r="A2237" s="145" t="s">
        <v>4164</v>
      </c>
    </row>
    <row r="2238" spans="1:1">
      <c r="A2238" s="145" t="s">
        <v>4165</v>
      </c>
    </row>
    <row r="2239" spans="1:1">
      <c r="A2239" s="145" t="s">
        <v>4166</v>
      </c>
    </row>
    <row r="2240" spans="1:1">
      <c r="A2240" s="145" t="s">
        <v>4167</v>
      </c>
    </row>
    <row r="2241" spans="1:1">
      <c r="A2241" s="145" t="s">
        <v>4168</v>
      </c>
    </row>
    <row r="2242" spans="1:1">
      <c r="A2242" s="145" t="s">
        <v>4169</v>
      </c>
    </row>
    <row r="2243" spans="1:1">
      <c r="A2243" s="145" t="s">
        <v>4170</v>
      </c>
    </row>
    <row r="2244" spans="1:1">
      <c r="A2244" s="145" t="s">
        <v>4171</v>
      </c>
    </row>
    <row r="2245" spans="1:1">
      <c r="A2245" s="145" t="s">
        <v>4172</v>
      </c>
    </row>
    <row r="2246" spans="1:1">
      <c r="A2246" s="145" t="s">
        <v>4173</v>
      </c>
    </row>
    <row r="2247" spans="1:1">
      <c r="A2247" s="145" t="s">
        <v>4174</v>
      </c>
    </row>
    <row r="2248" spans="1:1">
      <c r="A2248" s="145" t="s">
        <v>4175</v>
      </c>
    </row>
    <row r="2249" spans="1:1">
      <c r="A2249" s="145" t="s">
        <v>4176</v>
      </c>
    </row>
    <row r="2250" spans="1:1">
      <c r="A2250" s="145" t="s">
        <v>4177</v>
      </c>
    </row>
    <row r="2251" spans="1:1">
      <c r="A2251" s="145" t="s">
        <v>4178</v>
      </c>
    </row>
    <row r="2252" spans="1:1">
      <c r="A2252" s="145" t="s">
        <v>4179</v>
      </c>
    </row>
    <row r="2253" spans="1:1">
      <c r="A2253" s="145" t="s">
        <v>4180</v>
      </c>
    </row>
    <row r="2254" spans="1:1">
      <c r="A2254" s="145" t="s">
        <v>4181</v>
      </c>
    </row>
    <row r="2255" spans="1:1">
      <c r="A2255" s="145" t="s">
        <v>4182</v>
      </c>
    </row>
    <row r="2256" spans="1:1">
      <c r="A2256" s="145" t="s">
        <v>4183</v>
      </c>
    </row>
    <row r="2257" spans="1:1">
      <c r="A2257" s="145" t="s">
        <v>4184</v>
      </c>
    </row>
    <row r="2258" spans="1:1">
      <c r="A2258" s="145" t="s">
        <v>4185</v>
      </c>
    </row>
    <row r="2259" spans="1:1">
      <c r="A2259" s="145" t="s">
        <v>4186</v>
      </c>
    </row>
    <row r="2260" spans="1:1">
      <c r="A2260" s="145" t="s">
        <v>4187</v>
      </c>
    </row>
    <row r="2261" spans="1:1">
      <c r="A2261" s="145" t="s">
        <v>4188</v>
      </c>
    </row>
    <row r="2262" spans="1:1">
      <c r="A2262" s="145" t="s">
        <v>4189</v>
      </c>
    </row>
    <row r="2263" spans="1:1">
      <c r="A2263" s="145" t="s">
        <v>4190</v>
      </c>
    </row>
    <row r="2264" spans="1:1">
      <c r="A2264" s="145" t="s">
        <v>4191</v>
      </c>
    </row>
    <row r="2265" spans="1:1">
      <c r="A2265" s="145" t="s">
        <v>4192</v>
      </c>
    </row>
    <row r="2266" spans="1:1">
      <c r="A2266" s="145" t="s">
        <v>4193</v>
      </c>
    </row>
    <row r="2267" spans="1:1">
      <c r="A2267" s="145" t="s">
        <v>4194</v>
      </c>
    </row>
    <row r="2268" spans="1:1">
      <c r="A2268" s="145" t="s">
        <v>4195</v>
      </c>
    </row>
    <row r="2269" spans="1:1">
      <c r="A2269" s="145" t="s">
        <v>4196</v>
      </c>
    </row>
    <row r="2270" spans="1:1">
      <c r="A2270" s="145" t="s">
        <v>4197</v>
      </c>
    </row>
    <row r="2271" spans="1:1">
      <c r="A2271" s="145" t="s">
        <v>4198</v>
      </c>
    </row>
    <row r="2272" spans="1:1">
      <c r="A2272" s="145" t="s">
        <v>4199</v>
      </c>
    </row>
    <row r="2273" spans="1:1">
      <c r="A2273" s="145" t="s">
        <v>4200</v>
      </c>
    </row>
    <row r="2274" spans="1:1">
      <c r="A2274" s="145" t="s">
        <v>4201</v>
      </c>
    </row>
    <row r="2275" spans="1:1">
      <c r="A2275" s="145" t="s">
        <v>4202</v>
      </c>
    </row>
    <row r="2276" spans="1:1">
      <c r="A2276" s="145" t="s">
        <v>4203</v>
      </c>
    </row>
    <row r="2277" spans="1:1">
      <c r="A2277" s="145" t="s">
        <v>4204</v>
      </c>
    </row>
    <row r="2278" spans="1:1">
      <c r="A2278" s="145" t="s">
        <v>4205</v>
      </c>
    </row>
    <row r="2279" spans="1:1">
      <c r="A2279" s="145" t="s">
        <v>4206</v>
      </c>
    </row>
    <row r="2280" spans="1:1">
      <c r="A2280" s="145" t="s">
        <v>4207</v>
      </c>
    </row>
    <row r="2281" spans="1:1">
      <c r="A2281" s="145" t="s">
        <v>4208</v>
      </c>
    </row>
    <row r="2282" spans="1:1">
      <c r="A2282" s="145" t="s">
        <v>4209</v>
      </c>
    </row>
    <row r="2283" spans="1:1">
      <c r="A2283" s="145" t="s">
        <v>4210</v>
      </c>
    </row>
    <row r="2284" spans="1:1">
      <c r="A2284" s="145" t="s">
        <v>4211</v>
      </c>
    </row>
    <row r="2285" spans="1:1">
      <c r="A2285" s="145" t="s">
        <v>4212</v>
      </c>
    </row>
    <row r="2286" spans="1:1">
      <c r="A2286" s="145" t="s">
        <v>4213</v>
      </c>
    </row>
    <row r="2287" spans="1:1">
      <c r="A2287" s="145" t="s">
        <v>4214</v>
      </c>
    </row>
    <row r="2288" spans="1:1">
      <c r="A2288" s="145" t="s">
        <v>4215</v>
      </c>
    </row>
    <row r="2289" spans="1:1">
      <c r="A2289" s="145" t="s">
        <v>4216</v>
      </c>
    </row>
    <row r="2290" spans="1:1">
      <c r="A2290" s="145" t="s">
        <v>4217</v>
      </c>
    </row>
    <row r="2291" spans="1:1">
      <c r="A2291" s="145" t="s">
        <v>4218</v>
      </c>
    </row>
    <row r="2292" spans="1:1">
      <c r="A2292" s="145" t="s">
        <v>4219</v>
      </c>
    </row>
    <row r="2293" spans="1:1">
      <c r="A2293" s="145" t="s">
        <v>4220</v>
      </c>
    </row>
    <row r="2294" spans="1:1">
      <c r="A2294" s="145" t="s">
        <v>4221</v>
      </c>
    </row>
    <row r="2295" spans="1:1">
      <c r="A2295" s="145" t="s">
        <v>4222</v>
      </c>
    </row>
    <row r="2296" spans="1:1">
      <c r="A2296" s="145" t="s">
        <v>4223</v>
      </c>
    </row>
    <row r="2297" spans="1:1">
      <c r="A2297" s="145" t="s">
        <v>4224</v>
      </c>
    </row>
    <row r="2298" spans="1:1">
      <c r="A2298" s="145" t="s">
        <v>4225</v>
      </c>
    </row>
    <row r="2299" spans="1:1">
      <c r="A2299" s="145" t="s">
        <v>4226</v>
      </c>
    </row>
    <row r="2300" spans="1:1">
      <c r="A2300" s="145" t="s">
        <v>4227</v>
      </c>
    </row>
    <row r="2301" spans="1:1">
      <c r="A2301" s="145" t="s">
        <v>4228</v>
      </c>
    </row>
    <row r="2302" spans="1:1">
      <c r="A2302" s="145" t="s">
        <v>4229</v>
      </c>
    </row>
    <row r="2303" spans="1:1">
      <c r="A2303" s="145" t="s">
        <v>4230</v>
      </c>
    </row>
    <row r="2304" spans="1:1">
      <c r="A2304" s="145" t="s">
        <v>4231</v>
      </c>
    </row>
    <row r="2305" spans="1:1">
      <c r="A2305" s="145" t="s">
        <v>4232</v>
      </c>
    </row>
    <row r="2306" spans="1:1">
      <c r="A2306" s="145" t="s">
        <v>4233</v>
      </c>
    </row>
    <row r="2307" spans="1:1">
      <c r="A2307" s="145" t="s">
        <v>4234</v>
      </c>
    </row>
    <row r="2308" spans="1:1">
      <c r="A2308" s="145" t="s">
        <v>4235</v>
      </c>
    </row>
    <row r="2309" spans="1:1">
      <c r="A2309" s="145" t="s">
        <v>4236</v>
      </c>
    </row>
    <row r="2310" spans="1:1">
      <c r="A2310" s="145" t="s">
        <v>4237</v>
      </c>
    </row>
    <row r="2311" spans="1:1">
      <c r="A2311" s="145" t="s">
        <v>4238</v>
      </c>
    </row>
    <row r="2312" spans="1:1">
      <c r="A2312" s="145" t="s">
        <v>4239</v>
      </c>
    </row>
    <row r="2313" spans="1:1">
      <c r="A2313" s="145" t="s">
        <v>4240</v>
      </c>
    </row>
    <row r="2314" spans="1:1">
      <c r="A2314" s="145" t="s">
        <v>4241</v>
      </c>
    </row>
    <row r="2315" spans="1:1">
      <c r="A2315" s="145" t="s">
        <v>4242</v>
      </c>
    </row>
    <row r="2316" spans="1:1">
      <c r="A2316" s="145" t="s">
        <v>4243</v>
      </c>
    </row>
    <row r="2317" spans="1:1">
      <c r="A2317" s="145" t="s">
        <v>4244</v>
      </c>
    </row>
    <row r="2318" spans="1:1">
      <c r="A2318" s="145" t="s">
        <v>4245</v>
      </c>
    </row>
    <row r="2319" spans="1:1">
      <c r="A2319" s="145" t="s">
        <v>4246</v>
      </c>
    </row>
    <row r="2320" spans="1:1">
      <c r="A2320" s="145" t="s">
        <v>4247</v>
      </c>
    </row>
    <row r="2321" spans="1:1">
      <c r="A2321" s="145" t="s">
        <v>4248</v>
      </c>
    </row>
    <row r="2322" spans="1:1">
      <c r="A2322" s="145" t="s">
        <v>4249</v>
      </c>
    </row>
    <row r="2323" spans="1:1">
      <c r="A2323" s="145" t="s">
        <v>4250</v>
      </c>
    </row>
    <row r="2324" spans="1:1">
      <c r="A2324" s="145" t="s">
        <v>4251</v>
      </c>
    </row>
    <row r="2325" spans="1:1">
      <c r="A2325" s="145" t="s">
        <v>4252</v>
      </c>
    </row>
    <row r="2326" spans="1:1">
      <c r="A2326" s="145" t="s">
        <v>4253</v>
      </c>
    </row>
    <row r="2327" spans="1:1">
      <c r="A2327" s="145" t="s">
        <v>4254</v>
      </c>
    </row>
    <row r="2328" spans="1:1">
      <c r="A2328" s="145" t="s">
        <v>4255</v>
      </c>
    </row>
    <row r="2329" spans="1:1">
      <c r="A2329" s="145" t="s">
        <v>4256</v>
      </c>
    </row>
    <row r="2330" spans="1:1">
      <c r="A2330" s="145" t="s">
        <v>4257</v>
      </c>
    </row>
    <row r="2331" spans="1:1">
      <c r="A2331" s="145" t="s">
        <v>4258</v>
      </c>
    </row>
    <row r="2332" spans="1:1">
      <c r="A2332" s="145" t="s">
        <v>4259</v>
      </c>
    </row>
    <row r="2333" spans="1:1">
      <c r="A2333" s="145" t="s">
        <v>4260</v>
      </c>
    </row>
    <row r="2334" spans="1:1">
      <c r="A2334" s="145" t="s">
        <v>4261</v>
      </c>
    </row>
    <row r="2335" spans="1:1">
      <c r="A2335" s="145" t="s">
        <v>4262</v>
      </c>
    </row>
    <row r="2336" spans="1:1">
      <c r="A2336" s="145" t="s">
        <v>4263</v>
      </c>
    </row>
    <row r="2337" spans="1:1">
      <c r="A2337" s="145" t="s">
        <v>4264</v>
      </c>
    </row>
    <row r="2338" spans="1:1">
      <c r="A2338" s="145" t="s">
        <v>4265</v>
      </c>
    </row>
    <row r="2339" spans="1:1">
      <c r="A2339" s="145" t="s">
        <v>4266</v>
      </c>
    </row>
    <row r="2340" spans="1:1">
      <c r="A2340" s="145" t="s">
        <v>4267</v>
      </c>
    </row>
    <row r="2341" spans="1:1">
      <c r="A2341" s="145" t="s">
        <v>4268</v>
      </c>
    </row>
    <row r="2342" spans="1:1">
      <c r="A2342" s="145" t="s">
        <v>4269</v>
      </c>
    </row>
    <row r="2343" spans="1:1">
      <c r="A2343" s="145" t="s">
        <v>4270</v>
      </c>
    </row>
    <row r="2344" spans="1:1">
      <c r="A2344" s="145" t="s">
        <v>4271</v>
      </c>
    </row>
    <row r="2345" spans="1:1">
      <c r="A2345" s="145" t="s">
        <v>4272</v>
      </c>
    </row>
    <row r="2346" spans="1:1">
      <c r="A2346" s="145" t="s">
        <v>4273</v>
      </c>
    </row>
    <row r="2347" spans="1:1">
      <c r="A2347" s="145" t="s">
        <v>4274</v>
      </c>
    </row>
    <row r="2348" spans="1:1">
      <c r="A2348" s="145" t="s">
        <v>4275</v>
      </c>
    </row>
    <row r="2349" spans="1:1">
      <c r="A2349" s="145" t="s">
        <v>4276</v>
      </c>
    </row>
    <row r="2350" spans="1:1">
      <c r="A2350" s="145" t="s">
        <v>4277</v>
      </c>
    </row>
    <row r="2351" spans="1:1">
      <c r="A2351" s="145" t="s">
        <v>4278</v>
      </c>
    </row>
    <row r="2352" spans="1:1">
      <c r="A2352" s="145" t="s">
        <v>4279</v>
      </c>
    </row>
    <row r="2353" spans="1:1">
      <c r="A2353" s="145" t="s">
        <v>4280</v>
      </c>
    </row>
    <row r="2354" spans="1:1">
      <c r="A2354" s="145" t="s">
        <v>4281</v>
      </c>
    </row>
    <row r="2355" spans="1:1">
      <c r="A2355" s="145" t="s">
        <v>4282</v>
      </c>
    </row>
    <row r="2356" spans="1:1">
      <c r="A2356" s="145" t="s">
        <v>4283</v>
      </c>
    </row>
    <row r="2357" spans="1:1">
      <c r="A2357" s="145" t="s">
        <v>4284</v>
      </c>
    </row>
    <row r="2358" spans="1:1">
      <c r="A2358" s="145" t="s">
        <v>4285</v>
      </c>
    </row>
    <row r="2359" spans="1:1">
      <c r="A2359" s="145" t="s">
        <v>4286</v>
      </c>
    </row>
    <row r="2360" spans="1:1">
      <c r="A2360" s="145" t="s">
        <v>4287</v>
      </c>
    </row>
    <row r="2361" spans="1:1">
      <c r="A2361" s="145" t="s">
        <v>4288</v>
      </c>
    </row>
    <row r="2362" spans="1:1">
      <c r="A2362" s="145" t="s">
        <v>4289</v>
      </c>
    </row>
    <row r="2363" spans="1:1">
      <c r="A2363" s="145" t="s">
        <v>4290</v>
      </c>
    </row>
    <row r="2364" spans="1:1">
      <c r="A2364" s="145" t="s">
        <v>4291</v>
      </c>
    </row>
    <row r="2365" spans="1:1">
      <c r="A2365" s="145" t="s">
        <v>4292</v>
      </c>
    </row>
    <row r="2366" spans="1:1">
      <c r="A2366" s="145" t="s">
        <v>4293</v>
      </c>
    </row>
    <row r="2367" spans="1:1">
      <c r="A2367" s="145" t="s">
        <v>4294</v>
      </c>
    </row>
    <row r="2368" spans="1:1">
      <c r="A2368" s="145" t="s">
        <v>4295</v>
      </c>
    </row>
    <row r="2369" spans="1:1">
      <c r="A2369" s="145" t="s">
        <v>4296</v>
      </c>
    </row>
    <row r="2370" spans="1:1">
      <c r="A2370" s="145" t="s">
        <v>4297</v>
      </c>
    </row>
    <row r="2371" spans="1:1">
      <c r="A2371" s="145" t="s">
        <v>4298</v>
      </c>
    </row>
    <row r="2372" spans="1:1">
      <c r="A2372" s="145" t="s">
        <v>4299</v>
      </c>
    </row>
    <row r="2373" spans="1:1">
      <c r="A2373" s="145" t="s">
        <v>4300</v>
      </c>
    </row>
    <row r="2374" spans="1:1">
      <c r="A2374" s="145" t="s">
        <v>4301</v>
      </c>
    </row>
    <row r="2375" spans="1:1">
      <c r="A2375" s="145" t="s">
        <v>4302</v>
      </c>
    </row>
    <row r="2376" spans="1:1">
      <c r="A2376" s="145" t="s">
        <v>4303</v>
      </c>
    </row>
    <row r="2377" spans="1:1">
      <c r="A2377" s="145" t="s">
        <v>4304</v>
      </c>
    </row>
    <row r="2378" spans="1:1">
      <c r="A2378" s="145" t="s">
        <v>4305</v>
      </c>
    </row>
    <row r="2379" spans="1:1">
      <c r="A2379" s="145" t="s">
        <v>4306</v>
      </c>
    </row>
    <row r="2380" spans="1:1">
      <c r="A2380" s="145" t="s">
        <v>4307</v>
      </c>
    </row>
    <row r="2381" spans="1:1">
      <c r="A2381" s="145" t="s">
        <v>4308</v>
      </c>
    </row>
    <row r="2382" spans="1:1">
      <c r="A2382" s="145" t="s">
        <v>4309</v>
      </c>
    </row>
    <row r="2383" spans="1:1">
      <c r="A2383" s="145" t="s">
        <v>4310</v>
      </c>
    </row>
    <row r="2384" spans="1:1">
      <c r="A2384" s="145" t="s">
        <v>4311</v>
      </c>
    </row>
    <row r="2385" spans="1:1">
      <c r="A2385" s="145" t="s">
        <v>4312</v>
      </c>
    </row>
    <row r="2386" spans="1:1">
      <c r="A2386" s="145" t="s">
        <v>4313</v>
      </c>
    </row>
    <row r="2387" spans="1:1">
      <c r="A2387" s="145" t="s">
        <v>4314</v>
      </c>
    </row>
    <row r="2388" spans="1:1">
      <c r="A2388" s="145" t="s">
        <v>4315</v>
      </c>
    </row>
    <row r="2389" spans="1:1">
      <c r="A2389" s="145" t="s">
        <v>4316</v>
      </c>
    </row>
    <row r="2390" spans="1:1">
      <c r="A2390" s="145" t="s">
        <v>4317</v>
      </c>
    </row>
    <row r="2391" spans="1:1">
      <c r="A2391" s="145" t="s">
        <v>4318</v>
      </c>
    </row>
    <row r="2392" spans="1:1">
      <c r="A2392" s="145" t="s">
        <v>4319</v>
      </c>
    </row>
    <row r="2393" spans="1:1">
      <c r="A2393" s="145" t="s">
        <v>4320</v>
      </c>
    </row>
    <row r="2394" spans="1:1">
      <c r="A2394" s="145" t="s">
        <v>4321</v>
      </c>
    </row>
    <row r="2395" spans="1:1">
      <c r="A2395" s="145" t="s">
        <v>4322</v>
      </c>
    </row>
    <row r="2396" spans="1:1">
      <c r="A2396" s="145" t="s">
        <v>4323</v>
      </c>
    </row>
    <row r="2397" spans="1:1">
      <c r="A2397" s="145" t="s">
        <v>4324</v>
      </c>
    </row>
    <row r="2398" spans="1:1">
      <c r="A2398" s="145" t="s">
        <v>4325</v>
      </c>
    </row>
    <row r="2399" spans="1:1">
      <c r="A2399" s="145" t="s">
        <v>4326</v>
      </c>
    </row>
    <row r="2400" spans="1:1">
      <c r="A2400" s="145" t="s">
        <v>4327</v>
      </c>
    </row>
    <row r="2401" spans="1:1">
      <c r="A2401" s="145" t="s">
        <v>4328</v>
      </c>
    </row>
    <row r="2402" spans="1:1">
      <c r="A2402" s="145" t="s">
        <v>4329</v>
      </c>
    </row>
    <row r="2403" spans="1:1">
      <c r="A2403" s="145" t="s">
        <v>4330</v>
      </c>
    </row>
    <row r="2404" spans="1:1">
      <c r="A2404" s="145" t="s">
        <v>4331</v>
      </c>
    </row>
    <row r="2405" spans="1:1">
      <c r="A2405" s="145" t="s">
        <v>4332</v>
      </c>
    </row>
    <row r="2406" spans="1:1">
      <c r="A2406" s="145" t="s">
        <v>4333</v>
      </c>
    </row>
    <row r="2407" spans="1:1">
      <c r="A2407" s="145" t="s">
        <v>4334</v>
      </c>
    </row>
    <row r="2408" spans="1:1">
      <c r="A2408" s="145" t="s">
        <v>4335</v>
      </c>
    </row>
    <row r="2409" spans="1:1">
      <c r="A2409" s="145" t="s">
        <v>4336</v>
      </c>
    </row>
    <row r="2410" spans="1:1">
      <c r="A2410" s="145" t="s">
        <v>4337</v>
      </c>
    </row>
    <row r="2411" spans="1:1">
      <c r="A2411" s="145" t="s">
        <v>4338</v>
      </c>
    </row>
    <row r="2412" spans="1:1">
      <c r="A2412" s="145" t="s">
        <v>4339</v>
      </c>
    </row>
    <row r="2413" spans="1:1">
      <c r="A2413" s="145" t="s">
        <v>4340</v>
      </c>
    </row>
    <row r="2414" spans="1:1">
      <c r="A2414" s="145" t="s">
        <v>4341</v>
      </c>
    </row>
    <row r="2415" spans="1:1">
      <c r="A2415" s="145" t="s">
        <v>4342</v>
      </c>
    </row>
    <row r="2416" spans="1:1">
      <c r="A2416" s="145" t="s">
        <v>4343</v>
      </c>
    </row>
    <row r="2417" spans="1:1">
      <c r="A2417" s="145" t="s">
        <v>4344</v>
      </c>
    </row>
    <row r="2418" spans="1:1">
      <c r="A2418" s="145" t="s">
        <v>4345</v>
      </c>
    </row>
    <row r="2419" spans="1:1">
      <c r="A2419" s="145" t="s">
        <v>4346</v>
      </c>
    </row>
    <row r="2420" spans="1:1">
      <c r="A2420" s="145" t="s">
        <v>4347</v>
      </c>
    </row>
    <row r="2421" spans="1:1">
      <c r="A2421" s="145" t="s">
        <v>4348</v>
      </c>
    </row>
    <row r="2422" spans="1:1">
      <c r="A2422" s="145" t="s">
        <v>4349</v>
      </c>
    </row>
    <row r="2423" spans="1:1">
      <c r="A2423" s="145" t="s">
        <v>4350</v>
      </c>
    </row>
    <row r="2424" spans="1:1">
      <c r="A2424" s="145" t="s">
        <v>4351</v>
      </c>
    </row>
    <row r="2425" spans="1:1">
      <c r="A2425" s="145" t="s">
        <v>4352</v>
      </c>
    </row>
    <row r="2426" spans="1:1">
      <c r="A2426" s="145" t="s">
        <v>4353</v>
      </c>
    </row>
    <row r="2427" spans="1:1">
      <c r="A2427" s="145" t="s">
        <v>4354</v>
      </c>
    </row>
    <row r="2428" spans="1:1">
      <c r="A2428" s="145" t="s">
        <v>4355</v>
      </c>
    </row>
    <row r="2429" spans="1:1">
      <c r="A2429" s="145" t="s">
        <v>4356</v>
      </c>
    </row>
    <row r="2430" spans="1:1">
      <c r="A2430" s="145" t="s">
        <v>4357</v>
      </c>
    </row>
    <row r="2431" spans="1:1">
      <c r="A2431" s="145" t="s">
        <v>4358</v>
      </c>
    </row>
    <row r="2432" spans="1:1">
      <c r="A2432" s="145" t="s">
        <v>4359</v>
      </c>
    </row>
    <row r="2433" spans="1:1">
      <c r="A2433" s="145" t="s">
        <v>4360</v>
      </c>
    </row>
    <row r="2434" spans="1:1">
      <c r="A2434" s="145" t="s">
        <v>4361</v>
      </c>
    </row>
    <row r="2435" spans="1:1">
      <c r="A2435" s="145" t="s">
        <v>4362</v>
      </c>
    </row>
    <row r="2436" spans="1:1">
      <c r="A2436" s="145" t="s">
        <v>4363</v>
      </c>
    </row>
    <row r="2437" spans="1:1">
      <c r="A2437" s="145" t="s">
        <v>4364</v>
      </c>
    </row>
    <row r="2438" spans="1:1">
      <c r="A2438" s="145" t="s">
        <v>4365</v>
      </c>
    </row>
    <row r="2439" spans="1:1">
      <c r="A2439" s="145" t="s">
        <v>4366</v>
      </c>
    </row>
    <row r="2440" spans="1:1">
      <c r="A2440" s="145" t="s">
        <v>4367</v>
      </c>
    </row>
    <row r="2441" spans="1:1">
      <c r="A2441" s="145" t="s">
        <v>4368</v>
      </c>
    </row>
    <row r="2442" spans="1:1">
      <c r="A2442" s="145" t="s">
        <v>4369</v>
      </c>
    </row>
    <row r="2443" spans="1:1">
      <c r="A2443" s="145" t="s">
        <v>4370</v>
      </c>
    </row>
    <row r="2444" spans="1:1">
      <c r="A2444" s="145" t="s">
        <v>4371</v>
      </c>
    </row>
    <row r="2445" spans="1:1">
      <c r="A2445" s="145" t="s">
        <v>4372</v>
      </c>
    </row>
    <row r="2446" spans="1:1">
      <c r="A2446" s="145" t="s">
        <v>4373</v>
      </c>
    </row>
    <row r="2447" spans="1:1">
      <c r="A2447" s="145" t="s">
        <v>4374</v>
      </c>
    </row>
    <row r="2448" spans="1:1">
      <c r="A2448" s="145" t="s">
        <v>4375</v>
      </c>
    </row>
    <row r="2449" spans="1:1">
      <c r="A2449" s="145" t="s">
        <v>4376</v>
      </c>
    </row>
    <row r="2450" spans="1:1">
      <c r="A2450" s="145" t="s">
        <v>4377</v>
      </c>
    </row>
    <row r="2451" spans="1:1">
      <c r="A2451" s="145" t="s">
        <v>4378</v>
      </c>
    </row>
    <row r="2452" spans="1:1">
      <c r="A2452" s="145" t="s">
        <v>4379</v>
      </c>
    </row>
    <row r="2453" spans="1:1">
      <c r="A2453" s="145" t="s">
        <v>4380</v>
      </c>
    </row>
    <row r="2454" spans="1:1">
      <c r="A2454" s="145" t="s">
        <v>4381</v>
      </c>
    </row>
    <row r="2455" spans="1:1">
      <c r="A2455" s="145" t="s">
        <v>4382</v>
      </c>
    </row>
    <row r="2456" spans="1:1">
      <c r="A2456" s="145" t="s">
        <v>4383</v>
      </c>
    </row>
    <row r="2457" spans="1:1">
      <c r="A2457" s="145" t="s">
        <v>4384</v>
      </c>
    </row>
    <row r="2458" spans="1:1">
      <c r="A2458" s="145" t="s">
        <v>4385</v>
      </c>
    </row>
    <row r="2459" spans="1:1">
      <c r="A2459" s="145" t="s">
        <v>4386</v>
      </c>
    </row>
    <row r="2460" spans="1:1">
      <c r="A2460" s="145" t="s">
        <v>4387</v>
      </c>
    </row>
    <row r="2461" spans="1:1">
      <c r="A2461" s="145" t="s">
        <v>4388</v>
      </c>
    </row>
    <row r="2462" spans="1:1">
      <c r="A2462" s="145" t="s">
        <v>4389</v>
      </c>
    </row>
    <row r="2463" spans="1:1">
      <c r="A2463" s="145" t="s">
        <v>4390</v>
      </c>
    </row>
    <row r="2464" spans="1:1">
      <c r="A2464" s="145" t="s">
        <v>4391</v>
      </c>
    </row>
    <row r="2465" spans="1:1">
      <c r="A2465" s="145" t="s">
        <v>4392</v>
      </c>
    </row>
    <row r="2466" spans="1:1">
      <c r="A2466" s="145" t="s">
        <v>4393</v>
      </c>
    </row>
    <row r="2467" spans="1:1">
      <c r="A2467" s="145" t="s">
        <v>4394</v>
      </c>
    </row>
    <row r="2468" spans="1:1">
      <c r="A2468" s="145" t="s">
        <v>4395</v>
      </c>
    </row>
    <row r="2469" spans="1:1">
      <c r="A2469" s="145" t="s">
        <v>4396</v>
      </c>
    </row>
    <row r="2470" spans="1:1">
      <c r="A2470" s="145" t="s">
        <v>4397</v>
      </c>
    </row>
    <row r="2471" spans="1:1">
      <c r="A2471" s="145" t="s">
        <v>4398</v>
      </c>
    </row>
    <row r="2472" spans="1:1">
      <c r="A2472" s="145" t="s">
        <v>4399</v>
      </c>
    </row>
    <row r="2473" spans="1:1">
      <c r="A2473" s="145" t="s">
        <v>4400</v>
      </c>
    </row>
    <row r="2474" spans="1:1">
      <c r="A2474" s="145" t="s">
        <v>4401</v>
      </c>
    </row>
    <row r="2475" spans="1:1">
      <c r="A2475" s="145" t="s">
        <v>4402</v>
      </c>
    </row>
    <row r="2476" spans="1:1">
      <c r="A2476" s="145" t="s">
        <v>4403</v>
      </c>
    </row>
    <row r="2477" spans="1:1">
      <c r="A2477" s="145" t="s">
        <v>4404</v>
      </c>
    </row>
    <row r="2478" spans="1:1">
      <c r="A2478" s="145" t="s">
        <v>4405</v>
      </c>
    </row>
    <row r="2479" spans="1:1">
      <c r="A2479" s="145" t="s">
        <v>4406</v>
      </c>
    </row>
    <row r="2480" spans="1:1">
      <c r="A2480" s="145" t="s">
        <v>4407</v>
      </c>
    </row>
    <row r="2481" spans="1:1">
      <c r="A2481" s="145" t="s">
        <v>4408</v>
      </c>
    </row>
    <row r="2482" spans="1:1">
      <c r="A2482" s="145" t="s">
        <v>4409</v>
      </c>
    </row>
    <row r="2483" spans="1:1">
      <c r="A2483" s="145" t="s">
        <v>4410</v>
      </c>
    </row>
    <row r="2484" spans="1:1">
      <c r="A2484" s="145" t="s">
        <v>4411</v>
      </c>
    </row>
    <row r="2485" spans="1:1">
      <c r="A2485" s="145" t="s">
        <v>4412</v>
      </c>
    </row>
    <row r="2486" spans="1:1">
      <c r="A2486" s="145" t="s">
        <v>4413</v>
      </c>
    </row>
    <row r="2487" spans="1:1">
      <c r="A2487" s="145" t="s">
        <v>4414</v>
      </c>
    </row>
    <row r="2488" spans="1:1">
      <c r="A2488" s="145" t="s">
        <v>4415</v>
      </c>
    </row>
    <row r="2489" spans="1:1">
      <c r="A2489" s="145" t="s">
        <v>4416</v>
      </c>
    </row>
    <row r="2490" spans="1:1">
      <c r="A2490" s="145" t="s">
        <v>4417</v>
      </c>
    </row>
    <row r="2491" spans="1:1">
      <c r="A2491" s="145" t="s">
        <v>4418</v>
      </c>
    </row>
    <row r="2492" spans="1:1">
      <c r="A2492" s="145" t="s">
        <v>4419</v>
      </c>
    </row>
    <row r="2493" spans="1:1">
      <c r="A2493" s="145" t="s">
        <v>4420</v>
      </c>
    </row>
    <row r="2494" spans="1:1">
      <c r="A2494" s="145" t="s">
        <v>4421</v>
      </c>
    </row>
    <row r="2495" spans="1:1">
      <c r="A2495" s="145" t="s">
        <v>4422</v>
      </c>
    </row>
    <row r="2496" spans="1:1">
      <c r="A2496" s="145" t="s">
        <v>4423</v>
      </c>
    </row>
    <row r="2497" spans="1:1">
      <c r="A2497" s="145" t="s">
        <v>4424</v>
      </c>
    </row>
    <row r="2498" spans="1:1">
      <c r="A2498" s="145" t="s">
        <v>4425</v>
      </c>
    </row>
    <row r="2499" spans="1:1">
      <c r="A2499" s="145" t="s">
        <v>4426</v>
      </c>
    </row>
    <row r="2500" spans="1:1">
      <c r="A2500" s="145" t="s">
        <v>4427</v>
      </c>
    </row>
    <row r="2501" spans="1:1">
      <c r="A2501" s="145" t="s">
        <v>4428</v>
      </c>
    </row>
    <row r="2502" spans="1:1">
      <c r="A2502" s="145" t="s">
        <v>4429</v>
      </c>
    </row>
    <row r="2503" spans="1:1">
      <c r="A2503" s="145" t="s">
        <v>4430</v>
      </c>
    </row>
    <row r="2504" spans="1:1">
      <c r="A2504" s="145" t="s">
        <v>4431</v>
      </c>
    </row>
    <row r="2505" spans="1:1">
      <c r="A2505" s="145" t="s">
        <v>4432</v>
      </c>
    </row>
    <row r="2506" spans="1:1">
      <c r="A2506" s="145" t="s">
        <v>4433</v>
      </c>
    </row>
    <row r="2507" spans="1:1">
      <c r="A2507" s="145" t="s">
        <v>4434</v>
      </c>
    </row>
    <row r="2508" spans="1:1">
      <c r="A2508" s="145" t="s">
        <v>4435</v>
      </c>
    </row>
    <row r="2509" spans="1:1">
      <c r="A2509" s="145" t="s">
        <v>4436</v>
      </c>
    </row>
    <row r="2510" spans="1:1">
      <c r="A2510" s="145" t="s">
        <v>4437</v>
      </c>
    </row>
    <row r="2511" spans="1:1">
      <c r="A2511" s="145" t="s">
        <v>4438</v>
      </c>
    </row>
    <row r="2512" spans="1:1">
      <c r="A2512" s="145" t="s">
        <v>4439</v>
      </c>
    </row>
    <row r="2513" spans="1:1">
      <c r="A2513" s="145" t="s">
        <v>4440</v>
      </c>
    </row>
    <row r="2514" spans="1:1">
      <c r="A2514" s="145" t="s">
        <v>4441</v>
      </c>
    </row>
    <row r="2515" spans="1:1">
      <c r="A2515" s="145" t="s">
        <v>4442</v>
      </c>
    </row>
    <row r="2516" spans="1:1">
      <c r="A2516" s="145" t="s">
        <v>4443</v>
      </c>
    </row>
    <row r="2517" spans="1:1">
      <c r="A2517" s="145" t="s">
        <v>4444</v>
      </c>
    </row>
    <row r="2518" spans="1:1">
      <c r="A2518" s="145" t="s">
        <v>4445</v>
      </c>
    </row>
    <row r="2519" spans="1:1">
      <c r="A2519" s="145" t="s">
        <v>4446</v>
      </c>
    </row>
    <row r="2520" spans="1:1">
      <c r="A2520" s="145" t="s">
        <v>4447</v>
      </c>
    </row>
    <row r="2521" spans="1:1">
      <c r="A2521" s="145" t="s">
        <v>4448</v>
      </c>
    </row>
    <row r="2522" spans="1:1">
      <c r="A2522" s="145" t="s">
        <v>4449</v>
      </c>
    </row>
    <row r="2523" spans="1:1">
      <c r="A2523" s="145" t="s">
        <v>4450</v>
      </c>
    </row>
    <row r="2524" spans="1:1">
      <c r="A2524" s="145" t="s">
        <v>4451</v>
      </c>
    </row>
    <row r="2525" spans="1:1">
      <c r="A2525" s="145" t="s">
        <v>4452</v>
      </c>
    </row>
    <row r="2526" spans="1:1">
      <c r="A2526" s="145" t="s">
        <v>4453</v>
      </c>
    </row>
    <row r="2527" spans="1:1">
      <c r="A2527" s="145" t="s">
        <v>4454</v>
      </c>
    </row>
    <row r="2528" spans="1:1">
      <c r="A2528" s="145" t="s">
        <v>4455</v>
      </c>
    </row>
    <row r="2529" spans="1:1">
      <c r="A2529" s="145" t="s">
        <v>4456</v>
      </c>
    </row>
    <row r="2530" spans="1:1">
      <c r="A2530" s="145" t="s">
        <v>4457</v>
      </c>
    </row>
    <row r="2531" spans="1:1">
      <c r="A2531" s="145" t="s">
        <v>4458</v>
      </c>
    </row>
    <row r="2532" spans="1:1">
      <c r="A2532" s="145" t="s">
        <v>4459</v>
      </c>
    </row>
    <row r="2533" spans="1:1">
      <c r="A2533" s="145" t="s">
        <v>4460</v>
      </c>
    </row>
    <row r="2534" spans="1:1">
      <c r="A2534" s="145" t="s">
        <v>4461</v>
      </c>
    </row>
    <row r="2535" spans="1:1">
      <c r="A2535" s="145" t="s">
        <v>4462</v>
      </c>
    </row>
    <row r="2536" spans="1:1">
      <c r="A2536" s="145" t="s">
        <v>4463</v>
      </c>
    </row>
    <row r="2537" spans="1:1">
      <c r="A2537" s="145" t="s">
        <v>4464</v>
      </c>
    </row>
    <row r="2538" spans="1:1">
      <c r="A2538" s="145" t="s">
        <v>4465</v>
      </c>
    </row>
    <row r="2539" spans="1:1">
      <c r="A2539" s="145" t="s">
        <v>4466</v>
      </c>
    </row>
    <row r="2540" spans="1:1">
      <c r="A2540" s="145" t="s">
        <v>4467</v>
      </c>
    </row>
    <row r="2541" spans="1:1">
      <c r="A2541" s="145" t="s">
        <v>4468</v>
      </c>
    </row>
    <row r="2542" spans="1:1">
      <c r="A2542" s="145" t="s">
        <v>4469</v>
      </c>
    </row>
    <row r="2543" spans="1:1">
      <c r="A2543" s="145" t="s">
        <v>4470</v>
      </c>
    </row>
    <row r="2544" spans="1:1">
      <c r="A2544" s="145" t="s">
        <v>4471</v>
      </c>
    </row>
    <row r="2545" spans="1:1">
      <c r="A2545" s="145" t="s">
        <v>4472</v>
      </c>
    </row>
    <row r="2546" spans="1:1">
      <c r="A2546" s="145" t="s">
        <v>4473</v>
      </c>
    </row>
    <row r="2547" spans="1:1">
      <c r="A2547" s="145" t="s">
        <v>4474</v>
      </c>
    </row>
    <row r="2548" spans="1:1">
      <c r="A2548" s="145" t="s">
        <v>4475</v>
      </c>
    </row>
    <row r="2549" spans="1:1">
      <c r="A2549" s="145" t="s">
        <v>4476</v>
      </c>
    </row>
    <row r="2550" spans="1:1">
      <c r="A2550" s="145" t="s">
        <v>4477</v>
      </c>
    </row>
    <row r="2551" spans="1:1">
      <c r="A2551" s="145" t="s">
        <v>4478</v>
      </c>
    </row>
    <row r="2552" spans="1:1">
      <c r="A2552" s="145" t="s">
        <v>4479</v>
      </c>
    </row>
    <row r="2553" spans="1:1">
      <c r="A2553" s="145" t="s">
        <v>4480</v>
      </c>
    </row>
    <row r="2554" spans="1:1">
      <c r="A2554" s="145" t="s">
        <v>4481</v>
      </c>
    </row>
    <row r="2555" spans="1:1">
      <c r="A2555" s="145" t="s">
        <v>4482</v>
      </c>
    </row>
    <row r="2556" spans="1:1">
      <c r="A2556" s="145" t="s">
        <v>4483</v>
      </c>
    </row>
    <row r="2557" spans="1:1">
      <c r="A2557" s="145" t="s">
        <v>4484</v>
      </c>
    </row>
    <row r="2558" spans="1:1">
      <c r="A2558" s="145" t="s">
        <v>4485</v>
      </c>
    </row>
    <row r="2559" spans="1:1">
      <c r="A2559" s="145" t="s">
        <v>4486</v>
      </c>
    </row>
    <row r="2560" spans="1:1">
      <c r="A2560" s="145" t="s">
        <v>4487</v>
      </c>
    </row>
    <row r="2561" spans="1:1">
      <c r="A2561" s="145" t="s">
        <v>4488</v>
      </c>
    </row>
    <row r="2562" spans="1:1">
      <c r="A2562" s="145" t="s">
        <v>4489</v>
      </c>
    </row>
    <row r="2563" spans="1:1">
      <c r="A2563" s="145" t="s">
        <v>4490</v>
      </c>
    </row>
    <row r="2564" spans="1:1">
      <c r="A2564" s="145" t="s">
        <v>4491</v>
      </c>
    </row>
    <row r="2565" spans="1:1">
      <c r="A2565" s="145" t="s">
        <v>4492</v>
      </c>
    </row>
    <row r="2566" spans="1:1">
      <c r="A2566" s="145" t="s">
        <v>4493</v>
      </c>
    </row>
    <row r="2567" spans="1:1">
      <c r="A2567" s="145" t="s">
        <v>4494</v>
      </c>
    </row>
    <row r="2568" spans="1:1">
      <c r="A2568" s="145" t="s">
        <v>4495</v>
      </c>
    </row>
    <row r="2569" spans="1:1">
      <c r="A2569" s="145" t="s">
        <v>4496</v>
      </c>
    </row>
    <row r="2570" spans="1:1">
      <c r="A2570" s="145" t="s">
        <v>4497</v>
      </c>
    </row>
    <row r="2571" spans="1:1">
      <c r="A2571" s="145" t="s">
        <v>4498</v>
      </c>
    </row>
    <row r="2572" spans="1:1">
      <c r="A2572" s="145" t="s">
        <v>4499</v>
      </c>
    </row>
    <row r="2573" spans="1:1">
      <c r="A2573" s="145" t="s">
        <v>4500</v>
      </c>
    </row>
    <row r="2574" spans="1:1">
      <c r="A2574" s="145" t="s">
        <v>4501</v>
      </c>
    </row>
    <row r="2575" spans="1:1">
      <c r="A2575" s="145" t="s">
        <v>4502</v>
      </c>
    </row>
    <row r="2576" spans="1:1">
      <c r="A2576" s="145" t="s">
        <v>4503</v>
      </c>
    </row>
    <row r="2577" spans="1:1">
      <c r="A2577" s="145" t="s">
        <v>4504</v>
      </c>
    </row>
    <row r="2578" spans="1:1">
      <c r="A2578" s="145" t="s">
        <v>4505</v>
      </c>
    </row>
    <row r="2579" spans="1:1">
      <c r="A2579" s="145" t="s">
        <v>4506</v>
      </c>
    </row>
    <row r="2580" spans="1:1">
      <c r="A2580" s="145" t="s">
        <v>4507</v>
      </c>
    </row>
    <row r="2581" spans="1:1">
      <c r="A2581" s="145" t="s">
        <v>4508</v>
      </c>
    </row>
    <row r="2582" spans="1:1">
      <c r="A2582" s="145" t="s">
        <v>4509</v>
      </c>
    </row>
    <row r="2583" spans="1:1">
      <c r="A2583" s="145" t="s">
        <v>4510</v>
      </c>
    </row>
    <row r="2584" spans="1:1">
      <c r="A2584" s="145" t="s">
        <v>4511</v>
      </c>
    </row>
    <row r="2585" spans="1:1">
      <c r="A2585" s="145" t="s">
        <v>4512</v>
      </c>
    </row>
    <row r="2586" spans="1:1">
      <c r="A2586" s="145" t="s">
        <v>4513</v>
      </c>
    </row>
    <row r="2587" spans="1:1">
      <c r="A2587" s="145" t="s">
        <v>4514</v>
      </c>
    </row>
    <row r="2588" spans="1:1">
      <c r="A2588" s="145" t="s">
        <v>4515</v>
      </c>
    </row>
    <row r="2589" spans="1:1">
      <c r="A2589" s="145" t="s">
        <v>4516</v>
      </c>
    </row>
    <row r="2590" spans="1:1">
      <c r="A2590" s="145" t="s">
        <v>4517</v>
      </c>
    </row>
    <row r="2591" spans="1:1">
      <c r="A2591" s="145" t="s">
        <v>4518</v>
      </c>
    </row>
    <row r="2592" spans="1:1">
      <c r="A2592" s="145" t="s">
        <v>4519</v>
      </c>
    </row>
    <row r="2593" spans="1:1">
      <c r="A2593" s="145" t="s">
        <v>4520</v>
      </c>
    </row>
    <row r="2594" spans="1:1">
      <c r="A2594" s="145" t="s">
        <v>4521</v>
      </c>
    </row>
    <row r="2595" spans="1:1">
      <c r="A2595" s="145" t="s">
        <v>4522</v>
      </c>
    </row>
    <row r="2596" spans="1:1">
      <c r="A2596" s="145" t="s">
        <v>4523</v>
      </c>
    </row>
    <row r="2597" spans="1:1">
      <c r="A2597" s="145" t="s">
        <v>4524</v>
      </c>
    </row>
    <row r="2598" spans="1:1">
      <c r="A2598" s="145" t="s">
        <v>4525</v>
      </c>
    </row>
    <row r="2599" spans="1:1">
      <c r="A2599" s="145" t="s">
        <v>4526</v>
      </c>
    </row>
    <row r="2600" spans="1:1">
      <c r="A2600" s="145" t="s">
        <v>4527</v>
      </c>
    </row>
    <row r="2601" spans="1:1">
      <c r="A2601" s="145" t="s">
        <v>4528</v>
      </c>
    </row>
    <row r="2602" spans="1:1">
      <c r="A2602" s="145" t="s">
        <v>4529</v>
      </c>
    </row>
    <row r="2603" spans="1:1">
      <c r="A2603" s="145" t="s">
        <v>4530</v>
      </c>
    </row>
    <row r="2604" spans="1:1">
      <c r="A2604" s="145" t="s">
        <v>4531</v>
      </c>
    </row>
    <row r="2605" spans="1:1">
      <c r="A2605" s="145" t="s">
        <v>4532</v>
      </c>
    </row>
    <row r="2606" spans="1:1">
      <c r="A2606" s="145" t="s">
        <v>4533</v>
      </c>
    </row>
    <row r="2607" spans="1:1">
      <c r="A2607" s="145" t="s">
        <v>4534</v>
      </c>
    </row>
    <row r="2608" spans="1:1">
      <c r="A2608" s="145" t="s">
        <v>4535</v>
      </c>
    </row>
    <row r="2609" spans="1:1">
      <c r="A2609" s="145" t="s">
        <v>4536</v>
      </c>
    </row>
    <row r="2610" spans="1:1">
      <c r="A2610" s="145" t="s">
        <v>4537</v>
      </c>
    </row>
    <row r="2611" spans="1:1">
      <c r="A2611" s="145" t="s">
        <v>4538</v>
      </c>
    </row>
    <row r="2612" spans="1:1">
      <c r="A2612" s="145" t="s">
        <v>4539</v>
      </c>
    </row>
    <row r="2613" spans="1:1">
      <c r="A2613" s="145" t="s">
        <v>4540</v>
      </c>
    </row>
    <row r="2614" spans="1:1">
      <c r="A2614" s="145" t="s">
        <v>4541</v>
      </c>
    </row>
    <row r="2615" spans="1:1">
      <c r="A2615" s="145" t="s">
        <v>4542</v>
      </c>
    </row>
    <row r="2616" spans="1:1">
      <c r="A2616" s="145" t="s">
        <v>4543</v>
      </c>
    </row>
    <row r="2617" spans="1:1">
      <c r="A2617" s="145" t="s">
        <v>4544</v>
      </c>
    </row>
    <row r="2618" spans="1:1">
      <c r="A2618" s="145" t="s">
        <v>4545</v>
      </c>
    </row>
    <row r="2619" spans="1:1">
      <c r="A2619" s="145" t="s">
        <v>4546</v>
      </c>
    </row>
    <row r="2620" spans="1:1">
      <c r="A2620" s="145" t="s">
        <v>4547</v>
      </c>
    </row>
    <row r="2621" spans="1:1">
      <c r="A2621" s="145" t="s">
        <v>4548</v>
      </c>
    </row>
    <row r="2622" spans="1:1">
      <c r="A2622" s="145" t="s">
        <v>4549</v>
      </c>
    </row>
    <row r="2623" spans="1:1">
      <c r="A2623" s="145" t="s">
        <v>4550</v>
      </c>
    </row>
    <row r="2624" spans="1:1">
      <c r="A2624" s="145" t="s">
        <v>4551</v>
      </c>
    </row>
    <row r="2625" spans="1:1">
      <c r="A2625" s="145" t="s">
        <v>4552</v>
      </c>
    </row>
    <row r="2626" spans="1:1">
      <c r="A2626" s="145" t="s">
        <v>4553</v>
      </c>
    </row>
    <row r="2627" spans="1:1">
      <c r="A2627" s="145" t="s">
        <v>4554</v>
      </c>
    </row>
    <row r="2628" spans="1:1">
      <c r="A2628" s="145" t="s">
        <v>4555</v>
      </c>
    </row>
    <row r="2629" spans="1:1">
      <c r="A2629" s="145" t="s">
        <v>4556</v>
      </c>
    </row>
    <row r="2630" spans="1:1">
      <c r="A2630" s="145" t="s">
        <v>4557</v>
      </c>
    </row>
    <row r="2631" spans="1:1">
      <c r="A2631" s="145" t="s">
        <v>4558</v>
      </c>
    </row>
    <row r="2632" spans="1:1">
      <c r="A2632" s="145" t="s">
        <v>4559</v>
      </c>
    </row>
    <row r="2633" spans="1:1">
      <c r="A2633" s="145" t="s">
        <v>4560</v>
      </c>
    </row>
    <row r="2634" spans="1:1">
      <c r="A2634" s="145" t="s">
        <v>4561</v>
      </c>
    </row>
    <row r="2635" spans="1:1">
      <c r="A2635" s="145" t="s">
        <v>4562</v>
      </c>
    </row>
    <row r="2636" spans="1:1">
      <c r="A2636" s="145" t="s">
        <v>4563</v>
      </c>
    </row>
    <row r="2637" spans="1:1">
      <c r="A2637" s="145" t="s">
        <v>4564</v>
      </c>
    </row>
    <row r="2638" spans="1:1">
      <c r="A2638" s="145" t="s">
        <v>4565</v>
      </c>
    </row>
    <row r="2639" spans="1:1">
      <c r="A2639" s="145" t="s">
        <v>4566</v>
      </c>
    </row>
    <row r="2640" spans="1:1">
      <c r="A2640" s="145" t="s">
        <v>4567</v>
      </c>
    </row>
    <row r="2641" spans="1:1">
      <c r="A2641" s="145" t="s">
        <v>4568</v>
      </c>
    </row>
    <row r="2642" spans="1:1">
      <c r="A2642" s="145" t="s">
        <v>4569</v>
      </c>
    </row>
    <row r="2643" spans="1:1">
      <c r="A2643" s="145" t="s">
        <v>4570</v>
      </c>
    </row>
    <row r="2644" spans="1:1">
      <c r="A2644" s="145" t="s">
        <v>4571</v>
      </c>
    </row>
    <row r="2645" spans="1:1">
      <c r="A2645" s="145" t="s">
        <v>4572</v>
      </c>
    </row>
    <row r="2646" spans="1:1">
      <c r="A2646" s="145" t="s">
        <v>4573</v>
      </c>
    </row>
    <row r="2647" spans="1:1">
      <c r="A2647" s="145" t="s">
        <v>4574</v>
      </c>
    </row>
    <row r="2648" spans="1:1">
      <c r="A2648" s="145" t="s">
        <v>4575</v>
      </c>
    </row>
    <row r="2649" spans="1:1">
      <c r="A2649" s="145" t="s">
        <v>4576</v>
      </c>
    </row>
    <row r="2650" spans="1:1">
      <c r="A2650" s="145" t="s">
        <v>4577</v>
      </c>
    </row>
    <row r="2651" spans="1:1">
      <c r="A2651" s="145" t="s">
        <v>4578</v>
      </c>
    </row>
    <row r="2652" spans="1:1">
      <c r="A2652" s="145" t="s">
        <v>4579</v>
      </c>
    </row>
    <row r="2653" spans="1:1">
      <c r="A2653" s="145" t="s">
        <v>4580</v>
      </c>
    </row>
    <row r="2654" spans="1:1">
      <c r="A2654" s="145" t="s">
        <v>4581</v>
      </c>
    </row>
    <row r="2655" spans="1:1">
      <c r="A2655" s="145" t="s">
        <v>4582</v>
      </c>
    </row>
    <row r="2656" spans="1:1">
      <c r="A2656" s="145" t="s">
        <v>4583</v>
      </c>
    </row>
    <row r="2657" spans="1:1">
      <c r="A2657" s="145" t="s">
        <v>4584</v>
      </c>
    </row>
    <row r="2658" spans="1:1">
      <c r="A2658" s="145" t="s">
        <v>4585</v>
      </c>
    </row>
    <row r="2659" spans="1:1">
      <c r="A2659" s="145" t="s">
        <v>4586</v>
      </c>
    </row>
    <row r="2660" spans="1:1">
      <c r="A2660" s="145" t="s">
        <v>4587</v>
      </c>
    </row>
    <row r="2661" spans="1:1">
      <c r="A2661" s="145" t="s">
        <v>4588</v>
      </c>
    </row>
    <row r="2662" spans="1:1">
      <c r="A2662" s="145" t="s">
        <v>4589</v>
      </c>
    </row>
    <row r="2663" spans="1:1">
      <c r="A2663" s="145" t="s">
        <v>4590</v>
      </c>
    </row>
    <row r="2664" spans="1:1">
      <c r="A2664" s="145" t="s">
        <v>4591</v>
      </c>
    </row>
    <row r="2665" spans="1:1">
      <c r="A2665" s="145" t="s">
        <v>4592</v>
      </c>
    </row>
    <row r="2666" spans="1:1">
      <c r="A2666" s="145" t="s">
        <v>4593</v>
      </c>
    </row>
    <row r="2667" spans="1:1">
      <c r="A2667" s="145" t="s">
        <v>4594</v>
      </c>
    </row>
    <row r="2668" spans="1:1">
      <c r="A2668" s="145" t="s">
        <v>4595</v>
      </c>
    </row>
    <row r="2669" spans="1:1">
      <c r="A2669" s="145" t="s">
        <v>4596</v>
      </c>
    </row>
    <row r="2670" spans="1:1">
      <c r="A2670" s="145" t="s">
        <v>4597</v>
      </c>
    </row>
    <row r="2671" spans="1:1">
      <c r="A2671" s="145" t="s">
        <v>4598</v>
      </c>
    </row>
    <row r="2672" spans="1:1">
      <c r="A2672" s="145" t="s">
        <v>4599</v>
      </c>
    </row>
    <row r="2673" spans="1:1">
      <c r="A2673" s="145" t="s">
        <v>4600</v>
      </c>
    </row>
    <row r="2674" spans="1:1">
      <c r="A2674" s="145" t="s">
        <v>4601</v>
      </c>
    </row>
    <row r="2675" spans="1:1">
      <c r="A2675" s="145" t="s">
        <v>4602</v>
      </c>
    </row>
    <row r="2676" spans="1:1">
      <c r="A2676" s="145" t="s">
        <v>4603</v>
      </c>
    </row>
    <row r="2677" spans="1:1">
      <c r="A2677" s="145" t="s">
        <v>4604</v>
      </c>
    </row>
    <row r="2678" spans="1:1">
      <c r="A2678" s="145" t="s">
        <v>4605</v>
      </c>
    </row>
    <row r="2679" spans="1:1">
      <c r="A2679" s="145" t="s">
        <v>4606</v>
      </c>
    </row>
    <row r="2680" spans="1:1">
      <c r="A2680" s="145" t="s">
        <v>4607</v>
      </c>
    </row>
    <row r="2681" spans="1:1">
      <c r="A2681" s="145" t="s">
        <v>4608</v>
      </c>
    </row>
    <row r="2682" spans="1:1">
      <c r="A2682" s="145" t="s">
        <v>4609</v>
      </c>
    </row>
    <row r="2683" spans="1:1">
      <c r="A2683" s="145" t="s">
        <v>4610</v>
      </c>
    </row>
    <row r="2684" spans="1:1">
      <c r="A2684" s="145" t="s">
        <v>4611</v>
      </c>
    </row>
    <row r="2685" spans="1:1">
      <c r="A2685" s="145" t="s">
        <v>4612</v>
      </c>
    </row>
    <row r="2686" spans="1:1">
      <c r="A2686" s="145" t="s">
        <v>4613</v>
      </c>
    </row>
    <row r="2687" spans="1:1">
      <c r="A2687" s="145" t="s">
        <v>4614</v>
      </c>
    </row>
    <row r="2688" spans="1:1">
      <c r="A2688" s="145" t="s">
        <v>4615</v>
      </c>
    </row>
    <row r="2689" spans="1:1">
      <c r="A2689" s="145" t="s">
        <v>4616</v>
      </c>
    </row>
    <row r="2690" spans="1:1">
      <c r="A2690" s="145" t="s">
        <v>4617</v>
      </c>
    </row>
    <row r="2691" spans="1:1">
      <c r="A2691" s="145" t="s">
        <v>4618</v>
      </c>
    </row>
    <row r="2692" spans="1:1">
      <c r="A2692" s="145" t="s">
        <v>4619</v>
      </c>
    </row>
    <row r="2693" spans="1:1">
      <c r="A2693" s="145" t="s">
        <v>4620</v>
      </c>
    </row>
    <row r="2694" spans="1:1">
      <c r="A2694" s="145" t="s">
        <v>4621</v>
      </c>
    </row>
    <row r="2695" spans="1:1">
      <c r="A2695" s="145" t="s">
        <v>4622</v>
      </c>
    </row>
    <row r="2696" spans="1:1">
      <c r="A2696" s="145" t="s">
        <v>4623</v>
      </c>
    </row>
    <row r="2697" spans="1:1">
      <c r="A2697" s="145" t="s">
        <v>4624</v>
      </c>
    </row>
    <row r="2698" spans="1:1">
      <c r="A2698" s="145" t="s">
        <v>4625</v>
      </c>
    </row>
    <row r="2699" spans="1:1">
      <c r="A2699" s="145" t="s">
        <v>4626</v>
      </c>
    </row>
    <row r="2700" spans="1:1">
      <c r="A2700" s="145" t="s">
        <v>4627</v>
      </c>
    </row>
    <row r="2701" spans="1:1">
      <c r="A2701" s="145" t="s">
        <v>4628</v>
      </c>
    </row>
    <row r="2702" spans="1:1">
      <c r="A2702" s="145" t="s">
        <v>4629</v>
      </c>
    </row>
    <row r="2703" spans="1:1">
      <c r="A2703" s="145" t="s">
        <v>4630</v>
      </c>
    </row>
    <row r="2704" spans="1:1">
      <c r="A2704" s="145" t="s">
        <v>4631</v>
      </c>
    </row>
    <row r="2705" spans="1:1">
      <c r="A2705" s="145" t="s">
        <v>4632</v>
      </c>
    </row>
    <row r="2706" spans="1:1">
      <c r="A2706" s="145" t="s">
        <v>4633</v>
      </c>
    </row>
    <row r="2707" spans="1:1">
      <c r="A2707" s="145" t="s">
        <v>4634</v>
      </c>
    </row>
    <row r="2708" spans="1:1">
      <c r="A2708" s="145" t="s">
        <v>4635</v>
      </c>
    </row>
    <row r="2709" spans="1:1">
      <c r="A2709" s="145" t="s">
        <v>4636</v>
      </c>
    </row>
    <row r="2710" spans="1:1">
      <c r="A2710" s="145" t="s">
        <v>4637</v>
      </c>
    </row>
    <row r="2711" spans="1:1">
      <c r="A2711" s="145" t="s">
        <v>4638</v>
      </c>
    </row>
    <row r="2712" spans="1:1">
      <c r="A2712" s="145" t="s">
        <v>4639</v>
      </c>
    </row>
    <row r="2713" spans="1:1">
      <c r="A2713" s="145" t="s">
        <v>4640</v>
      </c>
    </row>
    <row r="2714" spans="1:1">
      <c r="A2714" s="145" t="s">
        <v>4641</v>
      </c>
    </row>
    <row r="2715" spans="1:1">
      <c r="A2715" s="145" t="s">
        <v>4642</v>
      </c>
    </row>
    <row r="2716" spans="1:1">
      <c r="A2716" s="145" t="s">
        <v>4643</v>
      </c>
    </row>
    <row r="2717" spans="1:1">
      <c r="A2717" s="145" t="s">
        <v>4644</v>
      </c>
    </row>
    <row r="2718" spans="1:1">
      <c r="A2718" s="145" t="s">
        <v>4645</v>
      </c>
    </row>
    <row r="2719" spans="1:1">
      <c r="A2719" s="145" t="s">
        <v>4646</v>
      </c>
    </row>
    <row r="2720" spans="1:1">
      <c r="A2720" s="145" t="s">
        <v>4647</v>
      </c>
    </row>
    <row r="2721" spans="1:1">
      <c r="A2721" s="145" t="s">
        <v>4648</v>
      </c>
    </row>
    <row r="2722" spans="1:1">
      <c r="A2722" s="145" t="s">
        <v>4649</v>
      </c>
    </row>
    <row r="2723" spans="1:1">
      <c r="A2723" s="145" t="s">
        <v>4650</v>
      </c>
    </row>
    <row r="2724" spans="1:1">
      <c r="A2724" s="145" t="s">
        <v>4651</v>
      </c>
    </row>
    <row r="2725" spans="1:1">
      <c r="A2725" s="145" t="s">
        <v>4652</v>
      </c>
    </row>
    <row r="2726" spans="1:1">
      <c r="A2726" s="145" t="s">
        <v>4653</v>
      </c>
    </row>
    <row r="2727" spans="1:1">
      <c r="A2727" s="145" t="s">
        <v>4654</v>
      </c>
    </row>
    <row r="2728" spans="1:1">
      <c r="A2728" s="145" t="s">
        <v>4655</v>
      </c>
    </row>
    <row r="2729" spans="1:1">
      <c r="A2729" s="145" t="s">
        <v>4656</v>
      </c>
    </row>
    <row r="2730" spans="1:1">
      <c r="A2730" s="145" t="s">
        <v>4657</v>
      </c>
    </row>
    <row r="2731" spans="1:1">
      <c r="A2731" s="145" t="s">
        <v>4658</v>
      </c>
    </row>
    <row r="2732" spans="1:1">
      <c r="A2732" s="145" t="s">
        <v>4659</v>
      </c>
    </row>
    <row r="2733" spans="1:1">
      <c r="A2733" s="145" t="s">
        <v>4660</v>
      </c>
    </row>
    <row r="2734" spans="1:1">
      <c r="A2734" s="145" t="s">
        <v>4661</v>
      </c>
    </row>
    <row r="2735" spans="1:1">
      <c r="A2735" s="145" t="s">
        <v>4662</v>
      </c>
    </row>
    <row r="2736" spans="1:1">
      <c r="A2736" s="145" t="s">
        <v>4663</v>
      </c>
    </row>
    <row r="2737" spans="1:1">
      <c r="A2737" s="145" t="s">
        <v>4664</v>
      </c>
    </row>
    <row r="2738" spans="1:1">
      <c r="A2738" s="145" t="s">
        <v>4665</v>
      </c>
    </row>
    <row r="2739" spans="1:1">
      <c r="A2739" s="145" t="s">
        <v>4666</v>
      </c>
    </row>
    <row r="2740" spans="1:1">
      <c r="A2740" s="145" t="s">
        <v>4667</v>
      </c>
    </row>
    <row r="2741" spans="1:1">
      <c r="A2741" s="145" t="s">
        <v>4668</v>
      </c>
    </row>
    <row r="2742" spans="1:1">
      <c r="A2742" s="145" t="s">
        <v>4669</v>
      </c>
    </row>
    <row r="2743" spans="1:1">
      <c r="A2743" s="145" t="s">
        <v>4670</v>
      </c>
    </row>
    <row r="2744" spans="1:1">
      <c r="A2744" s="145" t="s">
        <v>4671</v>
      </c>
    </row>
    <row r="2745" spans="1:1">
      <c r="A2745" s="145" t="s">
        <v>4672</v>
      </c>
    </row>
    <row r="2746" spans="1:1">
      <c r="A2746" s="145" t="s">
        <v>4673</v>
      </c>
    </row>
    <row r="2747" spans="1:1">
      <c r="A2747" s="145" t="s">
        <v>4674</v>
      </c>
    </row>
    <row r="2748" spans="1:1">
      <c r="A2748" s="145" t="s">
        <v>4675</v>
      </c>
    </row>
    <row r="2749" spans="1:1">
      <c r="A2749" s="145" t="s">
        <v>4676</v>
      </c>
    </row>
    <row r="2750" spans="1:1">
      <c r="A2750" s="145" t="s">
        <v>4677</v>
      </c>
    </row>
    <row r="2751" spans="1:1">
      <c r="A2751" s="145" t="s">
        <v>4678</v>
      </c>
    </row>
    <row r="2752" spans="1:1">
      <c r="A2752" s="145" t="s">
        <v>4679</v>
      </c>
    </row>
    <row r="2753" spans="1:1">
      <c r="A2753" s="145" t="s">
        <v>4680</v>
      </c>
    </row>
    <row r="2754" spans="1:1">
      <c r="A2754" s="145" t="s">
        <v>4681</v>
      </c>
    </row>
    <row r="2755" spans="1:1">
      <c r="A2755" s="145" t="s">
        <v>4682</v>
      </c>
    </row>
    <row r="2756" spans="1:1">
      <c r="A2756" s="145" t="s">
        <v>4683</v>
      </c>
    </row>
    <row r="2757" spans="1:1">
      <c r="A2757" s="145" t="s">
        <v>4684</v>
      </c>
    </row>
    <row r="2758" spans="1:1">
      <c r="A2758" s="145" t="s">
        <v>4685</v>
      </c>
    </row>
    <row r="2759" spans="1:1">
      <c r="A2759" s="145" t="s">
        <v>4686</v>
      </c>
    </row>
    <row r="2760" spans="1:1">
      <c r="A2760" s="145" t="s">
        <v>4687</v>
      </c>
    </row>
    <row r="2761" spans="1:1">
      <c r="A2761" s="145" t="s">
        <v>4688</v>
      </c>
    </row>
    <row r="2762" spans="1:1">
      <c r="A2762" s="145" t="s">
        <v>4689</v>
      </c>
    </row>
    <row r="2763" spans="1:1">
      <c r="A2763" s="145" t="s">
        <v>4690</v>
      </c>
    </row>
    <row r="2764" spans="1:1">
      <c r="A2764" s="145" t="s">
        <v>4691</v>
      </c>
    </row>
    <row r="2765" spans="1:1">
      <c r="A2765" s="145" t="s">
        <v>4692</v>
      </c>
    </row>
    <row r="2766" spans="1:1">
      <c r="A2766" s="145" t="s">
        <v>4693</v>
      </c>
    </row>
    <row r="2767" spans="1:1">
      <c r="A2767" s="145" t="s">
        <v>4694</v>
      </c>
    </row>
    <row r="2768" spans="1:1">
      <c r="A2768" s="145" t="s">
        <v>4695</v>
      </c>
    </row>
    <row r="2769" spans="1:1">
      <c r="A2769" s="145" t="s">
        <v>4696</v>
      </c>
    </row>
    <row r="2770" spans="1:1">
      <c r="A2770" s="145" t="s">
        <v>4697</v>
      </c>
    </row>
    <row r="2771" spans="1:1">
      <c r="A2771" s="145" t="s">
        <v>4698</v>
      </c>
    </row>
    <row r="2772" spans="1:1">
      <c r="A2772" s="145" t="s">
        <v>4699</v>
      </c>
    </row>
    <row r="2773" spans="1:1">
      <c r="A2773" s="145" t="s">
        <v>4700</v>
      </c>
    </row>
    <row r="2774" spans="1:1">
      <c r="A2774" s="145" t="s">
        <v>4701</v>
      </c>
    </row>
    <row r="2775" spans="1:1">
      <c r="A2775" s="145" t="s">
        <v>4702</v>
      </c>
    </row>
    <row r="2776" spans="1:1">
      <c r="A2776" s="145" t="s">
        <v>4703</v>
      </c>
    </row>
    <row r="2777" spans="1:1">
      <c r="A2777" s="145" t="s">
        <v>4704</v>
      </c>
    </row>
    <row r="2778" spans="1:1">
      <c r="A2778" s="145" t="s">
        <v>4705</v>
      </c>
    </row>
    <row r="2779" spans="1:1">
      <c r="A2779" s="145" t="s">
        <v>4706</v>
      </c>
    </row>
    <row r="2780" spans="1:1">
      <c r="A2780" s="145" t="s">
        <v>4707</v>
      </c>
    </row>
    <row r="2781" spans="1:1">
      <c r="A2781" s="145" t="s">
        <v>4708</v>
      </c>
    </row>
    <row r="2782" spans="1:1">
      <c r="A2782" s="145" t="s">
        <v>4709</v>
      </c>
    </row>
    <row r="2783" spans="1:1">
      <c r="A2783" s="145" t="s">
        <v>4710</v>
      </c>
    </row>
    <row r="2784" spans="1:1">
      <c r="A2784" s="145" t="s">
        <v>4711</v>
      </c>
    </row>
    <row r="2785" spans="1:1">
      <c r="A2785" s="145" t="s">
        <v>4712</v>
      </c>
    </row>
    <row r="2786" spans="1:1">
      <c r="A2786" s="145" t="s">
        <v>4713</v>
      </c>
    </row>
    <row r="2787" spans="1:1">
      <c r="A2787" s="145" t="s">
        <v>4714</v>
      </c>
    </row>
    <row r="2788" spans="1:1">
      <c r="A2788" s="145" t="s">
        <v>4715</v>
      </c>
    </row>
    <row r="2789" spans="1:1">
      <c r="A2789" s="145" t="s">
        <v>4716</v>
      </c>
    </row>
    <row r="2790" spans="1:1">
      <c r="A2790" s="145" t="s">
        <v>4717</v>
      </c>
    </row>
    <row r="2791" spans="1:1">
      <c r="A2791" s="145" t="s">
        <v>4718</v>
      </c>
    </row>
    <row r="2792" spans="1:1">
      <c r="A2792" s="145" t="s">
        <v>4719</v>
      </c>
    </row>
    <row r="2793" spans="1:1">
      <c r="A2793" s="145" t="s">
        <v>4720</v>
      </c>
    </row>
    <row r="2794" spans="1:1">
      <c r="A2794" s="145" t="s">
        <v>4721</v>
      </c>
    </row>
    <row r="2795" spans="1:1">
      <c r="A2795" s="145" t="s">
        <v>4722</v>
      </c>
    </row>
    <row r="2796" spans="1:1">
      <c r="A2796" s="145" t="s">
        <v>4723</v>
      </c>
    </row>
    <row r="2797" spans="1:1">
      <c r="A2797" s="145" t="s">
        <v>4724</v>
      </c>
    </row>
    <row r="2798" spans="1:1">
      <c r="A2798" s="145" t="s">
        <v>4725</v>
      </c>
    </row>
    <row r="2799" spans="1:1">
      <c r="A2799" s="145" t="s">
        <v>4726</v>
      </c>
    </row>
    <row r="2800" spans="1:1">
      <c r="A2800" s="145" t="s">
        <v>4727</v>
      </c>
    </row>
    <row r="2801" spans="1:1">
      <c r="A2801" s="145" t="s">
        <v>4728</v>
      </c>
    </row>
    <row r="2802" spans="1:1">
      <c r="A2802" s="145" t="s">
        <v>4729</v>
      </c>
    </row>
    <row r="2803" spans="1:1">
      <c r="A2803" s="145" t="s">
        <v>4730</v>
      </c>
    </row>
    <row r="2804" spans="1:1">
      <c r="A2804" s="145" t="s">
        <v>4731</v>
      </c>
    </row>
    <row r="2805" spans="1:1">
      <c r="A2805" s="145" t="s">
        <v>4732</v>
      </c>
    </row>
    <row r="2806" spans="1:1">
      <c r="A2806" s="145" t="s">
        <v>4733</v>
      </c>
    </row>
    <row r="2807" spans="1:1">
      <c r="A2807" s="145" t="s">
        <v>4734</v>
      </c>
    </row>
    <row r="2808" spans="1:1">
      <c r="A2808" s="145" t="s">
        <v>4735</v>
      </c>
    </row>
    <row r="2809" spans="1:1">
      <c r="A2809" s="145" t="s">
        <v>4736</v>
      </c>
    </row>
    <row r="2810" spans="1:1">
      <c r="A2810" s="145" t="s">
        <v>4737</v>
      </c>
    </row>
    <row r="2811" spans="1:1">
      <c r="A2811" s="145" t="s">
        <v>4738</v>
      </c>
    </row>
    <row r="2812" spans="1:1">
      <c r="A2812" s="145" t="s">
        <v>4739</v>
      </c>
    </row>
    <row r="2813" spans="1:1">
      <c r="A2813" s="145" t="s">
        <v>4740</v>
      </c>
    </row>
    <row r="2814" spans="1:1">
      <c r="A2814" s="145" t="s">
        <v>4741</v>
      </c>
    </row>
    <row r="2815" spans="1:1">
      <c r="A2815" s="145" t="s">
        <v>4742</v>
      </c>
    </row>
    <row r="2816" spans="1:1">
      <c r="A2816" s="145" t="s">
        <v>4743</v>
      </c>
    </row>
    <row r="2817" spans="1:1">
      <c r="A2817" s="145" t="s">
        <v>4744</v>
      </c>
    </row>
    <row r="2818" spans="1:1">
      <c r="A2818" s="145" t="s">
        <v>4745</v>
      </c>
    </row>
    <row r="2819" spans="1:1">
      <c r="A2819" s="145" t="s">
        <v>4746</v>
      </c>
    </row>
    <row r="2820" spans="1:1">
      <c r="A2820" s="145" t="s">
        <v>4747</v>
      </c>
    </row>
    <row r="2821" spans="1:1">
      <c r="A2821" s="145" t="s">
        <v>4748</v>
      </c>
    </row>
    <row r="2822" spans="1:1">
      <c r="A2822" s="145" t="s">
        <v>4749</v>
      </c>
    </row>
    <row r="2823" spans="1:1">
      <c r="A2823" s="145" t="s">
        <v>4750</v>
      </c>
    </row>
    <row r="2824" spans="1:1">
      <c r="A2824" s="145" t="s">
        <v>4751</v>
      </c>
    </row>
    <row r="2825" spans="1:1">
      <c r="A2825" s="145" t="s">
        <v>4752</v>
      </c>
    </row>
    <row r="2826" spans="1:1">
      <c r="A2826" s="145" t="s">
        <v>4753</v>
      </c>
    </row>
    <row r="2827" spans="1:1">
      <c r="A2827" s="145" t="s">
        <v>4754</v>
      </c>
    </row>
    <row r="2828" spans="1:1">
      <c r="A2828" s="145" t="s">
        <v>4755</v>
      </c>
    </row>
    <row r="2829" spans="1:1">
      <c r="A2829" s="145" t="s">
        <v>4756</v>
      </c>
    </row>
    <row r="2830" spans="1:1">
      <c r="A2830" s="145" t="s">
        <v>4757</v>
      </c>
    </row>
    <row r="2831" spans="1:1">
      <c r="A2831" s="145" t="s">
        <v>4758</v>
      </c>
    </row>
    <row r="2832" spans="1:1">
      <c r="A2832" s="145" t="s">
        <v>4759</v>
      </c>
    </row>
    <row r="2833" spans="1:1">
      <c r="A2833" s="145" t="s">
        <v>4760</v>
      </c>
    </row>
    <row r="2834" spans="1:1">
      <c r="A2834" s="145" t="s">
        <v>4761</v>
      </c>
    </row>
    <row r="2835" spans="1:1">
      <c r="A2835" s="145" t="s">
        <v>4762</v>
      </c>
    </row>
    <row r="2836" spans="1:1">
      <c r="A2836" s="145" t="s">
        <v>4763</v>
      </c>
    </row>
    <row r="2837" spans="1:1">
      <c r="A2837" s="145" t="s">
        <v>4764</v>
      </c>
    </row>
    <row r="2838" spans="1:1">
      <c r="A2838" s="145" t="s">
        <v>4765</v>
      </c>
    </row>
    <row r="2839" spans="1:1">
      <c r="A2839" s="145" t="s">
        <v>4766</v>
      </c>
    </row>
    <row r="2840" spans="1:1">
      <c r="A2840" s="145" t="s">
        <v>4767</v>
      </c>
    </row>
    <row r="2841" spans="1:1">
      <c r="A2841" s="145" t="s">
        <v>4768</v>
      </c>
    </row>
    <row r="2842" spans="1:1">
      <c r="A2842" s="145" t="s">
        <v>4769</v>
      </c>
    </row>
    <row r="2843" spans="1:1">
      <c r="A2843" s="145" t="s">
        <v>4770</v>
      </c>
    </row>
    <row r="2844" spans="1:1">
      <c r="A2844" s="145" t="s">
        <v>4771</v>
      </c>
    </row>
    <row r="2845" spans="1:1">
      <c r="A2845" s="145" t="s">
        <v>4772</v>
      </c>
    </row>
    <row r="2846" spans="1:1">
      <c r="A2846" s="145" t="s">
        <v>4773</v>
      </c>
    </row>
    <row r="2847" spans="1:1">
      <c r="A2847" s="145" t="s">
        <v>4774</v>
      </c>
    </row>
    <row r="2848" spans="1:1">
      <c r="A2848" s="145" t="s">
        <v>4775</v>
      </c>
    </row>
    <row r="2849" spans="1:1">
      <c r="A2849" s="145" t="s">
        <v>4776</v>
      </c>
    </row>
    <row r="2850" spans="1:1">
      <c r="A2850" s="145" t="s">
        <v>4777</v>
      </c>
    </row>
    <row r="2851" spans="1:1">
      <c r="A2851" s="145" t="s">
        <v>4778</v>
      </c>
    </row>
    <row r="2852" spans="1:1">
      <c r="A2852" s="145" t="s">
        <v>4779</v>
      </c>
    </row>
    <row r="2853" spans="1:1">
      <c r="A2853" s="145" t="s">
        <v>4780</v>
      </c>
    </row>
    <row r="2854" spans="1:1">
      <c r="A2854" s="145" t="s">
        <v>4781</v>
      </c>
    </row>
    <row r="2855" spans="1:1">
      <c r="A2855" s="145" t="s">
        <v>4782</v>
      </c>
    </row>
    <row r="2856" spans="1:1">
      <c r="A2856" s="145" t="s">
        <v>4783</v>
      </c>
    </row>
    <row r="2857" spans="1:1">
      <c r="A2857" s="145" t="s">
        <v>4784</v>
      </c>
    </row>
    <row r="2858" spans="1:1">
      <c r="A2858" s="145" t="s">
        <v>4785</v>
      </c>
    </row>
    <row r="2859" spans="1:1">
      <c r="A2859" s="145" t="s">
        <v>4786</v>
      </c>
    </row>
    <row r="2860" spans="1:1">
      <c r="A2860" s="145" t="s">
        <v>4787</v>
      </c>
    </row>
    <row r="2861" spans="1:1">
      <c r="A2861" s="145" t="s">
        <v>4788</v>
      </c>
    </row>
    <row r="2862" spans="1:1">
      <c r="A2862" s="145" t="s">
        <v>4789</v>
      </c>
    </row>
    <row r="2863" spans="1:1">
      <c r="A2863" s="145" t="s">
        <v>4790</v>
      </c>
    </row>
    <row r="2864" spans="1:1">
      <c r="A2864" s="145" t="s">
        <v>4791</v>
      </c>
    </row>
    <row r="2865" spans="1:1">
      <c r="A2865" s="145" t="s">
        <v>4792</v>
      </c>
    </row>
    <row r="2866" spans="1:1">
      <c r="A2866" s="145" t="s">
        <v>4793</v>
      </c>
    </row>
    <row r="2867" spans="1:1">
      <c r="A2867" s="145" t="s">
        <v>4794</v>
      </c>
    </row>
    <row r="2868" spans="1:1">
      <c r="A2868" s="145" t="s">
        <v>4795</v>
      </c>
    </row>
    <row r="2869" spans="1:1">
      <c r="A2869" s="145" t="s">
        <v>4796</v>
      </c>
    </row>
    <row r="2870" spans="1:1">
      <c r="A2870" s="145" t="s">
        <v>4797</v>
      </c>
    </row>
    <row r="2871" spans="1:1">
      <c r="A2871" s="145" t="s">
        <v>4798</v>
      </c>
    </row>
    <row r="2872" spans="1:1">
      <c r="A2872" s="145" t="s">
        <v>4799</v>
      </c>
    </row>
    <row r="2873" spans="1:1">
      <c r="A2873" s="145" t="s">
        <v>4800</v>
      </c>
    </row>
    <row r="2874" spans="1:1">
      <c r="A2874" s="145" t="s">
        <v>4801</v>
      </c>
    </row>
    <row r="2875" spans="1:1">
      <c r="A2875" s="145" t="s">
        <v>4802</v>
      </c>
    </row>
    <row r="2876" spans="1:1">
      <c r="A2876" s="145" t="s">
        <v>4803</v>
      </c>
    </row>
    <row r="2877" spans="1:1">
      <c r="A2877" s="145" t="s">
        <v>4804</v>
      </c>
    </row>
    <row r="2878" spans="1:1">
      <c r="A2878" s="145" t="s">
        <v>4805</v>
      </c>
    </row>
    <row r="2879" spans="1:1">
      <c r="A2879" s="145" t="s">
        <v>4806</v>
      </c>
    </row>
    <row r="2880" spans="1:1">
      <c r="A2880" s="145" t="s">
        <v>4807</v>
      </c>
    </row>
    <row r="2881" spans="1:1">
      <c r="A2881" s="145" t="s">
        <v>4808</v>
      </c>
    </row>
    <row r="2882" spans="1:1">
      <c r="A2882" s="145" t="s">
        <v>4809</v>
      </c>
    </row>
    <row r="2883" spans="1:1">
      <c r="A2883" s="145" t="s">
        <v>4810</v>
      </c>
    </row>
    <row r="2884" spans="1:1">
      <c r="A2884" s="145" t="s">
        <v>4811</v>
      </c>
    </row>
    <row r="2885" spans="1:1">
      <c r="A2885" s="145" t="s">
        <v>4812</v>
      </c>
    </row>
    <row r="2886" spans="1:1">
      <c r="A2886" s="145" t="s">
        <v>4813</v>
      </c>
    </row>
    <row r="2887" spans="1:1">
      <c r="A2887" s="145" t="s">
        <v>4814</v>
      </c>
    </row>
    <row r="2888" spans="1:1">
      <c r="A2888" s="145" t="s">
        <v>4815</v>
      </c>
    </row>
    <row r="2889" spans="1:1">
      <c r="A2889" s="145" t="s">
        <v>4816</v>
      </c>
    </row>
    <row r="2890" spans="1:1">
      <c r="A2890" s="145" t="s">
        <v>4817</v>
      </c>
    </row>
    <row r="2891" spans="1:1">
      <c r="A2891" s="145" t="s">
        <v>4818</v>
      </c>
    </row>
    <row r="2892" spans="1:1">
      <c r="A2892" s="145" t="s">
        <v>4819</v>
      </c>
    </row>
    <row r="2893" spans="1:1">
      <c r="A2893" s="145" t="s">
        <v>4820</v>
      </c>
    </row>
    <row r="2894" spans="1:1">
      <c r="A2894" s="145" t="s">
        <v>4821</v>
      </c>
    </row>
    <row r="2895" spans="1:1">
      <c r="A2895" s="145" t="s">
        <v>4822</v>
      </c>
    </row>
    <row r="2896" spans="1:1">
      <c r="A2896" s="145" t="s">
        <v>4823</v>
      </c>
    </row>
    <row r="2897" spans="1:1">
      <c r="A2897" s="145" t="s">
        <v>4824</v>
      </c>
    </row>
    <row r="2898" spans="1:1">
      <c r="A2898" s="145" t="s">
        <v>4825</v>
      </c>
    </row>
    <row r="2899" spans="1:1">
      <c r="A2899" s="145" t="s">
        <v>4826</v>
      </c>
    </row>
    <row r="2900" spans="1:1">
      <c r="A2900" s="145" t="s">
        <v>4827</v>
      </c>
    </row>
    <row r="2901" spans="1:1">
      <c r="A2901" s="145" t="s">
        <v>4828</v>
      </c>
    </row>
    <row r="2902" spans="1:1">
      <c r="A2902" s="145" t="s">
        <v>4829</v>
      </c>
    </row>
    <row r="2903" spans="1:1">
      <c r="A2903" s="145" t="s">
        <v>4830</v>
      </c>
    </row>
    <row r="2904" spans="1:1">
      <c r="A2904" s="145" t="s">
        <v>4831</v>
      </c>
    </row>
    <row r="2905" spans="1:1">
      <c r="A2905" s="145" t="s">
        <v>4832</v>
      </c>
    </row>
    <row r="2906" spans="1:1">
      <c r="A2906" s="145" t="s">
        <v>4833</v>
      </c>
    </row>
    <row r="2907" spans="1:1">
      <c r="A2907" s="145" t="s">
        <v>4834</v>
      </c>
    </row>
    <row r="2908" spans="1:1">
      <c r="A2908" s="145" t="s">
        <v>4835</v>
      </c>
    </row>
    <row r="2909" spans="1:1">
      <c r="A2909" s="145" t="s">
        <v>4836</v>
      </c>
    </row>
    <row r="2910" spans="1:1">
      <c r="A2910" s="145" t="s">
        <v>4837</v>
      </c>
    </row>
    <row r="2911" spans="1:1">
      <c r="A2911" s="145" t="s">
        <v>4838</v>
      </c>
    </row>
    <row r="2912" spans="1:1">
      <c r="A2912" s="145" t="s">
        <v>4839</v>
      </c>
    </row>
    <row r="2913" spans="1:1">
      <c r="A2913" s="145" t="s">
        <v>4840</v>
      </c>
    </row>
    <row r="2914" spans="1:1">
      <c r="A2914" s="145" t="s">
        <v>4841</v>
      </c>
    </row>
    <row r="2915" spans="1:1">
      <c r="A2915" s="145" t="s">
        <v>4842</v>
      </c>
    </row>
    <row r="2916" spans="1:1">
      <c r="A2916" s="145" t="s">
        <v>4843</v>
      </c>
    </row>
    <row r="2917" spans="1:1">
      <c r="A2917" s="145" t="s">
        <v>4844</v>
      </c>
    </row>
    <row r="2918" spans="1:1">
      <c r="A2918" s="145" t="s">
        <v>4845</v>
      </c>
    </row>
    <row r="2919" spans="1:1">
      <c r="A2919" s="145" t="s">
        <v>4846</v>
      </c>
    </row>
    <row r="2920" spans="1:1">
      <c r="A2920" s="145" t="s">
        <v>4847</v>
      </c>
    </row>
    <row r="2921" spans="1:1">
      <c r="A2921" s="145" t="s">
        <v>4848</v>
      </c>
    </row>
    <row r="2922" spans="1:1">
      <c r="A2922" s="145" t="s">
        <v>4849</v>
      </c>
    </row>
    <row r="2923" spans="1:1">
      <c r="A2923" s="145" t="s">
        <v>4850</v>
      </c>
    </row>
    <row r="2924" spans="1:1">
      <c r="A2924" s="145" t="s">
        <v>4851</v>
      </c>
    </row>
    <row r="2925" spans="1:1">
      <c r="A2925" s="145" t="s">
        <v>4852</v>
      </c>
    </row>
    <row r="2926" spans="1:1">
      <c r="A2926" s="145" t="s">
        <v>4853</v>
      </c>
    </row>
    <row r="2927" spans="1:1">
      <c r="A2927" s="145" t="s">
        <v>4854</v>
      </c>
    </row>
    <row r="2928" spans="1:1">
      <c r="A2928" s="145" t="s">
        <v>4855</v>
      </c>
    </row>
    <row r="2929" spans="1:1">
      <c r="A2929" s="145" t="s">
        <v>4856</v>
      </c>
    </row>
    <row r="2930" spans="1:1">
      <c r="A2930" s="145" t="s">
        <v>4857</v>
      </c>
    </row>
    <row r="2931" spans="1:1">
      <c r="A2931" s="145" t="s">
        <v>4858</v>
      </c>
    </row>
    <row r="2932" spans="1:1">
      <c r="A2932" s="145" t="s">
        <v>4859</v>
      </c>
    </row>
    <row r="2933" spans="1:1">
      <c r="A2933" s="145" t="s">
        <v>4860</v>
      </c>
    </row>
    <row r="2934" spans="1:1">
      <c r="A2934" s="145" t="s">
        <v>4861</v>
      </c>
    </row>
    <row r="2935" spans="1:1">
      <c r="A2935" s="145" t="s">
        <v>4862</v>
      </c>
    </row>
    <row r="2936" spans="1:1">
      <c r="A2936" s="145" t="s">
        <v>4863</v>
      </c>
    </row>
    <row r="2937" spans="1:1">
      <c r="A2937" s="145" t="s">
        <v>4864</v>
      </c>
    </row>
    <row r="2938" spans="1:1">
      <c r="A2938" s="145" t="s">
        <v>4865</v>
      </c>
    </row>
    <row r="2939" spans="1:1">
      <c r="A2939" s="145" t="s">
        <v>4866</v>
      </c>
    </row>
    <row r="2940" spans="1:1">
      <c r="A2940" s="145" t="s">
        <v>4867</v>
      </c>
    </row>
    <row r="2941" spans="1:1">
      <c r="A2941" s="145" t="s">
        <v>4868</v>
      </c>
    </row>
    <row r="2942" spans="1:1">
      <c r="A2942" s="145" t="s">
        <v>4869</v>
      </c>
    </row>
    <row r="2943" spans="1:1">
      <c r="A2943" s="145" t="s">
        <v>4870</v>
      </c>
    </row>
    <row r="2944" spans="1:1">
      <c r="A2944" s="145" t="s">
        <v>4871</v>
      </c>
    </row>
    <row r="2945" spans="1:1">
      <c r="A2945" s="145" t="s">
        <v>4872</v>
      </c>
    </row>
    <row r="2946" spans="1:1">
      <c r="A2946" s="145" t="s">
        <v>4873</v>
      </c>
    </row>
    <row r="2947" spans="1:1">
      <c r="A2947" s="145" t="s">
        <v>4874</v>
      </c>
    </row>
    <row r="2948" spans="1:1">
      <c r="A2948" s="145" t="s">
        <v>4875</v>
      </c>
    </row>
    <row r="2949" spans="1:1">
      <c r="A2949" s="145" t="s">
        <v>4876</v>
      </c>
    </row>
    <row r="2950" spans="1:1">
      <c r="A2950" s="145" t="s">
        <v>4877</v>
      </c>
    </row>
    <row r="2951" spans="1:1">
      <c r="A2951" s="145" t="s">
        <v>4878</v>
      </c>
    </row>
    <row r="2952" spans="1:1">
      <c r="A2952" s="145" t="s">
        <v>4879</v>
      </c>
    </row>
    <row r="2953" spans="1:1">
      <c r="A2953" s="145" t="s">
        <v>4880</v>
      </c>
    </row>
    <row r="2954" spans="1:1">
      <c r="A2954" s="145" t="s">
        <v>4881</v>
      </c>
    </row>
    <row r="2955" spans="1:1">
      <c r="A2955" s="145" t="s">
        <v>4882</v>
      </c>
    </row>
    <row r="2956" spans="1:1">
      <c r="A2956" s="145" t="s">
        <v>4883</v>
      </c>
    </row>
    <row r="2957" spans="1:1">
      <c r="A2957" s="145" t="s">
        <v>4884</v>
      </c>
    </row>
    <row r="2958" spans="1:1">
      <c r="A2958" s="145" t="s">
        <v>4885</v>
      </c>
    </row>
    <row r="2959" spans="1:1">
      <c r="A2959" s="145" t="s">
        <v>4886</v>
      </c>
    </row>
    <row r="2960" spans="1:1">
      <c r="A2960" s="145" t="s">
        <v>4887</v>
      </c>
    </row>
    <row r="2961" spans="1:1">
      <c r="A2961" s="145" t="s">
        <v>4888</v>
      </c>
    </row>
    <row r="2962" spans="1:1">
      <c r="A2962" s="145" t="s">
        <v>4889</v>
      </c>
    </row>
    <row r="2963" spans="1:1">
      <c r="A2963" s="145" t="s">
        <v>4890</v>
      </c>
    </row>
    <row r="2964" spans="1:1">
      <c r="A2964" s="145" t="s">
        <v>4891</v>
      </c>
    </row>
    <row r="2965" spans="1:1">
      <c r="A2965" s="145" t="s">
        <v>4892</v>
      </c>
    </row>
    <row r="2966" spans="1:1">
      <c r="A2966" s="145" t="s">
        <v>4893</v>
      </c>
    </row>
    <row r="2967" spans="1:1">
      <c r="A2967" s="145" t="s">
        <v>4894</v>
      </c>
    </row>
    <row r="2968" spans="1:1">
      <c r="A2968" s="145" t="s">
        <v>4895</v>
      </c>
    </row>
    <row r="2969" spans="1:1">
      <c r="A2969" s="145" t="s">
        <v>4896</v>
      </c>
    </row>
    <row r="2970" spans="1:1">
      <c r="A2970" s="145" t="s">
        <v>4897</v>
      </c>
    </row>
    <row r="2971" spans="1:1">
      <c r="A2971" s="145" t="s">
        <v>4898</v>
      </c>
    </row>
    <row r="2972" spans="1:1">
      <c r="A2972" s="145" t="s">
        <v>4899</v>
      </c>
    </row>
    <row r="2973" spans="1:1">
      <c r="A2973" s="145" t="s">
        <v>4900</v>
      </c>
    </row>
    <row r="2974" spans="1:1">
      <c r="A2974" s="145" t="s">
        <v>4901</v>
      </c>
    </row>
    <row r="2975" spans="1:1">
      <c r="A2975" s="145" t="s">
        <v>4902</v>
      </c>
    </row>
    <row r="2976" spans="1:1">
      <c r="A2976" s="145" t="s">
        <v>4903</v>
      </c>
    </row>
    <row r="2977" spans="1:1">
      <c r="A2977" s="145" t="s">
        <v>4904</v>
      </c>
    </row>
    <row r="2978" spans="1:1">
      <c r="A2978" s="145" t="s">
        <v>4905</v>
      </c>
    </row>
    <row r="2979" spans="1:1">
      <c r="A2979" s="145" t="s">
        <v>4906</v>
      </c>
    </row>
    <row r="2980" spans="1:1">
      <c r="A2980" s="145" t="s">
        <v>4907</v>
      </c>
    </row>
    <row r="2981" spans="1:1">
      <c r="A2981" s="145" t="s">
        <v>4908</v>
      </c>
    </row>
    <row r="2982" spans="1:1">
      <c r="A2982" s="145" t="s">
        <v>4909</v>
      </c>
    </row>
    <row r="2983" spans="1:1">
      <c r="A2983" s="145" t="s">
        <v>4910</v>
      </c>
    </row>
    <row r="2984" spans="1:1">
      <c r="A2984" s="145" t="s">
        <v>4911</v>
      </c>
    </row>
    <row r="2985" spans="1:1">
      <c r="A2985" s="145" t="s">
        <v>4912</v>
      </c>
    </row>
    <row r="2986" spans="1:1">
      <c r="A2986" s="145" t="s">
        <v>4913</v>
      </c>
    </row>
    <row r="2987" spans="1:1">
      <c r="A2987" s="145" t="s">
        <v>4914</v>
      </c>
    </row>
    <row r="2988" spans="1:1">
      <c r="A2988" s="145" t="s">
        <v>4915</v>
      </c>
    </row>
    <row r="2989" spans="1:1">
      <c r="A2989" s="145" t="s">
        <v>4916</v>
      </c>
    </row>
    <row r="2990" spans="1:1">
      <c r="A2990" s="145" t="s">
        <v>4917</v>
      </c>
    </row>
    <row r="2991" spans="1:1">
      <c r="A2991" s="145" t="s">
        <v>4918</v>
      </c>
    </row>
    <row r="2992" spans="1:1">
      <c r="A2992" s="145" t="s">
        <v>4919</v>
      </c>
    </row>
    <row r="2993" spans="1:1">
      <c r="A2993" s="145" t="s">
        <v>4920</v>
      </c>
    </row>
    <row r="2994" spans="1:1">
      <c r="A2994" s="145" t="s">
        <v>4921</v>
      </c>
    </row>
    <row r="2995" spans="1:1">
      <c r="A2995" s="145" t="s">
        <v>4922</v>
      </c>
    </row>
    <row r="2996" spans="1:1">
      <c r="A2996" s="145" t="s">
        <v>4923</v>
      </c>
    </row>
    <row r="2997" spans="1:1">
      <c r="A2997" s="145" t="s">
        <v>4924</v>
      </c>
    </row>
    <row r="2998" spans="1:1">
      <c r="A2998" s="145" t="s">
        <v>4925</v>
      </c>
    </row>
    <row r="2999" spans="1:1">
      <c r="A2999" s="145" t="s">
        <v>4926</v>
      </c>
    </row>
    <row r="3000" spans="1:1">
      <c r="A3000" s="145" t="s">
        <v>4927</v>
      </c>
    </row>
    <row r="3001" spans="1:1">
      <c r="A3001" s="145" t="s">
        <v>4928</v>
      </c>
    </row>
    <row r="3002" spans="1:1">
      <c r="A3002" s="145" t="s">
        <v>4929</v>
      </c>
    </row>
    <row r="3003" spans="1:1">
      <c r="A3003" s="145" t="s">
        <v>4930</v>
      </c>
    </row>
    <row r="3004" spans="1:1">
      <c r="A3004" s="145" t="s">
        <v>4931</v>
      </c>
    </row>
    <row r="3005" spans="1:1">
      <c r="A3005" s="145" t="s">
        <v>4932</v>
      </c>
    </row>
    <row r="3006" spans="1:1">
      <c r="A3006" s="145" t="s">
        <v>4933</v>
      </c>
    </row>
    <row r="3007" spans="1:1">
      <c r="A3007" s="145" t="s">
        <v>4934</v>
      </c>
    </row>
    <row r="3008" spans="1:1">
      <c r="A3008" s="145" t="s">
        <v>4935</v>
      </c>
    </row>
    <row r="3009" spans="1:1">
      <c r="A3009" s="145" t="s">
        <v>4936</v>
      </c>
    </row>
    <row r="3010" spans="1:1">
      <c r="A3010" s="145" t="s">
        <v>4937</v>
      </c>
    </row>
    <row r="3011" spans="1:1">
      <c r="A3011" s="145" t="s">
        <v>4938</v>
      </c>
    </row>
    <row r="3012" spans="1:1">
      <c r="A3012" s="145" t="s">
        <v>4939</v>
      </c>
    </row>
    <row r="3013" spans="1:1">
      <c r="A3013" s="145" t="s">
        <v>4940</v>
      </c>
    </row>
    <row r="3014" spans="1:1">
      <c r="A3014" s="145" t="s">
        <v>4941</v>
      </c>
    </row>
    <row r="3015" spans="1:1">
      <c r="A3015" s="145" t="s">
        <v>4942</v>
      </c>
    </row>
    <row r="3016" spans="1:1">
      <c r="A3016" s="145" t="s">
        <v>4943</v>
      </c>
    </row>
    <row r="3017" spans="1:1">
      <c r="A3017" s="145" t="s">
        <v>4944</v>
      </c>
    </row>
    <row r="3018" spans="1:1">
      <c r="A3018" s="145" t="s">
        <v>4945</v>
      </c>
    </row>
    <row r="3019" spans="1:1">
      <c r="A3019" s="145" t="s">
        <v>4946</v>
      </c>
    </row>
    <row r="3020" spans="1:1">
      <c r="A3020" s="145" t="s">
        <v>4947</v>
      </c>
    </row>
    <row r="3021" spans="1:1">
      <c r="A3021" s="145" t="s">
        <v>4948</v>
      </c>
    </row>
    <row r="3022" spans="1:1">
      <c r="A3022" s="145" t="s">
        <v>4949</v>
      </c>
    </row>
    <row r="3023" spans="1:1">
      <c r="A3023" s="145" t="s">
        <v>4950</v>
      </c>
    </row>
    <row r="3024" spans="1:1">
      <c r="A3024" s="145" t="s">
        <v>4951</v>
      </c>
    </row>
    <row r="3025" spans="1:1">
      <c r="A3025" s="145" t="s">
        <v>4952</v>
      </c>
    </row>
    <row r="3026" spans="1:1">
      <c r="A3026" s="145" t="s">
        <v>4953</v>
      </c>
    </row>
    <row r="3027" spans="1:1">
      <c r="A3027" s="145" t="s">
        <v>4954</v>
      </c>
    </row>
    <row r="3028" spans="1:1">
      <c r="A3028" s="145" t="s">
        <v>4955</v>
      </c>
    </row>
    <row r="3029" spans="1:1">
      <c r="A3029" s="145" t="s">
        <v>4956</v>
      </c>
    </row>
    <row r="3030" spans="1:1">
      <c r="A3030" s="145" t="s">
        <v>4957</v>
      </c>
    </row>
    <row r="3031" spans="1:1">
      <c r="A3031" s="145" t="s">
        <v>4958</v>
      </c>
    </row>
    <row r="3032" spans="1:1">
      <c r="A3032" s="145" t="s">
        <v>4959</v>
      </c>
    </row>
    <row r="3033" spans="1:1">
      <c r="A3033" s="145" t="s">
        <v>4960</v>
      </c>
    </row>
    <row r="3034" spans="1:1">
      <c r="A3034" s="145" t="s">
        <v>4961</v>
      </c>
    </row>
    <row r="3035" spans="1:1">
      <c r="A3035" s="145" t="s">
        <v>4962</v>
      </c>
    </row>
    <row r="3036" spans="1:1">
      <c r="A3036" s="145" t="s">
        <v>4963</v>
      </c>
    </row>
    <row r="3037" spans="1:1">
      <c r="A3037" s="145" t="s">
        <v>4964</v>
      </c>
    </row>
    <row r="3038" spans="1:1">
      <c r="A3038" s="145" t="s">
        <v>4965</v>
      </c>
    </row>
    <row r="3039" spans="1:1">
      <c r="A3039" s="145" t="s">
        <v>4966</v>
      </c>
    </row>
    <row r="3040" spans="1:1">
      <c r="A3040" s="145" t="s">
        <v>4967</v>
      </c>
    </row>
    <row r="3041" spans="1:1">
      <c r="A3041" s="145" t="s">
        <v>4968</v>
      </c>
    </row>
    <row r="3042" spans="1:1">
      <c r="A3042" s="145" t="s">
        <v>4969</v>
      </c>
    </row>
    <row r="3043" spans="1:1">
      <c r="A3043" s="145" t="s">
        <v>4970</v>
      </c>
    </row>
    <row r="3044" spans="1:1">
      <c r="A3044" s="145" t="s">
        <v>4971</v>
      </c>
    </row>
    <row r="3045" spans="1:1">
      <c r="A3045" s="145" t="s">
        <v>4972</v>
      </c>
    </row>
    <row r="3046" spans="1:1">
      <c r="A3046" s="145" t="s">
        <v>4973</v>
      </c>
    </row>
    <row r="3047" spans="1:1">
      <c r="A3047" s="145" t="s">
        <v>4974</v>
      </c>
    </row>
    <row r="3048" spans="1:1">
      <c r="A3048" s="145" t="s">
        <v>4975</v>
      </c>
    </row>
    <row r="3049" spans="1:1">
      <c r="A3049" s="145" t="s">
        <v>4976</v>
      </c>
    </row>
    <row r="3050" spans="1:1">
      <c r="A3050" s="145" t="s">
        <v>4977</v>
      </c>
    </row>
    <row r="3051" spans="1:1">
      <c r="A3051" s="145" t="s">
        <v>4978</v>
      </c>
    </row>
    <row r="3052" spans="1:1">
      <c r="A3052" s="145" t="s">
        <v>4979</v>
      </c>
    </row>
    <row r="3053" spans="1:1">
      <c r="A3053" s="145" t="s">
        <v>4980</v>
      </c>
    </row>
    <row r="3054" spans="1:1">
      <c r="A3054" s="145" t="s">
        <v>4981</v>
      </c>
    </row>
    <row r="3055" spans="1:1">
      <c r="A3055" s="145" t="s">
        <v>4982</v>
      </c>
    </row>
    <row r="3056" spans="1:1">
      <c r="A3056" s="145" t="s">
        <v>4983</v>
      </c>
    </row>
    <row r="3057" spans="1:1">
      <c r="A3057" s="145" t="s">
        <v>4984</v>
      </c>
    </row>
    <row r="3058" spans="1:1">
      <c r="A3058" s="145" t="s">
        <v>4985</v>
      </c>
    </row>
    <row r="3059" spans="1:1">
      <c r="A3059" s="145" t="s">
        <v>4986</v>
      </c>
    </row>
    <row r="3060" spans="1:1">
      <c r="A3060" s="145" t="s">
        <v>4987</v>
      </c>
    </row>
    <row r="3061" spans="1:1">
      <c r="A3061" s="145" t="s">
        <v>4988</v>
      </c>
    </row>
    <row r="3062" spans="1:1">
      <c r="A3062" s="145" t="s">
        <v>4989</v>
      </c>
    </row>
    <row r="3063" spans="1:1">
      <c r="A3063" s="145" t="s">
        <v>4990</v>
      </c>
    </row>
    <row r="3064" spans="1:1">
      <c r="A3064" s="145" t="s">
        <v>4991</v>
      </c>
    </row>
    <row r="3065" spans="1:1">
      <c r="A3065" s="145" t="s">
        <v>4992</v>
      </c>
    </row>
    <row r="3066" spans="1:1">
      <c r="A3066" s="145" t="s">
        <v>4993</v>
      </c>
    </row>
    <row r="3067" spans="1:1">
      <c r="A3067" s="145" t="s">
        <v>4994</v>
      </c>
    </row>
    <row r="3068" spans="1:1">
      <c r="A3068" s="145" t="s">
        <v>4995</v>
      </c>
    </row>
    <row r="3069" spans="1:1">
      <c r="A3069" s="145" t="s">
        <v>4996</v>
      </c>
    </row>
    <row r="3070" spans="1:1">
      <c r="A3070" s="145" t="s">
        <v>4997</v>
      </c>
    </row>
    <row r="3071" spans="1:1">
      <c r="A3071" s="145" t="s">
        <v>4998</v>
      </c>
    </row>
    <row r="3072" spans="1:1">
      <c r="A3072" s="145" t="s">
        <v>4999</v>
      </c>
    </row>
    <row r="3073" spans="1:1">
      <c r="A3073" s="145" t="s">
        <v>5000</v>
      </c>
    </row>
    <row r="3074" spans="1:1">
      <c r="A3074" s="145" t="s">
        <v>5001</v>
      </c>
    </row>
    <row r="3075" spans="1:1">
      <c r="A3075" s="145" t="s">
        <v>5002</v>
      </c>
    </row>
    <row r="3076" spans="1:1">
      <c r="A3076" s="145" t="s">
        <v>5003</v>
      </c>
    </row>
    <row r="3077" spans="1:1">
      <c r="A3077" s="145" t="s">
        <v>5004</v>
      </c>
    </row>
    <row r="3078" spans="1:1">
      <c r="A3078" s="145" t="s">
        <v>5005</v>
      </c>
    </row>
    <row r="3079" spans="1:1">
      <c r="A3079" s="145" t="s">
        <v>5006</v>
      </c>
    </row>
    <row r="3080" spans="1:1">
      <c r="A3080" s="145" t="s">
        <v>5007</v>
      </c>
    </row>
    <row r="3081" spans="1:1">
      <c r="A3081" s="145" t="s">
        <v>5008</v>
      </c>
    </row>
    <row r="3082" spans="1:1">
      <c r="A3082" s="145" t="s">
        <v>5009</v>
      </c>
    </row>
    <row r="3083" spans="1:1">
      <c r="A3083" s="145" t="s">
        <v>5010</v>
      </c>
    </row>
    <row r="3084" spans="1:1">
      <c r="A3084" s="145" t="s">
        <v>5011</v>
      </c>
    </row>
    <row r="3085" spans="1:1">
      <c r="A3085" s="145" t="s">
        <v>5012</v>
      </c>
    </row>
    <row r="3086" spans="1:1">
      <c r="A3086" s="145" t="s">
        <v>5013</v>
      </c>
    </row>
    <row r="3087" spans="1:1">
      <c r="A3087" s="145" t="s">
        <v>5014</v>
      </c>
    </row>
    <row r="3088" spans="1:1">
      <c r="A3088" s="145" t="s">
        <v>5015</v>
      </c>
    </row>
    <row r="3089" spans="1:1">
      <c r="A3089" s="145" t="s">
        <v>5016</v>
      </c>
    </row>
    <row r="3090" spans="1:1">
      <c r="A3090" s="145" t="s">
        <v>5017</v>
      </c>
    </row>
    <row r="3091" spans="1:1">
      <c r="A3091" s="145" t="s">
        <v>5018</v>
      </c>
    </row>
    <row r="3092" spans="1:1">
      <c r="A3092" s="145" t="s">
        <v>5019</v>
      </c>
    </row>
    <row r="3093" spans="1:1">
      <c r="A3093" s="145" t="s">
        <v>5020</v>
      </c>
    </row>
    <row r="3094" spans="1:1">
      <c r="A3094" s="145" t="s">
        <v>5021</v>
      </c>
    </row>
    <row r="3095" spans="1:1">
      <c r="A3095" s="145" t="s">
        <v>5022</v>
      </c>
    </row>
    <row r="3096" spans="1:1">
      <c r="A3096" s="145" t="s">
        <v>5023</v>
      </c>
    </row>
    <row r="3097" spans="1:1">
      <c r="A3097" s="145" t="s">
        <v>5024</v>
      </c>
    </row>
    <row r="3098" spans="1:1">
      <c r="A3098" s="145" t="s">
        <v>5025</v>
      </c>
    </row>
    <row r="3099" spans="1:1">
      <c r="A3099" s="145" t="s">
        <v>5026</v>
      </c>
    </row>
    <row r="3100" spans="1:1">
      <c r="A3100" s="145" t="s">
        <v>5027</v>
      </c>
    </row>
    <row r="3101" spans="1:1">
      <c r="A3101" s="145" t="s">
        <v>5028</v>
      </c>
    </row>
    <row r="3102" spans="1:1">
      <c r="A3102" s="145" t="s">
        <v>5029</v>
      </c>
    </row>
    <row r="3103" spans="1:1">
      <c r="A3103" s="145" t="s">
        <v>5030</v>
      </c>
    </row>
    <row r="3104" spans="1:1">
      <c r="A3104" s="145" t="s">
        <v>5031</v>
      </c>
    </row>
    <row r="3105" spans="1:1">
      <c r="A3105" s="145" t="s">
        <v>5032</v>
      </c>
    </row>
    <row r="3106" spans="1:1">
      <c r="A3106" s="145" t="s">
        <v>5033</v>
      </c>
    </row>
    <row r="3107" spans="1:1">
      <c r="A3107" s="145" t="s">
        <v>5034</v>
      </c>
    </row>
    <row r="3108" spans="1:1">
      <c r="A3108" s="145" t="s">
        <v>5035</v>
      </c>
    </row>
    <row r="3109" spans="1:1">
      <c r="A3109" s="145" t="s">
        <v>5036</v>
      </c>
    </row>
    <row r="3110" spans="1:1">
      <c r="A3110" s="145" t="s">
        <v>5037</v>
      </c>
    </row>
    <row r="3111" spans="1:1">
      <c r="A3111" s="145" t="s">
        <v>5038</v>
      </c>
    </row>
    <row r="3112" spans="1:1">
      <c r="A3112" s="145" t="s">
        <v>5039</v>
      </c>
    </row>
    <row r="3113" spans="1:1">
      <c r="A3113" s="145" t="s">
        <v>5040</v>
      </c>
    </row>
    <row r="3114" spans="1:1">
      <c r="A3114" s="145" t="s">
        <v>5041</v>
      </c>
    </row>
    <row r="3115" spans="1:1">
      <c r="A3115" s="145" t="s">
        <v>5042</v>
      </c>
    </row>
    <row r="3116" spans="1:1">
      <c r="A3116" s="145" t="s">
        <v>5043</v>
      </c>
    </row>
    <row r="3117" spans="1:1">
      <c r="A3117" s="145" t="s">
        <v>5044</v>
      </c>
    </row>
    <row r="3118" spans="1:1">
      <c r="A3118" s="145" t="s">
        <v>5045</v>
      </c>
    </row>
    <row r="3119" spans="1:1">
      <c r="A3119" s="145" t="s">
        <v>5046</v>
      </c>
    </row>
    <row r="3120" spans="1:1">
      <c r="A3120" s="145" t="s">
        <v>5047</v>
      </c>
    </row>
    <row r="3121" spans="1:1">
      <c r="A3121" s="145" t="s">
        <v>5048</v>
      </c>
    </row>
    <row r="3122" spans="1:1">
      <c r="A3122" s="145" t="s">
        <v>5049</v>
      </c>
    </row>
    <row r="3123" spans="1:1">
      <c r="A3123" s="145" t="s">
        <v>5050</v>
      </c>
    </row>
    <row r="3124" spans="1:1">
      <c r="A3124" s="145" t="s">
        <v>5051</v>
      </c>
    </row>
    <row r="3125" spans="1:1">
      <c r="A3125" s="145" t="s">
        <v>5052</v>
      </c>
    </row>
    <row r="3126" spans="1:1">
      <c r="A3126" s="145" t="s">
        <v>5053</v>
      </c>
    </row>
    <row r="3127" spans="1:1">
      <c r="A3127" s="145" t="s">
        <v>5054</v>
      </c>
    </row>
    <row r="3128" spans="1:1">
      <c r="A3128" s="145" t="s">
        <v>5055</v>
      </c>
    </row>
    <row r="3129" spans="1:1">
      <c r="A3129" s="145" t="s">
        <v>5056</v>
      </c>
    </row>
    <row r="3130" spans="1:1">
      <c r="A3130" s="145" t="s">
        <v>5057</v>
      </c>
    </row>
    <row r="3131" spans="1:1">
      <c r="A3131" s="145" t="s">
        <v>5058</v>
      </c>
    </row>
    <row r="3132" spans="1:1">
      <c r="A3132" s="145" t="s">
        <v>5059</v>
      </c>
    </row>
    <row r="3133" spans="1:1">
      <c r="A3133" s="145" t="s">
        <v>5060</v>
      </c>
    </row>
    <row r="3134" spans="1:1">
      <c r="A3134" s="145" t="s">
        <v>5061</v>
      </c>
    </row>
    <row r="3135" spans="1:1">
      <c r="A3135" s="145" t="s">
        <v>5062</v>
      </c>
    </row>
    <row r="3136" spans="1:1">
      <c r="A3136" s="145" t="s">
        <v>5063</v>
      </c>
    </row>
    <row r="3137" spans="1:1">
      <c r="A3137" s="145" t="s">
        <v>5064</v>
      </c>
    </row>
    <row r="3138" spans="1:1">
      <c r="A3138" s="145" t="s">
        <v>5065</v>
      </c>
    </row>
    <row r="3139" spans="1:1">
      <c r="A3139" s="145" t="s">
        <v>5066</v>
      </c>
    </row>
    <row r="3140" spans="1:1">
      <c r="A3140" s="145" t="s">
        <v>5067</v>
      </c>
    </row>
    <row r="3141" spans="1:1">
      <c r="A3141" s="145" t="s">
        <v>5068</v>
      </c>
    </row>
    <row r="3142" spans="1:1">
      <c r="A3142" s="145" t="s">
        <v>5069</v>
      </c>
    </row>
    <row r="3143" spans="1:1">
      <c r="A3143" s="145" t="s">
        <v>5070</v>
      </c>
    </row>
    <row r="3144" spans="1:1">
      <c r="A3144" s="145" t="s">
        <v>5071</v>
      </c>
    </row>
    <row r="3145" spans="1:1">
      <c r="A3145" s="145" t="s">
        <v>5072</v>
      </c>
    </row>
    <row r="3146" spans="1:1">
      <c r="A3146" s="145" t="s">
        <v>5073</v>
      </c>
    </row>
    <row r="3147" spans="1:1">
      <c r="A3147" s="145" t="s">
        <v>5074</v>
      </c>
    </row>
    <row r="3148" spans="1:1">
      <c r="A3148" s="145" t="s">
        <v>5075</v>
      </c>
    </row>
    <row r="3149" spans="1:1">
      <c r="A3149" s="145" t="s">
        <v>5076</v>
      </c>
    </row>
    <row r="3150" spans="1:1">
      <c r="A3150" s="145" t="s">
        <v>5077</v>
      </c>
    </row>
    <row r="3151" spans="1:1">
      <c r="A3151" s="145" t="s">
        <v>5078</v>
      </c>
    </row>
    <row r="3152" spans="1:1">
      <c r="A3152" s="145" t="s">
        <v>5079</v>
      </c>
    </row>
    <row r="3153" spans="1:1">
      <c r="A3153" s="145" t="s">
        <v>5080</v>
      </c>
    </row>
    <row r="3154" spans="1:1">
      <c r="A3154" s="145" t="s">
        <v>5081</v>
      </c>
    </row>
    <row r="3155" spans="1:1">
      <c r="A3155" s="145" t="s">
        <v>5082</v>
      </c>
    </row>
    <row r="3156" spans="1:1">
      <c r="A3156" s="145" t="s">
        <v>5083</v>
      </c>
    </row>
    <row r="3157" spans="1:1">
      <c r="A3157" s="145" t="s">
        <v>5084</v>
      </c>
    </row>
    <row r="3158" spans="1:1">
      <c r="A3158" s="145" t="s">
        <v>5085</v>
      </c>
    </row>
    <row r="3159" spans="1:1">
      <c r="A3159" s="145" t="s">
        <v>5086</v>
      </c>
    </row>
    <row r="3160" spans="1:1">
      <c r="A3160" s="145" t="s">
        <v>5087</v>
      </c>
    </row>
    <row r="3161" spans="1:1">
      <c r="A3161" s="145" t="s">
        <v>5088</v>
      </c>
    </row>
    <row r="3162" spans="1:1">
      <c r="A3162" s="145" t="s">
        <v>5089</v>
      </c>
    </row>
    <row r="3163" spans="1:1">
      <c r="A3163" s="145" t="s">
        <v>5090</v>
      </c>
    </row>
    <row r="3164" spans="1:1">
      <c r="A3164" s="145" t="s">
        <v>5091</v>
      </c>
    </row>
    <row r="3165" spans="1:1">
      <c r="A3165" s="145" t="s">
        <v>5092</v>
      </c>
    </row>
    <row r="3166" spans="1:1">
      <c r="A3166" s="145" t="s">
        <v>5093</v>
      </c>
    </row>
    <row r="3167" spans="1:1">
      <c r="A3167" s="145" t="s">
        <v>5094</v>
      </c>
    </row>
    <row r="3168" spans="1:1">
      <c r="A3168" s="145" t="s">
        <v>5095</v>
      </c>
    </row>
    <row r="3169" spans="1:1">
      <c r="A3169" s="145" t="s">
        <v>5096</v>
      </c>
    </row>
    <row r="3170" spans="1:1">
      <c r="A3170" s="145" t="s">
        <v>5097</v>
      </c>
    </row>
    <row r="3171" spans="1:1">
      <c r="A3171" s="145" t="s">
        <v>5098</v>
      </c>
    </row>
    <row r="3172" spans="1:1">
      <c r="A3172" s="145" t="s">
        <v>5099</v>
      </c>
    </row>
    <row r="3173" spans="1:1">
      <c r="A3173" s="145" t="s">
        <v>5100</v>
      </c>
    </row>
    <row r="3174" spans="1:1">
      <c r="A3174" s="145" t="s">
        <v>5101</v>
      </c>
    </row>
    <row r="3175" spans="1:1">
      <c r="A3175" s="145" t="s">
        <v>5102</v>
      </c>
    </row>
    <row r="3176" spans="1:1">
      <c r="A3176" s="145" t="s">
        <v>5103</v>
      </c>
    </row>
    <row r="3177" spans="1:1">
      <c r="A3177" s="145" t="s">
        <v>5104</v>
      </c>
    </row>
    <row r="3178" spans="1:1">
      <c r="A3178" s="145" t="s">
        <v>5105</v>
      </c>
    </row>
    <row r="3179" spans="1:1">
      <c r="A3179" s="145" t="s">
        <v>5106</v>
      </c>
    </row>
    <row r="3180" spans="1:1">
      <c r="A3180" s="145" t="s">
        <v>5107</v>
      </c>
    </row>
    <row r="3181" spans="1:1">
      <c r="A3181" s="145" t="s">
        <v>5108</v>
      </c>
    </row>
    <row r="3182" spans="1:1">
      <c r="A3182" s="145" t="s">
        <v>5109</v>
      </c>
    </row>
    <row r="3183" spans="1:1">
      <c r="A3183" s="145" t="s">
        <v>5110</v>
      </c>
    </row>
    <row r="3184" spans="1:1">
      <c r="A3184" s="145" t="s">
        <v>5111</v>
      </c>
    </row>
    <row r="3185" spans="1:1">
      <c r="A3185" s="145" t="s">
        <v>5112</v>
      </c>
    </row>
    <row r="3186" spans="1:1">
      <c r="A3186" s="145" t="s">
        <v>5113</v>
      </c>
    </row>
    <row r="3187" spans="1:1">
      <c r="A3187" s="145" t="s">
        <v>5114</v>
      </c>
    </row>
    <row r="3188" spans="1:1">
      <c r="A3188" s="145" t="s">
        <v>5115</v>
      </c>
    </row>
    <row r="3189" spans="1:1">
      <c r="A3189" s="145" t="s">
        <v>5116</v>
      </c>
    </row>
    <row r="3190" spans="1:1">
      <c r="A3190" s="145" t="s">
        <v>5117</v>
      </c>
    </row>
    <row r="3191" spans="1:1">
      <c r="A3191" s="145" t="s">
        <v>5118</v>
      </c>
    </row>
    <row r="3192" spans="1:1">
      <c r="A3192" s="145" t="s">
        <v>5119</v>
      </c>
    </row>
    <row r="3193" spans="1:1">
      <c r="A3193" s="145" t="s">
        <v>5120</v>
      </c>
    </row>
    <row r="3194" spans="1:1">
      <c r="A3194" s="145" t="s">
        <v>5121</v>
      </c>
    </row>
    <row r="3195" spans="1:1">
      <c r="A3195" s="145" t="s">
        <v>5122</v>
      </c>
    </row>
    <row r="3196" spans="1:1">
      <c r="A3196" s="145" t="s">
        <v>5123</v>
      </c>
    </row>
    <row r="3197" spans="1:1">
      <c r="A3197" s="145" t="s">
        <v>5124</v>
      </c>
    </row>
    <row r="3198" spans="1:1">
      <c r="A3198" s="145" t="s">
        <v>5125</v>
      </c>
    </row>
    <row r="3199" spans="1:1">
      <c r="A3199" s="145" t="s">
        <v>5126</v>
      </c>
    </row>
    <row r="3200" spans="1:1">
      <c r="A3200" s="145" t="s">
        <v>5127</v>
      </c>
    </row>
    <row r="3201" spans="1:1">
      <c r="A3201" s="145" t="s">
        <v>5128</v>
      </c>
    </row>
    <row r="3202" spans="1:1">
      <c r="A3202" s="145" t="s">
        <v>5129</v>
      </c>
    </row>
    <row r="3203" spans="1:1">
      <c r="A3203" s="145" t="s">
        <v>5130</v>
      </c>
    </row>
    <row r="3204" spans="1:1">
      <c r="A3204" s="145" t="s">
        <v>5131</v>
      </c>
    </row>
    <row r="3205" spans="1:1">
      <c r="A3205" s="145" t="s">
        <v>5132</v>
      </c>
    </row>
    <row r="3206" spans="1:1">
      <c r="A3206" s="145" t="s">
        <v>5133</v>
      </c>
    </row>
    <row r="3207" spans="1:1">
      <c r="A3207" s="145" t="s">
        <v>5134</v>
      </c>
    </row>
    <row r="3208" spans="1:1">
      <c r="A3208" s="145" t="s">
        <v>5135</v>
      </c>
    </row>
    <row r="3209" spans="1:1">
      <c r="A3209" s="145" t="s">
        <v>5136</v>
      </c>
    </row>
    <row r="3210" spans="1:1">
      <c r="A3210" s="145" t="s">
        <v>5137</v>
      </c>
    </row>
    <row r="3211" spans="1:1">
      <c r="A3211" s="145" t="s">
        <v>5138</v>
      </c>
    </row>
    <row r="3212" spans="1:1">
      <c r="A3212" s="145" t="s">
        <v>5139</v>
      </c>
    </row>
    <row r="3213" spans="1:1">
      <c r="A3213" s="145" t="s">
        <v>5140</v>
      </c>
    </row>
    <row r="3214" spans="1:1">
      <c r="A3214" s="145" t="s">
        <v>5141</v>
      </c>
    </row>
    <row r="3215" spans="1:1">
      <c r="A3215" s="145" t="s">
        <v>5142</v>
      </c>
    </row>
    <row r="3216" spans="1:1">
      <c r="A3216" s="145" t="s">
        <v>5143</v>
      </c>
    </row>
    <row r="3217" spans="1:1">
      <c r="A3217" s="145" t="s">
        <v>5144</v>
      </c>
    </row>
    <row r="3218" spans="1:1">
      <c r="A3218" s="145" t="s">
        <v>5145</v>
      </c>
    </row>
    <row r="3219" spans="1:1">
      <c r="A3219" s="145" t="s">
        <v>5146</v>
      </c>
    </row>
    <row r="3220" spans="1:1">
      <c r="A3220" s="145" t="s">
        <v>5147</v>
      </c>
    </row>
    <row r="3221" spans="1:1">
      <c r="A3221" s="145" t="s">
        <v>5148</v>
      </c>
    </row>
    <row r="3222" spans="1:1">
      <c r="A3222" s="145" t="s">
        <v>5149</v>
      </c>
    </row>
    <row r="3223" spans="1:1">
      <c r="A3223" s="145" t="s">
        <v>5150</v>
      </c>
    </row>
    <row r="3224" spans="1:1">
      <c r="A3224" s="145" t="s">
        <v>5151</v>
      </c>
    </row>
    <row r="3225" spans="1:1">
      <c r="A3225" s="145" t="s">
        <v>5152</v>
      </c>
    </row>
    <row r="3226" spans="1:1">
      <c r="A3226" s="145" t="s">
        <v>5153</v>
      </c>
    </row>
    <row r="3227" spans="1:1">
      <c r="A3227" s="145" t="s">
        <v>5154</v>
      </c>
    </row>
    <row r="3228" spans="1:1">
      <c r="A3228" s="145" t="s">
        <v>5155</v>
      </c>
    </row>
    <row r="3229" spans="1:1">
      <c r="A3229" s="145" t="s">
        <v>5156</v>
      </c>
    </row>
    <row r="3230" spans="1:1">
      <c r="A3230" s="145" t="s">
        <v>5157</v>
      </c>
    </row>
    <row r="3231" spans="1:1">
      <c r="A3231" s="145" t="s">
        <v>5158</v>
      </c>
    </row>
    <row r="3232" spans="1:1">
      <c r="A3232" s="145" t="s">
        <v>5159</v>
      </c>
    </row>
    <row r="3233" spans="1:1">
      <c r="A3233" s="145" t="s">
        <v>5160</v>
      </c>
    </row>
    <row r="3234" spans="1:1">
      <c r="A3234" s="145" t="s">
        <v>5161</v>
      </c>
    </row>
    <row r="3235" spans="1:1">
      <c r="A3235" s="145" t="s">
        <v>5162</v>
      </c>
    </row>
    <row r="3236" spans="1:1">
      <c r="A3236" s="145" t="s">
        <v>5163</v>
      </c>
    </row>
    <row r="3237" spans="1:1">
      <c r="A3237" s="145" t="s">
        <v>5164</v>
      </c>
    </row>
    <row r="3238" spans="1:1">
      <c r="A3238" s="145" t="s">
        <v>5165</v>
      </c>
    </row>
    <row r="3239" spans="1:1">
      <c r="A3239" s="145" t="s">
        <v>5166</v>
      </c>
    </row>
    <row r="3240" spans="1:1">
      <c r="A3240" s="145" t="s">
        <v>5167</v>
      </c>
    </row>
    <row r="3241" spans="1:1">
      <c r="A3241" s="145" t="s">
        <v>5168</v>
      </c>
    </row>
    <row r="3242" spans="1:1">
      <c r="A3242" s="145" t="s">
        <v>5169</v>
      </c>
    </row>
    <row r="3243" spans="1:1">
      <c r="A3243" s="145" t="s">
        <v>5170</v>
      </c>
    </row>
    <row r="3244" spans="1:1">
      <c r="A3244" s="145" t="s">
        <v>5171</v>
      </c>
    </row>
    <row r="3245" spans="1:1">
      <c r="A3245" s="145" t="s">
        <v>5172</v>
      </c>
    </row>
    <row r="3246" spans="1:1">
      <c r="A3246" s="145" t="s">
        <v>5173</v>
      </c>
    </row>
    <row r="3247" spans="1:1">
      <c r="A3247" s="145" t="s">
        <v>5174</v>
      </c>
    </row>
    <row r="3248" spans="1:1">
      <c r="A3248" s="145" t="s">
        <v>5175</v>
      </c>
    </row>
    <row r="3249" spans="1:1">
      <c r="A3249" s="145" t="s">
        <v>5176</v>
      </c>
    </row>
    <row r="3250" spans="1:1">
      <c r="A3250" s="145" t="s">
        <v>5177</v>
      </c>
    </row>
    <row r="3251" spans="1:1">
      <c r="A3251" s="145" t="s">
        <v>5178</v>
      </c>
    </row>
    <row r="3252" spans="1:1">
      <c r="A3252" s="145" t="s">
        <v>5179</v>
      </c>
    </row>
    <row r="3253" spans="1:1">
      <c r="A3253" s="145" t="s">
        <v>5180</v>
      </c>
    </row>
    <row r="3254" spans="1:1">
      <c r="A3254" s="145" t="s">
        <v>5181</v>
      </c>
    </row>
    <row r="3255" spans="1:1">
      <c r="A3255" s="145" t="s">
        <v>5182</v>
      </c>
    </row>
    <row r="3256" spans="1:1">
      <c r="A3256" s="145" t="s">
        <v>5183</v>
      </c>
    </row>
    <row r="3257" spans="1:1">
      <c r="A3257" s="145" t="s">
        <v>5184</v>
      </c>
    </row>
    <row r="3258" spans="1:1">
      <c r="A3258" s="145" t="s">
        <v>5185</v>
      </c>
    </row>
    <row r="3259" spans="1:1">
      <c r="A3259" s="145" t="s">
        <v>5186</v>
      </c>
    </row>
    <row r="3260" spans="1:1">
      <c r="A3260" s="145" t="s">
        <v>5187</v>
      </c>
    </row>
    <row r="3261" spans="1:1">
      <c r="A3261" s="145" t="s">
        <v>5188</v>
      </c>
    </row>
    <row r="3262" spans="1:1">
      <c r="A3262" s="145" t="s">
        <v>5189</v>
      </c>
    </row>
    <row r="3263" spans="1:1">
      <c r="A3263" s="145" t="s">
        <v>5190</v>
      </c>
    </row>
    <row r="3264" spans="1:1">
      <c r="A3264" s="145" t="s">
        <v>5191</v>
      </c>
    </row>
    <row r="3265" spans="1:1">
      <c r="A3265" s="145" t="s">
        <v>5192</v>
      </c>
    </row>
    <row r="3266" spans="1:1">
      <c r="A3266" s="145" t="s">
        <v>5193</v>
      </c>
    </row>
    <row r="3267" spans="1:1">
      <c r="A3267" s="145" t="s">
        <v>5194</v>
      </c>
    </row>
    <row r="3268" spans="1:1">
      <c r="A3268" s="145" t="s">
        <v>5195</v>
      </c>
    </row>
    <row r="3269" spans="1:1">
      <c r="A3269" s="145" t="s">
        <v>5196</v>
      </c>
    </row>
    <row r="3270" spans="1:1">
      <c r="A3270" s="145" t="s">
        <v>5197</v>
      </c>
    </row>
    <row r="3271" spans="1:1">
      <c r="A3271" s="145" t="s">
        <v>5198</v>
      </c>
    </row>
    <row r="3272" spans="1:1">
      <c r="A3272" s="145" t="s">
        <v>5199</v>
      </c>
    </row>
    <row r="3273" spans="1:1">
      <c r="A3273" s="145" t="s">
        <v>5200</v>
      </c>
    </row>
    <row r="3274" spans="1:1">
      <c r="A3274" s="145" t="s">
        <v>5201</v>
      </c>
    </row>
    <row r="3275" spans="1:1">
      <c r="A3275" s="145" t="s">
        <v>5202</v>
      </c>
    </row>
    <row r="3276" spans="1:1">
      <c r="A3276" s="145" t="s">
        <v>5203</v>
      </c>
    </row>
    <row r="3277" spans="1:1">
      <c r="A3277" s="145" t="s">
        <v>5204</v>
      </c>
    </row>
    <row r="3278" spans="1:1">
      <c r="A3278" s="145" t="s">
        <v>5205</v>
      </c>
    </row>
    <row r="3279" spans="1:1">
      <c r="A3279" s="145" t="s">
        <v>5206</v>
      </c>
    </row>
    <row r="3280" spans="1:1">
      <c r="A3280" s="145" t="s">
        <v>5207</v>
      </c>
    </row>
    <row r="3281" spans="1:1">
      <c r="A3281" s="145" t="s">
        <v>5208</v>
      </c>
    </row>
    <row r="3282" spans="1:1">
      <c r="A3282" s="145" t="s">
        <v>5209</v>
      </c>
    </row>
    <row r="3283" spans="1:1">
      <c r="A3283" s="145" t="s">
        <v>5210</v>
      </c>
    </row>
    <row r="3284" spans="1:1">
      <c r="A3284" s="145" t="s">
        <v>5211</v>
      </c>
    </row>
    <row r="3285" spans="1:1">
      <c r="A3285" s="145" t="s">
        <v>5212</v>
      </c>
    </row>
    <row r="3286" spans="1:1">
      <c r="A3286" s="145" t="s">
        <v>5213</v>
      </c>
    </row>
    <row r="3287" spans="1:1">
      <c r="A3287" s="145" t="s">
        <v>5214</v>
      </c>
    </row>
    <row r="3288" spans="1:1">
      <c r="A3288" s="145" t="s">
        <v>5215</v>
      </c>
    </row>
    <row r="3289" spans="1:1">
      <c r="A3289" s="145" t="s">
        <v>5216</v>
      </c>
    </row>
    <row r="3290" spans="1:1">
      <c r="A3290" s="145" t="s">
        <v>5217</v>
      </c>
    </row>
    <row r="3291" spans="1:1">
      <c r="A3291" s="145" t="s">
        <v>5218</v>
      </c>
    </row>
    <row r="3292" spans="1:1">
      <c r="A3292" s="145" t="s">
        <v>5219</v>
      </c>
    </row>
    <row r="3293" spans="1:1">
      <c r="A3293" s="145" t="s">
        <v>5220</v>
      </c>
    </row>
    <row r="3294" spans="1:1">
      <c r="A3294" s="145" t="s">
        <v>5221</v>
      </c>
    </row>
    <row r="3295" spans="1:1">
      <c r="A3295" s="145" t="s">
        <v>5222</v>
      </c>
    </row>
    <row r="3296" spans="1:1">
      <c r="A3296" s="145" t="s">
        <v>5223</v>
      </c>
    </row>
    <row r="3297" spans="1:1">
      <c r="A3297" s="145" t="s">
        <v>5224</v>
      </c>
    </row>
    <row r="3298" spans="1:1">
      <c r="A3298" s="145" t="s">
        <v>5225</v>
      </c>
    </row>
    <row r="3299" spans="1:1">
      <c r="A3299" s="145" t="s">
        <v>5226</v>
      </c>
    </row>
    <row r="3300" spans="1:1">
      <c r="A3300" s="145" t="s">
        <v>5227</v>
      </c>
    </row>
    <row r="3301" spans="1:1">
      <c r="A3301" s="145" t="s">
        <v>5228</v>
      </c>
    </row>
    <row r="3302" spans="1:1">
      <c r="A3302" s="145" t="s">
        <v>5229</v>
      </c>
    </row>
    <row r="3303" spans="1:1">
      <c r="A3303" s="145" t="s">
        <v>5230</v>
      </c>
    </row>
    <row r="3304" spans="1:1">
      <c r="A3304" s="145" t="s">
        <v>5231</v>
      </c>
    </row>
    <row r="3305" spans="1:1">
      <c r="A3305" s="145" t="s">
        <v>5232</v>
      </c>
    </row>
    <row r="3306" spans="1:1">
      <c r="A3306" s="145" t="s">
        <v>5233</v>
      </c>
    </row>
    <row r="3307" spans="1:1">
      <c r="A3307" s="145" t="s">
        <v>5234</v>
      </c>
    </row>
    <row r="3308" spans="1:1">
      <c r="A3308" s="145" t="s">
        <v>5235</v>
      </c>
    </row>
    <row r="3309" spans="1:1">
      <c r="A3309" s="145" t="s">
        <v>5236</v>
      </c>
    </row>
    <row r="3310" spans="1:1">
      <c r="A3310" s="145" t="s">
        <v>5237</v>
      </c>
    </row>
    <row r="3311" spans="1:1">
      <c r="A3311" s="145" t="s">
        <v>5238</v>
      </c>
    </row>
    <row r="3312" spans="1:1">
      <c r="A3312" s="145" t="s">
        <v>5239</v>
      </c>
    </row>
    <row r="3313" spans="1:1">
      <c r="A3313" s="145" t="s">
        <v>5240</v>
      </c>
    </row>
    <row r="3314" spans="1:1">
      <c r="A3314" s="145" t="s">
        <v>5241</v>
      </c>
    </row>
    <row r="3315" spans="1:1">
      <c r="A3315" s="145" t="s">
        <v>5242</v>
      </c>
    </row>
    <row r="3316" spans="1:1">
      <c r="A3316" s="145" t="s">
        <v>5243</v>
      </c>
    </row>
    <row r="3317" spans="1:1">
      <c r="A3317" s="145" t="s">
        <v>5244</v>
      </c>
    </row>
    <row r="3318" spans="1:1">
      <c r="A3318" s="145" t="s">
        <v>5245</v>
      </c>
    </row>
    <row r="3319" spans="1:1">
      <c r="A3319" s="145" t="s">
        <v>5246</v>
      </c>
    </row>
    <row r="3320" spans="1:1">
      <c r="A3320" s="145" t="s">
        <v>5247</v>
      </c>
    </row>
    <row r="3321" spans="1:1">
      <c r="A3321" s="145" t="s">
        <v>5248</v>
      </c>
    </row>
    <row r="3322" spans="1:1">
      <c r="A3322" s="145" t="s">
        <v>5249</v>
      </c>
    </row>
    <row r="3323" spans="1:1">
      <c r="A3323" s="145" t="s">
        <v>5250</v>
      </c>
    </row>
    <row r="3324" spans="1:1">
      <c r="A3324" s="145" t="s">
        <v>5251</v>
      </c>
    </row>
    <row r="3325" spans="1:1">
      <c r="A3325" s="145" t="s">
        <v>5252</v>
      </c>
    </row>
    <row r="3326" spans="1:1">
      <c r="A3326" s="145" t="s">
        <v>5253</v>
      </c>
    </row>
    <row r="3327" spans="1:1">
      <c r="A3327" s="145" t="s">
        <v>5254</v>
      </c>
    </row>
    <row r="3328" spans="1:1">
      <c r="A3328" s="145" t="s">
        <v>5255</v>
      </c>
    </row>
    <row r="3329" spans="1:1">
      <c r="A3329" s="145" t="s">
        <v>5256</v>
      </c>
    </row>
    <row r="3330" spans="1:1">
      <c r="A3330" s="145" t="s">
        <v>5257</v>
      </c>
    </row>
    <row r="3331" spans="1:1">
      <c r="A3331" s="145" t="s">
        <v>5258</v>
      </c>
    </row>
    <row r="3332" spans="1:1">
      <c r="A3332" s="145" t="s">
        <v>5259</v>
      </c>
    </row>
    <row r="3333" spans="1:1">
      <c r="A3333" s="145" t="s">
        <v>5260</v>
      </c>
    </row>
    <row r="3334" spans="1:1">
      <c r="A3334" s="145" t="s">
        <v>5261</v>
      </c>
    </row>
    <row r="3335" spans="1:1">
      <c r="A3335" s="145" t="s">
        <v>5262</v>
      </c>
    </row>
    <row r="3336" spans="1:1">
      <c r="A3336" s="145" t="s">
        <v>5263</v>
      </c>
    </row>
    <row r="3337" spans="1:1">
      <c r="A3337" s="145" t="s">
        <v>5264</v>
      </c>
    </row>
    <row r="3338" spans="1:1">
      <c r="A3338" s="145" t="s">
        <v>5265</v>
      </c>
    </row>
    <row r="3339" spans="1:1">
      <c r="A3339" s="145" t="s">
        <v>5266</v>
      </c>
    </row>
    <row r="3340" spans="1:1">
      <c r="A3340" s="145" t="s">
        <v>5267</v>
      </c>
    </row>
    <row r="3341" spans="1:1">
      <c r="A3341" s="145" t="s">
        <v>5268</v>
      </c>
    </row>
    <row r="3342" spans="1:1">
      <c r="A3342" s="145" t="s">
        <v>5269</v>
      </c>
    </row>
    <row r="3343" spans="1:1">
      <c r="A3343" s="145" t="s">
        <v>5270</v>
      </c>
    </row>
    <row r="3344" spans="1:1">
      <c r="A3344" s="145" t="s">
        <v>5271</v>
      </c>
    </row>
    <row r="3345" spans="1:1">
      <c r="A3345" s="145" t="s">
        <v>5272</v>
      </c>
    </row>
    <row r="3346" spans="1:1">
      <c r="A3346" s="145" t="s">
        <v>5273</v>
      </c>
    </row>
    <row r="3347" spans="1:1">
      <c r="A3347" s="145" t="s">
        <v>5274</v>
      </c>
    </row>
    <row r="3348" spans="1:1">
      <c r="A3348" s="145" t="s">
        <v>5275</v>
      </c>
    </row>
    <row r="3349" spans="1:1">
      <c r="A3349" s="145" t="s">
        <v>5276</v>
      </c>
    </row>
    <row r="3350" spans="1:1">
      <c r="A3350" s="145" t="s">
        <v>5277</v>
      </c>
    </row>
    <row r="3351" spans="1:1">
      <c r="A3351" s="145" t="s">
        <v>5278</v>
      </c>
    </row>
    <row r="3352" spans="1:1">
      <c r="A3352" s="145" t="s">
        <v>5279</v>
      </c>
    </row>
    <row r="3353" spans="1:1">
      <c r="A3353" s="145" t="s">
        <v>5280</v>
      </c>
    </row>
    <row r="3354" spans="1:1">
      <c r="A3354" s="145" t="s">
        <v>5281</v>
      </c>
    </row>
    <row r="3355" spans="1:1">
      <c r="A3355" s="145" t="s">
        <v>5282</v>
      </c>
    </row>
    <row r="3356" spans="1:1">
      <c r="A3356" s="145" t="s">
        <v>5283</v>
      </c>
    </row>
    <row r="3357" spans="1:1">
      <c r="A3357" s="145" t="s">
        <v>5284</v>
      </c>
    </row>
    <row r="3358" spans="1:1">
      <c r="A3358" s="145" t="s">
        <v>5285</v>
      </c>
    </row>
    <row r="3359" spans="1:1">
      <c r="A3359" s="145" t="s">
        <v>5286</v>
      </c>
    </row>
    <row r="3360" spans="1:1">
      <c r="A3360" s="145" t="s">
        <v>5287</v>
      </c>
    </row>
    <row r="3361" spans="1:1">
      <c r="A3361" s="145" t="s">
        <v>5288</v>
      </c>
    </row>
    <row r="3362" spans="1:1">
      <c r="A3362" s="145" t="s">
        <v>5289</v>
      </c>
    </row>
    <row r="3363" spans="1:1">
      <c r="A3363" s="145" t="s">
        <v>5290</v>
      </c>
    </row>
    <row r="3364" spans="1:1">
      <c r="A3364" s="145" t="s">
        <v>5291</v>
      </c>
    </row>
    <row r="3365" spans="1:1">
      <c r="A3365" s="145" t="s">
        <v>5292</v>
      </c>
    </row>
    <row r="3366" spans="1:1">
      <c r="A3366" s="145" t="s">
        <v>5293</v>
      </c>
    </row>
    <row r="3367" spans="1:1">
      <c r="A3367" s="145" t="s">
        <v>5294</v>
      </c>
    </row>
    <row r="3368" spans="1:1">
      <c r="A3368" s="145" t="s">
        <v>5295</v>
      </c>
    </row>
    <row r="3369" spans="1:1">
      <c r="A3369" s="145" t="s">
        <v>5296</v>
      </c>
    </row>
    <row r="3370" spans="1:1">
      <c r="A3370" s="145" t="s">
        <v>5297</v>
      </c>
    </row>
    <row r="3371" spans="1:1">
      <c r="A3371" s="145" t="s">
        <v>5298</v>
      </c>
    </row>
    <row r="3372" spans="1:1">
      <c r="A3372" s="145" t="s">
        <v>5299</v>
      </c>
    </row>
    <row r="3373" spans="1:1">
      <c r="A3373" s="145" t="s">
        <v>5300</v>
      </c>
    </row>
    <row r="3374" spans="1:1">
      <c r="A3374" s="145" t="s">
        <v>5301</v>
      </c>
    </row>
    <row r="3375" spans="1:1">
      <c r="A3375" s="145" t="s">
        <v>5302</v>
      </c>
    </row>
    <row r="3376" spans="1:1">
      <c r="A3376" s="145" t="s">
        <v>5303</v>
      </c>
    </row>
    <row r="3377" spans="1:1">
      <c r="A3377" s="145" t="s">
        <v>5304</v>
      </c>
    </row>
    <row r="3378" spans="1:1">
      <c r="A3378" s="145" t="s">
        <v>5305</v>
      </c>
    </row>
    <row r="3379" spans="1:1">
      <c r="A3379" s="145" t="s">
        <v>5306</v>
      </c>
    </row>
    <row r="3380" spans="1:1">
      <c r="A3380" s="145" t="s">
        <v>5307</v>
      </c>
    </row>
    <row r="3381" spans="1:1">
      <c r="A3381" s="145" t="s">
        <v>5308</v>
      </c>
    </row>
    <row r="3382" spans="1:1">
      <c r="A3382" s="145" t="s">
        <v>5309</v>
      </c>
    </row>
    <row r="3383" spans="1:1">
      <c r="A3383" s="145" t="s">
        <v>5310</v>
      </c>
    </row>
    <row r="3384" spans="1:1">
      <c r="A3384" s="145" t="s">
        <v>5311</v>
      </c>
    </row>
    <row r="3385" spans="1:1">
      <c r="A3385" s="145" t="s">
        <v>5312</v>
      </c>
    </row>
    <row r="3386" spans="1:1">
      <c r="A3386" s="145" t="s">
        <v>5313</v>
      </c>
    </row>
    <row r="3387" spans="1:1">
      <c r="A3387" s="145" t="s">
        <v>5314</v>
      </c>
    </row>
    <row r="3388" spans="1:1">
      <c r="A3388" s="145" t="s">
        <v>5315</v>
      </c>
    </row>
    <row r="3389" spans="1:1">
      <c r="A3389" s="145" t="s">
        <v>5316</v>
      </c>
    </row>
    <row r="3390" spans="1:1">
      <c r="A3390" s="145" t="s">
        <v>5317</v>
      </c>
    </row>
    <row r="3391" spans="1:1">
      <c r="A3391" s="145" t="s">
        <v>5318</v>
      </c>
    </row>
    <row r="3392" spans="1:1">
      <c r="A3392" s="145" t="s">
        <v>5319</v>
      </c>
    </row>
    <row r="3393" spans="1:1">
      <c r="A3393" s="145" t="s">
        <v>5320</v>
      </c>
    </row>
    <row r="3394" spans="1:1">
      <c r="A3394" s="145" t="s">
        <v>5321</v>
      </c>
    </row>
    <row r="3395" spans="1:1">
      <c r="A3395" s="145" t="s">
        <v>5322</v>
      </c>
    </row>
    <row r="3396" spans="1:1">
      <c r="A3396" s="145" t="s">
        <v>5323</v>
      </c>
    </row>
    <row r="3397" spans="1:1">
      <c r="A3397" s="145" t="s">
        <v>5324</v>
      </c>
    </row>
    <row r="3398" spans="1:1">
      <c r="A3398" s="145" t="s">
        <v>5325</v>
      </c>
    </row>
    <row r="3399" spans="1:1">
      <c r="A3399" s="145" t="s">
        <v>5326</v>
      </c>
    </row>
    <row r="3400" spans="1:1">
      <c r="A3400" s="145" t="s">
        <v>5327</v>
      </c>
    </row>
    <row r="3401" spans="1:1">
      <c r="A3401" s="145" t="s">
        <v>5328</v>
      </c>
    </row>
    <row r="3402" spans="1:1">
      <c r="A3402" s="145" t="s">
        <v>5329</v>
      </c>
    </row>
    <row r="3403" spans="1:1">
      <c r="A3403" s="145" t="s">
        <v>5330</v>
      </c>
    </row>
    <row r="3404" spans="1:1">
      <c r="A3404" s="145" t="s">
        <v>5331</v>
      </c>
    </row>
    <row r="3405" spans="1:1">
      <c r="A3405" s="145" t="s">
        <v>5332</v>
      </c>
    </row>
    <row r="3406" spans="1:1">
      <c r="A3406" s="145" t="s">
        <v>5333</v>
      </c>
    </row>
    <row r="3407" spans="1:1">
      <c r="A3407" s="145" t="s">
        <v>5334</v>
      </c>
    </row>
    <row r="3408" spans="1:1">
      <c r="A3408" s="145" t="s">
        <v>5335</v>
      </c>
    </row>
    <row r="3409" spans="1:1">
      <c r="A3409" s="145" t="s">
        <v>5336</v>
      </c>
    </row>
    <row r="3410" spans="1:1">
      <c r="A3410" s="145" t="s">
        <v>5337</v>
      </c>
    </row>
    <row r="3411" spans="1:1">
      <c r="A3411" s="145" t="s">
        <v>5338</v>
      </c>
    </row>
    <row r="3412" spans="1:1">
      <c r="A3412" s="145" t="s">
        <v>5339</v>
      </c>
    </row>
    <row r="3413" spans="1:1">
      <c r="A3413" s="145" t="s">
        <v>5340</v>
      </c>
    </row>
    <row r="3414" spans="1:1">
      <c r="A3414" s="145" t="s">
        <v>5341</v>
      </c>
    </row>
    <row r="3415" spans="1:1">
      <c r="A3415" s="145" t="s">
        <v>5342</v>
      </c>
    </row>
    <row r="3416" spans="1:1">
      <c r="A3416" s="145" t="s">
        <v>5343</v>
      </c>
    </row>
    <row r="3417" spans="1:1">
      <c r="A3417" s="145" t="s">
        <v>5344</v>
      </c>
    </row>
    <row r="3418" spans="1:1">
      <c r="A3418" s="145" t="s">
        <v>5345</v>
      </c>
    </row>
    <row r="3419" spans="1:1">
      <c r="A3419" s="145" t="s">
        <v>5346</v>
      </c>
    </row>
    <row r="3420" spans="1:1">
      <c r="A3420" s="145" t="s">
        <v>5347</v>
      </c>
    </row>
    <row r="3421" spans="1:1">
      <c r="A3421" s="145" t="s">
        <v>5348</v>
      </c>
    </row>
    <row r="3422" spans="1:1">
      <c r="A3422" s="145" t="s">
        <v>5349</v>
      </c>
    </row>
    <row r="3423" spans="1:1">
      <c r="A3423" s="145" t="s">
        <v>5350</v>
      </c>
    </row>
    <row r="3424" spans="1:1">
      <c r="A3424" s="145" t="s">
        <v>5351</v>
      </c>
    </row>
    <row r="3425" spans="1:1">
      <c r="A3425" s="145" t="s">
        <v>5352</v>
      </c>
    </row>
    <row r="3426" spans="1:1">
      <c r="A3426" s="145" t="s">
        <v>5353</v>
      </c>
    </row>
    <row r="3427" spans="1:1">
      <c r="A3427" s="145" t="s">
        <v>5354</v>
      </c>
    </row>
    <row r="3428" spans="1:1">
      <c r="A3428" s="145" t="s">
        <v>5355</v>
      </c>
    </row>
    <row r="3429" spans="1:1">
      <c r="A3429" s="145" t="s">
        <v>5356</v>
      </c>
    </row>
    <row r="3430" spans="1:1">
      <c r="A3430" s="145" t="s">
        <v>5357</v>
      </c>
    </row>
    <row r="3431" spans="1:1">
      <c r="A3431" s="145" t="s">
        <v>5358</v>
      </c>
    </row>
    <row r="3432" spans="1:1">
      <c r="A3432" s="145" t="s">
        <v>5359</v>
      </c>
    </row>
    <row r="3433" spans="1:1">
      <c r="A3433" s="145" t="s">
        <v>5360</v>
      </c>
    </row>
    <row r="3434" spans="1:1">
      <c r="A3434" s="145" t="s">
        <v>5361</v>
      </c>
    </row>
    <row r="3435" spans="1:1">
      <c r="A3435" s="145" t="s">
        <v>5362</v>
      </c>
    </row>
    <row r="3436" spans="1:1">
      <c r="A3436" s="145" t="s">
        <v>5363</v>
      </c>
    </row>
    <row r="3437" spans="1:1">
      <c r="A3437" s="145" t="s">
        <v>5364</v>
      </c>
    </row>
    <row r="3438" spans="1:1">
      <c r="A3438" s="145" t="s">
        <v>5365</v>
      </c>
    </row>
    <row r="3439" spans="1:1">
      <c r="A3439" s="145" t="s">
        <v>5366</v>
      </c>
    </row>
    <row r="3440" spans="1:1">
      <c r="A3440" s="145" t="s">
        <v>5367</v>
      </c>
    </row>
    <row r="3441" spans="1:1">
      <c r="A3441" s="145" t="s">
        <v>5368</v>
      </c>
    </row>
    <row r="3442" spans="1:1">
      <c r="A3442" s="145" t="s">
        <v>5369</v>
      </c>
    </row>
    <row r="3443" spans="1:1">
      <c r="A3443" s="145" t="s">
        <v>5370</v>
      </c>
    </row>
    <row r="3444" spans="1:1">
      <c r="A3444" s="145" t="s">
        <v>5371</v>
      </c>
    </row>
    <row r="3445" spans="1:1">
      <c r="A3445" s="145" t="s">
        <v>5372</v>
      </c>
    </row>
    <row r="3446" spans="1:1">
      <c r="A3446" s="145" t="s">
        <v>5373</v>
      </c>
    </row>
    <row r="3447" spans="1:1">
      <c r="A3447" s="145" t="s">
        <v>5374</v>
      </c>
    </row>
    <row r="3448" spans="1:1">
      <c r="A3448" s="145" t="s">
        <v>5375</v>
      </c>
    </row>
    <row r="3449" spans="1:1">
      <c r="A3449" s="145" t="s">
        <v>5376</v>
      </c>
    </row>
    <row r="3450" spans="1:1">
      <c r="A3450" s="145" t="s">
        <v>5377</v>
      </c>
    </row>
    <row r="3451" spans="1:1">
      <c r="A3451" s="145" t="s">
        <v>5378</v>
      </c>
    </row>
    <row r="3452" spans="1:1">
      <c r="A3452" s="145" t="s">
        <v>5379</v>
      </c>
    </row>
    <row r="3453" spans="1:1">
      <c r="A3453" s="145" t="s">
        <v>5380</v>
      </c>
    </row>
    <row r="3454" spans="1:1">
      <c r="A3454" s="145" t="s">
        <v>5381</v>
      </c>
    </row>
    <row r="3455" spans="1:1">
      <c r="A3455" s="145" t="s">
        <v>5382</v>
      </c>
    </row>
    <row r="3456" spans="1:1">
      <c r="A3456" s="145" t="s">
        <v>5383</v>
      </c>
    </row>
    <row r="3457" spans="1:1">
      <c r="A3457" s="145" t="s">
        <v>5384</v>
      </c>
    </row>
    <row r="3458" spans="1:1">
      <c r="A3458" s="145" t="s">
        <v>5385</v>
      </c>
    </row>
    <row r="3459" spans="1:1">
      <c r="A3459" s="145" t="s">
        <v>5386</v>
      </c>
    </row>
    <row r="3460" spans="1:1">
      <c r="A3460" s="145" t="s">
        <v>5387</v>
      </c>
    </row>
    <row r="3461" spans="1:1">
      <c r="A3461" s="145" t="s">
        <v>5388</v>
      </c>
    </row>
    <row r="3462" spans="1:1">
      <c r="A3462" s="145" t="s">
        <v>5389</v>
      </c>
    </row>
    <row r="3463" spans="1:1">
      <c r="A3463" s="145" t="s">
        <v>5390</v>
      </c>
    </row>
    <row r="3464" spans="1:1">
      <c r="A3464" s="145" t="s">
        <v>5391</v>
      </c>
    </row>
    <row r="3465" spans="1:1">
      <c r="A3465" s="145" t="s">
        <v>5392</v>
      </c>
    </row>
    <row r="3466" spans="1:1">
      <c r="A3466" s="145" t="s">
        <v>5393</v>
      </c>
    </row>
    <row r="3467" spans="1:1">
      <c r="A3467" s="145" t="s">
        <v>5394</v>
      </c>
    </row>
    <row r="3468" spans="1:1">
      <c r="A3468" s="145" t="s">
        <v>5395</v>
      </c>
    </row>
    <row r="3469" spans="1:1">
      <c r="A3469" s="145" t="s">
        <v>5396</v>
      </c>
    </row>
    <row r="3470" spans="1:1">
      <c r="A3470" s="145" t="s">
        <v>5397</v>
      </c>
    </row>
    <row r="3471" spans="1:1">
      <c r="A3471" s="145" t="s">
        <v>5398</v>
      </c>
    </row>
    <row r="3472" spans="1:1">
      <c r="A3472" s="145" t="s">
        <v>5399</v>
      </c>
    </row>
    <row r="3473" spans="1:1">
      <c r="A3473" s="145" t="s">
        <v>5400</v>
      </c>
    </row>
    <row r="3474" spans="1:1">
      <c r="A3474" s="145" t="s">
        <v>5401</v>
      </c>
    </row>
    <row r="3475" spans="1:1">
      <c r="A3475" s="145" t="s">
        <v>5402</v>
      </c>
    </row>
    <row r="3476" spans="1:1">
      <c r="A3476" s="145" t="s">
        <v>5403</v>
      </c>
    </row>
    <row r="3477" spans="1:1">
      <c r="A3477" s="145" t="s">
        <v>5404</v>
      </c>
    </row>
    <row r="3478" spans="1:1">
      <c r="A3478" s="145" t="s">
        <v>5405</v>
      </c>
    </row>
    <row r="3479" spans="1:1">
      <c r="A3479" s="145" t="s">
        <v>5406</v>
      </c>
    </row>
    <row r="3480" spans="1:1">
      <c r="A3480" s="145" t="s">
        <v>5407</v>
      </c>
    </row>
    <row r="3481" spans="1:1">
      <c r="A3481" s="145" t="s">
        <v>5408</v>
      </c>
    </row>
    <row r="3482" spans="1:1">
      <c r="A3482" s="145" t="s">
        <v>5409</v>
      </c>
    </row>
    <row r="3483" spans="1:1">
      <c r="A3483" s="145" t="s">
        <v>5410</v>
      </c>
    </row>
    <row r="3484" spans="1:1">
      <c r="A3484" s="145" t="s">
        <v>5411</v>
      </c>
    </row>
    <row r="3485" spans="1:1">
      <c r="A3485" s="145" t="s">
        <v>5412</v>
      </c>
    </row>
    <row r="3486" spans="1:1">
      <c r="A3486" s="145" t="s">
        <v>5413</v>
      </c>
    </row>
    <row r="3487" spans="1:1">
      <c r="A3487" s="145" t="s">
        <v>5414</v>
      </c>
    </row>
    <row r="3488" spans="1:1">
      <c r="A3488" s="145" t="s">
        <v>5415</v>
      </c>
    </row>
    <row r="3489" spans="1:1">
      <c r="A3489" s="145" t="s">
        <v>5416</v>
      </c>
    </row>
    <row r="3490" spans="1:1">
      <c r="A3490" s="145" t="s">
        <v>5417</v>
      </c>
    </row>
    <row r="3491" spans="1:1">
      <c r="A3491" s="145" t="s">
        <v>5418</v>
      </c>
    </row>
    <row r="3492" spans="1:1">
      <c r="A3492" s="145" t="s">
        <v>5419</v>
      </c>
    </row>
    <row r="3493" spans="1:1">
      <c r="A3493" s="145" t="s">
        <v>5420</v>
      </c>
    </row>
    <row r="3494" spans="1:1">
      <c r="A3494" s="145" t="s">
        <v>5421</v>
      </c>
    </row>
    <row r="3495" spans="1:1">
      <c r="A3495" s="145" t="s">
        <v>5422</v>
      </c>
    </row>
    <row r="3496" spans="1:1">
      <c r="A3496" s="145" t="s">
        <v>5423</v>
      </c>
    </row>
    <row r="3497" spans="1:1">
      <c r="A3497" s="145" t="s">
        <v>5424</v>
      </c>
    </row>
    <row r="3498" spans="1:1">
      <c r="A3498" s="145" t="s">
        <v>5425</v>
      </c>
    </row>
    <row r="3499" spans="1:1">
      <c r="A3499" s="145" t="s">
        <v>5426</v>
      </c>
    </row>
    <row r="3500" spans="1:1">
      <c r="A3500" s="145" t="s">
        <v>5427</v>
      </c>
    </row>
    <row r="3501" spans="1:1">
      <c r="A3501" s="145" t="s">
        <v>5428</v>
      </c>
    </row>
    <row r="3502" spans="1:1">
      <c r="A3502" s="145" t="s">
        <v>5429</v>
      </c>
    </row>
    <row r="3503" spans="1:1">
      <c r="A3503" s="145" t="s">
        <v>5430</v>
      </c>
    </row>
    <row r="3504" spans="1:1">
      <c r="A3504" s="145" t="s">
        <v>5431</v>
      </c>
    </row>
    <row r="3505" spans="1:1">
      <c r="A3505" s="145" t="s">
        <v>5432</v>
      </c>
    </row>
    <row r="3506" spans="1:1">
      <c r="A3506" s="145" t="s">
        <v>5433</v>
      </c>
    </row>
    <row r="3507" spans="1:1">
      <c r="A3507" s="145" t="s">
        <v>5434</v>
      </c>
    </row>
    <row r="3508" spans="1:1">
      <c r="A3508" s="145" t="s">
        <v>5435</v>
      </c>
    </row>
    <row r="3509" spans="1:1">
      <c r="A3509" s="145" t="s">
        <v>5436</v>
      </c>
    </row>
    <row r="3510" spans="1:1">
      <c r="A3510" s="145" t="s">
        <v>5437</v>
      </c>
    </row>
    <row r="3511" spans="1:1">
      <c r="A3511" s="145" t="s">
        <v>5438</v>
      </c>
    </row>
    <row r="3512" spans="1:1">
      <c r="A3512" s="145" t="s">
        <v>5439</v>
      </c>
    </row>
    <row r="3513" spans="1:1">
      <c r="A3513" s="145" t="s">
        <v>5440</v>
      </c>
    </row>
    <row r="3514" spans="1:1">
      <c r="A3514" s="145" t="s">
        <v>5441</v>
      </c>
    </row>
    <row r="3515" spans="1:1">
      <c r="A3515" s="145" t="s">
        <v>5442</v>
      </c>
    </row>
    <row r="3516" spans="1:1">
      <c r="A3516" s="145" t="s">
        <v>5443</v>
      </c>
    </row>
    <row r="3517" spans="1:1">
      <c r="A3517" s="145" t="s">
        <v>5444</v>
      </c>
    </row>
    <row r="3518" spans="1:1">
      <c r="A3518" s="145" t="s">
        <v>5445</v>
      </c>
    </row>
    <row r="3519" spans="1:1">
      <c r="A3519" s="145" t="s">
        <v>5446</v>
      </c>
    </row>
    <row r="3520" spans="1:1">
      <c r="A3520" s="145" t="s">
        <v>5447</v>
      </c>
    </row>
    <row r="3521" spans="1:1">
      <c r="A3521" s="145" t="s">
        <v>5448</v>
      </c>
    </row>
    <row r="3522" spans="1:1">
      <c r="A3522" s="145" t="s">
        <v>5449</v>
      </c>
    </row>
    <row r="3523" spans="1:1">
      <c r="A3523" s="145" t="s">
        <v>5450</v>
      </c>
    </row>
    <row r="3524" spans="1:1">
      <c r="A3524" s="145" t="s">
        <v>5451</v>
      </c>
    </row>
    <row r="3525" spans="1:1">
      <c r="A3525" s="145" t="s">
        <v>5452</v>
      </c>
    </row>
    <row r="3526" spans="1:1">
      <c r="A3526" s="145" t="s">
        <v>5453</v>
      </c>
    </row>
    <row r="3527" spans="1:1">
      <c r="A3527" s="145" t="s">
        <v>5454</v>
      </c>
    </row>
    <row r="3528" spans="1:1">
      <c r="A3528" s="145" t="s">
        <v>5455</v>
      </c>
    </row>
    <row r="3529" spans="1:1">
      <c r="A3529" s="145" t="s">
        <v>5456</v>
      </c>
    </row>
    <row r="3530" spans="1:1">
      <c r="A3530" s="145" t="s">
        <v>5457</v>
      </c>
    </row>
    <row r="3531" spans="1:1">
      <c r="A3531" s="145" t="s">
        <v>5458</v>
      </c>
    </row>
    <row r="3532" spans="1:1">
      <c r="A3532" s="145" t="s">
        <v>5459</v>
      </c>
    </row>
    <row r="3533" spans="1:1">
      <c r="A3533" s="145" t="s">
        <v>5460</v>
      </c>
    </row>
    <row r="3534" spans="1:1">
      <c r="A3534" s="145" t="s">
        <v>5461</v>
      </c>
    </row>
    <row r="3535" spans="1:1">
      <c r="A3535" s="145" t="s">
        <v>5462</v>
      </c>
    </row>
    <row r="3536" spans="1:1">
      <c r="A3536" s="145" t="s">
        <v>5463</v>
      </c>
    </row>
    <row r="3537" spans="1:1">
      <c r="A3537" s="145" t="s">
        <v>5464</v>
      </c>
    </row>
    <row r="3538" spans="1:1">
      <c r="A3538" s="145" t="s">
        <v>5465</v>
      </c>
    </row>
    <row r="3539" spans="1:1">
      <c r="A3539" s="145" t="s">
        <v>5466</v>
      </c>
    </row>
    <row r="3540" spans="1:1">
      <c r="A3540" s="145" t="s">
        <v>5467</v>
      </c>
    </row>
    <row r="3541" spans="1:1">
      <c r="A3541" s="145" t="s">
        <v>5468</v>
      </c>
    </row>
    <row r="3542" spans="1:1">
      <c r="A3542" s="145" t="s">
        <v>5469</v>
      </c>
    </row>
    <row r="3543" spans="1:1">
      <c r="A3543" s="145" t="s">
        <v>5470</v>
      </c>
    </row>
    <row r="3544" spans="1:1">
      <c r="A3544" s="145" t="s">
        <v>5471</v>
      </c>
    </row>
    <row r="3545" spans="1:1">
      <c r="A3545" s="145" t="s">
        <v>5472</v>
      </c>
    </row>
    <row r="3546" spans="1:1">
      <c r="A3546" s="145" t="s">
        <v>5473</v>
      </c>
    </row>
    <row r="3547" spans="1:1">
      <c r="A3547" s="145" t="s">
        <v>5474</v>
      </c>
    </row>
    <row r="3548" spans="1:1">
      <c r="A3548" s="145" t="s">
        <v>5475</v>
      </c>
    </row>
    <row r="3549" spans="1:1">
      <c r="A3549" s="145" t="s">
        <v>5476</v>
      </c>
    </row>
    <row r="3550" spans="1:1">
      <c r="A3550" s="145" t="s">
        <v>5477</v>
      </c>
    </row>
    <row r="3551" spans="1:1">
      <c r="A3551" s="145" t="s">
        <v>5478</v>
      </c>
    </row>
    <row r="3552" spans="1:1">
      <c r="A3552" s="145" t="s">
        <v>5479</v>
      </c>
    </row>
    <row r="3553" spans="1:1">
      <c r="A3553" s="145" t="s">
        <v>5480</v>
      </c>
    </row>
    <row r="3554" spans="1:1">
      <c r="A3554" s="145" t="s">
        <v>5481</v>
      </c>
    </row>
    <row r="3555" spans="1:1">
      <c r="A3555" s="145" t="s">
        <v>5482</v>
      </c>
    </row>
    <row r="3556" spans="1:1">
      <c r="A3556" s="145" t="s">
        <v>5483</v>
      </c>
    </row>
    <row r="3557" spans="1:1">
      <c r="A3557" s="145" t="s">
        <v>5484</v>
      </c>
    </row>
    <row r="3558" spans="1:1">
      <c r="A3558" s="145" t="s">
        <v>5485</v>
      </c>
    </row>
    <row r="3559" spans="1:1">
      <c r="A3559" s="145" t="s">
        <v>5486</v>
      </c>
    </row>
    <row r="3560" spans="1:1">
      <c r="A3560" s="145" t="s">
        <v>5487</v>
      </c>
    </row>
    <row r="3561" spans="1:1">
      <c r="A3561" s="145" t="s">
        <v>5488</v>
      </c>
    </row>
    <row r="3562" spans="1:1">
      <c r="A3562" s="145" t="s">
        <v>5489</v>
      </c>
    </row>
    <row r="3563" spans="1:1">
      <c r="A3563" s="145" t="s">
        <v>5490</v>
      </c>
    </row>
    <row r="3564" spans="1:1">
      <c r="A3564" s="145" t="s">
        <v>5491</v>
      </c>
    </row>
    <row r="3565" spans="1:1">
      <c r="A3565" s="145" t="s">
        <v>5492</v>
      </c>
    </row>
    <row r="3566" spans="1:1">
      <c r="A3566" s="145" t="s">
        <v>5493</v>
      </c>
    </row>
    <row r="3567" spans="1:1">
      <c r="A3567" s="145" t="s">
        <v>5494</v>
      </c>
    </row>
    <row r="3568" spans="1:1">
      <c r="A3568" s="145" t="s">
        <v>5495</v>
      </c>
    </row>
    <row r="3569" spans="1:1">
      <c r="A3569" s="145" t="s">
        <v>5496</v>
      </c>
    </row>
    <row r="3570" spans="1:1">
      <c r="A3570" s="145" t="s">
        <v>5497</v>
      </c>
    </row>
    <row r="3571" spans="1:1">
      <c r="A3571" s="145" t="s">
        <v>5498</v>
      </c>
    </row>
    <row r="3572" spans="1:1">
      <c r="A3572" s="145" t="s">
        <v>5499</v>
      </c>
    </row>
    <row r="3573" spans="1:1">
      <c r="A3573" s="145" t="s">
        <v>5500</v>
      </c>
    </row>
    <row r="3574" spans="1:1">
      <c r="A3574" s="145" t="s">
        <v>5501</v>
      </c>
    </row>
    <row r="3575" spans="1:1">
      <c r="A3575" s="145" t="s">
        <v>5502</v>
      </c>
    </row>
    <row r="3576" spans="1:1">
      <c r="A3576" s="145" t="s">
        <v>5503</v>
      </c>
    </row>
    <row r="3577" spans="1:1">
      <c r="A3577" s="145" t="s">
        <v>5504</v>
      </c>
    </row>
    <row r="3578" spans="1:1">
      <c r="A3578" s="145" t="s">
        <v>5505</v>
      </c>
    </row>
    <row r="3579" spans="1:1">
      <c r="A3579" s="145" t="s">
        <v>5506</v>
      </c>
    </row>
    <row r="3580" spans="1:1">
      <c r="A3580" s="145" t="s">
        <v>5507</v>
      </c>
    </row>
    <row r="3581" spans="1:1">
      <c r="A3581" s="145" t="s">
        <v>5508</v>
      </c>
    </row>
    <row r="3582" spans="1:1">
      <c r="A3582" s="145" t="s">
        <v>5509</v>
      </c>
    </row>
    <row r="3583" spans="1:1">
      <c r="A3583" s="145" t="s">
        <v>5510</v>
      </c>
    </row>
    <row r="3584" spans="1:1">
      <c r="A3584" s="145" t="s">
        <v>5511</v>
      </c>
    </row>
    <row r="3585" spans="1:1">
      <c r="A3585" s="145" t="s">
        <v>5512</v>
      </c>
    </row>
    <row r="3586" spans="1:1">
      <c r="A3586" s="145" t="s">
        <v>5513</v>
      </c>
    </row>
    <row r="3587" spans="1:1">
      <c r="A3587" s="145" t="s">
        <v>5514</v>
      </c>
    </row>
    <row r="3588" spans="1:1">
      <c r="A3588" s="145" t="s">
        <v>5515</v>
      </c>
    </row>
    <row r="3589" spans="1:1">
      <c r="A3589" s="145" t="s">
        <v>5516</v>
      </c>
    </row>
    <row r="3590" spans="1:1">
      <c r="A3590" s="145" t="s">
        <v>5517</v>
      </c>
    </row>
    <row r="3591" spans="1:1">
      <c r="A3591" s="145" t="s">
        <v>5518</v>
      </c>
    </row>
    <row r="3592" spans="1:1">
      <c r="A3592" s="145" t="s">
        <v>5519</v>
      </c>
    </row>
    <row r="3593" spans="1:1">
      <c r="A3593" s="145" t="s">
        <v>5520</v>
      </c>
    </row>
    <row r="3594" spans="1:1">
      <c r="A3594" s="145" t="s">
        <v>5521</v>
      </c>
    </row>
    <row r="3595" spans="1:1">
      <c r="A3595" s="145" t="s">
        <v>5522</v>
      </c>
    </row>
    <row r="3596" spans="1:1">
      <c r="A3596" s="145" t="s">
        <v>5523</v>
      </c>
    </row>
    <row r="3597" spans="1:1">
      <c r="A3597" s="145" t="s">
        <v>5524</v>
      </c>
    </row>
    <row r="3598" spans="1:1">
      <c r="A3598" s="145" t="s">
        <v>5525</v>
      </c>
    </row>
    <row r="3599" spans="1:1">
      <c r="A3599" s="145" t="s">
        <v>5526</v>
      </c>
    </row>
    <row r="3600" spans="1:1">
      <c r="A3600" s="145" t="s">
        <v>5527</v>
      </c>
    </row>
    <row r="3601" spans="1:1">
      <c r="A3601" s="145" t="s">
        <v>5528</v>
      </c>
    </row>
    <row r="3602" spans="1:1">
      <c r="A3602" s="145" t="s">
        <v>5529</v>
      </c>
    </row>
    <row r="3603" spans="1:1">
      <c r="A3603" s="145" t="s">
        <v>5530</v>
      </c>
    </row>
    <row r="3604" spans="1:1">
      <c r="A3604" s="145" t="s">
        <v>5531</v>
      </c>
    </row>
    <row r="3605" spans="1:1">
      <c r="A3605" s="145" t="s">
        <v>5532</v>
      </c>
    </row>
    <row r="3606" spans="1:1">
      <c r="A3606" s="145" t="s">
        <v>5533</v>
      </c>
    </row>
    <row r="3607" spans="1:1">
      <c r="A3607" s="145" t="s">
        <v>5534</v>
      </c>
    </row>
    <row r="3608" spans="1:1">
      <c r="A3608" s="145" t="s">
        <v>5535</v>
      </c>
    </row>
    <row r="3609" spans="1:1">
      <c r="A3609" s="145" t="s">
        <v>5536</v>
      </c>
    </row>
    <row r="3610" spans="1:1">
      <c r="A3610" s="145" t="s">
        <v>5537</v>
      </c>
    </row>
    <row r="3611" spans="1:1">
      <c r="A3611" s="145" t="s">
        <v>5538</v>
      </c>
    </row>
    <row r="3612" spans="1:1">
      <c r="A3612" s="145" t="s">
        <v>5539</v>
      </c>
    </row>
    <row r="3613" spans="1:1">
      <c r="A3613" s="145" t="s">
        <v>5540</v>
      </c>
    </row>
    <row r="3614" spans="1:1">
      <c r="A3614" s="145" t="s">
        <v>5541</v>
      </c>
    </row>
    <row r="3615" spans="1:1">
      <c r="A3615" s="145" t="s">
        <v>5542</v>
      </c>
    </row>
    <row r="3616" spans="1:1">
      <c r="A3616" s="145" t="s">
        <v>5543</v>
      </c>
    </row>
    <row r="3617" spans="1:1">
      <c r="A3617" s="145" t="s">
        <v>5544</v>
      </c>
    </row>
    <row r="3618" spans="1:1">
      <c r="A3618" s="145" t="s">
        <v>5545</v>
      </c>
    </row>
    <row r="3619" spans="1:1">
      <c r="A3619" s="145" t="s">
        <v>5546</v>
      </c>
    </row>
    <row r="3620" spans="1:1">
      <c r="A3620" s="145" t="s">
        <v>5547</v>
      </c>
    </row>
    <row r="3621" spans="1:1">
      <c r="A3621" s="145" t="s">
        <v>5548</v>
      </c>
    </row>
    <row r="3622" spans="1:1">
      <c r="A3622" s="145" t="s">
        <v>5549</v>
      </c>
    </row>
    <row r="3623" spans="1:1">
      <c r="A3623" s="145" t="s">
        <v>5550</v>
      </c>
    </row>
    <row r="3624" spans="1:1">
      <c r="A3624" s="145" t="s">
        <v>5551</v>
      </c>
    </row>
    <row r="3625" spans="1:1">
      <c r="A3625" s="145" t="s">
        <v>5552</v>
      </c>
    </row>
    <row r="3626" spans="1:1">
      <c r="A3626" s="145" t="s">
        <v>5553</v>
      </c>
    </row>
    <row r="3627" spans="1:1">
      <c r="A3627" s="145" t="s">
        <v>5554</v>
      </c>
    </row>
    <row r="3628" spans="1:1">
      <c r="A3628" s="145" t="s">
        <v>5555</v>
      </c>
    </row>
    <row r="3629" spans="1:1">
      <c r="A3629" s="145" t="s">
        <v>5556</v>
      </c>
    </row>
    <row r="3630" spans="1:1">
      <c r="A3630" s="145" t="s">
        <v>5557</v>
      </c>
    </row>
    <row r="3631" spans="1:1">
      <c r="A3631" s="145" t="s">
        <v>5558</v>
      </c>
    </row>
    <row r="3632" spans="1:1">
      <c r="A3632" s="145" t="s">
        <v>5559</v>
      </c>
    </row>
    <row r="3633" spans="1:1">
      <c r="A3633" s="145" t="s">
        <v>5560</v>
      </c>
    </row>
    <row r="3634" spans="1:1">
      <c r="A3634" s="145" t="s">
        <v>5561</v>
      </c>
    </row>
    <row r="3635" spans="1:1">
      <c r="A3635" s="145" t="s">
        <v>5562</v>
      </c>
    </row>
    <row r="3636" spans="1:1">
      <c r="A3636" s="145" t="s">
        <v>5563</v>
      </c>
    </row>
    <row r="3637" spans="1:1">
      <c r="A3637" s="145" t="s">
        <v>5564</v>
      </c>
    </row>
    <row r="3638" spans="1:1">
      <c r="A3638" s="145" t="s">
        <v>5565</v>
      </c>
    </row>
    <row r="3639" spans="1:1">
      <c r="A3639" s="145" t="s">
        <v>5566</v>
      </c>
    </row>
    <row r="3640" spans="1:1">
      <c r="A3640" s="145" t="s">
        <v>5567</v>
      </c>
    </row>
    <row r="3641" spans="1:1">
      <c r="A3641" s="145" t="s">
        <v>5568</v>
      </c>
    </row>
    <row r="3642" spans="1:1">
      <c r="A3642" s="145" t="s">
        <v>5569</v>
      </c>
    </row>
    <row r="3643" spans="1:1">
      <c r="A3643" s="145" t="s">
        <v>5570</v>
      </c>
    </row>
    <row r="3644" spans="1:1">
      <c r="A3644" s="145" t="s">
        <v>5571</v>
      </c>
    </row>
    <row r="3645" spans="1:1">
      <c r="A3645" s="145" t="s">
        <v>5572</v>
      </c>
    </row>
    <row r="3646" spans="1:1">
      <c r="A3646" s="145" t="s">
        <v>5573</v>
      </c>
    </row>
    <row r="3647" spans="1:1">
      <c r="A3647" s="145" t="s">
        <v>5574</v>
      </c>
    </row>
    <row r="3648" spans="1:1">
      <c r="A3648" s="145" t="s">
        <v>5575</v>
      </c>
    </row>
    <row r="3649" spans="1:1">
      <c r="A3649" s="145" t="s">
        <v>5576</v>
      </c>
    </row>
    <row r="3650" spans="1:1">
      <c r="A3650" s="145" t="s">
        <v>5577</v>
      </c>
    </row>
    <row r="3651" spans="1:1">
      <c r="A3651" s="145" t="s">
        <v>5578</v>
      </c>
    </row>
    <row r="3652" spans="1:1">
      <c r="A3652" s="145" t="s">
        <v>5579</v>
      </c>
    </row>
    <row r="3653" spans="1:1">
      <c r="A3653" s="145" t="s">
        <v>5580</v>
      </c>
    </row>
    <row r="3654" spans="1:1">
      <c r="A3654" s="145" t="s">
        <v>5581</v>
      </c>
    </row>
    <row r="3655" spans="1:1">
      <c r="A3655" s="145" t="s">
        <v>5582</v>
      </c>
    </row>
    <row r="3656" spans="1:1">
      <c r="A3656" s="145" t="s">
        <v>5583</v>
      </c>
    </row>
    <row r="3657" spans="1:1">
      <c r="A3657" s="145" t="s">
        <v>5584</v>
      </c>
    </row>
    <row r="3658" spans="1:1">
      <c r="A3658" s="145" t="s">
        <v>5585</v>
      </c>
    </row>
    <row r="3659" spans="1:1">
      <c r="A3659" s="145" t="s">
        <v>5586</v>
      </c>
    </row>
    <row r="3660" spans="1:1">
      <c r="A3660" s="145" t="s">
        <v>5587</v>
      </c>
    </row>
    <row r="3661" spans="1:1">
      <c r="A3661" s="145" t="s">
        <v>5588</v>
      </c>
    </row>
    <row r="3662" spans="1:1">
      <c r="A3662" s="145" t="s">
        <v>5589</v>
      </c>
    </row>
    <row r="3663" spans="1:1">
      <c r="A3663" s="145" t="s">
        <v>5590</v>
      </c>
    </row>
    <row r="3664" spans="1:1">
      <c r="A3664" s="145" t="s">
        <v>5591</v>
      </c>
    </row>
    <row r="3665" spans="1:1">
      <c r="A3665" s="145" t="s">
        <v>5592</v>
      </c>
    </row>
    <row r="3666" spans="1:1">
      <c r="A3666" s="145" t="s">
        <v>5593</v>
      </c>
    </row>
    <row r="3667" spans="1:1">
      <c r="A3667" s="145" t="s">
        <v>5594</v>
      </c>
    </row>
    <row r="3668" spans="1:1">
      <c r="A3668" s="145" t="s">
        <v>5595</v>
      </c>
    </row>
    <row r="3669" spans="1:1">
      <c r="A3669" s="145" t="s">
        <v>5596</v>
      </c>
    </row>
    <row r="3670" spans="1:1">
      <c r="A3670" s="145" t="s">
        <v>5597</v>
      </c>
    </row>
    <row r="3671" spans="1:1">
      <c r="A3671" s="145" t="s">
        <v>5598</v>
      </c>
    </row>
    <row r="3672" spans="1:1">
      <c r="A3672" s="145" t="s">
        <v>5599</v>
      </c>
    </row>
    <row r="3673" spans="1:1">
      <c r="A3673" s="145" t="s">
        <v>5600</v>
      </c>
    </row>
    <row r="3674" spans="1:1">
      <c r="A3674" s="145" t="s">
        <v>5601</v>
      </c>
    </row>
    <row r="3675" spans="1:1">
      <c r="A3675" s="145" t="s">
        <v>5602</v>
      </c>
    </row>
    <row r="3676" spans="1:1">
      <c r="A3676" s="145" t="s">
        <v>5603</v>
      </c>
    </row>
    <row r="3677" spans="1:1">
      <c r="A3677" s="145" t="s">
        <v>5604</v>
      </c>
    </row>
    <row r="3678" spans="1:1">
      <c r="A3678" s="145" t="s">
        <v>5605</v>
      </c>
    </row>
    <row r="3679" spans="1:1">
      <c r="A3679" s="145" t="s">
        <v>5606</v>
      </c>
    </row>
    <row r="3680" spans="1:1">
      <c r="A3680" s="145" t="s">
        <v>5607</v>
      </c>
    </row>
    <row r="3681" spans="1:1">
      <c r="A3681" s="145" t="s">
        <v>5608</v>
      </c>
    </row>
    <row r="3682" spans="1:1">
      <c r="A3682" s="145" t="s">
        <v>5609</v>
      </c>
    </row>
    <row r="3683" spans="1:1">
      <c r="A3683" s="145" t="s">
        <v>5610</v>
      </c>
    </row>
    <row r="3684" spans="1:1">
      <c r="A3684" s="145" t="s">
        <v>5611</v>
      </c>
    </row>
    <row r="3685" spans="1:1">
      <c r="A3685" s="145" t="s">
        <v>5612</v>
      </c>
    </row>
    <row r="3686" spans="1:1">
      <c r="A3686" s="145" t="s">
        <v>5613</v>
      </c>
    </row>
    <row r="3687" spans="1:1">
      <c r="A3687" s="145" t="s">
        <v>5614</v>
      </c>
    </row>
    <row r="3688" spans="1:1">
      <c r="A3688" s="145" t="s">
        <v>5615</v>
      </c>
    </row>
    <row r="3689" spans="1:1">
      <c r="A3689" s="145" t="s">
        <v>5616</v>
      </c>
    </row>
    <row r="3690" spans="1:1">
      <c r="A3690" s="145" t="s">
        <v>5617</v>
      </c>
    </row>
    <row r="3691" spans="1:1">
      <c r="A3691" s="145" t="s">
        <v>5618</v>
      </c>
    </row>
    <row r="3692" spans="1:1">
      <c r="A3692" s="145" t="s">
        <v>5619</v>
      </c>
    </row>
    <row r="3693" spans="1:1">
      <c r="A3693" s="145" t="s">
        <v>5620</v>
      </c>
    </row>
    <row r="3694" spans="1:1">
      <c r="A3694" s="145" t="s">
        <v>5621</v>
      </c>
    </row>
    <row r="3695" spans="1:1">
      <c r="A3695" s="145" t="s">
        <v>5622</v>
      </c>
    </row>
    <row r="3696" spans="1:1">
      <c r="A3696" s="145" t="s">
        <v>5623</v>
      </c>
    </row>
    <row r="3697" spans="1:1">
      <c r="A3697" s="145" t="s">
        <v>5624</v>
      </c>
    </row>
    <row r="3698" spans="1:1">
      <c r="A3698" s="145" t="s">
        <v>5625</v>
      </c>
    </row>
    <row r="3699" spans="1:1">
      <c r="A3699" s="145" t="s">
        <v>5626</v>
      </c>
    </row>
    <row r="3700" spans="1:1">
      <c r="A3700" s="145" t="s">
        <v>5627</v>
      </c>
    </row>
    <row r="3701" spans="1:1">
      <c r="A3701" s="145" t="s">
        <v>5628</v>
      </c>
    </row>
    <row r="3702" spans="1:1">
      <c r="A3702" s="145" t="s">
        <v>5629</v>
      </c>
    </row>
    <row r="3703" spans="1:1">
      <c r="A3703" s="145" t="s">
        <v>5630</v>
      </c>
    </row>
    <row r="3704" spans="1:1">
      <c r="A3704" s="145" t="s">
        <v>5631</v>
      </c>
    </row>
    <row r="3705" spans="1:1">
      <c r="A3705" s="145" t="s">
        <v>5632</v>
      </c>
    </row>
    <row r="3706" spans="1:1">
      <c r="A3706" s="145" t="s">
        <v>5633</v>
      </c>
    </row>
    <row r="3707" spans="1:1">
      <c r="A3707" s="145" t="s">
        <v>5634</v>
      </c>
    </row>
    <row r="3708" spans="1:1">
      <c r="A3708" s="145" t="s">
        <v>5635</v>
      </c>
    </row>
    <row r="3709" spans="1:1">
      <c r="A3709" s="145" t="s">
        <v>5636</v>
      </c>
    </row>
    <row r="3710" spans="1:1">
      <c r="A3710" s="145" t="s">
        <v>5637</v>
      </c>
    </row>
    <row r="3711" spans="1:1">
      <c r="A3711" s="145" t="s">
        <v>5638</v>
      </c>
    </row>
    <row r="3712" spans="1:1">
      <c r="A3712" s="145" t="s">
        <v>5639</v>
      </c>
    </row>
    <row r="3713" spans="1:1">
      <c r="A3713" s="145" t="s">
        <v>5640</v>
      </c>
    </row>
    <row r="3714" spans="1:1">
      <c r="A3714" s="145" t="s">
        <v>5641</v>
      </c>
    </row>
    <row r="3715" spans="1:1">
      <c r="A3715" s="145" t="s">
        <v>5642</v>
      </c>
    </row>
    <row r="3716" spans="1:1">
      <c r="A3716" s="145" t="s">
        <v>5643</v>
      </c>
    </row>
    <row r="3717" spans="1:1">
      <c r="A3717" s="145" t="s">
        <v>5644</v>
      </c>
    </row>
    <row r="3718" spans="1:1">
      <c r="A3718" s="145" t="s">
        <v>5645</v>
      </c>
    </row>
    <row r="3719" spans="1:1">
      <c r="A3719" s="145" t="s">
        <v>5646</v>
      </c>
    </row>
    <row r="3720" spans="1:1">
      <c r="A3720" s="145" t="s">
        <v>5647</v>
      </c>
    </row>
    <row r="3721" spans="1:1">
      <c r="A3721" s="145" t="s">
        <v>5648</v>
      </c>
    </row>
    <row r="3722" spans="1:1">
      <c r="A3722" s="145" t="s">
        <v>5649</v>
      </c>
    </row>
    <row r="3723" spans="1:1">
      <c r="A3723" s="145" t="s">
        <v>5650</v>
      </c>
    </row>
    <row r="3724" spans="1:1">
      <c r="A3724" s="145" t="s">
        <v>5651</v>
      </c>
    </row>
    <row r="3725" spans="1:1">
      <c r="A3725" s="145" t="s">
        <v>5652</v>
      </c>
    </row>
    <row r="3726" spans="1:1">
      <c r="A3726" s="145" t="s">
        <v>5653</v>
      </c>
    </row>
    <row r="3727" spans="1:1">
      <c r="A3727" s="145" t="s">
        <v>5654</v>
      </c>
    </row>
    <row r="3728" spans="1:1">
      <c r="A3728" s="145" t="s">
        <v>5655</v>
      </c>
    </row>
    <row r="3729" spans="1:1">
      <c r="A3729" s="145" t="s">
        <v>5656</v>
      </c>
    </row>
    <row r="3730" spans="1:1">
      <c r="A3730" s="145" t="s">
        <v>5657</v>
      </c>
    </row>
    <row r="3731" spans="1:1">
      <c r="A3731" s="145" t="s">
        <v>5658</v>
      </c>
    </row>
    <row r="3732" spans="1:1">
      <c r="A3732" s="145" t="s">
        <v>5659</v>
      </c>
    </row>
    <row r="3733" spans="1:1">
      <c r="A3733" s="145" t="s">
        <v>5660</v>
      </c>
    </row>
    <row r="3734" spans="1:1">
      <c r="A3734" s="145" t="s">
        <v>5661</v>
      </c>
    </row>
    <row r="3735" spans="1:1">
      <c r="A3735" s="145" t="s">
        <v>5662</v>
      </c>
    </row>
    <row r="3736" spans="1:1">
      <c r="A3736" s="145" t="s">
        <v>5663</v>
      </c>
    </row>
    <row r="3737" spans="1:1">
      <c r="A3737" s="145" t="s">
        <v>5664</v>
      </c>
    </row>
    <row r="3738" spans="1:1">
      <c r="A3738" s="145" t="s">
        <v>5665</v>
      </c>
    </row>
    <row r="3739" spans="1:1">
      <c r="A3739" s="145" t="s">
        <v>5666</v>
      </c>
    </row>
    <row r="3740" spans="1:1">
      <c r="A3740" s="145" t="s">
        <v>5667</v>
      </c>
    </row>
    <row r="3741" spans="1:1">
      <c r="A3741" s="145" t="s">
        <v>5668</v>
      </c>
    </row>
    <row r="3742" spans="1:1">
      <c r="A3742" s="145" t="s">
        <v>5669</v>
      </c>
    </row>
    <row r="3743" spans="1:1">
      <c r="A3743" s="145" t="s">
        <v>5670</v>
      </c>
    </row>
    <row r="3744" spans="1:1">
      <c r="A3744" s="145" t="s">
        <v>5671</v>
      </c>
    </row>
    <row r="3745" spans="1:1">
      <c r="A3745" s="145" t="s">
        <v>5672</v>
      </c>
    </row>
    <row r="3746" spans="1:1">
      <c r="A3746" s="145" t="s">
        <v>5673</v>
      </c>
    </row>
    <row r="3747" spans="1:1">
      <c r="A3747" s="145" t="s">
        <v>5674</v>
      </c>
    </row>
    <row r="3748" spans="1:1">
      <c r="A3748" s="145" t="s">
        <v>5675</v>
      </c>
    </row>
    <row r="3749" spans="1:1">
      <c r="A3749" s="145" t="s">
        <v>5676</v>
      </c>
    </row>
    <row r="3750" spans="1:1">
      <c r="A3750" s="145" t="s">
        <v>5677</v>
      </c>
    </row>
    <row r="3751" spans="1:1">
      <c r="A3751" s="145" t="s">
        <v>5678</v>
      </c>
    </row>
    <row r="3752" spans="1:1">
      <c r="A3752" s="145" t="s">
        <v>5679</v>
      </c>
    </row>
    <row r="3753" spans="1:1">
      <c r="A3753" s="145" t="s">
        <v>5680</v>
      </c>
    </row>
    <row r="3754" spans="1:1">
      <c r="A3754" s="145" t="s">
        <v>5681</v>
      </c>
    </row>
    <row r="3755" spans="1:1">
      <c r="A3755" s="145" t="s">
        <v>5682</v>
      </c>
    </row>
    <row r="3756" spans="1:1">
      <c r="A3756" s="145" t="s">
        <v>5683</v>
      </c>
    </row>
    <row r="3757" spans="1:1">
      <c r="A3757" s="145" t="s">
        <v>5684</v>
      </c>
    </row>
    <row r="3758" spans="1:1">
      <c r="A3758" s="145" t="s">
        <v>5685</v>
      </c>
    </row>
    <row r="3759" spans="1:1">
      <c r="A3759" s="145" t="s">
        <v>5686</v>
      </c>
    </row>
    <row r="3760" spans="1:1">
      <c r="A3760" s="145" t="s">
        <v>5687</v>
      </c>
    </row>
    <row r="3761" spans="1:1">
      <c r="A3761" s="145" t="s">
        <v>5688</v>
      </c>
    </row>
    <row r="3762" spans="1:1">
      <c r="A3762" s="145" t="s">
        <v>5689</v>
      </c>
    </row>
    <row r="3763" spans="1:1">
      <c r="A3763" s="145" t="s">
        <v>5690</v>
      </c>
    </row>
    <row r="3764" spans="1:1">
      <c r="A3764" s="145" t="s">
        <v>5691</v>
      </c>
    </row>
    <row r="3765" spans="1:1">
      <c r="A3765" s="145" t="s">
        <v>5692</v>
      </c>
    </row>
    <row r="3766" spans="1:1">
      <c r="A3766" s="145" t="s">
        <v>5693</v>
      </c>
    </row>
    <row r="3767" spans="1:1">
      <c r="A3767" s="145" t="s">
        <v>5694</v>
      </c>
    </row>
    <row r="3768" spans="1:1">
      <c r="A3768" s="145" t="s">
        <v>5695</v>
      </c>
    </row>
    <row r="3769" spans="1:1">
      <c r="A3769" s="145" t="s">
        <v>5696</v>
      </c>
    </row>
    <row r="3770" spans="1:1">
      <c r="A3770" s="145" t="s">
        <v>5697</v>
      </c>
    </row>
    <row r="3771" spans="1:1">
      <c r="A3771" s="145" t="s">
        <v>5698</v>
      </c>
    </row>
    <row r="3772" spans="1:1">
      <c r="A3772" s="145" t="s">
        <v>5699</v>
      </c>
    </row>
    <row r="3773" spans="1:1">
      <c r="A3773" s="145" t="s">
        <v>5700</v>
      </c>
    </row>
    <row r="3774" spans="1:1">
      <c r="A3774" s="145" t="s">
        <v>5701</v>
      </c>
    </row>
    <row r="3775" spans="1:1">
      <c r="A3775" s="145" t="s">
        <v>5702</v>
      </c>
    </row>
    <row r="3776" spans="1:1">
      <c r="A3776" s="145" t="s">
        <v>5703</v>
      </c>
    </row>
    <row r="3777" spans="1:1">
      <c r="A3777" s="145" t="s">
        <v>5704</v>
      </c>
    </row>
    <row r="3778" spans="1:1">
      <c r="A3778" s="145" t="s">
        <v>5705</v>
      </c>
    </row>
    <row r="3779" spans="1:1">
      <c r="A3779" s="145" t="s">
        <v>5706</v>
      </c>
    </row>
    <row r="3780" spans="1:1">
      <c r="A3780" s="145" t="s">
        <v>5707</v>
      </c>
    </row>
    <row r="3781" spans="1:1">
      <c r="A3781" s="145" t="s">
        <v>5708</v>
      </c>
    </row>
    <row r="3782" spans="1:1">
      <c r="A3782" s="145" t="s">
        <v>5709</v>
      </c>
    </row>
    <row r="3783" spans="1:1">
      <c r="A3783" s="145" t="s">
        <v>5710</v>
      </c>
    </row>
    <row r="3784" spans="1:1">
      <c r="A3784" s="145" t="s">
        <v>5711</v>
      </c>
    </row>
    <row r="3785" spans="1:1">
      <c r="A3785" s="145" t="s">
        <v>5712</v>
      </c>
    </row>
    <row r="3786" spans="1:1">
      <c r="A3786" s="145" t="s">
        <v>5713</v>
      </c>
    </row>
    <row r="3787" spans="1:1">
      <c r="A3787" s="145" t="s">
        <v>5714</v>
      </c>
    </row>
    <row r="3788" spans="1:1">
      <c r="A3788" s="145" t="s">
        <v>5715</v>
      </c>
    </row>
    <row r="3789" spans="1:1">
      <c r="A3789" s="145" t="s">
        <v>5716</v>
      </c>
    </row>
    <row r="3790" spans="1:1">
      <c r="A3790" s="145" t="s">
        <v>5717</v>
      </c>
    </row>
    <row r="3791" spans="1:1">
      <c r="A3791" s="145" t="s">
        <v>5718</v>
      </c>
    </row>
    <row r="3792" spans="1:1">
      <c r="A3792" s="145" t="s">
        <v>5719</v>
      </c>
    </row>
    <row r="3793" spans="1:1">
      <c r="A3793" s="145" t="s">
        <v>5720</v>
      </c>
    </row>
    <row r="3794" spans="1:1">
      <c r="A3794" s="145" t="s">
        <v>5721</v>
      </c>
    </row>
    <row r="3795" spans="1:1">
      <c r="A3795" s="145" t="s">
        <v>5722</v>
      </c>
    </row>
    <row r="3796" spans="1:1">
      <c r="A3796" s="145" t="s">
        <v>5723</v>
      </c>
    </row>
    <row r="3797" spans="1:1">
      <c r="A3797" s="145" t="s">
        <v>5724</v>
      </c>
    </row>
    <row r="3798" spans="1:1">
      <c r="A3798" s="145" t="s">
        <v>5725</v>
      </c>
    </row>
    <row r="3799" spans="1:1">
      <c r="A3799" s="145" t="s">
        <v>5726</v>
      </c>
    </row>
    <row r="3800" spans="1:1">
      <c r="A3800" s="145" t="s">
        <v>5727</v>
      </c>
    </row>
    <row r="3801" spans="1:1">
      <c r="A3801" s="145" t="s">
        <v>5728</v>
      </c>
    </row>
    <row r="3802" spans="1:1">
      <c r="A3802" s="145" t="s">
        <v>5729</v>
      </c>
    </row>
    <row r="3803" spans="1:1">
      <c r="A3803" s="145" t="s">
        <v>5730</v>
      </c>
    </row>
    <row r="3804" spans="1:1">
      <c r="A3804" s="145" t="s">
        <v>5731</v>
      </c>
    </row>
    <row r="3805" spans="1:1">
      <c r="A3805" s="145" t="s">
        <v>5732</v>
      </c>
    </row>
    <row r="3806" spans="1:1">
      <c r="A3806" s="145" t="s">
        <v>5733</v>
      </c>
    </row>
    <row r="3807" spans="1:1">
      <c r="A3807" s="145" t="s">
        <v>5734</v>
      </c>
    </row>
    <row r="3808" spans="1:1">
      <c r="A3808" s="145" t="s">
        <v>5735</v>
      </c>
    </row>
    <row r="3809" spans="1:1">
      <c r="A3809" s="145" t="s">
        <v>5736</v>
      </c>
    </row>
    <row r="3810" spans="1:1">
      <c r="A3810" s="145" t="s">
        <v>5737</v>
      </c>
    </row>
    <row r="3811" spans="1:1">
      <c r="A3811" s="145" t="s">
        <v>5738</v>
      </c>
    </row>
    <row r="3812" spans="1:1">
      <c r="A3812" s="145" t="s">
        <v>5739</v>
      </c>
    </row>
    <row r="3813" spans="1:1">
      <c r="A3813" s="145" t="s">
        <v>5740</v>
      </c>
    </row>
    <row r="3814" spans="1:1">
      <c r="A3814" s="145" t="s">
        <v>5741</v>
      </c>
    </row>
    <row r="3815" spans="1:1">
      <c r="A3815" s="145" t="s">
        <v>5742</v>
      </c>
    </row>
    <row r="3816" spans="1:1">
      <c r="A3816" s="145" t="s">
        <v>5743</v>
      </c>
    </row>
    <row r="3817" spans="1:1">
      <c r="A3817" s="145" t="s">
        <v>5744</v>
      </c>
    </row>
    <row r="3818" spans="1:1">
      <c r="A3818" s="145" t="s">
        <v>5745</v>
      </c>
    </row>
    <row r="3819" spans="1:1">
      <c r="A3819" s="145" t="s">
        <v>5746</v>
      </c>
    </row>
    <row r="3820" spans="1:1">
      <c r="A3820" s="145" t="s">
        <v>5747</v>
      </c>
    </row>
    <row r="3821" spans="1:1">
      <c r="A3821" s="145" t="s">
        <v>5748</v>
      </c>
    </row>
    <row r="3822" spans="1:1">
      <c r="A3822" s="145" t="s">
        <v>5749</v>
      </c>
    </row>
    <row r="3823" spans="1:1">
      <c r="A3823" s="145" t="s">
        <v>5750</v>
      </c>
    </row>
    <row r="3824" spans="1:1">
      <c r="A3824" s="145" t="s">
        <v>5751</v>
      </c>
    </row>
    <row r="3825" spans="1:1">
      <c r="A3825" s="145" t="s">
        <v>5752</v>
      </c>
    </row>
    <row r="3826" spans="1:1">
      <c r="A3826" s="145" t="s">
        <v>5753</v>
      </c>
    </row>
    <row r="3827" spans="1:1">
      <c r="A3827" s="145" t="s">
        <v>5754</v>
      </c>
    </row>
    <row r="3828" spans="1:1">
      <c r="A3828" s="145" t="s">
        <v>5755</v>
      </c>
    </row>
    <row r="3829" spans="1:1">
      <c r="A3829" s="145" t="s">
        <v>5756</v>
      </c>
    </row>
    <row r="3830" spans="1:1">
      <c r="A3830" s="145" t="s">
        <v>5757</v>
      </c>
    </row>
    <row r="3831" spans="1:1">
      <c r="A3831" s="145" t="s">
        <v>5758</v>
      </c>
    </row>
    <row r="3832" spans="1:1">
      <c r="A3832" s="145" t="s">
        <v>5759</v>
      </c>
    </row>
    <row r="3833" spans="1:1">
      <c r="A3833" s="145" t="s">
        <v>5760</v>
      </c>
    </row>
    <row r="3834" spans="1:1">
      <c r="A3834" s="145" t="s">
        <v>5761</v>
      </c>
    </row>
    <row r="3835" spans="1:1">
      <c r="A3835" s="145" t="s">
        <v>5762</v>
      </c>
    </row>
    <row r="3836" spans="1:1">
      <c r="A3836" s="145" t="s">
        <v>5763</v>
      </c>
    </row>
    <row r="3837" spans="1:1">
      <c r="A3837" s="145" t="s">
        <v>5764</v>
      </c>
    </row>
    <row r="3838" spans="1:1">
      <c r="A3838" s="145" t="s">
        <v>5765</v>
      </c>
    </row>
    <row r="3839" spans="1:1">
      <c r="A3839" s="145" t="s">
        <v>5766</v>
      </c>
    </row>
    <row r="3840" spans="1:1">
      <c r="A3840" s="145" t="s">
        <v>5767</v>
      </c>
    </row>
    <row r="3841" spans="1:1">
      <c r="A3841" s="145" t="s">
        <v>5768</v>
      </c>
    </row>
    <row r="3842" spans="1:1">
      <c r="A3842" s="145" t="s">
        <v>5769</v>
      </c>
    </row>
    <row r="3843" spans="1:1">
      <c r="A3843" s="145" t="s">
        <v>5770</v>
      </c>
    </row>
    <row r="3844" spans="1:1">
      <c r="A3844" s="145" t="s">
        <v>5771</v>
      </c>
    </row>
    <row r="3845" spans="1:1">
      <c r="A3845" s="145" t="s">
        <v>5772</v>
      </c>
    </row>
    <row r="3846" spans="1:1">
      <c r="A3846" s="145" t="s">
        <v>5773</v>
      </c>
    </row>
    <row r="3847" spans="1:1">
      <c r="A3847" s="145" t="s">
        <v>5774</v>
      </c>
    </row>
    <row r="3848" spans="1:1">
      <c r="A3848" s="145" t="s">
        <v>5775</v>
      </c>
    </row>
    <row r="3849" spans="1:1">
      <c r="A3849" s="145" t="s">
        <v>5776</v>
      </c>
    </row>
    <row r="3850" spans="1:1">
      <c r="A3850" s="145" t="s">
        <v>5777</v>
      </c>
    </row>
    <row r="3851" spans="1:1">
      <c r="A3851" s="145" t="s">
        <v>5778</v>
      </c>
    </row>
    <row r="3852" spans="1:1">
      <c r="A3852" s="145" t="s">
        <v>5779</v>
      </c>
    </row>
    <row r="3853" spans="1:1">
      <c r="A3853" s="145" t="s">
        <v>5780</v>
      </c>
    </row>
    <row r="3854" spans="1:1">
      <c r="A3854" s="145" t="s">
        <v>5781</v>
      </c>
    </row>
    <row r="3855" spans="1:1">
      <c r="A3855" s="145" t="s">
        <v>5782</v>
      </c>
    </row>
    <row r="3856" spans="1:1">
      <c r="A3856" s="145" t="s">
        <v>5783</v>
      </c>
    </row>
    <row r="3857" spans="1:1">
      <c r="A3857" s="145" t="s">
        <v>5784</v>
      </c>
    </row>
    <row r="3858" spans="1:1">
      <c r="A3858" s="145" t="s">
        <v>5785</v>
      </c>
    </row>
    <row r="3859" spans="1:1">
      <c r="A3859" s="145" t="s">
        <v>5786</v>
      </c>
    </row>
    <row r="3860" spans="1:1">
      <c r="A3860" s="145" t="s">
        <v>5787</v>
      </c>
    </row>
    <row r="3861" spans="1:1">
      <c r="A3861" s="145" t="s">
        <v>5788</v>
      </c>
    </row>
    <row r="3862" spans="1:1">
      <c r="A3862" s="145" t="s">
        <v>5789</v>
      </c>
    </row>
    <row r="3863" spans="1:1">
      <c r="A3863" s="145" t="s">
        <v>5790</v>
      </c>
    </row>
    <row r="3864" spans="1:1">
      <c r="A3864" s="145" t="s">
        <v>5791</v>
      </c>
    </row>
    <row r="3865" spans="1:1">
      <c r="A3865" s="145" t="s">
        <v>5792</v>
      </c>
    </row>
    <row r="3866" spans="1:1">
      <c r="A3866" s="145" t="s">
        <v>5793</v>
      </c>
    </row>
    <row r="3867" spans="1:1">
      <c r="A3867" s="145" t="s">
        <v>5794</v>
      </c>
    </row>
    <row r="3868" spans="1:1">
      <c r="A3868" s="145" t="s">
        <v>5795</v>
      </c>
    </row>
    <row r="3869" spans="1:1">
      <c r="A3869" s="145" t="s">
        <v>5796</v>
      </c>
    </row>
    <row r="3870" spans="1:1">
      <c r="A3870" s="145" t="s">
        <v>5797</v>
      </c>
    </row>
    <row r="3871" spans="1:1">
      <c r="A3871" s="145" t="s">
        <v>5798</v>
      </c>
    </row>
    <row r="3872" spans="1:1">
      <c r="A3872" s="145" t="s">
        <v>5799</v>
      </c>
    </row>
    <row r="3873" spans="1:1">
      <c r="A3873" s="145" t="s">
        <v>5800</v>
      </c>
    </row>
    <row r="3874" spans="1:1">
      <c r="A3874" s="145" t="s">
        <v>5801</v>
      </c>
    </row>
    <row r="3875" spans="1:1">
      <c r="A3875" s="145" t="s">
        <v>5802</v>
      </c>
    </row>
    <row r="3876" spans="1:1">
      <c r="A3876" s="145" t="s">
        <v>5803</v>
      </c>
    </row>
    <row r="3877" spans="1:1">
      <c r="A3877" s="145" t="s">
        <v>5804</v>
      </c>
    </row>
    <row r="3878" spans="1:1">
      <c r="A3878" s="145" t="s">
        <v>5805</v>
      </c>
    </row>
    <row r="3879" spans="1:1">
      <c r="A3879" s="145" t="s">
        <v>5806</v>
      </c>
    </row>
    <row r="3880" spans="1:1">
      <c r="A3880" s="145" t="s">
        <v>5807</v>
      </c>
    </row>
    <row r="3881" spans="1:1">
      <c r="A3881" s="145" t="s">
        <v>5808</v>
      </c>
    </row>
    <row r="3882" spans="1:1">
      <c r="A3882" s="145" t="s">
        <v>5809</v>
      </c>
    </row>
    <row r="3883" spans="1:1">
      <c r="A3883" s="145" t="s">
        <v>5810</v>
      </c>
    </row>
    <row r="3884" spans="1:1">
      <c r="A3884" s="145" t="s">
        <v>5811</v>
      </c>
    </row>
    <row r="3885" spans="1:1">
      <c r="A3885" s="145" t="s">
        <v>5812</v>
      </c>
    </row>
    <row r="3886" spans="1:1">
      <c r="A3886" s="145" t="s">
        <v>5813</v>
      </c>
    </row>
    <row r="3887" spans="1:1">
      <c r="A3887" s="145" t="s">
        <v>5814</v>
      </c>
    </row>
    <row r="3888" spans="1:1">
      <c r="A3888" s="145" t="s">
        <v>5815</v>
      </c>
    </row>
    <row r="3889" spans="1:1">
      <c r="A3889" s="145" t="s">
        <v>5816</v>
      </c>
    </row>
    <row r="3890" spans="1:1">
      <c r="A3890" s="145" t="s">
        <v>5817</v>
      </c>
    </row>
    <row r="3891" spans="1:1">
      <c r="A3891" s="145" t="s">
        <v>5818</v>
      </c>
    </row>
    <row r="3892" spans="1:1">
      <c r="A3892" s="145" t="s">
        <v>5819</v>
      </c>
    </row>
    <row r="3893" spans="1:1">
      <c r="A3893" s="145" t="s">
        <v>5820</v>
      </c>
    </row>
    <row r="3894" spans="1:1">
      <c r="A3894" s="145" t="s">
        <v>5821</v>
      </c>
    </row>
    <row r="3895" spans="1:1">
      <c r="A3895" s="145" t="s">
        <v>5822</v>
      </c>
    </row>
    <row r="3896" spans="1:1">
      <c r="A3896" s="145" t="s">
        <v>5823</v>
      </c>
    </row>
    <row r="3897" spans="1:1">
      <c r="A3897" s="145" t="s">
        <v>5824</v>
      </c>
    </row>
    <row r="3898" spans="1:1">
      <c r="A3898" s="145" t="s">
        <v>5825</v>
      </c>
    </row>
    <row r="3899" spans="1:1">
      <c r="A3899" s="145" t="s">
        <v>5826</v>
      </c>
    </row>
    <row r="3900" spans="1:1">
      <c r="A3900" s="145" t="s">
        <v>5827</v>
      </c>
    </row>
    <row r="3901" spans="1:1">
      <c r="A3901" s="145" t="s">
        <v>5828</v>
      </c>
    </row>
    <row r="3902" spans="1:1">
      <c r="A3902" s="145" t="s">
        <v>5829</v>
      </c>
    </row>
    <row r="3903" spans="1:1">
      <c r="A3903" s="145" t="s">
        <v>5830</v>
      </c>
    </row>
    <row r="3904" spans="1:1">
      <c r="A3904" s="145" t="s">
        <v>5831</v>
      </c>
    </row>
    <row r="3905" spans="1:1">
      <c r="A3905" s="145" t="s">
        <v>5832</v>
      </c>
    </row>
    <row r="3906" spans="1:1">
      <c r="A3906" s="145" t="s">
        <v>5833</v>
      </c>
    </row>
    <row r="3907" spans="1:1">
      <c r="A3907" s="145" t="s">
        <v>5834</v>
      </c>
    </row>
    <row r="3908" spans="1:1">
      <c r="A3908" s="145" t="s">
        <v>5835</v>
      </c>
    </row>
    <row r="3909" spans="1:1">
      <c r="A3909" s="145" t="s">
        <v>5836</v>
      </c>
    </row>
    <row r="3910" spans="1:1">
      <c r="A3910" s="145" t="s">
        <v>5837</v>
      </c>
    </row>
    <row r="3911" spans="1:1">
      <c r="A3911" s="145" t="s">
        <v>5838</v>
      </c>
    </row>
    <row r="3912" spans="1:1">
      <c r="A3912" s="145" t="s">
        <v>5839</v>
      </c>
    </row>
    <row r="3913" spans="1:1">
      <c r="A3913" s="145" t="s">
        <v>5840</v>
      </c>
    </row>
    <row r="3914" spans="1:1">
      <c r="A3914" s="145" t="s">
        <v>5841</v>
      </c>
    </row>
    <row r="3915" spans="1:1">
      <c r="A3915" s="145" t="s">
        <v>5842</v>
      </c>
    </row>
    <row r="3916" spans="1:1">
      <c r="A3916" s="145" t="s">
        <v>5843</v>
      </c>
    </row>
    <row r="3917" spans="1:1">
      <c r="A3917" s="145" t="s">
        <v>5844</v>
      </c>
    </row>
    <row r="3918" spans="1:1">
      <c r="A3918" s="145" t="s">
        <v>5845</v>
      </c>
    </row>
    <row r="3919" spans="1:1">
      <c r="A3919" s="145" t="s">
        <v>5846</v>
      </c>
    </row>
    <row r="3920" spans="1:1">
      <c r="A3920" s="145" t="s">
        <v>5847</v>
      </c>
    </row>
    <row r="3921" spans="1:1">
      <c r="A3921" s="145" t="s">
        <v>5848</v>
      </c>
    </row>
    <row r="3922" spans="1:1">
      <c r="A3922" s="145" t="s">
        <v>5849</v>
      </c>
    </row>
    <row r="3923" spans="1:1">
      <c r="A3923" s="145" t="s">
        <v>5850</v>
      </c>
    </row>
    <row r="3924" spans="1:1">
      <c r="A3924" s="145" t="s">
        <v>5851</v>
      </c>
    </row>
    <row r="3925" spans="1:1">
      <c r="A3925" s="145" t="s">
        <v>5852</v>
      </c>
    </row>
    <row r="3926" spans="1:1">
      <c r="A3926" s="145" t="s">
        <v>5853</v>
      </c>
    </row>
    <row r="3927" spans="1:1">
      <c r="A3927" s="145" t="s">
        <v>5854</v>
      </c>
    </row>
    <row r="3928" spans="1:1">
      <c r="A3928" s="145" t="s">
        <v>5855</v>
      </c>
    </row>
    <row r="3929" spans="1:1">
      <c r="A3929" s="145" t="s">
        <v>5856</v>
      </c>
    </row>
    <row r="3930" spans="1:1">
      <c r="A3930" s="145" t="s">
        <v>5857</v>
      </c>
    </row>
    <row r="3931" spans="1:1">
      <c r="A3931" s="145" t="s">
        <v>5858</v>
      </c>
    </row>
    <row r="3932" spans="1:1">
      <c r="A3932" s="145" t="s">
        <v>5859</v>
      </c>
    </row>
    <row r="3933" spans="1:1">
      <c r="A3933" s="145" t="s">
        <v>5860</v>
      </c>
    </row>
    <row r="3934" spans="1:1">
      <c r="A3934" s="145" t="s">
        <v>5861</v>
      </c>
    </row>
    <row r="3935" spans="1:1">
      <c r="A3935" s="145" t="s">
        <v>5862</v>
      </c>
    </row>
    <row r="3936" spans="1:1">
      <c r="A3936" s="145" t="s">
        <v>5863</v>
      </c>
    </row>
    <row r="3937" spans="1:1">
      <c r="A3937" s="145" t="s">
        <v>5864</v>
      </c>
    </row>
    <row r="3938" spans="1:1">
      <c r="A3938" s="145" t="s">
        <v>5865</v>
      </c>
    </row>
    <row r="3939" spans="1:1">
      <c r="A3939" s="145" t="s">
        <v>5866</v>
      </c>
    </row>
    <row r="3940" spans="1:1">
      <c r="A3940" s="145" t="s">
        <v>5867</v>
      </c>
    </row>
    <row r="3941" spans="1:1">
      <c r="A3941" s="145" t="s">
        <v>5868</v>
      </c>
    </row>
    <row r="3942" spans="1:1">
      <c r="A3942" s="145" t="s">
        <v>5869</v>
      </c>
    </row>
    <row r="3943" spans="1:1">
      <c r="A3943" s="145" t="s">
        <v>5870</v>
      </c>
    </row>
    <row r="3944" spans="1:1">
      <c r="A3944" s="145" t="s">
        <v>5871</v>
      </c>
    </row>
    <row r="3945" spans="1:1">
      <c r="A3945" s="145" t="s">
        <v>5872</v>
      </c>
    </row>
    <row r="3946" spans="1:1">
      <c r="A3946" s="145" t="s">
        <v>5873</v>
      </c>
    </row>
    <row r="3947" spans="1:1">
      <c r="A3947" s="145" t="s">
        <v>5874</v>
      </c>
    </row>
    <row r="3948" spans="1:1">
      <c r="A3948" s="145" t="s">
        <v>5875</v>
      </c>
    </row>
    <row r="3949" spans="1:1">
      <c r="A3949" s="145" t="s">
        <v>5876</v>
      </c>
    </row>
    <row r="3950" spans="1:1">
      <c r="A3950" s="145" t="s">
        <v>5877</v>
      </c>
    </row>
    <row r="3951" spans="1:1">
      <c r="A3951" s="145" t="s">
        <v>5878</v>
      </c>
    </row>
    <row r="3952" spans="1:1">
      <c r="A3952" s="145" t="s">
        <v>5879</v>
      </c>
    </row>
    <row r="3953" spans="1:1">
      <c r="A3953" s="145" t="s">
        <v>5880</v>
      </c>
    </row>
    <row r="3954" spans="1:1">
      <c r="A3954" s="145" t="s">
        <v>5881</v>
      </c>
    </row>
    <row r="3955" spans="1:1">
      <c r="A3955" s="145" t="s">
        <v>5882</v>
      </c>
    </row>
    <row r="3956" spans="1:1">
      <c r="A3956" s="145" t="s">
        <v>5883</v>
      </c>
    </row>
    <row r="3957" spans="1:1">
      <c r="A3957" s="145" t="s">
        <v>5884</v>
      </c>
    </row>
    <row r="3958" spans="1:1">
      <c r="A3958" s="145" t="s">
        <v>5885</v>
      </c>
    </row>
    <row r="3959" spans="1:1">
      <c r="A3959" s="145" t="s">
        <v>5886</v>
      </c>
    </row>
    <row r="3960" spans="1:1">
      <c r="A3960" s="145" t="s">
        <v>5887</v>
      </c>
    </row>
    <row r="3961" spans="1:1">
      <c r="A3961" s="145" t="s">
        <v>5888</v>
      </c>
    </row>
    <row r="3962" spans="1:1">
      <c r="A3962" s="145" t="s">
        <v>5889</v>
      </c>
    </row>
    <row r="3963" spans="1:1">
      <c r="A3963" s="145" t="s">
        <v>5890</v>
      </c>
    </row>
    <row r="3964" spans="1:1">
      <c r="A3964" s="145" t="s">
        <v>5891</v>
      </c>
    </row>
    <row r="3965" spans="1:1">
      <c r="A3965" s="145" t="s">
        <v>5892</v>
      </c>
    </row>
    <row r="3966" spans="1:1">
      <c r="A3966" s="145" t="s">
        <v>5893</v>
      </c>
    </row>
    <row r="3967" spans="1:1">
      <c r="A3967" s="145" t="s">
        <v>5894</v>
      </c>
    </row>
    <row r="3968" spans="1:1">
      <c r="A3968" s="145" t="s">
        <v>5895</v>
      </c>
    </row>
    <row r="3969" spans="1:1">
      <c r="A3969" s="145" t="s">
        <v>5896</v>
      </c>
    </row>
    <row r="3970" spans="1:1">
      <c r="A3970" s="145" t="s">
        <v>5897</v>
      </c>
    </row>
    <row r="3971" spans="1:1">
      <c r="A3971" s="145" t="s">
        <v>5898</v>
      </c>
    </row>
    <row r="3972" spans="1:1">
      <c r="A3972" s="145" t="s">
        <v>5899</v>
      </c>
    </row>
    <row r="3973" spans="1:1">
      <c r="A3973" s="145" t="s">
        <v>5900</v>
      </c>
    </row>
    <row r="3974" spans="1:1">
      <c r="A3974" s="145" t="s">
        <v>5901</v>
      </c>
    </row>
    <row r="3975" spans="1:1">
      <c r="A3975" s="145" t="s">
        <v>5902</v>
      </c>
    </row>
    <row r="3976" spans="1:1">
      <c r="A3976" s="145" t="s">
        <v>5903</v>
      </c>
    </row>
    <row r="3977" spans="1:1">
      <c r="A3977" s="145" t="s">
        <v>5904</v>
      </c>
    </row>
    <row r="3978" spans="1:1">
      <c r="A3978" s="145" t="s">
        <v>5905</v>
      </c>
    </row>
    <row r="3979" spans="1:1">
      <c r="A3979" s="145" t="s">
        <v>5906</v>
      </c>
    </row>
    <row r="3980" spans="1:1">
      <c r="A3980" s="145" t="s">
        <v>5907</v>
      </c>
    </row>
    <row r="3981" spans="1:1">
      <c r="A3981" s="145" t="s">
        <v>5908</v>
      </c>
    </row>
    <row r="3982" spans="1:1">
      <c r="A3982" s="145" t="s">
        <v>5909</v>
      </c>
    </row>
    <row r="3983" spans="1:1">
      <c r="A3983" s="145" t="s">
        <v>5910</v>
      </c>
    </row>
    <row r="3984" spans="1:1">
      <c r="A3984" s="145" t="s">
        <v>5911</v>
      </c>
    </row>
    <row r="3985" spans="1:1">
      <c r="A3985" s="145" t="s">
        <v>5912</v>
      </c>
    </row>
    <row r="3986" spans="1:1">
      <c r="A3986" s="145" t="s">
        <v>5913</v>
      </c>
    </row>
    <row r="3987" spans="1:1">
      <c r="A3987" s="145" t="s">
        <v>5914</v>
      </c>
    </row>
    <row r="3988" spans="1:1">
      <c r="A3988" s="145" t="s">
        <v>5915</v>
      </c>
    </row>
    <row r="3989" spans="1:1">
      <c r="A3989" s="145" t="s">
        <v>5916</v>
      </c>
    </row>
    <row r="3990" spans="1:1">
      <c r="A3990" s="145" t="s">
        <v>5917</v>
      </c>
    </row>
    <row r="3991" spans="1:1">
      <c r="A3991" s="145" t="s">
        <v>5918</v>
      </c>
    </row>
    <row r="3992" spans="1:1">
      <c r="A3992" s="145" t="s">
        <v>5919</v>
      </c>
    </row>
    <row r="3993" spans="1:1">
      <c r="A3993" s="145" t="s">
        <v>5920</v>
      </c>
    </row>
    <row r="3994" spans="1:1">
      <c r="A3994" s="145" t="s">
        <v>5921</v>
      </c>
    </row>
    <row r="3995" spans="1:1">
      <c r="A3995" s="145" t="s">
        <v>5922</v>
      </c>
    </row>
    <row r="3996" spans="1:1">
      <c r="A3996" s="145" t="s">
        <v>5923</v>
      </c>
    </row>
    <row r="3997" spans="1:1">
      <c r="A3997" s="145" t="s">
        <v>5924</v>
      </c>
    </row>
    <row r="3998" spans="1:1">
      <c r="A3998" s="145" t="s">
        <v>5925</v>
      </c>
    </row>
    <row r="3999" spans="1:1">
      <c r="A3999" s="145" t="s">
        <v>5926</v>
      </c>
    </row>
    <row r="4000" spans="1:1">
      <c r="A4000" s="145" t="s">
        <v>5927</v>
      </c>
    </row>
    <row r="4001" spans="1:1">
      <c r="A4001" s="145" t="s">
        <v>5928</v>
      </c>
    </row>
    <row r="4002" spans="1:1">
      <c r="A4002" s="145" t="s">
        <v>5929</v>
      </c>
    </row>
    <row r="4003" spans="1:1">
      <c r="A4003" s="145" t="s">
        <v>5930</v>
      </c>
    </row>
    <row r="4004" spans="1:1">
      <c r="A4004" s="145" t="s">
        <v>5931</v>
      </c>
    </row>
    <row r="4005" spans="1:1">
      <c r="A4005" s="145" t="s">
        <v>5932</v>
      </c>
    </row>
    <row r="4006" spans="1:1">
      <c r="A4006" s="145" t="s">
        <v>5933</v>
      </c>
    </row>
    <row r="4007" spans="1:1">
      <c r="A4007" s="145" t="s">
        <v>5934</v>
      </c>
    </row>
    <row r="4008" spans="1:1">
      <c r="A4008" s="145" t="s">
        <v>5935</v>
      </c>
    </row>
    <row r="4009" spans="1:1">
      <c r="A4009" s="145" t="s">
        <v>5936</v>
      </c>
    </row>
    <row r="4010" spans="1:1">
      <c r="A4010" s="145" t="s">
        <v>5937</v>
      </c>
    </row>
    <row r="4011" spans="1:1">
      <c r="A4011" s="145" t="s">
        <v>5938</v>
      </c>
    </row>
    <row r="4012" spans="1:1">
      <c r="A4012" s="145" t="s">
        <v>5939</v>
      </c>
    </row>
    <row r="4013" spans="1:1">
      <c r="A4013" s="145" t="s">
        <v>5940</v>
      </c>
    </row>
    <row r="4014" spans="1:1">
      <c r="A4014" s="145" t="s">
        <v>5941</v>
      </c>
    </row>
    <row r="4015" spans="1:1">
      <c r="A4015" s="145" t="s">
        <v>5942</v>
      </c>
    </row>
    <row r="4016" spans="1:1">
      <c r="A4016" s="145" t="s">
        <v>5943</v>
      </c>
    </row>
    <row r="4017" spans="1:1">
      <c r="A4017" s="145" t="s">
        <v>5944</v>
      </c>
    </row>
    <row r="4018" spans="1:1">
      <c r="A4018" s="145" t="s">
        <v>5945</v>
      </c>
    </row>
    <row r="4019" spans="1:1">
      <c r="A4019" s="145" t="s">
        <v>5946</v>
      </c>
    </row>
    <row r="4020" spans="1:1">
      <c r="A4020" s="145" t="s">
        <v>5947</v>
      </c>
    </row>
    <row r="4021" spans="1:1">
      <c r="A4021" s="145" t="s">
        <v>5948</v>
      </c>
    </row>
    <row r="4022" spans="1:1">
      <c r="A4022" s="145" t="s">
        <v>5949</v>
      </c>
    </row>
    <row r="4023" spans="1:1">
      <c r="A4023" s="145" t="s">
        <v>5950</v>
      </c>
    </row>
    <row r="4024" spans="1:1">
      <c r="A4024" s="145" t="s">
        <v>5951</v>
      </c>
    </row>
    <row r="4025" spans="1:1">
      <c r="A4025" s="145" t="s">
        <v>5952</v>
      </c>
    </row>
    <row r="4026" spans="1:1">
      <c r="A4026" s="145" t="s">
        <v>5953</v>
      </c>
    </row>
    <row r="4027" spans="1:1">
      <c r="A4027" s="145" t="s">
        <v>5954</v>
      </c>
    </row>
    <row r="4028" spans="1:1">
      <c r="A4028" s="145" t="s">
        <v>5955</v>
      </c>
    </row>
    <row r="4029" spans="1:1">
      <c r="A4029" s="145" t="s">
        <v>5956</v>
      </c>
    </row>
    <row r="4030" spans="1:1">
      <c r="A4030" s="145" t="s">
        <v>5957</v>
      </c>
    </row>
    <row r="4031" spans="1:1">
      <c r="A4031" s="145" t="s">
        <v>5958</v>
      </c>
    </row>
    <row r="4032" spans="1:1">
      <c r="A4032" s="145" t="s">
        <v>5959</v>
      </c>
    </row>
    <row r="4033" spans="1:1">
      <c r="A4033" s="145" t="s">
        <v>5960</v>
      </c>
    </row>
    <row r="4034" spans="1:1">
      <c r="A4034" s="145" t="s">
        <v>5961</v>
      </c>
    </row>
    <row r="4035" spans="1:1">
      <c r="A4035" s="145" t="s">
        <v>5962</v>
      </c>
    </row>
    <row r="4036" spans="1:1">
      <c r="A4036" s="145" t="s">
        <v>5963</v>
      </c>
    </row>
    <row r="4037" spans="1:1">
      <c r="A4037" s="145" t="s">
        <v>5964</v>
      </c>
    </row>
    <row r="4038" spans="1:1">
      <c r="A4038" s="145" t="s">
        <v>5965</v>
      </c>
    </row>
    <row r="4039" spans="1:1">
      <c r="A4039" s="145" t="s">
        <v>5966</v>
      </c>
    </row>
    <row r="4040" spans="1:1">
      <c r="A4040" s="145" t="s">
        <v>5967</v>
      </c>
    </row>
    <row r="4041" spans="1:1">
      <c r="A4041" s="145" t="s">
        <v>5968</v>
      </c>
    </row>
    <row r="4042" spans="1:1">
      <c r="A4042" s="145" t="s">
        <v>5969</v>
      </c>
    </row>
    <row r="4043" spans="1:1">
      <c r="A4043" s="145" t="s">
        <v>5970</v>
      </c>
    </row>
    <row r="4044" spans="1:1">
      <c r="A4044" s="145" t="s">
        <v>5971</v>
      </c>
    </row>
    <row r="4045" spans="1:1">
      <c r="A4045" s="145" t="s">
        <v>5972</v>
      </c>
    </row>
    <row r="4046" spans="1:1">
      <c r="A4046" s="145" t="s">
        <v>5973</v>
      </c>
    </row>
    <row r="4047" spans="1:1">
      <c r="A4047" s="145" t="s">
        <v>5974</v>
      </c>
    </row>
    <row r="4048" spans="1:1">
      <c r="A4048" s="145" t="s">
        <v>5975</v>
      </c>
    </row>
    <row r="4049" spans="1:1">
      <c r="A4049" s="145" t="s">
        <v>5976</v>
      </c>
    </row>
    <row r="4050" spans="1:1">
      <c r="A4050" s="145" t="s">
        <v>5977</v>
      </c>
    </row>
    <row r="4051" spans="1:1">
      <c r="A4051" s="145" t="s">
        <v>5978</v>
      </c>
    </row>
    <row r="4052" spans="1:1">
      <c r="A4052" s="145" t="s">
        <v>5979</v>
      </c>
    </row>
    <row r="4053" spans="1:1">
      <c r="A4053" s="145" t="s">
        <v>5980</v>
      </c>
    </row>
    <row r="4054" spans="1:1">
      <c r="A4054" s="145" t="s">
        <v>5981</v>
      </c>
    </row>
    <row r="4055" spans="1:1">
      <c r="A4055" s="145" t="s">
        <v>5982</v>
      </c>
    </row>
    <row r="4056" spans="1:1">
      <c r="A4056" s="145" t="s">
        <v>5983</v>
      </c>
    </row>
    <row r="4057" spans="1:1">
      <c r="A4057" s="145" t="s">
        <v>5984</v>
      </c>
    </row>
    <row r="4058" spans="1:1">
      <c r="A4058" s="145" t="s">
        <v>5985</v>
      </c>
    </row>
    <row r="4059" spans="1:1">
      <c r="A4059" s="145" t="s">
        <v>5986</v>
      </c>
    </row>
    <row r="4060" spans="1:1">
      <c r="A4060" s="145" t="s">
        <v>5987</v>
      </c>
    </row>
    <row r="4061" spans="1:1">
      <c r="A4061" s="145" t="s">
        <v>5988</v>
      </c>
    </row>
    <row r="4062" spans="1:1">
      <c r="A4062" s="145" t="s">
        <v>5989</v>
      </c>
    </row>
    <row r="4063" spans="1:1">
      <c r="A4063" s="145" t="s">
        <v>5990</v>
      </c>
    </row>
    <row r="4064" spans="1:1">
      <c r="A4064" s="145" t="s">
        <v>5991</v>
      </c>
    </row>
    <row r="4065" spans="1:1">
      <c r="A4065" s="145" t="s">
        <v>5992</v>
      </c>
    </row>
    <row r="4066" spans="1:1">
      <c r="A4066" s="145" t="s">
        <v>5993</v>
      </c>
    </row>
    <row r="4067" spans="1:1">
      <c r="A4067" s="145" t="s">
        <v>5994</v>
      </c>
    </row>
    <row r="4068" spans="1:1">
      <c r="A4068" s="145" t="s">
        <v>5995</v>
      </c>
    </row>
    <row r="4069" spans="1:1">
      <c r="A4069" s="145" t="s">
        <v>5996</v>
      </c>
    </row>
    <row r="4070" spans="1:1">
      <c r="A4070" s="145" t="s">
        <v>5997</v>
      </c>
    </row>
    <row r="4071" spans="1:1">
      <c r="A4071" s="145" t="s">
        <v>5998</v>
      </c>
    </row>
    <row r="4072" spans="1:1">
      <c r="A4072" s="145" t="s">
        <v>5999</v>
      </c>
    </row>
    <row r="4073" spans="1:1">
      <c r="A4073" s="145" t="s">
        <v>6000</v>
      </c>
    </row>
    <row r="4074" spans="1:1">
      <c r="A4074" s="145" t="s">
        <v>6001</v>
      </c>
    </row>
    <row r="4075" spans="1:1">
      <c r="A4075" s="145" t="s">
        <v>6002</v>
      </c>
    </row>
    <row r="4076" spans="1:1">
      <c r="A4076" s="145" t="s">
        <v>6003</v>
      </c>
    </row>
    <row r="4077" spans="1:1">
      <c r="A4077" s="145" t="s">
        <v>6004</v>
      </c>
    </row>
    <row r="4078" spans="1:1">
      <c r="A4078" s="145" t="s">
        <v>6005</v>
      </c>
    </row>
    <row r="4079" spans="1:1">
      <c r="A4079" s="145" t="s">
        <v>6006</v>
      </c>
    </row>
    <row r="4080" spans="1:1">
      <c r="A4080" s="145" t="s">
        <v>6007</v>
      </c>
    </row>
    <row r="4081" spans="1:1">
      <c r="A4081" s="145" t="s">
        <v>6008</v>
      </c>
    </row>
    <row r="4082" spans="1:1">
      <c r="A4082" s="145" t="s">
        <v>6009</v>
      </c>
    </row>
    <row r="4083" spans="1:1">
      <c r="A4083" s="145" t="s">
        <v>6010</v>
      </c>
    </row>
    <row r="4084" spans="1:1">
      <c r="A4084" s="145" t="s">
        <v>6011</v>
      </c>
    </row>
    <row r="4085" spans="1:1">
      <c r="A4085" s="145" t="s">
        <v>6012</v>
      </c>
    </row>
    <row r="4086" spans="1:1">
      <c r="A4086" s="145" t="s">
        <v>6013</v>
      </c>
    </row>
    <row r="4087" spans="1:1">
      <c r="A4087" s="145" t="s">
        <v>6014</v>
      </c>
    </row>
    <row r="4088" spans="1:1">
      <c r="A4088" s="145" t="s">
        <v>6015</v>
      </c>
    </row>
    <row r="4089" spans="1:1">
      <c r="A4089" s="145" t="s">
        <v>6016</v>
      </c>
    </row>
    <row r="4090" spans="1:1">
      <c r="A4090" s="145" t="s">
        <v>6017</v>
      </c>
    </row>
    <row r="4091" spans="1:1">
      <c r="A4091" s="145" t="s">
        <v>6018</v>
      </c>
    </row>
    <row r="4092" spans="1:1">
      <c r="A4092" s="145" t="s">
        <v>6019</v>
      </c>
    </row>
    <row r="4093" spans="1:1">
      <c r="A4093" s="145" t="s">
        <v>6020</v>
      </c>
    </row>
    <row r="4094" spans="1:1">
      <c r="A4094" s="145" t="s">
        <v>6021</v>
      </c>
    </row>
    <row r="4095" spans="1:1">
      <c r="A4095" s="145" t="s">
        <v>6022</v>
      </c>
    </row>
    <row r="4096" spans="1:1">
      <c r="A4096" s="145" t="s">
        <v>6023</v>
      </c>
    </row>
    <row r="4097" spans="1:1">
      <c r="A4097" s="145" t="s">
        <v>6024</v>
      </c>
    </row>
    <row r="4098" spans="1:1">
      <c r="A4098" s="145" t="s">
        <v>6025</v>
      </c>
    </row>
    <row r="4099" spans="1:1">
      <c r="A4099" s="145" t="s">
        <v>6026</v>
      </c>
    </row>
    <row r="4100" spans="1:1">
      <c r="A4100" s="145" t="s">
        <v>6027</v>
      </c>
    </row>
    <row r="4101" spans="1:1">
      <c r="A4101" s="145" t="s">
        <v>6028</v>
      </c>
    </row>
    <row r="4102" spans="1:1">
      <c r="A4102" s="145" t="s">
        <v>6029</v>
      </c>
    </row>
    <row r="4103" spans="1:1">
      <c r="A4103" s="145" t="s">
        <v>6030</v>
      </c>
    </row>
    <row r="4104" spans="1:1">
      <c r="A4104" s="145" t="s">
        <v>6031</v>
      </c>
    </row>
    <row r="4105" spans="1:1">
      <c r="A4105" s="145" t="s">
        <v>6032</v>
      </c>
    </row>
    <row r="4106" spans="1:1">
      <c r="A4106" s="145" t="s">
        <v>6033</v>
      </c>
    </row>
    <row r="4107" spans="1:1">
      <c r="A4107" s="145" t="s">
        <v>6034</v>
      </c>
    </row>
    <row r="4108" spans="1:1">
      <c r="A4108" s="145" t="s">
        <v>6035</v>
      </c>
    </row>
    <row r="4109" spans="1:1">
      <c r="A4109" s="145" t="s">
        <v>6036</v>
      </c>
    </row>
    <row r="4110" spans="1:1">
      <c r="A4110" s="145" t="s">
        <v>6037</v>
      </c>
    </row>
    <row r="4111" spans="1:1">
      <c r="A4111" s="145" t="s">
        <v>6038</v>
      </c>
    </row>
    <row r="4112" spans="1:1">
      <c r="A4112" s="145" t="s">
        <v>6039</v>
      </c>
    </row>
    <row r="4113" spans="1:1">
      <c r="A4113" s="145" t="s">
        <v>6040</v>
      </c>
    </row>
    <row r="4114" spans="1:1">
      <c r="A4114" s="145" t="s">
        <v>6041</v>
      </c>
    </row>
    <row r="4115" spans="1:1">
      <c r="A4115" s="145" t="s">
        <v>6042</v>
      </c>
    </row>
    <row r="4116" spans="1:1">
      <c r="A4116" s="145" t="s">
        <v>6043</v>
      </c>
    </row>
    <row r="4117" spans="1:1">
      <c r="A4117" s="145" t="s">
        <v>6044</v>
      </c>
    </row>
    <row r="4118" spans="1:1">
      <c r="A4118" s="145" t="s">
        <v>6045</v>
      </c>
    </row>
    <row r="4119" spans="1:1">
      <c r="A4119" s="145" t="s">
        <v>6046</v>
      </c>
    </row>
    <row r="4120" spans="1:1">
      <c r="A4120" s="145" t="s">
        <v>6047</v>
      </c>
    </row>
    <row r="4121" spans="1:1">
      <c r="A4121" s="145" t="s">
        <v>6048</v>
      </c>
    </row>
    <row r="4122" spans="1:1">
      <c r="A4122" s="145" t="s">
        <v>6049</v>
      </c>
    </row>
    <row r="4123" spans="1:1">
      <c r="A4123" s="145" t="s">
        <v>6050</v>
      </c>
    </row>
    <row r="4124" spans="1:1">
      <c r="A4124" s="145" t="s">
        <v>6051</v>
      </c>
    </row>
    <row r="4125" spans="1:1">
      <c r="A4125" s="145" t="s">
        <v>6052</v>
      </c>
    </row>
    <row r="4126" spans="1:1">
      <c r="A4126" s="145" t="s">
        <v>6053</v>
      </c>
    </row>
    <row r="4127" spans="1:1">
      <c r="A4127" s="145" t="s">
        <v>6054</v>
      </c>
    </row>
    <row r="4128" spans="1:1">
      <c r="A4128" s="145" t="s">
        <v>6055</v>
      </c>
    </row>
    <row r="4129" spans="1:1">
      <c r="A4129" s="145" t="s">
        <v>6056</v>
      </c>
    </row>
    <row r="4130" spans="1:1">
      <c r="A4130" s="145" t="s">
        <v>6057</v>
      </c>
    </row>
    <row r="4131" spans="1:1">
      <c r="A4131" s="145" t="s">
        <v>6058</v>
      </c>
    </row>
    <row r="4132" spans="1:1">
      <c r="A4132" s="145" t="s">
        <v>6059</v>
      </c>
    </row>
    <row r="4133" spans="1:1">
      <c r="A4133" s="145" t="s">
        <v>6060</v>
      </c>
    </row>
    <row r="4134" spans="1:1">
      <c r="A4134" s="145" t="s">
        <v>6061</v>
      </c>
    </row>
    <row r="4135" spans="1:1">
      <c r="A4135" s="145" t="s">
        <v>6062</v>
      </c>
    </row>
    <row r="4136" spans="1:1">
      <c r="A4136" s="145" t="s">
        <v>6063</v>
      </c>
    </row>
    <row r="4137" spans="1:1">
      <c r="A4137" s="145" t="s">
        <v>6064</v>
      </c>
    </row>
    <row r="4138" spans="1:1">
      <c r="A4138" s="145" t="s">
        <v>6065</v>
      </c>
    </row>
    <row r="4139" spans="1:1">
      <c r="A4139" s="145" t="s">
        <v>6066</v>
      </c>
    </row>
    <row r="4140" spans="1:1">
      <c r="A4140" s="145" t="s">
        <v>6067</v>
      </c>
    </row>
    <row r="4141" spans="1:1">
      <c r="A4141" s="145" t="s">
        <v>6068</v>
      </c>
    </row>
    <row r="4142" spans="1:1">
      <c r="A4142" s="145" t="s">
        <v>6069</v>
      </c>
    </row>
    <row r="4143" spans="1:1">
      <c r="A4143" s="145" t="s">
        <v>6070</v>
      </c>
    </row>
    <row r="4144" spans="1:1">
      <c r="A4144" s="145" t="s">
        <v>6071</v>
      </c>
    </row>
    <row r="4145" spans="1:1">
      <c r="A4145" s="145" t="s">
        <v>6072</v>
      </c>
    </row>
    <row r="4146" spans="1:1">
      <c r="A4146" s="145" t="s">
        <v>6073</v>
      </c>
    </row>
    <row r="4147" spans="1:1">
      <c r="A4147" s="145" t="s">
        <v>6074</v>
      </c>
    </row>
    <row r="4148" spans="1:1">
      <c r="A4148" s="145" t="s">
        <v>6075</v>
      </c>
    </row>
    <row r="4149" spans="1:1">
      <c r="A4149" s="145" t="s">
        <v>6076</v>
      </c>
    </row>
    <row r="4150" spans="1:1">
      <c r="A4150" s="145" t="s">
        <v>6077</v>
      </c>
    </row>
    <row r="4151" spans="1:1">
      <c r="A4151" s="145" t="s">
        <v>6078</v>
      </c>
    </row>
    <row r="4152" spans="1:1">
      <c r="A4152" s="145" t="s">
        <v>6079</v>
      </c>
    </row>
    <row r="4153" spans="1:1">
      <c r="A4153" s="145" t="s">
        <v>6080</v>
      </c>
    </row>
    <row r="4154" spans="1:1">
      <c r="A4154" s="145" t="s">
        <v>6081</v>
      </c>
    </row>
    <row r="4155" spans="1:1">
      <c r="A4155" s="145" t="s">
        <v>6082</v>
      </c>
    </row>
    <row r="4156" spans="1:1">
      <c r="A4156" s="145" t="s">
        <v>6083</v>
      </c>
    </row>
    <row r="4157" spans="1:1">
      <c r="A4157" s="145" t="s">
        <v>6084</v>
      </c>
    </row>
    <row r="4158" spans="1:1">
      <c r="A4158" s="145" t="s">
        <v>6085</v>
      </c>
    </row>
    <row r="4159" spans="1:1">
      <c r="A4159" s="145" t="s">
        <v>6086</v>
      </c>
    </row>
    <row r="4160" spans="1:1">
      <c r="A4160" s="145" t="s">
        <v>6087</v>
      </c>
    </row>
    <row r="4161" spans="1:1">
      <c r="A4161" s="145" t="s">
        <v>6088</v>
      </c>
    </row>
    <row r="4162" spans="1:1">
      <c r="A4162" s="145" t="s">
        <v>6089</v>
      </c>
    </row>
    <row r="4163" spans="1:1">
      <c r="A4163" s="145" t="s">
        <v>6090</v>
      </c>
    </row>
    <row r="4164" spans="1:1">
      <c r="A4164" s="145" t="s">
        <v>6091</v>
      </c>
    </row>
    <row r="4165" spans="1:1">
      <c r="A4165" s="145" t="s">
        <v>6092</v>
      </c>
    </row>
    <row r="4166" spans="1:1">
      <c r="A4166" s="145" t="s">
        <v>6093</v>
      </c>
    </row>
    <row r="4167" spans="1:1">
      <c r="A4167" s="145" t="s">
        <v>6094</v>
      </c>
    </row>
    <row r="4168" spans="1:1">
      <c r="A4168" s="145" t="s">
        <v>6095</v>
      </c>
    </row>
    <row r="4169" spans="1:1">
      <c r="A4169" s="145" t="s">
        <v>6096</v>
      </c>
    </row>
    <row r="4170" spans="1:1">
      <c r="A4170" s="145" t="s">
        <v>6097</v>
      </c>
    </row>
    <row r="4171" spans="1:1">
      <c r="A4171" s="145" t="s">
        <v>6098</v>
      </c>
    </row>
    <row r="4172" spans="1:1">
      <c r="A4172" s="145" t="s">
        <v>6099</v>
      </c>
    </row>
    <row r="4173" spans="1:1">
      <c r="A4173" s="145" t="s">
        <v>6100</v>
      </c>
    </row>
    <row r="4174" spans="1:1">
      <c r="A4174" s="145" t="s">
        <v>6101</v>
      </c>
    </row>
    <row r="4175" spans="1:1">
      <c r="A4175" s="145" t="s">
        <v>6102</v>
      </c>
    </row>
    <row r="4176" spans="1:1">
      <c r="A4176" s="145" t="s">
        <v>6103</v>
      </c>
    </row>
    <row r="4177" spans="1:1">
      <c r="A4177" s="145" t="s">
        <v>6104</v>
      </c>
    </row>
    <row r="4178" spans="1:1">
      <c r="A4178" s="145" t="s">
        <v>6105</v>
      </c>
    </row>
    <row r="4179" spans="1:1">
      <c r="A4179" s="145" t="s">
        <v>6106</v>
      </c>
    </row>
    <row r="4180" spans="1:1">
      <c r="A4180" s="145" t="s">
        <v>6107</v>
      </c>
    </row>
    <row r="4181" spans="1:1">
      <c r="A4181" s="145" t="s">
        <v>6108</v>
      </c>
    </row>
    <row r="4182" spans="1:1">
      <c r="A4182" s="145" t="s">
        <v>6109</v>
      </c>
    </row>
    <row r="4183" spans="1:1">
      <c r="A4183" s="145" t="s">
        <v>6110</v>
      </c>
    </row>
    <row r="4184" spans="1:1">
      <c r="A4184" s="145" t="s">
        <v>6111</v>
      </c>
    </row>
    <row r="4185" spans="1:1">
      <c r="A4185" s="145" t="s">
        <v>6112</v>
      </c>
    </row>
    <row r="4186" spans="1:1">
      <c r="A4186" s="145" t="s">
        <v>6113</v>
      </c>
    </row>
    <row r="4187" spans="1:1">
      <c r="A4187" s="145" t="s">
        <v>6114</v>
      </c>
    </row>
    <row r="4188" spans="1:1">
      <c r="A4188" s="145" t="s">
        <v>6115</v>
      </c>
    </row>
    <row r="4189" spans="1:1">
      <c r="A4189" s="145" t="s">
        <v>6116</v>
      </c>
    </row>
    <row r="4190" spans="1:1">
      <c r="A4190" s="145" t="s">
        <v>6117</v>
      </c>
    </row>
    <row r="4191" spans="1:1">
      <c r="A4191" s="145" t="s">
        <v>6118</v>
      </c>
    </row>
    <row r="4192" spans="1:1">
      <c r="A4192" s="145" t="s">
        <v>6119</v>
      </c>
    </row>
    <row r="4193" spans="1:1">
      <c r="A4193" s="145" t="s">
        <v>6120</v>
      </c>
    </row>
    <row r="4194" spans="1:1">
      <c r="A4194" s="145" t="s">
        <v>6121</v>
      </c>
    </row>
    <row r="4195" spans="1:1">
      <c r="A4195" s="145" t="s">
        <v>6122</v>
      </c>
    </row>
    <row r="4196" spans="1:1">
      <c r="A4196" s="145" t="s">
        <v>6123</v>
      </c>
    </row>
    <row r="4197" spans="1:1">
      <c r="A4197" s="145" t="s">
        <v>6124</v>
      </c>
    </row>
    <row r="4198" spans="1:1">
      <c r="A4198" s="145" t="s">
        <v>6125</v>
      </c>
    </row>
    <row r="4199" spans="1:1">
      <c r="A4199" s="145" t="s">
        <v>6126</v>
      </c>
    </row>
    <row r="4200" spans="1:1">
      <c r="A4200" s="145" t="s">
        <v>6127</v>
      </c>
    </row>
    <row r="4201" spans="1:1">
      <c r="A4201" s="145" t="s">
        <v>6128</v>
      </c>
    </row>
    <row r="4202" spans="1:1">
      <c r="A4202" s="145" t="s">
        <v>6129</v>
      </c>
    </row>
    <row r="4203" spans="1:1">
      <c r="A4203" s="145" t="s">
        <v>6130</v>
      </c>
    </row>
    <row r="4204" spans="1:1">
      <c r="A4204" s="145" t="s">
        <v>6131</v>
      </c>
    </row>
    <row r="4205" spans="1:1">
      <c r="A4205" s="145" t="s">
        <v>6132</v>
      </c>
    </row>
    <row r="4206" spans="1:1">
      <c r="A4206" s="145" t="s">
        <v>6133</v>
      </c>
    </row>
    <row r="4207" spans="1:1">
      <c r="A4207" s="145" t="s">
        <v>6134</v>
      </c>
    </row>
    <row r="4208" spans="1:1">
      <c r="A4208" s="145" t="s">
        <v>6135</v>
      </c>
    </row>
    <row r="4209" spans="1:1">
      <c r="A4209" s="145" t="s">
        <v>6136</v>
      </c>
    </row>
    <row r="4210" spans="1:1">
      <c r="A4210" s="145" t="s">
        <v>6137</v>
      </c>
    </row>
    <row r="4211" spans="1:1">
      <c r="A4211" s="145" t="s">
        <v>6138</v>
      </c>
    </row>
    <row r="4212" spans="1:1">
      <c r="A4212" s="145" t="s">
        <v>6139</v>
      </c>
    </row>
    <row r="4213" spans="1:1">
      <c r="A4213" s="145" t="s">
        <v>6140</v>
      </c>
    </row>
    <row r="4214" spans="1:1">
      <c r="A4214" s="145" t="s">
        <v>6141</v>
      </c>
    </row>
    <row r="4215" spans="1:1">
      <c r="A4215" s="145" t="s">
        <v>6142</v>
      </c>
    </row>
    <row r="4216" spans="1:1">
      <c r="A4216" s="145" t="s">
        <v>6143</v>
      </c>
    </row>
    <row r="4217" spans="1:1">
      <c r="A4217" s="145" t="s">
        <v>6144</v>
      </c>
    </row>
    <row r="4218" spans="1:1">
      <c r="A4218" s="145" t="s">
        <v>6145</v>
      </c>
    </row>
    <row r="4219" spans="1:1">
      <c r="A4219" s="145" t="s">
        <v>6146</v>
      </c>
    </row>
    <row r="4220" spans="1:1">
      <c r="A4220" s="145" t="s">
        <v>6147</v>
      </c>
    </row>
    <row r="4221" spans="1:1">
      <c r="A4221" s="145" t="s">
        <v>6148</v>
      </c>
    </row>
    <row r="4222" spans="1:1">
      <c r="A4222" s="145" t="s">
        <v>6149</v>
      </c>
    </row>
    <row r="4223" spans="1:1">
      <c r="A4223" s="145" t="s">
        <v>6150</v>
      </c>
    </row>
    <row r="4224" spans="1:1">
      <c r="A4224" s="145" t="s">
        <v>6151</v>
      </c>
    </row>
    <row r="4225" spans="1:1">
      <c r="A4225" s="145" t="s">
        <v>6152</v>
      </c>
    </row>
    <row r="4226" spans="1:1">
      <c r="A4226" s="145" t="s">
        <v>6153</v>
      </c>
    </row>
    <row r="4227" spans="1:1">
      <c r="A4227" s="145" t="s">
        <v>6154</v>
      </c>
    </row>
    <row r="4228" spans="1:1">
      <c r="A4228" s="145" t="s">
        <v>6155</v>
      </c>
    </row>
    <row r="4229" spans="1:1">
      <c r="A4229" s="145" t="s">
        <v>6156</v>
      </c>
    </row>
    <row r="4230" spans="1:1">
      <c r="A4230" s="145" t="s">
        <v>6157</v>
      </c>
    </row>
    <row r="4231" spans="1:1">
      <c r="A4231" s="145" t="s">
        <v>6158</v>
      </c>
    </row>
    <row r="4232" spans="1:1">
      <c r="A4232" s="145" t="s">
        <v>6159</v>
      </c>
    </row>
    <row r="4233" spans="1:1">
      <c r="A4233" s="145" t="s">
        <v>6160</v>
      </c>
    </row>
    <row r="4234" spans="1:1">
      <c r="A4234" s="145" t="s">
        <v>6161</v>
      </c>
    </row>
    <row r="4235" spans="1:1">
      <c r="A4235" s="145" t="s">
        <v>6162</v>
      </c>
    </row>
    <row r="4236" spans="1:1">
      <c r="A4236" s="145" t="s">
        <v>6163</v>
      </c>
    </row>
    <row r="4237" spans="1:1">
      <c r="A4237" s="145" t="s">
        <v>6164</v>
      </c>
    </row>
    <row r="4238" spans="1:1">
      <c r="A4238" s="145" t="s">
        <v>6165</v>
      </c>
    </row>
    <row r="4239" spans="1:1">
      <c r="A4239" s="145" t="s">
        <v>6166</v>
      </c>
    </row>
    <row r="4240" spans="1:1">
      <c r="A4240" s="145" t="s">
        <v>6167</v>
      </c>
    </row>
    <row r="4241" spans="1:1">
      <c r="A4241" s="145" t="s">
        <v>6168</v>
      </c>
    </row>
    <row r="4242" spans="1:1">
      <c r="A4242" s="145" t="s">
        <v>6169</v>
      </c>
    </row>
    <row r="4243" spans="1:1">
      <c r="A4243" s="145" t="s">
        <v>6170</v>
      </c>
    </row>
    <row r="4244" spans="1:1">
      <c r="A4244" s="145" t="s">
        <v>6171</v>
      </c>
    </row>
    <row r="4245" spans="1:1">
      <c r="A4245" s="145" t="s">
        <v>6172</v>
      </c>
    </row>
    <row r="4246" spans="1:1">
      <c r="A4246" s="145" t="s">
        <v>6173</v>
      </c>
    </row>
    <row r="4247" spans="1:1">
      <c r="A4247" s="145" t="s">
        <v>6174</v>
      </c>
    </row>
    <row r="4248" spans="1:1">
      <c r="A4248" s="145" t="s">
        <v>6175</v>
      </c>
    </row>
    <row r="4249" spans="1:1">
      <c r="A4249" s="145" t="s">
        <v>6176</v>
      </c>
    </row>
    <row r="4250" spans="1:1">
      <c r="A4250" s="145" t="s">
        <v>6177</v>
      </c>
    </row>
    <row r="4251" spans="1:1">
      <c r="A4251" s="145" t="s">
        <v>6178</v>
      </c>
    </row>
    <row r="4252" spans="1:1">
      <c r="A4252" s="145" t="s">
        <v>6179</v>
      </c>
    </row>
    <row r="4253" spans="1:1">
      <c r="A4253" s="145" t="s">
        <v>6180</v>
      </c>
    </row>
    <row r="4254" spans="1:1">
      <c r="A4254" s="145" t="s">
        <v>6181</v>
      </c>
    </row>
    <row r="4255" spans="1:1">
      <c r="A4255" s="145" t="s">
        <v>6182</v>
      </c>
    </row>
    <row r="4256" spans="1:1">
      <c r="A4256" s="145" t="s">
        <v>6183</v>
      </c>
    </row>
    <row r="4257" spans="1:1">
      <c r="A4257" s="145" t="s">
        <v>6184</v>
      </c>
    </row>
    <row r="4258" spans="1:1">
      <c r="A4258" s="145" t="s">
        <v>6185</v>
      </c>
    </row>
    <row r="4259" spans="1:1">
      <c r="A4259" s="145" t="s">
        <v>6186</v>
      </c>
    </row>
    <row r="4260" spans="1:1">
      <c r="A4260" s="145" t="s">
        <v>6187</v>
      </c>
    </row>
    <row r="4261" spans="1:1">
      <c r="A4261" s="145" t="s">
        <v>6188</v>
      </c>
    </row>
    <row r="4262" spans="1:1">
      <c r="A4262" s="145" t="s">
        <v>6189</v>
      </c>
    </row>
    <row r="4263" spans="1:1">
      <c r="A4263" s="145" t="s">
        <v>6190</v>
      </c>
    </row>
    <row r="4264" spans="1:1">
      <c r="A4264" s="145" t="s">
        <v>6191</v>
      </c>
    </row>
    <row r="4265" spans="1:1">
      <c r="A4265" s="145" t="s">
        <v>6192</v>
      </c>
    </row>
    <row r="4266" spans="1:1">
      <c r="A4266" s="145" t="s">
        <v>6193</v>
      </c>
    </row>
    <row r="4267" spans="1:1">
      <c r="A4267" s="145" t="s">
        <v>6194</v>
      </c>
    </row>
    <row r="4268" spans="1:1">
      <c r="A4268" s="145" t="s">
        <v>6195</v>
      </c>
    </row>
    <row r="4269" spans="1:1">
      <c r="A4269" s="145" t="s">
        <v>6196</v>
      </c>
    </row>
    <row r="4270" spans="1:1">
      <c r="A4270" s="145" t="s">
        <v>6197</v>
      </c>
    </row>
    <row r="4271" spans="1:1">
      <c r="A4271" s="145" t="s">
        <v>6198</v>
      </c>
    </row>
    <row r="4272" spans="1:1">
      <c r="A4272" s="145" t="s">
        <v>6199</v>
      </c>
    </row>
    <row r="4273" spans="1:1">
      <c r="A4273" s="145" t="s">
        <v>6200</v>
      </c>
    </row>
    <row r="4274" spans="1:1">
      <c r="A4274" s="145" t="s">
        <v>6201</v>
      </c>
    </row>
    <row r="4275" spans="1:1">
      <c r="A4275" s="145" t="s">
        <v>6202</v>
      </c>
    </row>
    <row r="4276" spans="1:1">
      <c r="A4276" s="145" t="s">
        <v>6203</v>
      </c>
    </row>
    <row r="4277" spans="1:1">
      <c r="A4277" s="145" t="s">
        <v>6204</v>
      </c>
    </row>
    <row r="4278" spans="1:1">
      <c r="A4278" s="145" t="s">
        <v>6205</v>
      </c>
    </row>
    <row r="4279" spans="1:1">
      <c r="A4279" s="145" t="s">
        <v>6206</v>
      </c>
    </row>
    <row r="4280" spans="1:1">
      <c r="A4280" s="145" t="s">
        <v>6207</v>
      </c>
    </row>
    <row r="4281" spans="1:1">
      <c r="A4281" s="145" t="s">
        <v>6208</v>
      </c>
    </row>
    <row r="4282" spans="1:1">
      <c r="A4282" s="145" t="s">
        <v>6209</v>
      </c>
    </row>
    <row r="4283" spans="1:1">
      <c r="A4283" s="145" t="s">
        <v>6210</v>
      </c>
    </row>
    <row r="4284" spans="1:1">
      <c r="A4284" s="145" t="s">
        <v>6211</v>
      </c>
    </row>
    <row r="4285" spans="1:1">
      <c r="A4285" s="145" t="s">
        <v>6212</v>
      </c>
    </row>
    <row r="4286" spans="1:1">
      <c r="A4286" s="145" t="s">
        <v>6213</v>
      </c>
    </row>
    <row r="4287" spans="1:1">
      <c r="A4287" s="145" t="s">
        <v>6214</v>
      </c>
    </row>
    <row r="4288" spans="1:1">
      <c r="A4288" s="145" t="s">
        <v>6215</v>
      </c>
    </row>
    <row r="4289" spans="1:1">
      <c r="A4289" s="145" t="s">
        <v>6216</v>
      </c>
    </row>
    <row r="4290" spans="1:1">
      <c r="A4290" s="145" t="s">
        <v>6217</v>
      </c>
    </row>
    <row r="4291" spans="1:1">
      <c r="A4291" s="145" t="s">
        <v>6218</v>
      </c>
    </row>
    <row r="4292" spans="1:1">
      <c r="A4292" s="145" t="s">
        <v>6219</v>
      </c>
    </row>
    <row r="4293" spans="1:1">
      <c r="A4293" s="145" t="s">
        <v>6220</v>
      </c>
    </row>
    <row r="4294" spans="1:1">
      <c r="A4294" s="145" t="s">
        <v>6221</v>
      </c>
    </row>
    <row r="4295" spans="1:1">
      <c r="A4295" s="145" t="s">
        <v>6222</v>
      </c>
    </row>
    <row r="4296" spans="1:1">
      <c r="A4296" s="145" t="s">
        <v>6223</v>
      </c>
    </row>
    <row r="4297" spans="1:1">
      <c r="A4297" s="145" t="s">
        <v>6224</v>
      </c>
    </row>
    <row r="4298" spans="1:1">
      <c r="A4298" s="145" t="s">
        <v>6225</v>
      </c>
    </row>
    <row r="4299" spans="1:1">
      <c r="A4299" s="145" t="s">
        <v>6226</v>
      </c>
    </row>
    <row r="4300" spans="1:1">
      <c r="A4300" s="145" t="s">
        <v>6227</v>
      </c>
    </row>
    <row r="4301" spans="1:1">
      <c r="A4301" s="145" t="s">
        <v>6228</v>
      </c>
    </row>
    <row r="4302" spans="1:1">
      <c r="A4302" s="145" t="s">
        <v>6229</v>
      </c>
    </row>
    <row r="4303" spans="1:1">
      <c r="A4303" s="145" t="s">
        <v>6230</v>
      </c>
    </row>
    <row r="4304" spans="1:1">
      <c r="A4304" s="145" t="s">
        <v>6231</v>
      </c>
    </row>
    <row r="4305" spans="1:1">
      <c r="A4305" s="145" t="s">
        <v>6232</v>
      </c>
    </row>
    <row r="4306" spans="1:1">
      <c r="A4306" s="145" t="s">
        <v>6233</v>
      </c>
    </row>
    <row r="4307" spans="1:1">
      <c r="A4307" s="145" t="s">
        <v>6234</v>
      </c>
    </row>
    <row r="4308" spans="1:1">
      <c r="A4308" s="145" t="s">
        <v>6235</v>
      </c>
    </row>
    <row r="4309" spans="1:1">
      <c r="A4309" s="145" t="s">
        <v>6236</v>
      </c>
    </row>
    <row r="4310" spans="1:1">
      <c r="A4310" s="145" t="s">
        <v>6237</v>
      </c>
    </row>
    <row r="4311" spans="1:1">
      <c r="A4311" s="145" t="s">
        <v>6238</v>
      </c>
    </row>
    <row r="4312" spans="1:1">
      <c r="A4312" s="145" t="s">
        <v>6239</v>
      </c>
    </row>
    <row r="4313" spans="1:1">
      <c r="A4313" s="145" t="s">
        <v>6240</v>
      </c>
    </row>
    <row r="4314" spans="1:1">
      <c r="A4314" s="145" t="s">
        <v>6241</v>
      </c>
    </row>
    <row r="4315" spans="1:1">
      <c r="A4315" s="145" t="s">
        <v>6242</v>
      </c>
    </row>
    <row r="4316" spans="1:1">
      <c r="A4316" s="145" t="s">
        <v>6243</v>
      </c>
    </row>
    <row r="4317" spans="1:1">
      <c r="A4317" s="145" t="s">
        <v>6244</v>
      </c>
    </row>
    <row r="4318" spans="1:1">
      <c r="A4318" s="145" t="s">
        <v>6245</v>
      </c>
    </row>
    <row r="4319" spans="1:1">
      <c r="A4319" s="145" t="s">
        <v>6246</v>
      </c>
    </row>
    <row r="4320" spans="1:1">
      <c r="A4320" s="145" t="s">
        <v>6247</v>
      </c>
    </row>
    <row r="4321" spans="1:1">
      <c r="A4321" s="145" t="s">
        <v>6248</v>
      </c>
    </row>
    <row r="4322" spans="1:1">
      <c r="A4322" s="145" t="s">
        <v>6249</v>
      </c>
    </row>
    <row r="4323" spans="1:1">
      <c r="A4323" s="145" t="s">
        <v>6250</v>
      </c>
    </row>
    <row r="4324" spans="1:1">
      <c r="A4324" s="145" t="s">
        <v>6251</v>
      </c>
    </row>
    <row r="4325" spans="1:1">
      <c r="A4325" s="145" t="s">
        <v>6252</v>
      </c>
    </row>
    <row r="4326" spans="1:1">
      <c r="A4326" s="145" t="s">
        <v>6253</v>
      </c>
    </row>
    <row r="4327" spans="1:1">
      <c r="A4327" s="145" t="s">
        <v>6254</v>
      </c>
    </row>
    <row r="4328" spans="1:1">
      <c r="A4328" s="145" t="s">
        <v>6255</v>
      </c>
    </row>
    <row r="4329" spans="1:1">
      <c r="A4329" s="145" t="s">
        <v>6256</v>
      </c>
    </row>
    <row r="4330" spans="1:1">
      <c r="A4330" s="145" t="s">
        <v>6257</v>
      </c>
    </row>
    <row r="4331" spans="1:1">
      <c r="A4331" s="145" t="s">
        <v>6258</v>
      </c>
    </row>
    <row r="4332" spans="1:1">
      <c r="A4332" s="145" t="s">
        <v>6259</v>
      </c>
    </row>
    <row r="4333" spans="1:1">
      <c r="A4333" s="145" t="s">
        <v>6260</v>
      </c>
    </row>
    <row r="4334" spans="1:1">
      <c r="A4334" s="145" t="s">
        <v>6261</v>
      </c>
    </row>
    <row r="4335" spans="1:1">
      <c r="A4335" s="145" t="s">
        <v>6262</v>
      </c>
    </row>
    <row r="4336" spans="1:1">
      <c r="A4336" s="145" t="s">
        <v>6263</v>
      </c>
    </row>
    <row r="4337" spans="1:1">
      <c r="A4337" s="145" t="s">
        <v>6264</v>
      </c>
    </row>
    <row r="4338" spans="1:1">
      <c r="A4338" s="145" t="s">
        <v>6265</v>
      </c>
    </row>
    <row r="4339" spans="1:1">
      <c r="A4339" s="145" t="s">
        <v>6266</v>
      </c>
    </row>
    <row r="4340" spans="1:1">
      <c r="A4340" s="145" t="s">
        <v>6267</v>
      </c>
    </row>
    <row r="4341" spans="1:1">
      <c r="A4341" s="145" t="s">
        <v>6268</v>
      </c>
    </row>
    <row r="4342" spans="1:1">
      <c r="A4342" s="145" t="s">
        <v>6269</v>
      </c>
    </row>
    <row r="4343" spans="1:1">
      <c r="A4343" s="145" t="s">
        <v>6270</v>
      </c>
    </row>
    <row r="4344" spans="1:1">
      <c r="A4344" s="145" t="s">
        <v>6271</v>
      </c>
    </row>
    <row r="4345" spans="1:1">
      <c r="A4345" s="145" t="s">
        <v>6272</v>
      </c>
    </row>
    <row r="4346" spans="1:1">
      <c r="A4346" s="145" t="s">
        <v>6273</v>
      </c>
    </row>
    <row r="4347" spans="1:1">
      <c r="A4347" s="145" t="s">
        <v>6274</v>
      </c>
    </row>
    <row r="4348" spans="1:1">
      <c r="A4348" s="145" t="s">
        <v>6275</v>
      </c>
    </row>
    <row r="4349" spans="1:1">
      <c r="A4349" s="145" t="s">
        <v>6276</v>
      </c>
    </row>
    <row r="4350" spans="1:1">
      <c r="A4350" s="145" t="s">
        <v>6277</v>
      </c>
    </row>
    <row r="4351" spans="1:1">
      <c r="A4351" s="145" t="s">
        <v>6278</v>
      </c>
    </row>
    <row r="4352" spans="1:1">
      <c r="A4352" s="145" t="s">
        <v>6279</v>
      </c>
    </row>
    <row r="4353" spans="1:1">
      <c r="A4353" s="145" t="s">
        <v>6280</v>
      </c>
    </row>
    <row r="4354" spans="1:1">
      <c r="A4354" s="145" t="s">
        <v>6281</v>
      </c>
    </row>
    <row r="4355" spans="1:1">
      <c r="A4355" s="145" t="s">
        <v>6282</v>
      </c>
    </row>
    <row r="4356" spans="1:1">
      <c r="A4356" s="145" t="s">
        <v>6283</v>
      </c>
    </row>
    <row r="4357" spans="1:1">
      <c r="A4357" s="145" t="s">
        <v>6284</v>
      </c>
    </row>
    <row r="4358" spans="1:1">
      <c r="A4358" s="145" t="s">
        <v>6285</v>
      </c>
    </row>
    <row r="4359" spans="1:1">
      <c r="A4359" s="145" t="s">
        <v>6286</v>
      </c>
    </row>
    <row r="4360" spans="1:1">
      <c r="A4360" s="145" t="s">
        <v>6287</v>
      </c>
    </row>
    <row r="4361" spans="1:1">
      <c r="A4361" s="145" t="s">
        <v>6288</v>
      </c>
    </row>
    <row r="4362" spans="1:1">
      <c r="A4362" s="145" t="s">
        <v>6289</v>
      </c>
    </row>
    <row r="4363" spans="1:1">
      <c r="A4363" s="145" t="s">
        <v>6290</v>
      </c>
    </row>
    <row r="4364" spans="1:1">
      <c r="A4364" s="145" t="s">
        <v>6291</v>
      </c>
    </row>
    <row r="4365" spans="1:1">
      <c r="A4365" s="145" t="s">
        <v>6292</v>
      </c>
    </row>
    <row r="4366" spans="1:1">
      <c r="A4366" s="145" t="s">
        <v>6293</v>
      </c>
    </row>
    <row r="4367" spans="1:1">
      <c r="A4367" s="145" t="s">
        <v>6294</v>
      </c>
    </row>
    <row r="4368" spans="1:1">
      <c r="A4368" s="145" t="s">
        <v>6295</v>
      </c>
    </row>
    <row r="4369" spans="1:1">
      <c r="A4369" s="145" t="s">
        <v>6296</v>
      </c>
    </row>
    <row r="4370" spans="1:1">
      <c r="A4370" s="145" t="s">
        <v>6297</v>
      </c>
    </row>
    <row r="4371" spans="1:1">
      <c r="A4371" s="145" t="s">
        <v>6298</v>
      </c>
    </row>
    <row r="4372" spans="1:1">
      <c r="A4372" s="145" t="s">
        <v>6299</v>
      </c>
    </row>
    <row r="4373" spans="1:1">
      <c r="A4373" s="145" t="s">
        <v>6300</v>
      </c>
    </row>
    <row r="4374" spans="1:1">
      <c r="A4374" s="145" t="s">
        <v>6301</v>
      </c>
    </row>
    <row r="4375" spans="1:1">
      <c r="A4375" s="145" t="s">
        <v>6302</v>
      </c>
    </row>
    <row r="4376" spans="1:1">
      <c r="A4376" s="145" t="s">
        <v>6303</v>
      </c>
    </row>
    <row r="4377" spans="1:1">
      <c r="A4377" s="145" t="s">
        <v>6304</v>
      </c>
    </row>
    <row r="4378" spans="1:1">
      <c r="A4378" s="145" t="s">
        <v>6305</v>
      </c>
    </row>
    <row r="4379" spans="1:1">
      <c r="A4379" s="145" t="s">
        <v>6306</v>
      </c>
    </row>
    <row r="4380" spans="1:1">
      <c r="A4380" s="145" t="s">
        <v>6307</v>
      </c>
    </row>
    <row r="4381" spans="1:1">
      <c r="A4381" s="145" t="s">
        <v>6308</v>
      </c>
    </row>
    <row r="4382" spans="1:1">
      <c r="A4382" s="145" t="s">
        <v>6309</v>
      </c>
    </row>
    <row r="4383" spans="1:1">
      <c r="A4383" s="145" t="s">
        <v>6310</v>
      </c>
    </row>
    <row r="4384" spans="1:1">
      <c r="A4384" s="145" t="s">
        <v>6311</v>
      </c>
    </row>
    <row r="4385" spans="1:1">
      <c r="A4385" s="145" t="s">
        <v>6312</v>
      </c>
    </row>
    <row r="4386" spans="1:1">
      <c r="A4386" s="145" t="s">
        <v>6313</v>
      </c>
    </row>
    <row r="4387" spans="1:1">
      <c r="A4387" s="145" t="s">
        <v>6314</v>
      </c>
    </row>
    <row r="4388" spans="1:1">
      <c r="A4388" s="145" t="s">
        <v>6315</v>
      </c>
    </row>
    <row r="4389" spans="1:1">
      <c r="A4389" s="145" t="s">
        <v>6316</v>
      </c>
    </row>
    <row r="4390" spans="1:1">
      <c r="A4390" s="145" t="s">
        <v>6317</v>
      </c>
    </row>
    <row r="4391" spans="1:1">
      <c r="A4391" s="145" t="s">
        <v>6318</v>
      </c>
    </row>
    <row r="4392" spans="1:1">
      <c r="A4392" s="145" t="s">
        <v>6319</v>
      </c>
    </row>
    <row r="4393" spans="1:1">
      <c r="A4393" s="145" t="s">
        <v>6320</v>
      </c>
    </row>
    <row r="4394" spans="1:1">
      <c r="A4394" s="145" t="s">
        <v>6321</v>
      </c>
    </row>
    <row r="4395" spans="1:1">
      <c r="A4395" s="145" t="s">
        <v>6322</v>
      </c>
    </row>
    <row r="4396" spans="1:1">
      <c r="A4396" s="145" t="s">
        <v>6323</v>
      </c>
    </row>
    <row r="4397" spans="1:1">
      <c r="A4397" s="145" t="s">
        <v>6324</v>
      </c>
    </row>
    <row r="4398" spans="1:1">
      <c r="A4398" s="145" t="s">
        <v>6325</v>
      </c>
    </row>
    <row r="4399" spans="1:1">
      <c r="A4399" s="145" t="s">
        <v>6326</v>
      </c>
    </row>
    <row r="4400" spans="1:1">
      <c r="A4400" s="145" t="s">
        <v>6327</v>
      </c>
    </row>
    <row r="4401" spans="1:1">
      <c r="A4401" s="145" t="s">
        <v>6328</v>
      </c>
    </row>
    <row r="4402" spans="1:1">
      <c r="A4402" s="145" t="s">
        <v>6329</v>
      </c>
    </row>
    <row r="4403" spans="1:1">
      <c r="A4403" s="145" t="s">
        <v>6330</v>
      </c>
    </row>
    <row r="4404" spans="1:1">
      <c r="A4404" s="145" t="s">
        <v>6331</v>
      </c>
    </row>
    <row r="4405" spans="1:1">
      <c r="A4405" s="145" t="s">
        <v>6332</v>
      </c>
    </row>
    <row r="4406" spans="1:1">
      <c r="A4406" s="145" t="s">
        <v>6333</v>
      </c>
    </row>
    <row r="4407" spans="1:1">
      <c r="A4407" s="145" t="s">
        <v>6334</v>
      </c>
    </row>
    <row r="4408" spans="1:1">
      <c r="A4408" s="145" t="s">
        <v>6335</v>
      </c>
    </row>
    <row r="4409" spans="1:1">
      <c r="A4409" s="145" t="s">
        <v>6336</v>
      </c>
    </row>
    <row r="4410" spans="1:1">
      <c r="A4410" s="145" t="s">
        <v>6337</v>
      </c>
    </row>
    <row r="4411" spans="1:1">
      <c r="A4411" s="145" t="s">
        <v>6338</v>
      </c>
    </row>
    <row r="4412" spans="1:1">
      <c r="A4412" s="145" t="s">
        <v>6339</v>
      </c>
    </row>
    <row r="4413" spans="1:1">
      <c r="A4413" s="145" t="s">
        <v>6340</v>
      </c>
    </row>
    <row r="4414" spans="1:1">
      <c r="A4414" s="145" t="s">
        <v>6341</v>
      </c>
    </row>
    <row r="4415" spans="1:1">
      <c r="A4415" s="145" t="s">
        <v>6342</v>
      </c>
    </row>
    <row r="4416" spans="1:1">
      <c r="A4416" s="145" t="s">
        <v>6343</v>
      </c>
    </row>
    <row r="4417" spans="1:1">
      <c r="A4417" s="145" t="s">
        <v>6344</v>
      </c>
    </row>
    <row r="4418" spans="1:1">
      <c r="A4418" s="145" t="s">
        <v>6345</v>
      </c>
    </row>
    <row r="4419" spans="1:1">
      <c r="A4419" s="145" t="s">
        <v>6346</v>
      </c>
    </row>
    <row r="4420" spans="1:1">
      <c r="A4420" s="145" t="s">
        <v>6347</v>
      </c>
    </row>
    <row r="4421" spans="1:1">
      <c r="A4421" s="145" t="s">
        <v>6348</v>
      </c>
    </row>
    <row r="4422" spans="1:1">
      <c r="A4422" s="145" t="s">
        <v>6349</v>
      </c>
    </row>
    <row r="4423" spans="1:1">
      <c r="A4423" s="145" t="s">
        <v>6350</v>
      </c>
    </row>
    <row r="4424" spans="1:1">
      <c r="A4424" s="145" t="s">
        <v>6351</v>
      </c>
    </row>
    <row r="4425" spans="1:1">
      <c r="A4425" s="145" t="s">
        <v>6352</v>
      </c>
    </row>
    <row r="4426" spans="1:1">
      <c r="A4426" s="145" t="s">
        <v>6353</v>
      </c>
    </row>
    <row r="4427" spans="1:1">
      <c r="A4427" s="145" t="s">
        <v>6354</v>
      </c>
    </row>
    <row r="4428" spans="1:1">
      <c r="A4428" s="145" t="s">
        <v>6355</v>
      </c>
    </row>
    <row r="4429" spans="1:1">
      <c r="A4429" s="145" t="s">
        <v>6356</v>
      </c>
    </row>
    <row r="4430" spans="1:1">
      <c r="A4430" s="145" t="s">
        <v>6357</v>
      </c>
    </row>
    <row r="4431" spans="1:1">
      <c r="A4431" s="145" t="s">
        <v>6358</v>
      </c>
    </row>
    <row r="4432" spans="1:1">
      <c r="A4432" s="145" t="s">
        <v>6359</v>
      </c>
    </row>
    <row r="4433" spans="1:1">
      <c r="A4433" s="145" t="s">
        <v>6360</v>
      </c>
    </row>
    <row r="4434" spans="1:1">
      <c r="A4434" s="145" t="s">
        <v>6361</v>
      </c>
    </row>
    <row r="4435" spans="1:1">
      <c r="A4435" s="145" t="s">
        <v>6362</v>
      </c>
    </row>
    <row r="4436" spans="1:1">
      <c r="A4436" s="145" t="s">
        <v>6363</v>
      </c>
    </row>
    <row r="4437" spans="1:1">
      <c r="A4437" s="145" t="s">
        <v>6364</v>
      </c>
    </row>
    <row r="4438" spans="1:1">
      <c r="A4438" s="145" t="s">
        <v>6365</v>
      </c>
    </row>
    <row r="4439" spans="1:1">
      <c r="A4439" s="145" t="s">
        <v>6366</v>
      </c>
    </row>
    <row r="4440" spans="1:1">
      <c r="A4440" s="145" t="s">
        <v>6367</v>
      </c>
    </row>
    <row r="4441" spans="1:1">
      <c r="A4441" s="145" t="s">
        <v>6368</v>
      </c>
    </row>
    <row r="4442" spans="1:1">
      <c r="A4442" s="145" t="s">
        <v>6369</v>
      </c>
    </row>
    <row r="4443" spans="1:1">
      <c r="A4443" s="145" t="s">
        <v>6370</v>
      </c>
    </row>
    <row r="4444" spans="1:1">
      <c r="A4444" s="145" t="s">
        <v>6371</v>
      </c>
    </row>
    <row r="4445" spans="1:1">
      <c r="A4445" s="145" t="s">
        <v>6372</v>
      </c>
    </row>
    <row r="4446" spans="1:1">
      <c r="A4446" s="145" t="s">
        <v>6373</v>
      </c>
    </row>
    <row r="4447" spans="1:1">
      <c r="A4447" s="145" t="s">
        <v>6374</v>
      </c>
    </row>
    <row r="4448" spans="1:1">
      <c r="A4448" s="145" t="s">
        <v>6375</v>
      </c>
    </row>
    <row r="4449" spans="1:1">
      <c r="A4449" s="145" t="s">
        <v>6376</v>
      </c>
    </row>
    <row r="4450" spans="1:1">
      <c r="A4450" s="145" t="s">
        <v>6377</v>
      </c>
    </row>
    <row r="4451" spans="1:1">
      <c r="A4451" s="145" t="s">
        <v>6378</v>
      </c>
    </row>
    <row r="4452" spans="1:1">
      <c r="A4452" s="145" t="s">
        <v>6379</v>
      </c>
    </row>
    <row r="4453" spans="1:1">
      <c r="A4453" s="145" t="s">
        <v>6380</v>
      </c>
    </row>
    <row r="4454" spans="1:1">
      <c r="A4454" s="145" t="s">
        <v>6381</v>
      </c>
    </row>
    <row r="4455" spans="1:1">
      <c r="A4455" s="145" t="s">
        <v>6382</v>
      </c>
    </row>
    <row r="4456" spans="1:1">
      <c r="A4456" s="145" t="s">
        <v>6383</v>
      </c>
    </row>
    <row r="4457" spans="1:1">
      <c r="A4457" s="145" t="s">
        <v>6384</v>
      </c>
    </row>
    <row r="4458" spans="1:1">
      <c r="A4458" s="145" t="s">
        <v>6385</v>
      </c>
    </row>
    <row r="4459" spans="1:1">
      <c r="A4459" s="145" t="s">
        <v>6386</v>
      </c>
    </row>
    <row r="4460" spans="1:1">
      <c r="A4460" s="145" t="s">
        <v>6387</v>
      </c>
    </row>
    <row r="4461" spans="1:1">
      <c r="A4461" s="145" t="s">
        <v>6388</v>
      </c>
    </row>
    <row r="4462" spans="1:1">
      <c r="A4462" s="145" t="s">
        <v>6389</v>
      </c>
    </row>
    <row r="4463" spans="1:1">
      <c r="A4463" s="145" t="s">
        <v>6390</v>
      </c>
    </row>
    <row r="4464" spans="1:1">
      <c r="A4464" s="145" t="s">
        <v>6391</v>
      </c>
    </row>
    <row r="4465" spans="1:1">
      <c r="A4465" s="145" t="s">
        <v>6392</v>
      </c>
    </row>
    <row r="4466" spans="1:1">
      <c r="A4466" s="145" t="s">
        <v>6393</v>
      </c>
    </row>
    <row r="4467" spans="1:1">
      <c r="A4467" s="145" t="s">
        <v>6394</v>
      </c>
    </row>
    <row r="4468" spans="1:1">
      <c r="A4468" s="145" t="s">
        <v>6395</v>
      </c>
    </row>
    <row r="4469" spans="1:1">
      <c r="A4469" s="145" t="s">
        <v>6396</v>
      </c>
    </row>
    <row r="4470" spans="1:1">
      <c r="A4470" s="145" t="s">
        <v>6397</v>
      </c>
    </row>
    <row r="4471" spans="1:1">
      <c r="A4471" s="145" t="s">
        <v>6398</v>
      </c>
    </row>
    <row r="4472" spans="1:1">
      <c r="A4472" s="145" t="s">
        <v>6399</v>
      </c>
    </row>
    <row r="4473" spans="1:1">
      <c r="A4473" s="145" t="s">
        <v>6400</v>
      </c>
    </row>
    <row r="4474" spans="1:1">
      <c r="A4474" s="145" t="s">
        <v>6401</v>
      </c>
    </row>
    <row r="4475" spans="1:1">
      <c r="A4475" s="145" t="s">
        <v>6402</v>
      </c>
    </row>
    <row r="4476" spans="1:1">
      <c r="A4476" s="145" t="s">
        <v>6403</v>
      </c>
    </row>
    <row r="4477" spans="1:1">
      <c r="A4477" s="145" t="s">
        <v>6404</v>
      </c>
    </row>
    <row r="4478" spans="1:1">
      <c r="A4478" s="145" t="s">
        <v>6405</v>
      </c>
    </row>
    <row r="4479" spans="1:1">
      <c r="A4479" s="145" t="s">
        <v>6406</v>
      </c>
    </row>
    <row r="4480" spans="1:1">
      <c r="A4480" s="145" t="s">
        <v>6407</v>
      </c>
    </row>
    <row r="4481" spans="1:1">
      <c r="A4481" s="145" t="s">
        <v>6408</v>
      </c>
    </row>
    <row r="4482" spans="1:1">
      <c r="A4482" s="145" t="s">
        <v>6409</v>
      </c>
    </row>
    <row r="4483" spans="1:1">
      <c r="A4483" s="145" t="s">
        <v>6410</v>
      </c>
    </row>
    <row r="4484" spans="1:1">
      <c r="A4484" s="145" t="s">
        <v>6411</v>
      </c>
    </row>
    <row r="4485" spans="1:1">
      <c r="A4485" s="145" t="s">
        <v>6412</v>
      </c>
    </row>
    <row r="4486" spans="1:1">
      <c r="A4486" s="145" t="s">
        <v>6413</v>
      </c>
    </row>
    <row r="4487" spans="1:1">
      <c r="A4487" s="145" t="s">
        <v>6414</v>
      </c>
    </row>
    <row r="4488" spans="1:1">
      <c r="A4488" s="145" t="s">
        <v>6415</v>
      </c>
    </row>
    <row r="4489" spans="1:1">
      <c r="A4489" s="145" t="s">
        <v>6416</v>
      </c>
    </row>
    <row r="4490" spans="1:1">
      <c r="A4490" s="145" t="s">
        <v>6417</v>
      </c>
    </row>
    <row r="4491" spans="1:1">
      <c r="A4491" s="145" t="s">
        <v>6418</v>
      </c>
    </row>
    <row r="4492" spans="1:1">
      <c r="A4492" s="145" t="s">
        <v>6419</v>
      </c>
    </row>
    <row r="4493" spans="1:1">
      <c r="A4493" s="145" t="s">
        <v>6420</v>
      </c>
    </row>
    <row r="4494" spans="1:1">
      <c r="A4494" s="145" t="s">
        <v>6421</v>
      </c>
    </row>
    <row r="4495" spans="1:1">
      <c r="A4495" s="145" t="s">
        <v>6422</v>
      </c>
    </row>
    <row r="4496" spans="1:1">
      <c r="A4496" s="145" t="s">
        <v>6423</v>
      </c>
    </row>
    <row r="4497" spans="1:1">
      <c r="A4497" s="145" t="s">
        <v>6424</v>
      </c>
    </row>
    <row r="4498" spans="1:1">
      <c r="A4498" s="145" t="s">
        <v>6425</v>
      </c>
    </row>
    <row r="4499" spans="1:1">
      <c r="A4499" s="145" t="s">
        <v>6426</v>
      </c>
    </row>
    <row r="4500" spans="1:1">
      <c r="A4500" s="145" t="s">
        <v>6427</v>
      </c>
    </row>
    <row r="4501" spans="1:1">
      <c r="A4501" s="145" t="s">
        <v>6428</v>
      </c>
    </row>
    <row r="4502" spans="1:1">
      <c r="A4502" s="145" t="s">
        <v>6429</v>
      </c>
    </row>
    <row r="4503" spans="1:1">
      <c r="A4503" s="145" t="s">
        <v>6430</v>
      </c>
    </row>
    <row r="4504" spans="1:1">
      <c r="A4504" s="145" t="s">
        <v>6431</v>
      </c>
    </row>
    <row r="4505" spans="1:1">
      <c r="A4505" s="145" t="s">
        <v>6432</v>
      </c>
    </row>
    <row r="4506" spans="1:1">
      <c r="A4506" s="145" t="s">
        <v>6433</v>
      </c>
    </row>
    <row r="4507" spans="1:1">
      <c r="A4507" s="145" t="s">
        <v>6434</v>
      </c>
    </row>
    <row r="4508" spans="1:1">
      <c r="A4508" s="145" t="s">
        <v>6435</v>
      </c>
    </row>
    <row r="4509" spans="1:1">
      <c r="A4509" s="145" t="s">
        <v>6436</v>
      </c>
    </row>
    <row r="4510" spans="1:1">
      <c r="A4510" s="145" t="s">
        <v>6437</v>
      </c>
    </row>
    <row r="4511" spans="1:1">
      <c r="A4511" s="145" t="s">
        <v>6438</v>
      </c>
    </row>
    <row r="4512" spans="1:1">
      <c r="A4512" s="145" t="s">
        <v>6439</v>
      </c>
    </row>
    <row r="4513" spans="1:1">
      <c r="A4513" s="145" t="s">
        <v>6440</v>
      </c>
    </row>
    <row r="4514" spans="1:1">
      <c r="A4514" s="145" t="s">
        <v>6441</v>
      </c>
    </row>
    <row r="4515" spans="1:1">
      <c r="A4515" s="145" t="s">
        <v>6442</v>
      </c>
    </row>
    <row r="4516" spans="1:1">
      <c r="A4516" s="145" t="s">
        <v>6443</v>
      </c>
    </row>
    <row r="4517" spans="1:1">
      <c r="A4517" s="145" t="s">
        <v>6444</v>
      </c>
    </row>
    <row r="4518" spans="1:1">
      <c r="A4518" s="145" t="s">
        <v>6445</v>
      </c>
    </row>
    <row r="4519" spans="1:1">
      <c r="A4519" s="145" t="s">
        <v>6446</v>
      </c>
    </row>
    <row r="4520" spans="1:1">
      <c r="A4520" s="145" t="s">
        <v>6447</v>
      </c>
    </row>
    <row r="4521" spans="1:1">
      <c r="A4521" s="145" t="s">
        <v>6448</v>
      </c>
    </row>
    <row r="4522" spans="1:1">
      <c r="A4522" s="145" t="s">
        <v>6449</v>
      </c>
    </row>
    <row r="4523" spans="1:1">
      <c r="A4523" s="145" t="s">
        <v>6450</v>
      </c>
    </row>
    <row r="4524" spans="1:1">
      <c r="A4524" s="145" t="s">
        <v>6451</v>
      </c>
    </row>
    <row r="4525" spans="1:1">
      <c r="A4525" s="145" t="s">
        <v>6452</v>
      </c>
    </row>
    <row r="4526" spans="1:1">
      <c r="A4526" s="145" t="s">
        <v>6453</v>
      </c>
    </row>
    <row r="4527" spans="1:1">
      <c r="A4527" s="145" t="s">
        <v>6454</v>
      </c>
    </row>
    <row r="4528" spans="1:1">
      <c r="A4528" s="145" t="s">
        <v>6455</v>
      </c>
    </row>
    <row r="4529" spans="1:1">
      <c r="A4529" s="145" t="s">
        <v>6456</v>
      </c>
    </row>
    <row r="4530" spans="1:1">
      <c r="A4530" s="145" t="s">
        <v>6457</v>
      </c>
    </row>
    <row r="4531" spans="1:1">
      <c r="A4531" s="145" t="s">
        <v>6458</v>
      </c>
    </row>
    <row r="4532" spans="1:1">
      <c r="A4532" s="145" t="s">
        <v>6459</v>
      </c>
    </row>
    <row r="4533" spans="1:1">
      <c r="A4533" s="145" t="s">
        <v>6460</v>
      </c>
    </row>
    <row r="4534" spans="1:1">
      <c r="A4534" s="145" t="s">
        <v>6461</v>
      </c>
    </row>
    <row r="4535" spans="1:1">
      <c r="A4535" s="145" t="s">
        <v>6462</v>
      </c>
    </row>
    <row r="4536" spans="1:1">
      <c r="A4536" s="145" t="s">
        <v>6463</v>
      </c>
    </row>
    <row r="4537" spans="1:1">
      <c r="A4537" s="145" t="s">
        <v>6464</v>
      </c>
    </row>
    <row r="4538" spans="1:1">
      <c r="A4538" s="145" t="s">
        <v>6465</v>
      </c>
    </row>
    <row r="4539" spans="1:1">
      <c r="A4539" s="145" t="s">
        <v>6466</v>
      </c>
    </row>
    <row r="4540" spans="1:1">
      <c r="A4540" s="145" t="s">
        <v>6467</v>
      </c>
    </row>
    <row r="4541" spans="1:1">
      <c r="A4541" s="145" t="s">
        <v>6468</v>
      </c>
    </row>
    <row r="4542" spans="1:1">
      <c r="A4542" s="145" t="s">
        <v>6469</v>
      </c>
    </row>
    <row r="4543" spans="1:1">
      <c r="A4543" s="145" t="s">
        <v>6470</v>
      </c>
    </row>
    <row r="4544" spans="1:1">
      <c r="A4544" s="145" t="s">
        <v>6471</v>
      </c>
    </row>
    <row r="4545" spans="1:1">
      <c r="A4545" s="145" t="s">
        <v>6472</v>
      </c>
    </row>
    <row r="4546" spans="1:1">
      <c r="A4546" s="145" t="s">
        <v>6473</v>
      </c>
    </row>
    <row r="4547" spans="1:1">
      <c r="A4547" s="145" t="s">
        <v>6474</v>
      </c>
    </row>
    <row r="4548" spans="1:1">
      <c r="A4548" s="145" t="s">
        <v>6475</v>
      </c>
    </row>
    <row r="4549" spans="1:1">
      <c r="A4549" s="145" t="s">
        <v>6476</v>
      </c>
    </row>
    <row r="4550" spans="1:1">
      <c r="A4550" s="145" t="s">
        <v>6477</v>
      </c>
    </row>
    <row r="4551" spans="1:1">
      <c r="A4551" s="145" t="s">
        <v>6478</v>
      </c>
    </row>
    <row r="4552" spans="1:1">
      <c r="A4552" s="145" t="s">
        <v>6479</v>
      </c>
    </row>
    <row r="4553" spans="1:1">
      <c r="A4553" s="145" t="s">
        <v>6480</v>
      </c>
    </row>
    <row r="4554" spans="1:1">
      <c r="A4554" s="145" t="s">
        <v>6481</v>
      </c>
    </row>
    <row r="4555" spans="1:1">
      <c r="A4555" s="145" t="s">
        <v>6482</v>
      </c>
    </row>
    <row r="4556" spans="1:1">
      <c r="A4556" s="145" t="s">
        <v>6483</v>
      </c>
    </row>
    <row r="4557" spans="1:1">
      <c r="A4557" s="145" t="s">
        <v>6484</v>
      </c>
    </row>
    <row r="4558" spans="1:1">
      <c r="A4558" s="145" t="s">
        <v>6485</v>
      </c>
    </row>
    <row r="4559" spans="1:1">
      <c r="A4559" s="145" t="s">
        <v>6486</v>
      </c>
    </row>
    <row r="4560" spans="1:1">
      <c r="A4560" s="145" t="s">
        <v>6487</v>
      </c>
    </row>
    <row r="4561" spans="1:1">
      <c r="A4561" s="145" t="s">
        <v>6488</v>
      </c>
    </row>
    <row r="4562" spans="1:1">
      <c r="A4562" s="145" t="s">
        <v>6489</v>
      </c>
    </row>
    <row r="4563" spans="1:1">
      <c r="A4563" s="145" t="s">
        <v>6490</v>
      </c>
    </row>
    <row r="4564" spans="1:1">
      <c r="A4564" s="145" t="s">
        <v>6491</v>
      </c>
    </row>
    <row r="4565" spans="1:1">
      <c r="A4565" s="145" t="s">
        <v>6492</v>
      </c>
    </row>
    <row r="4566" spans="1:1">
      <c r="A4566" s="145" t="s">
        <v>6493</v>
      </c>
    </row>
    <row r="4567" spans="1:1">
      <c r="A4567" s="145" t="s">
        <v>6494</v>
      </c>
    </row>
    <row r="4568" spans="1:1">
      <c r="A4568" s="145" t="s">
        <v>6495</v>
      </c>
    </row>
    <row r="4569" spans="1:1">
      <c r="A4569" s="145" t="s">
        <v>6496</v>
      </c>
    </row>
    <row r="4570" spans="1:1">
      <c r="A4570" s="145" t="s">
        <v>6497</v>
      </c>
    </row>
    <row r="4571" spans="1:1">
      <c r="A4571" s="145" t="s">
        <v>6498</v>
      </c>
    </row>
    <row r="4572" spans="1:1">
      <c r="A4572" s="145" t="s">
        <v>6499</v>
      </c>
    </row>
    <row r="4573" spans="1:1">
      <c r="A4573" s="145" t="s">
        <v>6500</v>
      </c>
    </row>
    <row r="4574" spans="1:1">
      <c r="A4574" s="145" t="s">
        <v>6501</v>
      </c>
    </row>
    <row r="4575" spans="1:1">
      <c r="A4575" s="145" t="s">
        <v>6502</v>
      </c>
    </row>
    <row r="4576" spans="1:1">
      <c r="A4576" s="145" t="s">
        <v>6503</v>
      </c>
    </row>
    <row r="4577" spans="1:1">
      <c r="A4577" s="145" t="s">
        <v>6504</v>
      </c>
    </row>
    <row r="4578" spans="1:1">
      <c r="A4578" s="145" t="s">
        <v>6505</v>
      </c>
    </row>
    <row r="4579" spans="1:1">
      <c r="A4579" s="145" t="s">
        <v>6506</v>
      </c>
    </row>
    <row r="4580" spans="1:1">
      <c r="A4580" s="145" t="s">
        <v>6507</v>
      </c>
    </row>
    <row r="4581" spans="1:1">
      <c r="A4581" s="145" t="s">
        <v>6508</v>
      </c>
    </row>
    <row r="4582" spans="1:1">
      <c r="A4582" s="145" t="s">
        <v>6509</v>
      </c>
    </row>
    <row r="4583" spans="1:1">
      <c r="A4583" s="145" t="s">
        <v>6510</v>
      </c>
    </row>
    <row r="4584" spans="1:1">
      <c r="A4584" s="145" t="s">
        <v>6511</v>
      </c>
    </row>
    <row r="4585" spans="1:1">
      <c r="A4585" s="145" t="s">
        <v>6512</v>
      </c>
    </row>
    <row r="4586" spans="1:1">
      <c r="A4586" s="145" t="s">
        <v>6513</v>
      </c>
    </row>
    <row r="4587" spans="1:1">
      <c r="A4587" s="145" t="s">
        <v>6514</v>
      </c>
    </row>
    <row r="4588" spans="1:1">
      <c r="A4588" s="145" t="s">
        <v>6515</v>
      </c>
    </row>
    <row r="4589" spans="1:1">
      <c r="A4589" s="145" t="s">
        <v>6516</v>
      </c>
    </row>
    <row r="4590" spans="1:1">
      <c r="A4590" s="145" t="s">
        <v>6517</v>
      </c>
    </row>
    <row r="4591" spans="1:1">
      <c r="A4591" s="145" t="s">
        <v>6518</v>
      </c>
    </row>
    <row r="4592" spans="1:1">
      <c r="A4592" s="145" t="s">
        <v>6519</v>
      </c>
    </row>
    <row r="4593" spans="1:1">
      <c r="A4593" s="145" t="s">
        <v>6520</v>
      </c>
    </row>
    <row r="4594" spans="1:1">
      <c r="A4594" s="145" t="s">
        <v>6521</v>
      </c>
    </row>
    <row r="4595" spans="1:1">
      <c r="A4595" s="145" t="s">
        <v>6522</v>
      </c>
    </row>
    <row r="4596" spans="1:1">
      <c r="A4596" s="145" t="s">
        <v>6523</v>
      </c>
    </row>
    <row r="4597" spans="1:1">
      <c r="A4597" s="145" t="s">
        <v>6524</v>
      </c>
    </row>
    <row r="4598" spans="1:1">
      <c r="A4598" s="145" t="s">
        <v>6525</v>
      </c>
    </row>
    <row r="4599" spans="1:1">
      <c r="A4599" s="145" t="s">
        <v>6526</v>
      </c>
    </row>
    <row r="4600" spans="1:1">
      <c r="A4600" s="145" t="s">
        <v>6527</v>
      </c>
    </row>
    <row r="4601" spans="1:1">
      <c r="A4601" s="145" t="s">
        <v>6528</v>
      </c>
    </row>
    <row r="4602" spans="1:1">
      <c r="A4602" s="145" t="s">
        <v>6529</v>
      </c>
    </row>
    <row r="4603" spans="1:1">
      <c r="A4603" s="145" t="s">
        <v>6530</v>
      </c>
    </row>
    <row r="4604" spans="1:1">
      <c r="A4604" s="145" t="s">
        <v>6531</v>
      </c>
    </row>
    <row r="4605" spans="1:1">
      <c r="A4605" s="145" t="s">
        <v>6532</v>
      </c>
    </row>
    <row r="4606" spans="1:1">
      <c r="A4606" s="145" t="s">
        <v>6533</v>
      </c>
    </row>
    <row r="4607" spans="1:1">
      <c r="A4607" s="145" t="s">
        <v>6534</v>
      </c>
    </row>
    <row r="4608" spans="1:1">
      <c r="A4608" s="145" t="s">
        <v>6535</v>
      </c>
    </row>
    <row r="4609" spans="1:1">
      <c r="A4609" s="145" t="s">
        <v>6536</v>
      </c>
    </row>
    <row r="4610" spans="1:1">
      <c r="A4610" s="145" t="s">
        <v>6537</v>
      </c>
    </row>
    <row r="4611" spans="1:1">
      <c r="A4611" s="145" t="s">
        <v>6538</v>
      </c>
    </row>
    <row r="4612" spans="1:1">
      <c r="A4612" s="145" t="s">
        <v>6539</v>
      </c>
    </row>
    <row r="4613" spans="1:1">
      <c r="A4613" s="145" t="s">
        <v>6540</v>
      </c>
    </row>
    <row r="4614" spans="1:1">
      <c r="A4614" s="145" t="s">
        <v>6541</v>
      </c>
    </row>
    <row r="4615" spans="1:1">
      <c r="A4615" s="145" t="s">
        <v>6542</v>
      </c>
    </row>
    <row r="4616" spans="1:1">
      <c r="A4616" s="145" t="s">
        <v>6543</v>
      </c>
    </row>
    <row r="4617" spans="1:1">
      <c r="A4617" s="145" t="s">
        <v>6544</v>
      </c>
    </row>
    <row r="4618" spans="1:1">
      <c r="A4618" s="145" t="s">
        <v>6545</v>
      </c>
    </row>
    <row r="4619" spans="1:1">
      <c r="A4619" s="145" t="s">
        <v>6546</v>
      </c>
    </row>
    <row r="4620" spans="1:1">
      <c r="A4620" s="145" t="s">
        <v>6547</v>
      </c>
    </row>
    <row r="4621" spans="1:1">
      <c r="A4621" s="145" t="s">
        <v>6548</v>
      </c>
    </row>
    <row r="4622" spans="1:1">
      <c r="A4622" s="145" t="s">
        <v>6549</v>
      </c>
    </row>
    <row r="4623" spans="1:1">
      <c r="A4623" s="145" t="s">
        <v>6550</v>
      </c>
    </row>
    <row r="4624" spans="1:1">
      <c r="A4624" s="145" t="s">
        <v>6551</v>
      </c>
    </row>
    <row r="4625" spans="1:1">
      <c r="A4625" s="145" t="s">
        <v>6552</v>
      </c>
    </row>
    <row r="4626" spans="1:1">
      <c r="A4626" s="145" t="s">
        <v>6553</v>
      </c>
    </row>
    <row r="4627" spans="1:1">
      <c r="A4627" s="145" t="s">
        <v>6554</v>
      </c>
    </row>
    <row r="4628" spans="1:1">
      <c r="A4628" s="145" t="s">
        <v>6555</v>
      </c>
    </row>
    <row r="4629" spans="1:1">
      <c r="A4629" s="145" t="s">
        <v>6556</v>
      </c>
    </row>
    <row r="4630" spans="1:1">
      <c r="A4630" s="145" t="s">
        <v>6557</v>
      </c>
    </row>
    <row r="4631" spans="1:1">
      <c r="A4631" s="145" t="s">
        <v>6558</v>
      </c>
    </row>
    <row r="4632" spans="1:1">
      <c r="A4632" s="145" t="s">
        <v>6559</v>
      </c>
    </row>
    <row r="4633" spans="1:1">
      <c r="A4633" s="145" t="s">
        <v>6560</v>
      </c>
    </row>
    <row r="4634" spans="1:1">
      <c r="A4634" s="145" t="s">
        <v>6561</v>
      </c>
    </row>
    <row r="4635" spans="1:1">
      <c r="A4635" s="145" t="s">
        <v>6562</v>
      </c>
    </row>
    <row r="4636" spans="1:1">
      <c r="A4636" s="145" t="s">
        <v>6563</v>
      </c>
    </row>
    <row r="4637" spans="1:1">
      <c r="A4637" s="145" t="s">
        <v>6564</v>
      </c>
    </row>
    <row r="4638" spans="1:1">
      <c r="A4638" s="145" t="s">
        <v>6565</v>
      </c>
    </row>
    <row r="4639" spans="1:1">
      <c r="A4639" s="145" t="s">
        <v>6566</v>
      </c>
    </row>
    <row r="4640" spans="1:1">
      <c r="A4640" s="145" t="s">
        <v>6567</v>
      </c>
    </row>
    <row r="4641" spans="1:1">
      <c r="A4641" s="145" t="s">
        <v>6568</v>
      </c>
    </row>
    <row r="4642" spans="1:1">
      <c r="A4642" s="145" t="s">
        <v>6569</v>
      </c>
    </row>
    <row r="4643" spans="1:1">
      <c r="A4643" s="145" t="s">
        <v>6570</v>
      </c>
    </row>
    <row r="4644" spans="1:1">
      <c r="A4644" s="145" t="s">
        <v>6571</v>
      </c>
    </row>
    <row r="4645" spans="1:1">
      <c r="A4645" s="145" t="s">
        <v>6572</v>
      </c>
    </row>
    <row r="4646" spans="1:1">
      <c r="A4646" s="145" t="s">
        <v>6573</v>
      </c>
    </row>
    <row r="4647" spans="1:1">
      <c r="A4647" s="145" t="s">
        <v>6574</v>
      </c>
    </row>
    <row r="4648" spans="1:1">
      <c r="A4648" s="145" t="s">
        <v>6575</v>
      </c>
    </row>
    <row r="4649" spans="1:1">
      <c r="A4649" s="145" t="s">
        <v>6576</v>
      </c>
    </row>
    <row r="4650" spans="1:1">
      <c r="A4650" s="145" t="s">
        <v>6577</v>
      </c>
    </row>
    <row r="4651" spans="1:1">
      <c r="A4651" s="145" t="s">
        <v>6578</v>
      </c>
    </row>
    <row r="4652" spans="1:1">
      <c r="A4652" s="145" t="s">
        <v>6579</v>
      </c>
    </row>
    <row r="4653" spans="1:1">
      <c r="A4653" s="145" t="s">
        <v>6580</v>
      </c>
    </row>
    <row r="4654" spans="1:1">
      <c r="A4654" s="145" t="s">
        <v>6581</v>
      </c>
    </row>
    <row r="4655" spans="1:1">
      <c r="A4655" s="145" t="s">
        <v>6582</v>
      </c>
    </row>
    <row r="4656" spans="1:1">
      <c r="A4656" s="145" t="s">
        <v>6583</v>
      </c>
    </row>
    <row r="4657" spans="1:1">
      <c r="A4657" s="145" t="s">
        <v>6584</v>
      </c>
    </row>
    <row r="4658" spans="1:1">
      <c r="A4658" s="145" t="s">
        <v>6585</v>
      </c>
    </row>
    <row r="4659" spans="1:1">
      <c r="A4659" s="145" t="s">
        <v>6586</v>
      </c>
    </row>
    <row r="4660" spans="1:1">
      <c r="A4660" s="145" t="s">
        <v>6587</v>
      </c>
    </row>
    <row r="4661" spans="1:1">
      <c r="A4661" s="145" t="s">
        <v>6588</v>
      </c>
    </row>
    <row r="4662" spans="1:1">
      <c r="A4662" s="145" t="s">
        <v>6589</v>
      </c>
    </row>
    <row r="4663" spans="1:1">
      <c r="A4663" s="145" t="s">
        <v>6590</v>
      </c>
    </row>
    <row r="4664" spans="1:1">
      <c r="A4664" s="145" t="s">
        <v>6591</v>
      </c>
    </row>
    <row r="4665" spans="1:1">
      <c r="A4665" s="145" t="s">
        <v>6592</v>
      </c>
    </row>
    <row r="4666" spans="1:1">
      <c r="A4666" s="145" t="s">
        <v>6593</v>
      </c>
    </row>
    <row r="4667" spans="1:1">
      <c r="A4667" s="145" t="s">
        <v>6594</v>
      </c>
    </row>
    <row r="4668" spans="1:1">
      <c r="A4668" s="145" t="s">
        <v>6595</v>
      </c>
    </row>
    <row r="4669" spans="1:1">
      <c r="A4669" s="145" t="s">
        <v>6596</v>
      </c>
    </row>
    <row r="4670" spans="1:1">
      <c r="A4670" s="145" t="s">
        <v>6597</v>
      </c>
    </row>
    <row r="4671" spans="1:1">
      <c r="A4671" s="145" t="s">
        <v>6598</v>
      </c>
    </row>
    <row r="4672" spans="1:1">
      <c r="A4672" s="145" t="s">
        <v>6599</v>
      </c>
    </row>
    <row r="4673" spans="1:1">
      <c r="A4673" s="145" t="s">
        <v>6600</v>
      </c>
    </row>
    <row r="4674" spans="1:1">
      <c r="A4674" s="145" t="s">
        <v>6601</v>
      </c>
    </row>
    <row r="4675" spans="1:1">
      <c r="A4675" s="145" t="s">
        <v>6602</v>
      </c>
    </row>
    <row r="4676" spans="1:1">
      <c r="A4676" s="145" t="s">
        <v>6603</v>
      </c>
    </row>
    <row r="4677" spans="1:1">
      <c r="A4677" s="145" t="s">
        <v>6604</v>
      </c>
    </row>
    <row r="4678" spans="1:1">
      <c r="A4678" s="145" t="s">
        <v>6605</v>
      </c>
    </row>
    <row r="4679" spans="1:1">
      <c r="A4679" s="145" t="s">
        <v>6606</v>
      </c>
    </row>
    <row r="4680" spans="1:1">
      <c r="A4680" s="145" t="s">
        <v>6607</v>
      </c>
    </row>
    <row r="4681" spans="1:1">
      <c r="A4681" s="145" t="s">
        <v>6608</v>
      </c>
    </row>
    <row r="4682" spans="1:1">
      <c r="A4682" s="145" t="s">
        <v>6609</v>
      </c>
    </row>
    <row r="4683" spans="1:1">
      <c r="A4683" s="145" t="s">
        <v>6610</v>
      </c>
    </row>
    <row r="4684" spans="1:1">
      <c r="A4684" s="145" t="s">
        <v>6611</v>
      </c>
    </row>
    <row r="4685" spans="1:1">
      <c r="A4685" s="145" t="s">
        <v>6612</v>
      </c>
    </row>
    <row r="4686" spans="1:1">
      <c r="A4686" s="145" t="s">
        <v>6613</v>
      </c>
    </row>
    <row r="4687" spans="1:1">
      <c r="A4687" s="145" t="s">
        <v>6614</v>
      </c>
    </row>
    <row r="4688" spans="1:1">
      <c r="A4688" s="145" t="s">
        <v>6615</v>
      </c>
    </row>
    <row r="4689" spans="1:1">
      <c r="A4689" s="145" t="s">
        <v>6616</v>
      </c>
    </row>
    <row r="4690" spans="1:1">
      <c r="A4690" s="145" t="s">
        <v>6617</v>
      </c>
    </row>
    <row r="4691" spans="1:1">
      <c r="A4691" s="145" t="s">
        <v>6618</v>
      </c>
    </row>
    <row r="4692" spans="1:1">
      <c r="A4692" s="145" t="s">
        <v>6619</v>
      </c>
    </row>
    <row r="4693" spans="1:1">
      <c r="A4693" s="145" t="s">
        <v>6620</v>
      </c>
    </row>
    <row r="4694" spans="1:1">
      <c r="A4694" s="145" t="s">
        <v>6621</v>
      </c>
    </row>
    <row r="4695" spans="1:1">
      <c r="A4695" s="145" t="s">
        <v>6622</v>
      </c>
    </row>
    <row r="4696" spans="1:1">
      <c r="A4696" s="145" t="s">
        <v>6623</v>
      </c>
    </row>
    <row r="4697" spans="1:1">
      <c r="A4697" s="145" t="s">
        <v>6624</v>
      </c>
    </row>
    <row r="4698" spans="1:1">
      <c r="A4698" s="145" t="s">
        <v>6625</v>
      </c>
    </row>
    <row r="4699" spans="1:1">
      <c r="A4699" s="145" t="s">
        <v>6626</v>
      </c>
    </row>
    <row r="4700" spans="1:1">
      <c r="A4700" s="145" t="s">
        <v>6627</v>
      </c>
    </row>
    <row r="4701" spans="1:1">
      <c r="A4701" s="145" t="s">
        <v>6628</v>
      </c>
    </row>
    <row r="4702" spans="1:1">
      <c r="A4702" s="145" t="s">
        <v>6629</v>
      </c>
    </row>
    <row r="4703" spans="1:1">
      <c r="A4703" s="145" t="s">
        <v>6630</v>
      </c>
    </row>
    <row r="4704" spans="1:1">
      <c r="A4704" s="145" t="s">
        <v>6631</v>
      </c>
    </row>
    <row r="4705" spans="1:1">
      <c r="A4705" s="145" t="s">
        <v>6632</v>
      </c>
    </row>
    <row r="4706" spans="1:1">
      <c r="A4706" s="145" t="s">
        <v>6633</v>
      </c>
    </row>
    <row r="4707" spans="1:1">
      <c r="A4707" s="145" t="s">
        <v>6634</v>
      </c>
    </row>
    <row r="4708" spans="1:1">
      <c r="A4708" s="145" t="s">
        <v>6635</v>
      </c>
    </row>
    <row r="4709" spans="1:1">
      <c r="A4709" s="145" t="s">
        <v>6636</v>
      </c>
    </row>
    <row r="4710" spans="1:1">
      <c r="A4710" s="145" t="s">
        <v>6637</v>
      </c>
    </row>
    <row r="4711" spans="1:1">
      <c r="A4711" s="145" t="s">
        <v>6638</v>
      </c>
    </row>
    <row r="4712" spans="1:1">
      <c r="A4712" s="145" t="s">
        <v>6639</v>
      </c>
    </row>
    <row r="4713" spans="1:1">
      <c r="A4713" s="145" t="s">
        <v>6640</v>
      </c>
    </row>
    <row r="4714" spans="1:1">
      <c r="A4714" s="145" t="s">
        <v>6641</v>
      </c>
    </row>
    <row r="4715" spans="1:1">
      <c r="A4715" s="145" t="s">
        <v>6642</v>
      </c>
    </row>
    <row r="4716" spans="1:1">
      <c r="A4716" s="145" t="s">
        <v>6643</v>
      </c>
    </row>
    <row r="4717" spans="1:1">
      <c r="A4717" s="145" t="s">
        <v>6644</v>
      </c>
    </row>
    <row r="4718" spans="1:1">
      <c r="A4718" s="145" t="s">
        <v>6645</v>
      </c>
    </row>
    <row r="4719" spans="1:1">
      <c r="A4719" s="145" t="s">
        <v>6646</v>
      </c>
    </row>
    <row r="4720" spans="1:1">
      <c r="A4720" s="145" t="s">
        <v>6647</v>
      </c>
    </row>
    <row r="4721" spans="1:1">
      <c r="A4721" s="145" t="s">
        <v>6648</v>
      </c>
    </row>
    <row r="4722" spans="1:1">
      <c r="A4722" s="145" t="s">
        <v>6649</v>
      </c>
    </row>
    <row r="4723" spans="1:1">
      <c r="A4723" s="145" t="s">
        <v>6650</v>
      </c>
    </row>
    <row r="4724" spans="1:1">
      <c r="A4724" s="145" t="s">
        <v>6651</v>
      </c>
    </row>
    <row r="4725" spans="1:1">
      <c r="A4725" s="145" t="s">
        <v>6652</v>
      </c>
    </row>
    <row r="4726" spans="1:1">
      <c r="A4726" s="145" t="s">
        <v>6653</v>
      </c>
    </row>
    <row r="4727" spans="1:1">
      <c r="A4727" s="145" t="s">
        <v>6654</v>
      </c>
    </row>
    <row r="4728" spans="1:1">
      <c r="A4728" s="145" t="s">
        <v>6655</v>
      </c>
    </row>
    <row r="4729" spans="1:1">
      <c r="A4729" s="145" t="s">
        <v>6656</v>
      </c>
    </row>
    <row r="4730" spans="1:1">
      <c r="A4730" s="145" t="s">
        <v>6657</v>
      </c>
    </row>
    <row r="4731" spans="1:1">
      <c r="A4731" s="145" t="s">
        <v>6658</v>
      </c>
    </row>
    <row r="4732" spans="1:1">
      <c r="A4732" s="145" t="s">
        <v>6659</v>
      </c>
    </row>
    <row r="4733" spans="1:1">
      <c r="A4733" s="145" t="s">
        <v>6660</v>
      </c>
    </row>
    <row r="4734" spans="1:1">
      <c r="A4734" s="145" t="s">
        <v>6661</v>
      </c>
    </row>
    <row r="4735" spans="1:1">
      <c r="A4735" s="145" t="s">
        <v>6662</v>
      </c>
    </row>
    <row r="4736" spans="1:1">
      <c r="A4736" s="145" t="s">
        <v>6663</v>
      </c>
    </row>
    <row r="4737" spans="1:1">
      <c r="A4737" s="145" t="s">
        <v>6664</v>
      </c>
    </row>
    <row r="4738" spans="1:1">
      <c r="A4738" s="145" t="s">
        <v>6665</v>
      </c>
    </row>
    <row r="4739" spans="1:1">
      <c r="A4739" s="145" t="s">
        <v>6666</v>
      </c>
    </row>
    <row r="4740" spans="1:1">
      <c r="A4740" s="145" t="s">
        <v>6667</v>
      </c>
    </row>
    <row r="4741" spans="1:1">
      <c r="A4741" s="145" t="s">
        <v>6668</v>
      </c>
    </row>
    <row r="4742" spans="1:1">
      <c r="A4742" s="145" t="s">
        <v>6669</v>
      </c>
    </row>
    <row r="4743" spans="1:1">
      <c r="A4743" s="145" t="s">
        <v>6670</v>
      </c>
    </row>
    <row r="4744" spans="1:1">
      <c r="A4744" s="145" t="s">
        <v>6671</v>
      </c>
    </row>
    <row r="4745" spans="1:1">
      <c r="A4745" s="145" t="s">
        <v>6672</v>
      </c>
    </row>
    <row r="4746" spans="1:1">
      <c r="A4746" s="145" t="s">
        <v>6673</v>
      </c>
    </row>
    <row r="4747" spans="1:1">
      <c r="A4747" s="145" t="s">
        <v>6674</v>
      </c>
    </row>
    <row r="4748" spans="1:1">
      <c r="A4748" s="145" t="s">
        <v>6675</v>
      </c>
    </row>
    <row r="4749" spans="1:1">
      <c r="A4749" s="145" t="s">
        <v>6676</v>
      </c>
    </row>
    <row r="4750" spans="1:1">
      <c r="A4750" s="145" t="s">
        <v>6677</v>
      </c>
    </row>
    <row r="4751" spans="1:1">
      <c r="A4751" s="145" t="s">
        <v>6678</v>
      </c>
    </row>
    <row r="4752" spans="1:1">
      <c r="A4752" s="145" t="s">
        <v>6679</v>
      </c>
    </row>
    <row r="4753" spans="1:1">
      <c r="A4753" s="145" t="s">
        <v>6680</v>
      </c>
    </row>
    <row r="4754" spans="1:1">
      <c r="A4754" s="145" t="s">
        <v>6681</v>
      </c>
    </row>
    <row r="4755" spans="1:1">
      <c r="A4755" s="145" t="s">
        <v>6682</v>
      </c>
    </row>
    <row r="4756" spans="1:1">
      <c r="A4756" s="145" t="s">
        <v>6683</v>
      </c>
    </row>
    <row r="4757" spans="1:1">
      <c r="A4757" s="145" t="s">
        <v>6684</v>
      </c>
    </row>
    <row r="4758" spans="1:1">
      <c r="A4758" s="145" t="s">
        <v>6685</v>
      </c>
    </row>
    <row r="4759" spans="1:1">
      <c r="A4759" s="145" t="s">
        <v>6686</v>
      </c>
    </row>
    <row r="4760" spans="1:1">
      <c r="A4760" s="145" t="s">
        <v>6687</v>
      </c>
    </row>
    <row r="4761" spans="1:1">
      <c r="A4761" s="145" t="s">
        <v>6688</v>
      </c>
    </row>
    <row r="4762" spans="1:1">
      <c r="A4762" s="145" t="s">
        <v>6689</v>
      </c>
    </row>
    <row r="4763" spans="1:1">
      <c r="A4763" s="145" t="s">
        <v>6690</v>
      </c>
    </row>
    <row r="4764" spans="1:1">
      <c r="A4764" s="145" t="s">
        <v>6691</v>
      </c>
    </row>
    <row r="4765" spans="1:1">
      <c r="A4765" s="145" t="s">
        <v>6692</v>
      </c>
    </row>
    <row r="4766" spans="1:1">
      <c r="A4766" s="145" t="s">
        <v>6693</v>
      </c>
    </row>
    <row r="4767" spans="1:1">
      <c r="A4767" s="145" t="s">
        <v>6694</v>
      </c>
    </row>
    <row r="4768" spans="1:1">
      <c r="A4768" s="145" t="s">
        <v>6695</v>
      </c>
    </row>
    <row r="4769" spans="1:1">
      <c r="A4769" s="145" t="s">
        <v>6696</v>
      </c>
    </row>
    <row r="4770" spans="1:1">
      <c r="A4770" s="145" t="s">
        <v>6697</v>
      </c>
    </row>
    <row r="4771" spans="1:1">
      <c r="A4771" s="145" t="s">
        <v>6698</v>
      </c>
    </row>
    <row r="4772" spans="1:1">
      <c r="A4772" s="145" t="s">
        <v>6699</v>
      </c>
    </row>
    <row r="4773" spans="1:1">
      <c r="A4773" s="145" t="s">
        <v>6700</v>
      </c>
    </row>
    <row r="4774" spans="1:1">
      <c r="A4774" s="145" t="s">
        <v>6701</v>
      </c>
    </row>
    <row r="4775" spans="1:1">
      <c r="A4775" s="145" t="s">
        <v>6702</v>
      </c>
    </row>
    <row r="4776" spans="1:1">
      <c r="A4776" s="145" t="s">
        <v>6703</v>
      </c>
    </row>
    <row r="4777" spans="1:1">
      <c r="A4777" s="145" t="s">
        <v>6704</v>
      </c>
    </row>
    <row r="4778" spans="1:1">
      <c r="A4778" s="145" t="s">
        <v>6705</v>
      </c>
    </row>
    <row r="4779" spans="1:1">
      <c r="A4779" s="145" t="s">
        <v>6706</v>
      </c>
    </row>
    <row r="4780" spans="1:1">
      <c r="A4780" s="145" t="s">
        <v>6707</v>
      </c>
    </row>
    <row r="4781" spans="1:1">
      <c r="A4781" s="145" t="s">
        <v>6708</v>
      </c>
    </row>
    <row r="4782" spans="1:1">
      <c r="A4782" s="145" t="s">
        <v>6709</v>
      </c>
    </row>
    <row r="4783" spans="1:1">
      <c r="A4783" s="145" t="s">
        <v>6710</v>
      </c>
    </row>
    <row r="4784" spans="1:1">
      <c r="A4784" s="145" t="s">
        <v>6711</v>
      </c>
    </row>
    <row r="4785" spans="1:1">
      <c r="A4785" s="145" t="s">
        <v>6712</v>
      </c>
    </row>
    <row r="4786" spans="1:1">
      <c r="A4786" s="145" t="s">
        <v>6713</v>
      </c>
    </row>
    <row r="4787" spans="1:1">
      <c r="A4787" s="145" t="s">
        <v>6714</v>
      </c>
    </row>
    <row r="4788" spans="1:1">
      <c r="A4788" s="145" t="s">
        <v>6715</v>
      </c>
    </row>
    <row r="4789" spans="1:1">
      <c r="A4789" s="145" t="s">
        <v>6716</v>
      </c>
    </row>
    <row r="4790" spans="1:1">
      <c r="A4790" s="145" t="s">
        <v>6717</v>
      </c>
    </row>
    <row r="4791" spans="1:1">
      <c r="A4791" s="145" t="s">
        <v>6718</v>
      </c>
    </row>
    <row r="4792" spans="1:1">
      <c r="A4792" s="145" t="s">
        <v>6719</v>
      </c>
    </row>
    <row r="4793" spans="1:1">
      <c r="A4793" s="145" t="s">
        <v>6720</v>
      </c>
    </row>
    <row r="4794" spans="1:1">
      <c r="A4794" s="145" t="s">
        <v>6721</v>
      </c>
    </row>
    <row r="4795" spans="1:1">
      <c r="A4795" s="145" t="s">
        <v>6722</v>
      </c>
    </row>
    <row r="4796" spans="1:1">
      <c r="A4796" s="145" t="s">
        <v>6723</v>
      </c>
    </row>
    <row r="4797" spans="1:1">
      <c r="A4797" s="145" t="s">
        <v>6724</v>
      </c>
    </row>
    <row r="4798" spans="1:1">
      <c r="A4798" s="145" t="s">
        <v>6725</v>
      </c>
    </row>
    <row r="4799" spans="1:1">
      <c r="A4799" s="145" t="s">
        <v>6726</v>
      </c>
    </row>
    <row r="4800" spans="1:1">
      <c r="A4800" s="145" t="s">
        <v>6727</v>
      </c>
    </row>
    <row r="4801" spans="1:1">
      <c r="A4801" s="145" t="s">
        <v>6728</v>
      </c>
    </row>
    <row r="4802" spans="1:1">
      <c r="A4802" s="145" t="s">
        <v>6729</v>
      </c>
    </row>
    <row r="4803" spans="1:1">
      <c r="A4803" s="145" t="s">
        <v>6730</v>
      </c>
    </row>
    <row r="4804" spans="1:1">
      <c r="A4804" s="145" t="s">
        <v>6731</v>
      </c>
    </row>
    <row r="4805" spans="1:1">
      <c r="A4805" s="145" t="s">
        <v>6732</v>
      </c>
    </row>
    <row r="4806" spans="1:1">
      <c r="A4806" s="145" t="s">
        <v>6733</v>
      </c>
    </row>
    <row r="4807" spans="1:1">
      <c r="A4807" s="145" t="s">
        <v>6734</v>
      </c>
    </row>
    <row r="4808" spans="1:1">
      <c r="A4808" s="145" t="s">
        <v>6735</v>
      </c>
    </row>
    <row r="4809" spans="1:1">
      <c r="A4809" s="145" t="s">
        <v>6736</v>
      </c>
    </row>
    <row r="4810" spans="1:1">
      <c r="A4810" s="145" t="s">
        <v>6737</v>
      </c>
    </row>
    <row r="4811" spans="1:1">
      <c r="A4811" s="145" t="s">
        <v>6738</v>
      </c>
    </row>
    <row r="4812" spans="1:1">
      <c r="A4812" s="145" t="s">
        <v>6739</v>
      </c>
    </row>
    <row r="4813" spans="1:1">
      <c r="A4813" s="145" t="s">
        <v>6740</v>
      </c>
    </row>
    <row r="4814" spans="1:1">
      <c r="A4814" s="145" t="s">
        <v>6741</v>
      </c>
    </row>
    <row r="4815" spans="1:1">
      <c r="A4815" s="145" t="s">
        <v>6742</v>
      </c>
    </row>
    <row r="4816" spans="1:1">
      <c r="A4816" s="145" t="s">
        <v>6743</v>
      </c>
    </row>
    <row r="4817" spans="1:1">
      <c r="A4817" s="145" t="s">
        <v>6744</v>
      </c>
    </row>
    <row r="4818" spans="1:1">
      <c r="A4818" s="145" t="s">
        <v>6745</v>
      </c>
    </row>
    <row r="4819" spans="1:1">
      <c r="A4819" s="145" t="s">
        <v>6746</v>
      </c>
    </row>
    <row r="4820" spans="1:1">
      <c r="A4820" s="145" t="s">
        <v>6747</v>
      </c>
    </row>
    <row r="4821" spans="1:1">
      <c r="A4821" s="145" t="s">
        <v>6748</v>
      </c>
    </row>
    <row r="4822" spans="1:1">
      <c r="A4822" s="145" t="s">
        <v>6749</v>
      </c>
    </row>
    <row r="4823" spans="1:1">
      <c r="A4823" s="145" t="s">
        <v>6750</v>
      </c>
    </row>
    <row r="4824" spans="1:1">
      <c r="A4824" s="145" t="s">
        <v>6751</v>
      </c>
    </row>
    <row r="4825" spans="1:1">
      <c r="A4825" s="145" t="s">
        <v>6752</v>
      </c>
    </row>
    <row r="4826" spans="1:1">
      <c r="A4826" s="145" t="s">
        <v>6753</v>
      </c>
    </row>
    <row r="4827" spans="1:1">
      <c r="A4827" s="145" t="s">
        <v>6754</v>
      </c>
    </row>
    <row r="4828" spans="1:1">
      <c r="A4828" s="145" t="s">
        <v>6755</v>
      </c>
    </row>
    <row r="4829" spans="1:1">
      <c r="A4829" s="145" t="s">
        <v>6756</v>
      </c>
    </row>
    <row r="4830" spans="1:1">
      <c r="A4830" s="145" t="s">
        <v>6757</v>
      </c>
    </row>
    <row r="4831" spans="1:1">
      <c r="A4831" s="145" t="s">
        <v>6758</v>
      </c>
    </row>
    <row r="4832" spans="1:1">
      <c r="A4832" s="145" t="s">
        <v>6759</v>
      </c>
    </row>
    <row r="4833" spans="1:1">
      <c r="A4833" s="145" t="s">
        <v>6760</v>
      </c>
    </row>
    <row r="4834" spans="1:1">
      <c r="A4834" s="145" t="s">
        <v>6761</v>
      </c>
    </row>
    <row r="4835" spans="1:1">
      <c r="A4835" s="145" t="s">
        <v>6762</v>
      </c>
    </row>
    <row r="4836" spans="1:1">
      <c r="A4836" s="145" t="s">
        <v>6763</v>
      </c>
    </row>
    <row r="4837" spans="1:1">
      <c r="A4837" s="145" t="s">
        <v>6764</v>
      </c>
    </row>
    <row r="4838" spans="1:1">
      <c r="A4838" s="145" t="s">
        <v>6765</v>
      </c>
    </row>
    <row r="4839" spans="1:1">
      <c r="A4839" s="145" t="s">
        <v>6766</v>
      </c>
    </row>
    <row r="4840" spans="1:1">
      <c r="A4840" s="145" t="s">
        <v>6767</v>
      </c>
    </row>
    <row r="4841" spans="1:1">
      <c r="A4841" s="145" t="s">
        <v>6768</v>
      </c>
    </row>
    <row r="4842" spans="1:1">
      <c r="A4842" s="145" t="s">
        <v>6769</v>
      </c>
    </row>
    <row r="4843" spans="1:1">
      <c r="A4843" s="145" t="s">
        <v>6770</v>
      </c>
    </row>
    <row r="4844" spans="1:1">
      <c r="A4844" s="145" t="s">
        <v>6771</v>
      </c>
    </row>
    <row r="4845" spans="1:1">
      <c r="A4845" s="145" t="s">
        <v>6772</v>
      </c>
    </row>
    <row r="4846" spans="1:1">
      <c r="A4846" s="145" t="s">
        <v>6773</v>
      </c>
    </row>
    <row r="4847" spans="1:1">
      <c r="A4847" s="145" t="s">
        <v>6774</v>
      </c>
    </row>
    <row r="4848" spans="1:1">
      <c r="A4848" s="145" t="s">
        <v>6775</v>
      </c>
    </row>
    <row r="4849" spans="1:1">
      <c r="A4849" s="145" t="s">
        <v>6776</v>
      </c>
    </row>
    <row r="4850" spans="1:1">
      <c r="A4850" s="145" t="s">
        <v>6777</v>
      </c>
    </row>
    <row r="4851" spans="1:1">
      <c r="A4851" s="145" t="s">
        <v>6778</v>
      </c>
    </row>
    <row r="4852" spans="1:1">
      <c r="A4852" s="145" t="s">
        <v>6779</v>
      </c>
    </row>
    <row r="4853" spans="1:1">
      <c r="A4853" s="145" t="s">
        <v>6780</v>
      </c>
    </row>
    <row r="4854" spans="1:1">
      <c r="A4854" s="145" t="s">
        <v>6781</v>
      </c>
    </row>
    <row r="4855" spans="1:1">
      <c r="A4855" s="145" t="s">
        <v>6782</v>
      </c>
    </row>
    <row r="4856" spans="1:1">
      <c r="A4856" s="145" t="s">
        <v>6783</v>
      </c>
    </row>
    <row r="4857" spans="1:1">
      <c r="A4857" s="145" t="s">
        <v>6784</v>
      </c>
    </row>
    <row r="4858" spans="1:1">
      <c r="A4858" s="145" t="s">
        <v>6785</v>
      </c>
    </row>
    <row r="4859" spans="1:1">
      <c r="A4859" s="145" t="s">
        <v>6786</v>
      </c>
    </row>
    <row r="4860" spans="1:1">
      <c r="A4860" s="145" t="s">
        <v>6787</v>
      </c>
    </row>
    <row r="4861" spans="1:1">
      <c r="A4861" s="145" t="s">
        <v>6788</v>
      </c>
    </row>
    <row r="4862" spans="1:1">
      <c r="A4862" s="145" t="s">
        <v>6789</v>
      </c>
    </row>
    <row r="4863" spans="1:1">
      <c r="A4863" s="145" t="s">
        <v>6790</v>
      </c>
    </row>
    <row r="4864" spans="1:1">
      <c r="A4864" s="145" t="s">
        <v>6791</v>
      </c>
    </row>
    <row r="4865" spans="1:1">
      <c r="A4865" s="145" t="s">
        <v>6792</v>
      </c>
    </row>
    <row r="4866" spans="1:1">
      <c r="A4866" s="145" t="s">
        <v>6793</v>
      </c>
    </row>
    <row r="4867" spans="1:1">
      <c r="A4867" s="145" t="s">
        <v>6794</v>
      </c>
    </row>
    <row r="4868" spans="1:1">
      <c r="A4868" s="145" t="s">
        <v>6795</v>
      </c>
    </row>
    <row r="4869" spans="1:1">
      <c r="A4869" s="145" t="s">
        <v>6796</v>
      </c>
    </row>
    <row r="4870" spans="1:1">
      <c r="A4870" s="145" t="s">
        <v>6797</v>
      </c>
    </row>
    <row r="4871" spans="1:1">
      <c r="A4871" s="145" t="s">
        <v>6798</v>
      </c>
    </row>
    <row r="4872" spans="1:1">
      <c r="A4872" s="145" t="s">
        <v>6799</v>
      </c>
    </row>
    <row r="4873" spans="1:1">
      <c r="A4873" s="145" t="s">
        <v>6800</v>
      </c>
    </row>
    <row r="4874" spans="1:1">
      <c r="A4874" s="145" t="s">
        <v>6801</v>
      </c>
    </row>
    <row r="4875" spans="1:1">
      <c r="A4875" s="145" t="s">
        <v>6802</v>
      </c>
    </row>
    <row r="4876" spans="1:1">
      <c r="A4876" s="145" t="s">
        <v>6803</v>
      </c>
    </row>
    <row r="4877" spans="1:1">
      <c r="A4877" s="145" t="s">
        <v>6804</v>
      </c>
    </row>
    <row r="4878" spans="1:1">
      <c r="A4878" s="145" t="s">
        <v>6805</v>
      </c>
    </row>
    <row r="4879" spans="1:1">
      <c r="A4879" s="145" t="s">
        <v>6806</v>
      </c>
    </row>
    <row r="4880" spans="1:1">
      <c r="A4880" s="145" t="s">
        <v>6807</v>
      </c>
    </row>
    <row r="4881" spans="1:1">
      <c r="A4881" s="145" t="s">
        <v>6808</v>
      </c>
    </row>
    <row r="4882" spans="1:1">
      <c r="A4882" s="145" t="s">
        <v>6809</v>
      </c>
    </row>
    <row r="4883" spans="1:1">
      <c r="A4883" s="145" t="s">
        <v>6810</v>
      </c>
    </row>
    <row r="4884" spans="1:1">
      <c r="A4884" s="145" t="s">
        <v>6811</v>
      </c>
    </row>
    <row r="4885" spans="1:1">
      <c r="A4885" s="145" t="s">
        <v>6812</v>
      </c>
    </row>
    <row r="4886" spans="1:1">
      <c r="A4886" s="145" t="s">
        <v>6813</v>
      </c>
    </row>
    <row r="4887" spans="1:1">
      <c r="A4887" s="145" t="s">
        <v>6814</v>
      </c>
    </row>
    <row r="4888" spans="1:1">
      <c r="A4888" s="145" t="s">
        <v>6815</v>
      </c>
    </row>
    <row r="4889" spans="1:1">
      <c r="A4889" s="145" t="s">
        <v>6816</v>
      </c>
    </row>
    <row r="4890" spans="1:1">
      <c r="A4890" s="145" t="s">
        <v>6817</v>
      </c>
    </row>
    <row r="4891" spans="1:1">
      <c r="A4891" s="145" t="s">
        <v>6818</v>
      </c>
    </row>
    <row r="4892" spans="1:1">
      <c r="A4892" s="145" t="s">
        <v>6819</v>
      </c>
    </row>
    <row r="4893" spans="1:1">
      <c r="A4893" s="145" t="s">
        <v>6820</v>
      </c>
    </row>
    <row r="4894" spans="1:1">
      <c r="A4894" s="145" t="s">
        <v>6821</v>
      </c>
    </row>
    <row r="4895" spans="1:1">
      <c r="A4895" s="145" t="s">
        <v>6822</v>
      </c>
    </row>
    <row r="4896" spans="1:1">
      <c r="A4896" s="145" t="s">
        <v>6823</v>
      </c>
    </row>
    <row r="4897" spans="1:1">
      <c r="A4897" s="145" t="s">
        <v>6824</v>
      </c>
    </row>
    <row r="4898" spans="1:1">
      <c r="A4898" s="145" t="s">
        <v>6825</v>
      </c>
    </row>
    <row r="4899" spans="1:1">
      <c r="A4899" s="145" t="s">
        <v>6826</v>
      </c>
    </row>
    <row r="4900" spans="1:1">
      <c r="A4900" s="145" t="s">
        <v>6827</v>
      </c>
    </row>
    <row r="4901" spans="1:1">
      <c r="A4901" s="145" t="s">
        <v>6828</v>
      </c>
    </row>
    <row r="4902" spans="1:1">
      <c r="A4902" s="145" t="s">
        <v>6829</v>
      </c>
    </row>
    <row r="4903" spans="1:1">
      <c r="A4903" s="145" t="s">
        <v>6830</v>
      </c>
    </row>
    <row r="4904" spans="1:1">
      <c r="A4904" s="145" t="s">
        <v>6831</v>
      </c>
    </row>
    <row r="4905" spans="1:1">
      <c r="A4905" s="145" t="s">
        <v>6832</v>
      </c>
    </row>
    <row r="4906" spans="1:1">
      <c r="A4906" s="145" t="s">
        <v>6833</v>
      </c>
    </row>
    <row r="4907" spans="1:1">
      <c r="A4907" s="145" t="s">
        <v>6834</v>
      </c>
    </row>
    <row r="4908" spans="1:1">
      <c r="A4908" s="145" t="s">
        <v>6835</v>
      </c>
    </row>
    <row r="4909" spans="1:1">
      <c r="A4909" s="145" t="s">
        <v>6836</v>
      </c>
    </row>
    <row r="4910" spans="1:1">
      <c r="A4910" s="145" t="s">
        <v>6837</v>
      </c>
    </row>
    <row r="4911" spans="1:1">
      <c r="A4911" s="145" t="s">
        <v>6838</v>
      </c>
    </row>
    <row r="4912" spans="1:1">
      <c r="A4912" s="145" t="s">
        <v>6839</v>
      </c>
    </row>
    <row r="4913" spans="1:1">
      <c r="A4913" s="145" t="s">
        <v>6840</v>
      </c>
    </row>
    <row r="4914" spans="1:1">
      <c r="A4914" s="145" t="s">
        <v>6841</v>
      </c>
    </row>
    <row r="4915" spans="1:1">
      <c r="A4915" s="145" t="s">
        <v>6842</v>
      </c>
    </row>
    <row r="4916" spans="1:1">
      <c r="A4916" s="145" t="s">
        <v>6843</v>
      </c>
    </row>
    <row r="4917" spans="1:1">
      <c r="A4917" s="145" t="s">
        <v>6844</v>
      </c>
    </row>
    <row r="4918" spans="1:1">
      <c r="A4918" s="145" t="s">
        <v>6845</v>
      </c>
    </row>
    <row r="4919" spans="1:1">
      <c r="A4919" s="145" t="s">
        <v>6846</v>
      </c>
    </row>
    <row r="4920" spans="1:1">
      <c r="A4920" s="145" t="s">
        <v>6847</v>
      </c>
    </row>
    <row r="4921" spans="1:1">
      <c r="A4921" s="145" t="s">
        <v>6848</v>
      </c>
    </row>
    <row r="4922" spans="1:1">
      <c r="A4922" s="145" t="s">
        <v>6849</v>
      </c>
    </row>
    <row r="4923" spans="1:1">
      <c r="A4923" s="145" t="s">
        <v>6850</v>
      </c>
    </row>
    <row r="4924" spans="1:1">
      <c r="A4924" s="145" t="s">
        <v>6851</v>
      </c>
    </row>
    <row r="4925" spans="1:1">
      <c r="A4925" s="145" t="s">
        <v>6852</v>
      </c>
    </row>
    <row r="4926" spans="1:1">
      <c r="A4926" s="145" t="s">
        <v>6853</v>
      </c>
    </row>
    <row r="4927" spans="1:1">
      <c r="A4927" s="145" t="s">
        <v>6854</v>
      </c>
    </row>
    <row r="4928" spans="1:1">
      <c r="A4928" s="145" t="s">
        <v>6855</v>
      </c>
    </row>
    <row r="4929" spans="1:1">
      <c r="A4929" s="145" t="s">
        <v>6856</v>
      </c>
    </row>
    <row r="4930" spans="1:1">
      <c r="A4930" s="145" t="s">
        <v>6857</v>
      </c>
    </row>
    <row r="4931" spans="1:1">
      <c r="A4931" s="145" t="s">
        <v>6858</v>
      </c>
    </row>
    <row r="4932" spans="1:1">
      <c r="A4932" s="145" t="s">
        <v>6859</v>
      </c>
    </row>
    <row r="4933" spans="1:1">
      <c r="A4933" s="145" t="s">
        <v>6860</v>
      </c>
    </row>
    <row r="4934" spans="1:1">
      <c r="A4934" s="145" t="s">
        <v>6861</v>
      </c>
    </row>
    <row r="4935" spans="1:1">
      <c r="A4935" s="145" t="s">
        <v>6862</v>
      </c>
    </row>
    <row r="4936" spans="1:1">
      <c r="A4936" s="145" t="s">
        <v>6863</v>
      </c>
    </row>
    <row r="4937" spans="1:1">
      <c r="A4937" s="145" t="s">
        <v>6864</v>
      </c>
    </row>
    <row r="4938" spans="1:1">
      <c r="A4938" s="145" t="s">
        <v>6865</v>
      </c>
    </row>
    <row r="4939" spans="1:1">
      <c r="A4939" s="145" t="s">
        <v>6866</v>
      </c>
    </row>
    <row r="4940" spans="1:1">
      <c r="A4940" s="145" t="s">
        <v>6867</v>
      </c>
    </row>
    <row r="4941" spans="1:1">
      <c r="A4941" s="145" t="s">
        <v>6868</v>
      </c>
    </row>
    <row r="4942" spans="1:1">
      <c r="A4942" s="145" t="s">
        <v>6869</v>
      </c>
    </row>
    <row r="4943" spans="1:1">
      <c r="A4943" s="145" t="s">
        <v>6870</v>
      </c>
    </row>
    <row r="4944" spans="1:1">
      <c r="A4944" s="145" t="s">
        <v>6871</v>
      </c>
    </row>
    <row r="4945" spans="1:1">
      <c r="A4945" s="145" t="s">
        <v>6872</v>
      </c>
    </row>
    <row r="4946" spans="1:1">
      <c r="A4946" s="145" t="s">
        <v>6873</v>
      </c>
    </row>
    <row r="4947" spans="1:1">
      <c r="A4947" s="145" t="s">
        <v>6874</v>
      </c>
    </row>
    <row r="4948" spans="1:1">
      <c r="A4948" s="145" t="s">
        <v>6875</v>
      </c>
    </row>
    <row r="4949" spans="1:1">
      <c r="A4949" s="145" t="s">
        <v>6876</v>
      </c>
    </row>
    <row r="4950" spans="1:1">
      <c r="A4950" s="145" t="s">
        <v>6877</v>
      </c>
    </row>
    <row r="4951" spans="1:1">
      <c r="A4951" s="145" t="s">
        <v>6878</v>
      </c>
    </row>
    <row r="4952" spans="1:1">
      <c r="A4952" s="145" t="s">
        <v>6879</v>
      </c>
    </row>
    <row r="4953" spans="1:1">
      <c r="A4953" s="145" t="s">
        <v>6880</v>
      </c>
    </row>
    <row r="4954" spans="1:1">
      <c r="A4954" s="145" t="s">
        <v>6881</v>
      </c>
    </row>
    <row r="4955" spans="1:1">
      <c r="A4955" s="145" t="s">
        <v>6882</v>
      </c>
    </row>
    <row r="4956" spans="1:1">
      <c r="A4956" s="145" t="s">
        <v>6883</v>
      </c>
    </row>
    <row r="4957" spans="1:1">
      <c r="A4957" s="145" t="s">
        <v>6884</v>
      </c>
    </row>
    <row r="4958" spans="1:1">
      <c r="A4958" s="145" t="s">
        <v>6885</v>
      </c>
    </row>
    <row r="4959" spans="1:1">
      <c r="A4959" s="145" t="s">
        <v>6886</v>
      </c>
    </row>
    <row r="4960" spans="1:1">
      <c r="A4960" s="145" t="s">
        <v>6887</v>
      </c>
    </row>
    <row r="4961" spans="1:1">
      <c r="A4961" s="145" t="s">
        <v>6888</v>
      </c>
    </row>
    <row r="4962" spans="1:1">
      <c r="A4962" s="145" t="s">
        <v>6889</v>
      </c>
    </row>
    <row r="4963" spans="1:1">
      <c r="A4963" s="145" t="s">
        <v>6890</v>
      </c>
    </row>
    <row r="4964" spans="1:1">
      <c r="A4964" s="145" t="s">
        <v>6891</v>
      </c>
    </row>
    <row r="4965" spans="1:1">
      <c r="A4965" s="145" t="s">
        <v>6892</v>
      </c>
    </row>
    <row r="4966" spans="1:1">
      <c r="A4966" s="145" t="s">
        <v>6893</v>
      </c>
    </row>
    <row r="4967" spans="1:1">
      <c r="A4967" s="145" t="s">
        <v>6894</v>
      </c>
    </row>
    <row r="4968" spans="1:1">
      <c r="A4968" s="145" t="s">
        <v>6895</v>
      </c>
    </row>
    <row r="4969" spans="1:1">
      <c r="A4969" s="145" t="s">
        <v>6896</v>
      </c>
    </row>
    <row r="4970" spans="1:1">
      <c r="A4970" s="145" t="s">
        <v>6897</v>
      </c>
    </row>
    <row r="4971" spans="1:1">
      <c r="A4971" s="145" t="s">
        <v>6898</v>
      </c>
    </row>
    <row r="4972" spans="1:1">
      <c r="A4972" s="145" t="s">
        <v>6899</v>
      </c>
    </row>
    <row r="4973" spans="1:1">
      <c r="A4973" s="145" t="s">
        <v>6900</v>
      </c>
    </row>
    <row r="4974" spans="1:1">
      <c r="A4974" s="145" t="s">
        <v>6901</v>
      </c>
    </row>
    <row r="4975" spans="1:1">
      <c r="A4975" s="145" t="s">
        <v>6902</v>
      </c>
    </row>
    <row r="4976" spans="1:1">
      <c r="A4976" s="145" t="s">
        <v>6903</v>
      </c>
    </row>
    <row r="4977" spans="1:1">
      <c r="A4977" s="145" t="s">
        <v>6904</v>
      </c>
    </row>
    <row r="4978" spans="1:1">
      <c r="A4978" s="145" t="s">
        <v>6905</v>
      </c>
    </row>
    <row r="4979" spans="1:1">
      <c r="A4979" s="145" t="s">
        <v>6906</v>
      </c>
    </row>
    <row r="4980" spans="1:1">
      <c r="A4980" s="145" t="s">
        <v>6907</v>
      </c>
    </row>
    <row r="4981" spans="1:1">
      <c r="A4981" s="145" t="s">
        <v>6908</v>
      </c>
    </row>
    <row r="4982" spans="1:1">
      <c r="A4982" s="145" t="s">
        <v>6909</v>
      </c>
    </row>
    <row r="4983" spans="1:1">
      <c r="A4983" s="145" t="s">
        <v>6910</v>
      </c>
    </row>
    <row r="4984" spans="1:1">
      <c r="A4984" s="145" t="s">
        <v>6911</v>
      </c>
    </row>
    <row r="4985" spans="1:1">
      <c r="A4985" s="145" t="s">
        <v>6912</v>
      </c>
    </row>
    <row r="4986" spans="1:1">
      <c r="A4986" s="145" t="s">
        <v>6913</v>
      </c>
    </row>
    <row r="4987" spans="1:1">
      <c r="A4987" s="145" t="s">
        <v>6914</v>
      </c>
    </row>
    <row r="4988" spans="1:1">
      <c r="A4988" s="145" t="s">
        <v>6915</v>
      </c>
    </row>
    <row r="4989" spans="1:1">
      <c r="A4989" s="145" t="s">
        <v>6916</v>
      </c>
    </row>
    <row r="4990" spans="1:1">
      <c r="A4990" s="145" t="s">
        <v>6917</v>
      </c>
    </row>
    <row r="4991" spans="1:1">
      <c r="A4991" s="145" t="s">
        <v>6918</v>
      </c>
    </row>
    <row r="4992" spans="1:1">
      <c r="A4992" s="145" t="s">
        <v>6919</v>
      </c>
    </row>
    <row r="4993" spans="1:1">
      <c r="A4993" s="145" t="s">
        <v>6920</v>
      </c>
    </row>
    <row r="4994" spans="1:1">
      <c r="A4994" s="145" t="s">
        <v>6921</v>
      </c>
    </row>
    <row r="4995" spans="1:1">
      <c r="A4995" s="145" t="s">
        <v>6922</v>
      </c>
    </row>
    <row r="4996" spans="1:1">
      <c r="A4996" s="145" t="s">
        <v>6923</v>
      </c>
    </row>
    <row r="4997" spans="1:1">
      <c r="A4997" s="145" t="s">
        <v>6924</v>
      </c>
    </row>
    <row r="4998" spans="1:1">
      <c r="A4998" s="145" t="s">
        <v>6925</v>
      </c>
    </row>
    <row r="4999" spans="1:1">
      <c r="A4999" s="145" t="s">
        <v>6926</v>
      </c>
    </row>
    <row r="5000" spans="1:1">
      <c r="A5000" s="145" t="s">
        <v>6927</v>
      </c>
    </row>
    <row r="5001" spans="1:1">
      <c r="A5001" s="145" t="s">
        <v>6928</v>
      </c>
    </row>
    <row r="5002" spans="1:1">
      <c r="A5002" s="145" t="s">
        <v>6929</v>
      </c>
    </row>
    <row r="5003" spans="1:1">
      <c r="A5003" s="145" t="s">
        <v>6930</v>
      </c>
    </row>
    <row r="5004" spans="1:1">
      <c r="A5004" s="145" t="s">
        <v>6931</v>
      </c>
    </row>
    <row r="5005" spans="1:1">
      <c r="A5005" s="145" t="s">
        <v>6932</v>
      </c>
    </row>
    <row r="5006" spans="1:1">
      <c r="A5006" s="145" t="s">
        <v>6933</v>
      </c>
    </row>
    <row r="5007" spans="1:1">
      <c r="A5007" s="145" t="s">
        <v>6934</v>
      </c>
    </row>
    <row r="5008" spans="1:1">
      <c r="A5008" s="145" t="s">
        <v>6935</v>
      </c>
    </row>
    <row r="5009" spans="1:1">
      <c r="A5009" s="145" t="s">
        <v>6936</v>
      </c>
    </row>
    <row r="5010" spans="1:1">
      <c r="A5010" s="145" t="s">
        <v>6937</v>
      </c>
    </row>
    <row r="5011" spans="1:1">
      <c r="A5011" s="145" t="s">
        <v>6938</v>
      </c>
    </row>
    <row r="5012" spans="1:1">
      <c r="A5012" s="145" t="s">
        <v>6939</v>
      </c>
    </row>
    <row r="5013" spans="1:1">
      <c r="A5013" s="145" t="s">
        <v>6940</v>
      </c>
    </row>
    <row r="5014" spans="1:1">
      <c r="A5014" s="145" t="s">
        <v>6941</v>
      </c>
    </row>
    <row r="5015" spans="1:1">
      <c r="A5015" s="145" t="s">
        <v>6942</v>
      </c>
    </row>
    <row r="5016" spans="1:1">
      <c r="A5016" s="145" t="s">
        <v>6943</v>
      </c>
    </row>
    <row r="5017" spans="1:1">
      <c r="A5017" s="145" t="s">
        <v>6944</v>
      </c>
    </row>
    <row r="5018" spans="1:1">
      <c r="A5018" s="145" t="s">
        <v>6945</v>
      </c>
    </row>
    <row r="5019" spans="1:1">
      <c r="A5019" s="145" t="s">
        <v>6946</v>
      </c>
    </row>
    <row r="5020" spans="1:1">
      <c r="A5020" s="145" t="s">
        <v>6947</v>
      </c>
    </row>
    <row r="5021" spans="1:1">
      <c r="A5021" s="145" t="s">
        <v>6948</v>
      </c>
    </row>
    <row r="5022" spans="1:1">
      <c r="A5022" s="145" t="s">
        <v>6949</v>
      </c>
    </row>
    <row r="5023" spans="1:1">
      <c r="A5023" s="145" t="s">
        <v>6950</v>
      </c>
    </row>
    <row r="5024" spans="1:1">
      <c r="A5024" s="145" t="s">
        <v>6951</v>
      </c>
    </row>
    <row r="5025" spans="1:1">
      <c r="A5025" s="145" t="s">
        <v>6952</v>
      </c>
    </row>
    <row r="5026" spans="1:1">
      <c r="A5026" s="145" t="s">
        <v>6953</v>
      </c>
    </row>
    <row r="5027" spans="1:1">
      <c r="A5027" s="145" t="s">
        <v>6954</v>
      </c>
    </row>
    <row r="5028" spans="1:1">
      <c r="A5028" s="145" t="s">
        <v>6955</v>
      </c>
    </row>
    <row r="5029" spans="1:1">
      <c r="A5029" s="145" t="s">
        <v>6956</v>
      </c>
    </row>
    <row r="5030" spans="1:1">
      <c r="A5030" s="145" t="s">
        <v>6957</v>
      </c>
    </row>
    <row r="5031" spans="1:1">
      <c r="A5031" s="145" t="s">
        <v>6958</v>
      </c>
    </row>
    <row r="5032" spans="1:1">
      <c r="A5032" s="145" t="s">
        <v>6959</v>
      </c>
    </row>
    <row r="5033" spans="1:1">
      <c r="A5033" s="145" t="s">
        <v>6960</v>
      </c>
    </row>
    <row r="5034" spans="1:1">
      <c r="A5034" s="145" t="s">
        <v>6961</v>
      </c>
    </row>
    <row r="5035" spans="1:1">
      <c r="A5035" s="145" t="s">
        <v>6962</v>
      </c>
    </row>
    <row r="5036" spans="1:1">
      <c r="A5036" s="145" t="s">
        <v>6963</v>
      </c>
    </row>
    <row r="5037" spans="1:1">
      <c r="A5037" s="145" t="s">
        <v>6964</v>
      </c>
    </row>
    <row r="5038" spans="1:1">
      <c r="A5038" s="145" t="s">
        <v>6965</v>
      </c>
    </row>
    <row r="5039" spans="1:1">
      <c r="A5039" s="145" t="s">
        <v>6966</v>
      </c>
    </row>
    <row r="5040" spans="1:1">
      <c r="A5040" s="145" t="s">
        <v>6967</v>
      </c>
    </row>
    <row r="5041" spans="1:1">
      <c r="A5041" s="145" t="s">
        <v>6968</v>
      </c>
    </row>
    <row r="5042" spans="1:1">
      <c r="A5042" s="145" t="s">
        <v>6969</v>
      </c>
    </row>
    <row r="5043" spans="1:1">
      <c r="A5043" s="145" t="s">
        <v>6970</v>
      </c>
    </row>
    <row r="5044" spans="1:1">
      <c r="A5044" s="145" t="s">
        <v>6971</v>
      </c>
    </row>
    <row r="5045" spans="1:1">
      <c r="A5045" s="145" t="s">
        <v>6972</v>
      </c>
    </row>
    <row r="5046" spans="1:1">
      <c r="A5046" s="145" t="s">
        <v>6973</v>
      </c>
    </row>
    <row r="5047" spans="1:1">
      <c r="A5047" s="145" t="s">
        <v>6974</v>
      </c>
    </row>
    <row r="5048" spans="1:1">
      <c r="A5048" s="145" t="s">
        <v>6975</v>
      </c>
    </row>
    <row r="5049" spans="1:1">
      <c r="A5049" s="145" t="s">
        <v>6976</v>
      </c>
    </row>
    <row r="5050" spans="1:1">
      <c r="A5050" s="145" t="s">
        <v>6977</v>
      </c>
    </row>
    <row r="5051" spans="1:1">
      <c r="A5051" s="145" t="s">
        <v>6978</v>
      </c>
    </row>
    <row r="5052" spans="1:1">
      <c r="A5052" s="145" t="s">
        <v>6979</v>
      </c>
    </row>
    <row r="5053" spans="1:1">
      <c r="A5053" s="145" t="s">
        <v>6980</v>
      </c>
    </row>
    <row r="5054" spans="1:1">
      <c r="A5054" s="145" t="s">
        <v>6981</v>
      </c>
    </row>
    <row r="5055" spans="1:1">
      <c r="A5055" s="145" t="s">
        <v>6982</v>
      </c>
    </row>
    <row r="5056" spans="1:1">
      <c r="A5056" s="145" t="s">
        <v>6983</v>
      </c>
    </row>
    <row r="5057" spans="1:1">
      <c r="A5057" s="145" t="s">
        <v>6984</v>
      </c>
    </row>
    <row r="5058" spans="1:1">
      <c r="A5058" s="145" t="s">
        <v>6985</v>
      </c>
    </row>
    <row r="5059" spans="1:1">
      <c r="A5059" s="145" t="s">
        <v>6986</v>
      </c>
    </row>
    <row r="5060" spans="1:1">
      <c r="A5060" s="145" t="s">
        <v>6987</v>
      </c>
    </row>
    <row r="5061" spans="1:1">
      <c r="A5061" s="145" t="s">
        <v>6988</v>
      </c>
    </row>
    <row r="5062" spans="1:1">
      <c r="A5062" s="145" t="s">
        <v>6989</v>
      </c>
    </row>
    <row r="5063" spans="1:1">
      <c r="A5063" s="145" t="s">
        <v>6990</v>
      </c>
    </row>
    <row r="5064" spans="1:1">
      <c r="A5064" s="145" t="s">
        <v>6991</v>
      </c>
    </row>
    <row r="5065" spans="1:1">
      <c r="A5065" s="145" t="s">
        <v>6992</v>
      </c>
    </row>
    <row r="5066" spans="1:1">
      <c r="A5066" s="145" t="s">
        <v>6993</v>
      </c>
    </row>
    <row r="5067" spans="1:1">
      <c r="A5067" s="145" t="s">
        <v>6994</v>
      </c>
    </row>
    <row r="5068" spans="1:1">
      <c r="A5068" s="145" t="s">
        <v>6995</v>
      </c>
    </row>
    <row r="5069" spans="1:1">
      <c r="A5069" s="145" t="s">
        <v>6996</v>
      </c>
    </row>
    <row r="5070" spans="1:1">
      <c r="A5070" s="145" t="s">
        <v>6997</v>
      </c>
    </row>
    <row r="5071" spans="1:1">
      <c r="A5071" s="145" t="s">
        <v>6998</v>
      </c>
    </row>
    <row r="5072" spans="1:1">
      <c r="A5072" s="145" t="s">
        <v>6999</v>
      </c>
    </row>
    <row r="5073" spans="1:1">
      <c r="A5073" s="145" t="s">
        <v>7000</v>
      </c>
    </row>
    <row r="5074" spans="1:1">
      <c r="A5074" s="145" t="s">
        <v>7001</v>
      </c>
    </row>
    <row r="5075" spans="1:1">
      <c r="A5075" s="145" t="s">
        <v>7002</v>
      </c>
    </row>
    <row r="5076" spans="1:1">
      <c r="A5076" s="145" t="s">
        <v>7003</v>
      </c>
    </row>
    <row r="5077" spans="1:1">
      <c r="A5077" s="145" t="s">
        <v>7004</v>
      </c>
    </row>
    <row r="5078" spans="1:1">
      <c r="A5078" s="145" t="s">
        <v>7005</v>
      </c>
    </row>
    <row r="5079" spans="1:1">
      <c r="A5079" s="145" t="s">
        <v>7006</v>
      </c>
    </row>
    <row r="5080" spans="1:1">
      <c r="A5080" s="145" t="s">
        <v>7007</v>
      </c>
    </row>
    <row r="5081" spans="1:1">
      <c r="A5081" s="145" t="s">
        <v>7008</v>
      </c>
    </row>
    <row r="5082" spans="1:1">
      <c r="A5082" s="145" t="s">
        <v>7009</v>
      </c>
    </row>
    <row r="5083" spans="1:1">
      <c r="A5083" s="145" t="s">
        <v>7010</v>
      </c>
    </row>
    <row r="5084" spans="1:1">
      <c r="A5084" s="145" t="s">
        <v>7011</v>
      </c>
    </row>
    <row r="5085" spans="1:1">
      <c r="A5085" s="145" t="s">
        <v>7012</v>
      </c>
    </row>
    <row r="5086" spans="1:1">
      <c r="A5086" s="145" t="s">
        <v>7013</v>
      </c>
    </row>
    <row r="5087" spans="1:1">
      <c r="A5087" s="145" t="s">
        <v>7014</v>
      </c>
    </row>
    <row r="5088" spans="1:1">
      <c r="A5088" s="145" t="s">
        <v>7015</v>
      </c>
    </row>
    <row r="5089" spans="1:1">
      <c r="A5089" s="145" t="s">
        <v>7016</v>
      </c>
    </row>
    <row r="5090" spans="1:1">
      <c r="A5090" s="145" t="s">
        <v>7017</v>
      </c>
    </row>
    <row r="5091" spans="1:1">
      <c r="A5091" s="145" t="s">
        <v>7018</v>
      </c>
    </row>
    <row r="5092" spans="1:1">
      <c r="A5092" s="145" t="s">
        <v>7019</v>
      </c>
    </row>
    <row r="5093" spans="1:1">
      <c r="A5093" s="145" t="s">
        <v>7020</v>
      </c>
    </row>
    <row r="5094" spans="1:1">
      <c r="A5094" s="145" t="s">
        <v>7021</v>
      </c>
    </row>
    <row r="5095" spans="1:1">
      <c r="A5095" s="145" t="s">
        <v>7022</v>
      </c>
    </row>
    <row r="5096" spans="1:1">
      <c r="A5096" s="145" t="s">
        <v>7023</v>
      </c>
    </row>
    <row r="5097" spans="1:1">
      <c r="A5097" s="145" t="s">
        <v>7024</v>
      </c>
    </row>
    <row r="5098" spans="1:1">
      <c r="A5098" s="145" t="s">
        <v>7025</v>
      </c>
    </row>
    <row r="5099" spans="1:1">
      <c r="A5099" s="145" t="s">
        <v>7026</v>
      </c>
    </row>
    <row r="5100" spans="1:1">
      <c r="A5100" s="145" t="s">
        <v>7027</v>
      </c>
    </row>
    <row r="5101" spans="1:1">
      <c r="A5101" s="145" t="s">
        <v>7028</v>
      </c>
    </row>
    <row r="5102" spans="1:1">
      <c r="A5102" s="145" t="s">
        <v>7029</v>
      </c>
    </row>
    <row r="5103" spans="1:1">
      <c r="A5103" s="145" t="s">
        <v>7030</v>
      </c>
    </row>
    <row r="5104" spans="1:1">
      <c r="A5104" s="145" t="s">
        <v>7031</v>
      </c>
    </row>
    <row r="5105" spans="1:1">
      <c r="A5105" s="145" t="s">
        <v>7032</v>
      </c>
    </row>
    <row r="5106" spans="1:1">
      <c r="A5106" s="145" t="s">
        <v>7033</v>
      </c>
    </row>
    <row r="5107" spans="1:1">
      <c r="A5107" s="145" t="s">
        <v>7034</v>
      </c>
    </row>
    <row r="5108" spans="1:1">
      <c r="A5108" s="145" t="s">
        <v>7035</v>
      </c>
    </row>
    <row r="5109" spans="1:1">
      <c r="A5109" s="145" t="s">
        <v>7036</v>
      </c>
    </row>
    <row r="5110" spans="1:1">
      <c r="A5110" s="145" t="s">
        <v>7037</v>
      </c>
    </row>
    <row r="5111" spans="1:1">
      <c r="A5111" s="145" t="s">
        <v>7038</v>
      </c>
    </row>
    <row r="5112" spans="1:1">
      <c r="A5112" s="145" t="s">
        <v>7039</v>
      </c>
    </row>
    <row r="5113" spans="1:1">
      <c r="A5113" s="145" t="s">
        <v>7040</v>
      </c>
    </row>
    <row r="5114" spans="1:1">
      <c r="A5114" s="145" t="s">
        <v>7041</v>
      </c>
    </row>
    <row r="5115" spans="1:1">
      <c r="A5115" s="145" t="s">
        <v>7042</v>
      </c>
    </row>
    <row r="5116" spans="1:1">
      <c r="A5116" s="145" t="s">
        <v>7043</v>
      </c>
    </row>
    <row r="5117" spans="1:1">
      <c r="A5117" s="145" t="s">
        <v>7044</v>
      </c>
    </row>
    <row r="5118" spans="1:1">
      <c r="A5118" s="145" t="s">
        <v>7045</v>
      </c>
    </row>
    <row r="5119" spans="1:1">
      <c r="A5119" s="145" t="s">
        <v>7046</v>
      </c>
    </row>
    <row r="5120" spans="1:1">
      <c r="A5120" s="145" t="s">
        <v>7047</v>
      </c>
    </row>
    <row r="5121" spans="1:1">
      <c r="A5121" s="145" t="s">
        <v>7048</v>
      </c>
    </row>
    <row r="5122" spans="1:1">
      <c r="A5122" s="145" t="s">
        <v>7049</v>
      </c>
    </row>
    <row r="5123" spans="1:1">
      <c r="A5123" s="145" t="s">
        <v>7050</v>
      </c>
    </row>
    <row r="5124" spans="1:1">
      <c r="A5124" s="145" t="s">
        <v>7051</v>
      </c>
    </row>
    <row r="5125" spans="1:1">
      <c r="A5125" s="145" t="s">
        <v>7052</v>
      </c>
    </row>
    <row r="5126" spans="1:1">
      <c r="A5126" s="145" t="s">
        <v>7053</v>
      </c>
    </row>
    <row r="5127" spans="1:1">
      <c r="A5127" s="145" t="s">
        <v>7054</v>
      </c>
    </row>
    <row r="5128" spans="1:1">
      <c r="A5128" s="145" t="s">
        <v>7055</v>
      </c>
    </row>
    <row r="5129" spans="1:1">
      <c r="A5129" s="145" t="s">
        <v>7056</v>
      </c>
    </row>
    <row r="5130" spans="1:1">
      <c r="A5130" s="145" t="s">
        <v>7057</v>
      </c>
    </row>
    <row r="5131" spans="1:1">
      <c r="A5131" s="145" t="s">
        <v>7058</v>
      </c>
    </row>
    <row r="5132" spans="1:1">
      <c r="A5132" s="145" t="s">
        <v>7059</v>
      </c>
    </row>
    <row r="5133" spans="1:1">
      <c r="A5133" s="145" t="s">
        <v>7060</v>
      </c>
    </row>
    <row r="5134" spans="1:1">
      <c r="A5134" s="145" t="s">
        <v>7061</v>
      </c>
    </row>
    <row r="5135" spans="1:1">
      <c r="A5135" s="145" t="s">
        <v>7062</v>
      </c>
    </row>
    <row r="5136" spans="1:1">
      <c r="A5136" s="145" t="s">
        <v>7063</v>
      </c>
    </row>
    <row r="5137" spans="1:1">
      <c r="A5137" s="145" t="s">
        <v>7064</v>
      </c>
    </row>
    <row r="5138" spans="1:1">
      <c r="A5138" s="145" t="s">
        <v>7065</v>
      </c>
    </row>
    <row r="5139" spans="1:1">
      <c r="A5139" s="145" t="s">
        <v>7066</v>
      </c>
    </row>
    <row r="5140" spans="1:1">
      <c r="A5140" s="145" t="s">
        <v>7067</v>
      </c>
    </row>
    <row r="5141" spans="1:1">
      <c r="A5141" s="145" t="s">
        <v>7068</v>
      </c>
    </row>
    <row r="5142" spans="1:1">
      <c r="A5142" s="145" t="s">
        <v>7069</v>
      </c>
    </row>
    <row r="5143" spans="1:1">
      <c r="A5143" s="145" t="s">
        <v>7070</v>
      </c>
    </row>
    <row r="5144" spans="1:1">
      <c r="A5144" s="145" t="s">
        <v>7071</v>
      </c>
    </row>
    <row r="5145" spans="1:1">
      <c r="A5145" s="145" t="s">
        <v>7072</v>
      </c>
    </row>
    <row r="5146" spans="1:1">
      <c r="A5146" s="145" t="s">
        <v>7073</v>
      </c>
    </row>
    <row r="5147" spans="1:1">
      <c r="A5147" s="145" t="s">
        <v>7074</v>
      </c>
    </row>
    <row r="5148" spans="1:1">
      <c r="A5148" s="145" t="s">
        <v>7075</v>
      </c>
    </row>
    <row r="5149" spans="1:1">
      <c r="A5149" s="145" t="s">
        <v>7076</v>
      </c>
    </row>
    <row r="5150" spans="1:1">
      <c r="A5150" s="145" t="s">
        <v>7077</v>
      </c>
    </row>
    <row r="5151" spans="1:1">
      <c r="A5151" s="145" t="s">
        <v>7078</v>
      </c>
    </row>
    <row r="5152" spans="1:1">
      <c r="A5152" s="145" t="s">
        <v>7079</v>
      </c>
    </row>
    <row r="5153" spans="1:1">
      <c r="A5153" s="145" t="s">
        <v>7080</v>
      </c>
    </row>
    <row r="5154" spans="1:1">
      <c r="A5154" s="145" t="s">
        <v>7081</v>
      </c>
    </row>
    <row r="5155" spans="1:1">
      <c r="A5155" s="145" t="s">
        <v>7082</v>
      </c>
    </row>
    <row r="5156" spans="1:1">
      <c r="A5156" s="145" t="s">
        <v>7083</v>
      </c>
    </row>
    <row r="5157" spans="1:1">
      <c r="A5157" s="145" t="s">
        <v>7084</v>
      </c>
    </row>
    <row r="5158" spans="1:1">
      <c r="A5158" s="145" t="s">
        <v>7085</v>
      </c>
    </row>
    <row r="5159" spans="1:1">
      <c r="A5159" s="145" t="s">
        <v>7086</v>
      </c>
    </row>
    <row r="5160" spans="1:1">
      <c r="A5160" s="145" t="s">
        <v>7087</v>
      </c>
    </row>
    <row r="5161" spans="1:1">
      <c r="A5161" s="145" t="s">
        <v>7088</v>
      </c>
    </row>
    <row r="5162" spans="1:1">
      <c r="A5162" s="145" t="s">
        <v>7089</v>
      </c>
    </row>
    <row r="5163" spans="1:1">
      <c r="A5163" s="145" t="s">
        <v>7090</v>
      </c>
    </row>
    <row r="5164" spans="1:1">
      <c r="A5164" s="145" t="s">
        <v>7091</v>
      </c>
    </row>
    <row r="5165" spans="1:1">
      <c r="A5165" s="145" t="s">
        <v>7092</v>
      </c>
    </row>
    <row r="5166" spans="1:1">
      <c r="A5166" s="145" t="s">
        <v>7093</v>
      </c>
    </row>
    <row r="5167" spans="1:1">
      <c r="A5167" s="145" t="s">
        <v>7094</v>
      </c>
    </row>
    <row r="5168" spans="1:1">
      <c r="A5168" s="145" t="s">
        <v>7095</v>
      </c>
    </row>
    <row r="5169" spans="1:1">
      <c r="A5169" s="145" t="s">
        <v>7096</v>
      </c>
    </row>
    <row r="5170" spans="1:1">
      <c r="A5170" s="145" t="s">
        <v>7097</v>
      </c>
    </row>
    <row r="5171" spans="1:1">
      <c r="A5171" s="145" t="s">
        <v>7098</v>
      </c>
    </row>
    <row r="5172" spans="1:1">
      <c r="A5172" s="145" t="s">
        <v>7099</v>
      </c>
    </row>
    <row r="5173" spans="1:1">
      <c r="A5173" s="145" t="s">
        <v>7100</v>
      </c>
    </row>
    <row r="5174" spans="1:1">
      <c r="A5174" s="145" t="s">
        <v>7101</v>
      </c>
    </row>
    <row r="5175" spans="1:1">
      <c r="A5175" s="145" t="s">
        <v>7102</v>
      </c>
    </row>
    <row r="5176" spans="1:1">
      <c r="A5176" s="145" t="s">
        <v>7103</v>
      </c>
    </row>
    <row r="5177" spans="1:1">
      <c r="A5177" s="145" t="s">
        <v>7104</v>
      </c>
    </row>
    <row r="5178" spans="1:1">
      <c r="A5178" s="145" t="s">
        <v>7105</v>
      </c>
    </row>
    <row r="5179" spans="1:1">
      <c r="A5179" s="145" t="s">
        <v>7106</v>
      </c>
    </row>
    <row r="5180" spans="1:1">
      <c r="A5180" s="145" t="s">
        <v>7107</v>
      </c>
    </row>
    <row r="5181" spans="1:1">
      <c r="A5181" s="145" t="s">
        <v>7108</v>
      </c>
    </row>
    <row r="5182" spans="1:1">
      <c r="A5182" s="145" t="s">
        <v>7109</v>
      </c>
    </row>
    <row r="5183" spans="1:1">
      <c r="A5183" s="145" t="s">
        <v>7110</v>
      </c>
    </row>
    <row r="5184" spans="1:1">
      <c r="A5184" s="145" t="s">
        <v>7111</v>
      </c>
    </row>
    <row r="5185" spans="1:1">
      <c r="A5185" s="145" t="s">
        <v>7112</v>
      </c>
    </row>
    <row r="5186" spans="1:1">
      <c r="A5186" s="145" t="s">
        <v>7113</v>
      </c>
    </row>
    <row r="5187" spans="1:1">
      <c r="A5187" s="145" t="s">
        <v>7114</v>
      </c>
    </row>
    <row r="5188" spans="1:1">
      <c r="A5188" s="145" t="s">
        <v>7115</v>
      </c>
    </row>
    <row r="5189" spans="1:1">
      <c r="A5189" s="145" t="s">
        <v>7116</v>
      </c>
    </row>
    <row r="5190" spans="1:1">
      <c r="A5190" s="145" t="s">
        <v>7117</v>
      </c>
    </row>
    <row r="5191" spans="1:1">
      <c r="A5191" s="145" t="s">
        <v>7118</v>
      </c>
    </row>
    <row r="5192" spans="1:1">
      <c r="A5192" s="145" t="s">
        <v>7119</v>
      </c>
    </row>
    <row r="5193" spans="1:1">
      <c r="A5193" s="145" t="s">
        <v>7120</v>
      </c>
    </row>
    <row r="5194" spans="1:1">
      <c r="A5194" s="145" t="s">
        <v>7121</v>
      </c>
    </row>
    <row r="5195" spans="1:1">
      <c r="A5195" s="145" t="s">
        <v>7122</v>
      </c>
    </row>
    <row r="5196" spans="1:1">
      <c r="A5196" s="145" t="s">
        <v>7123</v>
      </c>
    </row>
    <row r="5197" spans="1:1">
      <c r="A5197" s="145" t="s">
        <v>7124</v>
      </c>
    </row>
    <row r="5198" spans="1:1">
      <c r="A5198" s="145" t="s">
        <v>7125</v>
      </c>
    </row>
    <row r="5199" spans="1:1">
      <c r="A5199" s="145" t="s">
        <v>7126</v>
      </c>
    </row>
    <row r="5200" spans="1:1">
      <c r="A5200" s="145" t="s">
        <v>7127</v>
      </c>
    </row>
    <row r="5201" spans="1:1">
      <c r="A5201" s="145" t="s">
        <v>7128</v>
      </c>
    </row>
    <row r="5202" spans="1:1">
      <c r="A5202" s="145" t="s">
        <v>7129</v>
      </c>
    </row>
    <row r="5203" spans="1:1">
      <c r="A5203" s="145" t="s">
        <v>7130</v>
      </c>
    </row>
    <row r="5204" spans="1:1">
      <c r="A5204" s="145" t="s">
        <v>7131</v>
      </c>
    </row>
    <row r="5205" spans="1:1">
      <c r="A5205" s="145" t="s">
        <v>7132</v>
      </c>
    </row>
    <row r="5206" spans="1:1">
      <c r="A5206" s="145" t="s">
        <v>7133</v>
      </c>
    </row>
    <row r="5207" spans="1:1">
      <c r="A5207" s="145" t="s">
        <v>7134</v>
      </c>
    </row>
    <row r="5208" spans="1:1">
      <c r="A5208" s="145" t="s">
        <v>7135</v>
      </c>
    </row>
    <row r="5209" spans="1:1">
      <c r="A5209" s="145" t="s">
        <v>7136</v>
      </c>
    </row>
    <row r="5210" spans="1:1">
      <c r="A5210" s="145" t="s">
        <v>7137</v>
      </c>
    </row>
    <row r="5211" spans="1:1">
      <c r="A5211" s="145" t="s">
        <v>7138</v>
      </c>
    </row>
    <row r="5212" spans="1:1">
      <c r="A5212" s="145" t="s">
        <v>7139</v>
      </c>
    </row>
    <row r="5213" spans="1:1">
      <c r="A5213" s="145" t="s">
        <v>7140</v>
      </c>
    </row>
    <row r="5214" spans="1:1">
      <c r="A5214" s="145" t="s">
        <v>7141</v>
      </c>
    </row>
    <row r="5215" spans="1:1">
      <c r="A5215" s="145" t="s">
        <v>7142</v>
      </c>
    </row>
    <row r="5216" spans="1:1">
      <c r="A5216" s="145" t="s">
        <v>7143</v>
      </c>
    </row>
    <row r="5217" spans="1:1">
      <c r="A5217" s="145" t="s">
        <v>7144</v>
      </c>
    </row>
    <row r="5218" spans="1:1">
      <c r="A5218" s="145" t="s">
        <v>7145</v>
      </c>
    </row>
    <row r="5219" spans="1:1">
      <c r="A5219" s="145" t="s">
        <v>7146</v>
      </c>
    </row>
    <row r="5220" spans="1:1">
      <c r="A5220" s="145" t="s">
        <v>7147</v>
      </c>
    </row>
    <row r="5221" spans="1:1">
      <c r="A5221" s="145" t="s">
        <v>7148</v>
      </c>
    </row>
    <row r="5222" spans="1:1">
      <c r="A5222" s="145" t="s">
        <v>7149</v>
      </c>
    </row>
    <row r="5223" spans="1:1">
      <c r="A5223" s="145" t="s">
        <v>7150</v>
      </c>
    </row>
    <row r="5224" spans="1:1">
      <c r="A5224" s="145" t="s">
        <v>7151</v>
      </c>
    </row>
    <row r="5225" spans="1:1">
      <c r="A5225" s="145" t="s">
        <v>7152</v>
      </c>
    </row>
    <row r="5226" spans="1:1">
      <c r="A5226" s="145" t="s">
        <v>7153</v>
      </c>
    </row>
    <row r="5227" spans="1:1">
      <c r="A5227" s="145" t="s">
        <v>7154</v>
      </c>
    </row>
    <row r="5228" spans="1:1">
      <c r="A5228" s="145" t="s">
        <v>7155</v>
      </c>
    </row>
    <row r="5229" spans="1:1">
      <c r="A5229" s="145" t="s">
        <v>7156</v>
      </c>
    </row>
    <row r="5230" spans="1:1">
      <c r="A5230" s="145" t="s">
        <v>7157</v>
      </c>
    </row>
    <row r="5231" spans="1:1">
      <c r="A5231" s="145" t="s">
        <v>7158</v>
      </c>
    </row>
    <row r="5232" spans="1:1">
      <c r="A5232" s="145" t="s">
        <v>7159</v>
      </c>
    </row>
    <row r="5233" spans="1:1">
      <c r="A5233" s="145" t="s">
        <v>7160</v>
      </c>
    </row>
    <row r="5234" spans="1:1">
      <c r="A5234" s="145" t="s">
        <v>7161</v>
      </c>
    </row>
    <row r="5235" spans="1:1">
      <c r="A5235" s="145" t="s">
        <v>7162</v>
      </c>
    </row>
    <row r="5236" spans="1:1">
      <c r="A5236" s="145" t="s">
        <v>7163</v>
      </c>
    </row>
    <row r="5237" spans="1:1">
      <c r="A5237" s="145" t="s">
        <v>7164</v>
      </c>
    </row>
    <row r="5238" spans="1:1">
      <c r="A5238" s="145" t="s">
        <v>7165</v>
      </c>
    </row>
    <row r="5239" spans="1:1">
      <c r="A5239" s="145" t="s">
        <v>7166</v>
      </c>
    </row>
    <row r="5240" spans="1:1">
      <c r="A5240" s="145" t="s">
        <v>7167</v>
      </c>
    </row>
    <row r="5241" spans="1:1">
      <c r="A5241" s="145" t="s">
        <v>7168</v>
      </c>
    </row>
    <row r="5242" spans="1:1">
      <c r="A5242" s="145" t="s">
        <v>7169</v>
      </c>
    </row>
    <row r="5243" spans="1:1">
      <c r="A5243" s="145" t="s">
        <v>7170</v>
      </c>
    </row>
    <row r="5244" spans="1:1">
      <c r="A5244" s="145" t="s">
        <v>7171</v>
      </c>
    </row>
    <row r="5245" spans="1:1">
      <c r="A5245" s="145" t="s">
        <v>7172</v>
      </c>
    </row>
    <row r="5246" spans="1:1">
      <c r="A5246" s="145" t="s">
        <v>7173</v>
      </c>
    </row>
    <row r="5247" spans="1:1">
      <c r="A5247" s="145" t="s">
        <v>7174</v>
      </c>
    </row>
    <row r="5248" spans="1:1">
      <c r="A5248" s="145" t="s">
        <v>7175</v>
      </c>
    </row>
    <row r="5249" spans="1:1">
      <c r="A5249" s="145" t="s">
        <v>7176</v>
      </c>
    </row>
    <row r="5250" spans="1:1">
      <c r="A5250" s="145" t="s">
        <v>7177</v>
      </c>
    </row>
    <row r="5251" spans="1:1">
      <c r="A5251" s="145" t="s">
        <v>7178</v>
      </c>
    </row>
    <row r="5252" spans="1:1">
      <c r="A5252" s="145" t="s">
        <v>7179</v>
      </c>
    </row>
    <row r="5253" spans="1:1">
      <c r="A5253" s="145" t="s">
        <v>7180</v>
      </c>
    </row>
    <row r="5254" spans="1:1">
      <c r="A5254" s="145" t="s">
        <v>7181</v>
      </c>
    </row>
    <row r="5255" spans="1:1">
      <c r="A5255" s="145" t="s">
        <v>7182</v>
      </c>
    </row>
    <row r="5256" spans="1:1">
      <c r="A5256" s="145" t="s">
        <v>7183</v>
      </c>
    </row>
    <row r="5257" spans="1:1">
      <c r="A5257" s="145" t="s">
        <v>7184</v>
      </c>
    </row>
    <row r="5258" spans="1:1">
      <c r="A5258" s="145" t="s">
        <v>7185</v>
      </c>
    </row>
    <row r="5259" spans="1:1">
      <c r="A5259" s="145" t="s">
        <v>7186</v>
      </c>
    </row>
    <row r="5260" spans="1:1">
      <c r="A5260" s="145" t="s">
        <v>7187</v>
      </c>
    </row>
    <row r="5261" spans="1:1">
      <c r="A5261" s="145" t="s">
        <v>7188</v>
      </c>
    </row>
    <row r="5262" spans="1:1">
      <c r="A5262" s="145" t="s">
        <v>7189</v>
      </c>
    </row>
    <row r="5263" spans="1:1">
      <c r="A5263" s="145" t="s">
        <v>7190</v>
      </c>
    </row>
    <row r="5264" spans="1:1">
      <c r="A5264" s="145" t="s">
        <v>7191</v>
      </c>
    </row>
    <row r="5265" spans="1:1">
      <c r="A5265" s="145" t="s">
        <v>7192</v>
      </c>
    </row>
    <row r="5266" spans="1:1">
      <c r="A5266" s="145" t="s">
        <v>7193</v>
      </c>
    </row>
    <row r="5267" spans="1:1">
      <c r="A5267" s="145" t="s">
        <v>7194</v>
      </c>
    </row>
    <row r="5268" spans="1:1">
      <c r="A5268" s="145" t="s">
        <v>7195</v>
      </c>
    </row>
    <row r="5269" spans="1:1">
      <c r="A5269" s="145" t="s">
        <v>7196</v>
      </c>
    </row>
    <row r="5270" spans="1:1">
      <c r="A5270" s="145" t="s">
        <v>7197</v>
      </c>
    </row>
    <row r="5271" spans="1:1">
      <c r="A5271" s="145" t="s">
        <v>7198</v>
      </c>
    </row>
    <row r="5272" spans="1:1">
      <c r="A5272" s="145" t="s">
        <v>7199</v>
      </c>
    </row>
    <row r="5273" spans="1:1">
      <c r="A5273" s="145" t="s">
        <v>7200</v>
      </c>
    </row>
    <row r="5274" spans="1:1">
      <c r="A5274" s="145" t="s">
        <v>7201</v>
      </c>
    </row>
    <row r="5275" spans="1:1">
      <c r="A5275" s="145" t="s">
        <v>7202</v>
      </c>
    </row>
    <row r="5276" spans="1:1">
      <c r="A5276" s="145" t="s">
        <v>7203</v>
      </c>
    </row>
    <row r="5277" spans="1:1">
      <c r="A5277" s="145" t="s">
        <v>7204</v>
      </c>
    </row>
    <row r="5278" spans="1:1">
      <c r="A5278" s="145" t="s">
        <v>7205</v>
      </c>
    </row>
    <row r="5279" spans="1:1">
      <c r="A5279" s="145" t="s">
        <v>7206</v>
      </c>
    </row>
    <row r="5280" spans="1:1">
      <c r="A5280" s="145" t="s">
        <v>7207</v>
      </c>
    </row>
    <row r="5281" spans="1:1">
      <c r="A5281" s="145" t="s">
        <v>7208</v>
      </c>
    </row>
    <row r="5282" spans="1:1">
      <c r="A5282" s="145" t="s">
        <v>7209</v>
      </c>
    </row>
    <row r="5283" spans="1:1">
      <c r="A5283" s="145" t="s">
        <v>7210</v>
      </c>
    </row>
    <row r="5284" spans="1:1">
      <c r="A5284" s="145" t="s">
        <v>7211</v>
      </c>
    </row>
    <row r="5285" spans="1:1">
      <c r="A5285" s="145" t="s">
        <v>7212</v>
      </c>
    </row>
    <row r="5286" spans="1:1">
      <c r="A5286" s="145" t="s">
        <v>7213</v>
      </c>
    </row>
    <row r="5287" spans="1:1">
      <c r="A5287" s="145" t="s">
        <v>7214</v>
      </c>
    </row>
    <row r="5288" spans="1:1">
      <c r="A5288" s="145" t="s">
        <v>7215</v>
      </c>
    </row>
    <row r="5289" spans="1:1">
      <c r="A5289" s="145" t="s">
        <v>7216</v>
      </c>
    </row>
    <row r="5290" spans="1:1">
      <c r="A5290" s="145" t="s">
        <v>7217</v>
      </c>
    </row>
    <row r="5291" spans="1:1">
      <c r="A5291" s="145" t="s">
        <v>7218</v>
      </c>
    </row>
    <row r="5292" spans="1:1">
      <c r="A5292" s="145" t="s">
        <v>7219</v>
      </c>
    </row>
    <row r="5293" spans="1:1">
      <c r="A5293" s="145" t="s">
        <v>7220</v>
      </c>
    </row>
    <row r="5294" spans="1:1">
      <c r="A5294" s="145" t="s">
        <v>7221</v>
      </c>
    </row>
    <row r="5295" spans="1:1">
      <c r="A5295" s="145" t="s">
        <v>7222</v>
      </c>
    </row>
    <row r="5296" spans="1:1">
      <c r="A5296" s="145" t="s">
        <v>7223</v>
      </c>
    </row>
    <row r="5297" spans="1:1">
      <c r="A5297" s="145" t="s">
        <v>7224</v>
      </c>
    </row>
    <row r="5298" spans="1:1">
      <c r="A5298" s="145" t="s">
        <v>7225</v>
      </c>
    </row>
    <row r="5299" spans="1:1">
      <c r="A5299" s="145" t="s">
        <v>7226</v>
      </c>
    </row>
    <row r="5300" spans="1:1">
      <c r="A5300" s="145" t="s">
        <v>7227</v>
      </c>
    </row>
    <row r="5301" spans="1:1">
      <c r="A5301" s="145" t="s">
        <v>7228</v>
      </c>
    </row>
    <row r="5302" spans="1:1">
      <c r="A5302" s="145" t="s">
        <v>7229</v>
      </c>
    </row>
    <row r="5303" spans="1:1">
      <c r="A5303" s="145" t="s">
        <v>7230</v>
      </c>
    </row>
    <row r="5304" spans="1:1">
      <c r="A5304" s="145" t="s">
        <v>7231</v>
      </c>
    </row>
    <row r="5305" spans="1:1">
      <c r="A5305" s="145" t="s">
        <v>7232</v>
      </c>
    </row>
    <row r="5306" spans="1:1">
      <c r="A5306" s="145" t="s">
        <v>7233</v>
      </c>
    </row>
    <row r="5307" spans="1:1">
      <c r="A5307" s="145" t="s">
        <v>7234</v>
      </c>
    </row>
    <row r="5308" spans="1:1">
      <c r="A5308" s="145" t="s">
        <v>7235</v>
      </c>
    </row>
    <row r="5309" spans="1:1">
      <c r="A5309" s="145" t="s">
        <v>7236</v>
      </c>
    </row>
    <row r="5310" spans="1:1">
      <c r="A5310" s="145" t="s">
        <v>7237</v>
      </c>
    </row>
    <row r="5311" spans="1:1">
      <c r="A5311" s="145" t="s">
        <v>7238</v>
      </c>
    </row>
    <row r="5312" spans="1:1">
      <c r="A5312" s="145" t="s">
        <v>7239</v>
      </c>
    </row>
    <row r="5313" spans="1:1">
      <c r="A5313" s="145" t="s">
        <v>7240</v>
      </c>
    </row>
    <row r="5314" spans="1:1">
      <c r="A5314" s="145" t="s">
        <v>7241</v>
      </c>
    </row>
    <row r="5315" spans="1:1">
      <c r="A5315" s="145" t="s">
        <v>7242</v>
      </c>
    </row>
    <row r="5316" spans="1:1">
      <c r="A5316" s="145" t="s">
        <v>7243</v>
      </c>
    </row>
    <row r="5317" spans="1:1">
      <c r="A5317" s="145" t="s">
        <v>7244</v>
      </c>
    </row>
    <row r="5318" spans="1:1">
      <c r="A5318" s="145" t="s">
        <v>7245</v>
      </c>
    </row>
    <row r="5319" spans="1:1">
      <c r="A5319" s="145" t="s">
        <v>7246</v>
      </c>
    </row>
    <row r="5320" spans="1:1">
      <c r="A5320" s="145" t="s">
        <v>7247</v>
      </c>
    </row>
    <row r="5321" spans="1:1">
      <c r="A5321" s="145" t="s">
        <v>7248</v>
      </c>
    </row>
    <row r="5322" spans="1:1">
      <c r="A5322" s="145" t="s">
        <v>7249</v>
      </c>
    </row>
    <row r="5323" spans="1:1">
      <c r="A5323" s="145" t="s">
        <v>7250</v>
      </c>
    </row>
    <row r="5324" spans="1:1">
      <c r="A5324" s="145" t="s">
        <v>7251</v>
      </c>
    </row>
    <row r="5325" spans="1:1">
      <c r="A5325" s="145" t="s">
        <v>7252</v>
      </c>
    </row>
    <row r="5326" spans="1:1">
      <c r="A5326" s="145" t="s">
        <v>7253</v>
      </c>
    </row>
    <row r="5327" spans="1:1">
      <c r="A5327" s="145" t="s">
        <v>7254</v>
      </c>
    </row>
    <row r="5328" spans="1:1">
      <c r="A5328" s="145" t="s">
        <v>7255</v>
      </c>
    </row>
    <row r="5329" spans="1:1">
      <c r="A5329" s="145" t="s">
        <v>7256</v>
      </c>
    </row>
    <row r="5330" spans="1:1">
      <c r="A5330" s="145" t="s">
        <v>7257</v>
      </c>
    </row>
    <row r="5331" spans="1:1">
      <c r="A5331" s="145" t="s">
        <v>7258</v>
      </c>
    </row>
    <row r="5332" spans="1:1">
      <c r="A5332" s="145" t="s">
        <v>7259</v>
      </c>
    </row>
    <row r="5333" spans="1:1">
      <c r="A5333" s="145" t="s">
        <v>7260</v>
      </c>
    </row>
    <row r="5334" spans="1:1">
      <c r="A5334" s="145" t="s">
        <v>7261</v>
      </c>
    </row>
    <row r="5335" spans="1:1">
      <c r="A5335" s="145" t="s">
        <v>7262</v>
      </c>
    </row>
    <row r="5336" spans="1:1">
      <c r="A5336" s="145" t="s">
        <v>7263</v>
      </c>
    </row>
    <row r="5337" spans="1:1">
      <c r="A5337" s="145" t="s">
        <v>7264</v>
      </c>
    </row>
    <row r="5338" spans="1:1">
      <c r="A5338" s="145" t="s">
        <v>7265</v>
      </c>
    </row>
    <row r="5339" spans="1:1">
      <c r="A5339" s="145" t="s">
        <v>7266</v>
      </c>
    </row>
    <row r="5340" spans="1:1">
      <c r="A5340" s="145" t="s">
        <v>7267</v>
      </c>
    </row>
    <row r="5341" spans="1:1">
      <c r="A5341" s="145" t="s">
        <v>7268</v>
      </c>
    </row>
    <row r="5342" spans="1:1">
      <c r="A5342" s="145" t="s">
        <v>7269</v>
      </c>
    </row>
    <row r="5343" spans="1:1">
      <c r="A5343" s="145" t="s">
        <v>7270</v>
      </c>
    </row>
    <row r="5344" spans="1:1">
      <c r="A5344" s="145" t="s">
        <v>7271</v>
      </c>
    </row>
    <row r="5345" spans="1:1">
      <c r="A5345" s="145" t="s">
        <v>7272</v>
      </c>
    </row>
    <row r="5346" spans="1:1">
      <c r="A5346" s="145" t="s">
        <v>7273</v>
      </c>
    </row>
    <row r="5347" spans="1:1">
      <c r="A5347" s="145" t="s">
        <v>7274</v>
      </c>
    </row>
    <row r="5348" spans="1:1">
      <c r="A5348" s="145" t="s">
        <v>7275</v>
      </c>
    </row>
    <row r="5349" spans="1:1">
      <c r="A5349" s="145" t="s">
        <v>7276</v>
      </c>
    </row>
    <row r="5350" spans="1:1">
      <c r="A5350" s="145" t="s">
        <v>7277</v>
      </c>
    </row>
    <row r="5351" spans="1:1">
      <c r="A5351" s="145" t="s">
        <v>7278</v>
      </c>
    </row>
    <row r="5352" spans="1:1">
      <c r="A5352" s="145" t="s">
        <v>7279</v>
      </c>
    </row>
    <row r="5353" spans="1:1">
      <c r="A5353" s="145" t="s">
        <v>7280</v>
      </c>
    </row>
    <row r="5354" spans="1:1">
      <c r="A5354" s="145" t="s">
        <v>7281</v>
      </c>
    </row>
    <row r="5355" spans="1:1">
      <c r="A5355" s="145" t="s">
        <v>7282</v>
      </c>
    </row>
    <row r="5356" spans="1:1">
      <c r="A5356" s="145" t="s">
        <v>7283</v>
      </c>
    </row>
    <row r="5357" spans="1:1">
      <c r="A5357" s="145" t="s">
        <v>7284</v>
      </c>
    </row>
    <row r="5358" spans="1:1">
      <c r="A5358" s="145" t="s">
        <v>7285</v>
      </c>
    </row>
    <row r="5359" spans="1:1">
      <c r="A5359" s="145" t="s">
        <v>7286</v>
      </c>
    </row>
    <row r="5360" spans="1:1">
      <c r="A5360" s="145" t="s">
        <v>7287</v>
      </c>
    </row>
    <row r="5361" spans="1:1">
      <c r="A5361" s="145" t="s">
        <v>7288</v>
      </c>
    </row>
    <row r="5362" spans="1:1">
      <c r="A5362" s="145" t="s">
        <v>7289</v>
      </c>
    </row>
    <row r="5363" spans="1:1">
      <c r="A5363" s="145" t="s">
        <v>7290</v>
      </c>
    </row>
    <row r="5364" spans="1:1">
      <c r="A5364" s="145" t="s">
        <v>7291</v>
      </c>
    </row>
    <row r="5365" spans="1:1">
      <c r="A5365" s="145" t="s">
        <v>7292</v>
      </c>
    </row>
    <row r="5366" spans="1:1">
      <c r="A5366" s="145" t="s">
        <v>7293</v>
      </c>
    </row>
    <row r="5367" spans="1:1">
      <c r="A5367" s="145" t="s">
        <v>7294</v>
      </c>
    </row>
    <row r="5368" spans="1:1">
      <c r="A5368" s="145" t="s">
        <v>7295</v>
      </c>
    </row>
    <row r="5369" spans="1:1">
      <c r="A5369" s="145" t="s">
        <v>7296</v>
      </c>
    </row>
    <row r="5370" spans="1:1">
      <c r="A5370" s="145" t="s">
        <v>7297</v>
      </c>
    </row>
    <row r="5371" spans="1:1">
      <c r="A5371" s="145" t="s">
        <v>7298</v>
      </c>
    </row>
    <row r="5372" spans="1:1">
      <c r="A5372" s="145" t="s">
        <v>7299</v>
      </c>
    </row>
    <row r="5373" spans="1:1">
      <c r="A5373" s="145" t="s">
        <v>7300</v>
      </c>
    </row>
    <row r="5374" spans="1:1">
      <c r="A5374" s="145" t="s">
        <v>7301</v>
      </c>
    </row>
    <row r="5375" spans="1:1">
      <c r="A5375" s="145" t="s">
        <v>7302</v>
      </c>
    </row>
    <row r="5376" spans="1:1">
      <c r="A5376" s="145" t="s">
        <v>7303</v>
      </c>
    </row>
    <row r="5377" spans="1:1">
      <c r="A5377" s="145" t="s">
        <v>7304</v>
      </c>
    </row>
    <row r="5378" spans="1:1">
      <c r="A5378" s="145" t="s">
        <v>7305</v>
      </c>
    </row>
    <row r="5379" spans="1:1">
      <c r="A5379" s="145" t="s">
        <v>7306</v>
      </c>
    </row>
    <row r="5380" spans="1:1">
      <c r="A5380" s="145" t="s">
        <v>7307</v>
      </c>
    </row>
    <row r="5381" spans="1:1">
      <c r="A5381" s="145" t="s">
        <v>7308</v>
      </c>
    </row>
    <row r="5382" spans="1:1">
      <c r="A5382" s="145" t="s">
        <v>7309</v>
      </c>
    </row>
    <row r="5383" spans="1:1">
      <c r="A5383" s="145" t="s">
        <v>7310</v>
      </c>
    </row>
    <row r="5384" spans="1:1">
      <c r="A5384" s="145" t="s">
        <v>7311</v>
      </c>
    </row>
    <row r="5385" spans="1:1">
      <c r="A5385" s="145" t="s">
        <v>7312</v>
      </c>
    </row>
    <row r="5386" spans="1:1">
      <c r="A5386" s="145" t="s">
        <v>7313</v>
      </c>
    </row>
    <row r="5387" spans="1:1">
      <c r="A5387" s="145" t="s">
        <v>7314</v>
      </c>
    </row>
    <row r="5388" spans="1:1">
      <c r="A5388" s="145" t="s">
        <v>7315</v>
      </c>
    </row>
    <row r="5389" spans="1:1">
      <c r="A5389" s="145" t="s">
        <v>7316</v>
      </c>
    </row>
    <row r="5390" spans="1:1">
      <c r="A5390" s="145" t="s">
        <v>7317</v>
      </c>
    </row>
    <row r="5391" spans="1:1">
      <c r="A5391" s="145" t="s">
        <v>7318</v>
      </c>
    </row>
    <row r="5392" spans="1:1">
      <c r="A5392" s="145" t="s">
        <v>7319</v>
      </c>
    </row>
    <row r="5393" spans="1:1">
      <c r="A5393" s="145" t="s">
        <v>7320</v>
      </c>
    </row>
    <row r="5394" spans="1:1">
      <c r="A5394" s="145" t="s">
        <v>7321</v>
      </c>
    </row>
    <row r="5395" spans="1:1">
      <c r="A5395" s="145" t="s">
        <v>7322</v>
      </c>
    </row>
    <row r="5396" spans="1:1">
      <c r="A5396" s="145" t="s">
        <v>7323</v>
      </c>
    </row>
    <row r="5397" spans="1:1">
      <c r="A5397" s="145" t="s">
        <v>7324</v>
      </c>
    </row>
    <row r="5398" spans="1:1">
      <c r="A5398" s="145" t="s">
        <v>7325</v>
      </c>
    </row>
    <row r="5399" spans="1:1">
      <c r="A5399" s="145" t="s">
        <v>7326</v>
      </c>
    </row>
    <row r="5400" spans="1:1">
      <c r="A5400" s="145" t="s">
        <v>7327</v>
      </c>
    </row>
    <row r="5401" spans="1:1">
      <c r="A5401" s="145" t="s">
        <v>7328</v>
      </c>
    </row>
    <row r="5402" spans="1:1">
      <c r="A5402" s="145" t="s">
        <v>7329</v>
      </c>
    </row>
    <row r="5403" spans="1:1">
      <c r="A5403" s="145" t="s">
        <v>7330</v>
      </c>
    </row>
    <row r="5404" spans="1:1">
      <c r="A5404" s="145" t="s">
        <v>7331</v>
      </c>
    </row>
    <row r="5405" spans="1:1">
      <c r="A5405" s="145" t="s">
        <v>7332</v>
      </c>
    </row>
    <row r="5406" spans="1:1">
      <c r="A5406" s="145" t="s">
        <v>7333</v>
      </c>
    </row>
    <row r="5407" spans="1:1">
      <c r="A5407" s="145" t="s">
        <v>7334</v>
      </c>
    </row>
    <row r="5408" spans="1:1">
      <c r="A5408" s="145" t="s">
        <v>7335</v>
      </c>
    </row>
    <row r="5409" spans="1:1">
      <c r="A5409" s="145" t="s">
        <v>7336</v>
      </c>
    </row>
    <row r="5410" spans="1:1">
      <c r="A5410" s="145" t="s">
        <v>7337</v>
      </c>
    </row>
    <row r="5411" spans="1:1">
      <c r="A5411" s="145" t="s">
        <v>7338</v>
      </c>
    </row>
    <row r="5412" spans="1:1">
      <c r="A5412" s="145" t="s">
        <v>7339</v>
      </c>
    </row>
    <row r="5413" spans="1:1">
      <c r="A5413" s="145" t="s">
        <v>7340</v>
      </c>
    </row>
    <row r="5414" spans="1:1">
      <c r="A5414" s="145" t="s">
        <v>7341</v>
      </c>
    </row>
    <row r="5415" spans="1:1">
      <c r="A5415" s="145" t="s">
        <v>7342</v>
      </c>
    </row>
    <row r="5416" spans="1:1">
      <c r="A5416" s="145" t="s">
        <v>7343</v>
      </c>
    </row>
    <row r="5417" spans="1:1">
      <c r="A5417" s="145" t="s">
        <v>7344</v>
      </c>
    </row>
    <row r="5418" spans="1:1">
      <c r="A5418" s="145" t="s">
        <v>7345</v>
      </c>
    </row>
    <row r="5419" spans="1:1">
      <c r="A5419" s="145" t="s">
        <v>7346</v>
      </c>
    </row>
    <row r="5420" spans="1:1">
      <c r="A5420" s="145" t="s">
        <v>7347</v>
      </c>
    </row>
    <row r="5421" spans="1:1">
      <c r="A5421" s="145" t="s">
        <v>7348</v>
      </c>
    </row>
    <row r="5422" spans="1:1">
      <c r="A5422" s="145" t="s">
        <v>7349</v>
      </c>
    </row>
    <row r="5423" spans="1:1">
      <c r="A5423" s="145" t="s">
        <v>7350</v>
      </c>
    </row>
    <row r="5424" spans="1:1">
      <c r="A5424" s="145" t="s">
        <v>7351</v>
      </c>
    </row>
    <row r="5425" spans="1:1">
      <c r="A5425" s="145" t="s">
        <v>7352</v>
      </c>
    </row>
    <row r="5426" spans="1:1">
      <c r="A5426" s="145" t="s">
        <v>7353</v>
      </c>
    </row>
    <row r="5427" spans="1:1">
      <c r="A5427" s="145" t="s">
        <v>7354</v>
      </c>
    </row>
    <row r="5428" spans="1:1">
      <c r="A5428" s="145" t="s">
        <v>7355</v>
      </c>
    </row>
    <row r="5429" spans="1:1">
      <c r="A5429" s="145" t="s">
        <v>7356</v>
      </c>
    </row>
    <row r="5430" spans="1:1">
      <c r="A5430" s="145" t="s">
        <v>7357</v>
      </c>
    </row>
    <row r="5431" spans="1:1">
      <c r="A5431" s="145" t="s">
        <v>7358</v>
      </c>
    </row>
    <row r="5432" spans="1:1">
      <c r="A5432" s="145" t="s">
        <v>7359</v>
      </c>
    </row>
    <row r="5433" spans="1:1">
      <c r="A5433" s="145" t="s">
        <v>7360</v>
      </c>
    </row>
    <row r="5434" spans="1:1">
      <c r="A5434" s="145" t="s">
        <v>7361</v>
      </c>
    </row>
    <row r="5435" spans="1:1">
      <c r="A5435" s="145" t="s">
        <v>7362</v>
      </c>
    </row>
    <row r="5436" spans="1:1">
      <c r="A5436" s="145" t="s">
        <v>7363</v>
      </c>
    </row>
    <row r="5437" spans="1:1">
      <c r="A5437" s="145" t="s">
        <v>7364</v>
      </c>
    </row>
    <row r="5438" spans="1:1">
      <c r="A5438" s="145" t="s">
        <v>7365</v>
      </c>
    </row>
    <row r="5439" spans="1:1">
      <c r="A5439" s="145" t="s">
        <v>7366</v>
      </c>
    </row>
    <row r="5440" spans="1:1">
      <c r="A5440" s="145" t="s">
        <v>7367</v>
      </c>
    </row>
    <row r="5441" spans="1:1">
      <c r="A5441" s="145" t="s">
        <v>7368</v>
      </c>
    </row>
    <row r="5442" spans="1:1">
      <c r="A5442" s="145" t="s">
        <v>7369</v>
      </c>
    </row>
    <row r="5443" spans="1:1">
      <c r="A5443" s="145" t="s">
        <v>7370</v>
      </c>
    </row>
    <row r="5444" spans="1:1">
      <c r="A5444" s="145" t="s">
        <v>7371</v>
      </c>
    </row>
    <row r="5445" spans="1:1">
      <c r="A5445" s="145" t="s">
        <v>7372</v>
      </c>
    </row>
    <row r="5446" spans="1:1">
      <c r="A5446" s="145" t="s">
        <v>7373</v>
      </c>
    </row>
    <row r="5447" spans="1:1">
      <c r="A5447" s="145" t="s">
        <v>7374</v>
      </c>
    </row>
    <row r="5448" spans="1:1">
      <c r="A5448" s="145" t="s">
        <v>7375</v>
      </c>
    </row>
    <row r="5449" spans="1:1">
      <c r="A5449" s="145" t="s">
        <v>7376</v>
      </c>
    </row>
    <row r="5450" spans="1:1">
      <c r="A5450" s="145" t="s">
        <v>7377</v>
      </c>
    </row>
    <row r="5451" spans="1:1">
      <c r="A5451" s="145" t="s">
        <v>7378</v>
      </c>
    </row>
    <row r="5452" spans="1:1">
      <c r="A5452" s="145" t="s">
        <v>7379</v>
      </c>
    </row>
    <row r="5453" spans="1:1">
      <c r="A5453" s="145" t="s">
        <v>7380</v>
      </c>
    </row>
    <row r="5454" spans="1:1">
      <c r="A5454" s="145" t="s">
        <v>7381</v>
      </c>
    </row>
    <row r="5455" spans="1:1">
      <c r="A5455" s="145" t="s">
        <v>7382</v>
      </c>
    </row>
    <row r="5456" spans="1:1">
      <c r="A5456" s="145" t="s">
        <v>7383</v>
      </c>
    </row>
    <row r="5457" spans="1:1">
      <c r="A5457" s="145" t="s">
        <v>7384</v>
      </c>
    </row>
    <row r="5458" spans="1:1">
      <c r="A5458" s="145" t="s">
        <v>7385</v>
      </c>
    </row>
    <row r="5459" spans="1:1">
      <c r="A5459" s="145" t="s">
        <v>7386</v>
      </c>
    </row>
    <row r="5460" spans="1:1">
      <c r="A5460" s="145" t="s">
        <v>7387</v>
      </c>
    </row>
    <row r="5461" spans="1:1">
      <c r="A5461" s="145" t="s">
        <v>7388</v>
      </c>
    </row>
    <row r="5462" spans="1:1">
      <c r="A5462" s="145" t="s">
        <v>7389</v>
      </c>
    </row>
    <row r="5463" spans="1:1">
      <c r="A5463" s="145" t="s">
        <v>7390</v>
      </c>
    </row>
    <row r="5464" spans="1:1">
      <c r="A5464" s="145" t="s">
        <v>7391</v>
      </c>
    </row>
    <row r="5465" spans="1:1">
      <c r="A5465" s="145" t="s">
        <v>7392</v>
      </c>
    </row>
    <row r="5466" spans="1:1">
      <c r="A5466" s="145" t="s">
        <v>7393</v>
      </c>
    </row>
    <row r="5467" spans="1:1">
      <c r="A5467" s="145" t="s">
        <v>7394</v>
      </c>
    </row>
    <row r="5468" spans="1:1">
      <c r="A5468" s="145" t="s">
        <v>7395</v>
      </c>
    </row>
    <row r="5469" spans="1:1">
      <c r="A5469" s="145" t="s">
        <v>7396</v>
      </c>
    </row>
    <row r="5470" spans="1:1">
      <c r="A5470" s="145" t="s">
        <v>7397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2"/>
  <sheetViews>
    <sheetView workbookViewId="0">
      <selection activeCell="J27" sqref="J27"/>
    </sheetView>
  </sheetViews>
  <sheetFormatPr baseColWidth="10" defaultColWidth="11.42578125" defaultRowHeight="12"/>
  <cols>
    <col min="1" max="1" width="18.7109375" bestFit="1" customWidth="1"/>
  </cols>
  <sheetData>
    <row r="1" spans="1:13" s="187" customFormat="1" ht="15">
      <c r="A1" s="201" t="s">
        <v>7588</v>
      </c>
      <c r="B1" s="201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s="187" customFormat="1" ht="15">
      <c r="A2" s="201" t="s">
        <v>7589</v>
      </c>
      <c r="B2" s="201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pans="1:13" s="187" customFormat="1" ht="15">
      <c r="A3" s="201" t="s">
        <v>7590</v>
      </c>
      <c r="B3" s="201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</row>
    <row r="4" spans="1:13" s="187" customFormat="1" ht="15">
      <c r="A4" s="201" t="s">
        <v>7591</v>
      </c>
      <c r="B4" s="203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</row>
    <row r="5" spans="1:13" s="187" customFormat="1" ht="15">
      <c r="A5" s="202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</row>
    <row r="6" spans="1:13" s="187" customFormat="1" ht="15">
      <c r="A6" s="336" t="s">
        <v>7592</v>
      </c>
      <c r="B6" s="204" t="s">
        <v>7593</v>
      </c>
      <c r="C6" s="335" t="s">
        <v>7594</v>
      </c>
      <c r="D6" s="335"/>
      <c r="E6" s="335"/>
      <c r="F6" s="335"/>
      <c r="G6" s="335"/>
      <c r="H6" s="205" t="s">
        <v>7595</v>
      </c>
      <c r="I6" s="202"/>
      <c r="J6" s="202"/>
      <c r="K6" s="202"/>
      <c r="L6" s="202"/>
      <c r="M6" s="202"/>
    </row>
    <row r="7" spans="1:13" s="187" customFormat="1" ht="15">
      <c r="A7" s="336"/>
      <c r="B7" s="204" t="s">
        <v>7596</v>
      </c>
      <c r="C7" s="335" t="s">
        <v>7597</v>
      </c>
      <c r="D7" s="335"/>
      <c r="E7" s="335"/>
      <c r="F7" s="335"/>
      <c r="G7" s="335"/>
      <c r="H7" s="205" t="s">
        <v>7595</v>
      </c>
      <c r="I7" s="202"/>
      <c r="J7" s="202"/>
      <c r="K7" s="202"/>
      <c r="L7" s="202"/>
      <c r="M7" s="202"/>
    </row>
    <row r="8" spans="1:13" s="187" customFormat="1" ht="15">
      <c r="A8" s="336"/>
      <c r="B8" s="204" t="s">
        <v>7598</v>
      </c>
      <c r="C8" s="335" t="s">
        <v>7599</v>
      </c>
      <c r="D8" s="335"/>
      <c r="E8" s="335"/>
      <c r="F8" s="335"/>
      <c r="G8" s="335"/>
      <c r="H8" s="205" t="s">
        <v>7595</v>
      </c>
      <c r="I8" s="202"/>
      <c r="J8" s="202"/>
      <c r="K8" s="202"/>
      <c r="L8" s="202"/>
      <c r="M8" s="202"/>
    </row>
    <row r="9" spans="1:13" s="187" customFormat="1" ht="15">
      <c r="A9" s="204" t="s">
        <v>7600</v>
      </c>
      <c r="B9" s="204" t="s">
        <v>7593</v>
      </c>
      <c r="C9" s="335" t="s">
        <v>7601</v>
      </c>
      <c r="D9" s="335"/>
      <c r="E9" s="335"/>
      <c r="F9" s="335"/>
      <c r="G9" s="335"/>
      <c r="H9" s="206" t="s">
        <v>211</v>
      </c>
      <c r="I9" s="202"/>
      <c r="J9" s="202"/>
      <c r="K9" s="202"/>
      <c r="L9" s="202"/>
      <c r="M9" s="202"/>
    </row>
    <row r="10" spans="1:13" s="187" customFormat="1" ht="15">
      <c r="A10" s="204" t="s">
        <v>7602</v>
      </c>
      <c r="B10" s="204" t="s">
        <v>7603</v>
      </c>
      <c r="C10" s="335" t="s">
        <v>7604</v>
      </c>
      <c r="D10" s="335"/>
      <c r="E10" s="335"/>
      <c r="F10" s="335"/>
      <c r="G10" s="335"/>
      <c r="H10" s="206" t="s">
        <v>7605</v>
      </c>
      <c r="I10" s="202"/>
      <c r="J10" s="202"/>
      <c r="K10" s="202"/>
      <c r="L10" s="202"/>
      <c r="M10" s="202"/>
    </row>
    <row r="11" spans="1:13" s="187" customFormat="1" ht="15">
      <c r="A11" s="204" t="s">
        <v>7606</v>
      </c>
      <c r="B11" s="204" t="s">
        <v>7607</v>
      </c>
      <c r="C11" s="335" t="s">
        <v>7608</v>
      </c>
      <c r="D11" s="335"/>
      <c r="E11" s="335"/>
      <c r="F11" s="335"/>
      <c r="G11" s="335"/>
      <c r="H11" s="206" t="s">
        <v>7609</v>
      </c>
      <c r="I11" s="202"/>
      <c r="J11" s="202"/>
      <c r="K11" s="202"/>
      <c r="L11" s="202"/>
      <c r="M11" s="202"/>
    </row>
    <row r="12" spans="1:13" s="187" customFormat="1" ht="15">
      <c r="A12" s="204" t="s">
        <v>7610</v>
      </c>
      <c r="B12" s="204" t="s">
        <v>7611</v>
      </c>
      <c r="C12" s="335" t="s">
        <v>7612</v>
      </c>
      <c r="D12" s="335"/>
      <c r="E12" s="335"/>
      <c r="F12" s="335"/>
      <c r="G12" s="335"/>
      <c r="H12" s="206" t="s">
        <v>7613</v>
      </c>
      <c r="I12" s="202"/>
      <c r="J12" s="202"/>
      <c r="K12" s="202"/>
      <c r="L12" s="202"/>
      <c r="M12" s="202"/>
    </row>
    <row r="13" spans="1:13" s="187" customFormat="1" ht="15">
      <c r="A13" s="204" t="s">
        <v>7614</v>
      </c>
      <c r="B13" s="204" t="s">
        <v>7615</v>
      </c>
      <c r="C13" s="335" t="s">
        <v>7616</v>
      </c>
      <c r="D13" s="335"/>
      <c r="E13" s="335"/>
      <c r="F13" s="335"/>
      <c r="G13" s="335"/>
      <c r="H13" s="206" t="s">
        <v>7613</v>
      </c>
      <c r="I13" s="202"/>
      <c r="J13" s="202"/>
      <c r="K13" s="202"/>
      <c r="L13" s="202"/>
      <c r="M13" s="202"/>
    </row>
    <row r="14" spans="1:13" s="187" customFormat="1" ht="15">
      <c r="A14" s="204" t="s">
        <v>7614</v>
      </c>
      <c r="B14" s="204" t="s">
        <v>7401</v>
      </c>
      <c r="C14" s="335" t="s">
        <v>7617</v>
      </c>
      <c r="D14" s="335"/>
      <c r="E14" s="335"/>
      <c r="F14" s="335"/>
      <c r="G14" s="335"/>
      <c r="H14" s="206" t="s">
        <v>7613</v>
      </c>
      <c r="I14" s="202"/>
      <c r="J14" s="202"/>
      <c r="K14" s="202"/>
      <c r="L14" s="202"/>
      <c r="M14" s="202"/>
    </row>
    <row r="15" spans="1:13" s="187" customFormat="1" ht="15">
      <c r="A15" s="204" t="s">
        <v>7618</v>
      </c>
      <c r="B15" s="204" t="s">
        <v>7619</v>
      </c>
      <c r="C15" s="335" t="s">
        <v>7620</v>
      </c>
      <c r="D15" s="335"/>
      <c r="E15" s="335"/>
      <c r="F15" s="335"/>
      <c r="G15" s="335"/>
      <c r="H15" s="206" t="s">
        <v>7613</v>
      </c>
      <c r="I15" s="202"/>
      <c r="J15" s="202"/>
      <c r="K15" s="202"/>
      <c r="L15" s="202"/>
      <c r="M15" s="202"/>
    </row>
    <row r="16" spans="1:13" s="187" customFormat="1" ht="15">
      <c r="A16" s="204" t="s">
        <v>7621</v>
      </c>
      <c r="B16" s="204" t="s">
        <v>7622</v>
      </c>
      <c r="C16" s="335" t="s">
        <v>7623</v>
      </c>
      <c r="D16" s="335"/>
      <c r="E16" s="335"/>
      <c r="F16" s="335"/>
      <c r="G16" s="335"/>
      <c r="H16" s="206" t="s">
        <v>7613</v>
      </c>
      <c r="I16" s="201"/>
      <c r="J16" s="201"/>
      <c r="K16" s="201"/>
      <c r="L16" s="201"/>
      <c r="M16" s="201"/>
    </row>
    <row r="17" spans="1:13" s="187" customFormat="1" ht="15">
      <c r="A17" s="202" t="s">
        <v>7624</v>
      </c>
      <c r="B17" s="202" t="s">
        <v>7621</v>
      </c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</row>
    <row r="18" spans="1:13" s="187" customFormat="1" ht="15">
      <c r="A18" s="202"/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</row>
    <row r="19" spans="1:13" s="187" customFormat="1" ht="15">
      <c r="A19" s="202"/>
      <c r="B19" s="337" t="s">
        <v>7592</v>
      </c>
      <c r="C19" s="337"/>
      <c r="D19" s="337"/>
      <c r="E19" s="202" t="s">
        <v>7600</v>
      </c>
      <c r="F19" s="202" t="s">
        <v>7602</v>
      </c>
      <c r="G19" s="202" t="s">
        <v>7606</v>
      </c>
      <c r="H19" s="202" t="s">
        <v>7610</v>
      </c>
      <c r="I19" s="202" t="s">
        <v>7614</v>
      </c>
      <c r="J19" s="202" t="s">
        <v>7614</v>
      </c>
      <c r="K19" s="202" t="s">
        <v>7618</v>
      </c>
      <c r="L19" s="202" t="s">
        <v>7621</v>
      </c>
      <c r="M19" s="202" t="s">
        <v>7624</v>
      </c>
    </row>
    <row r="20" spans="1:13" s="187" customFormat="1" ht="15">
      <c r="A20" s="202" t="s">
        <v>177</v>
      </c>
      <c r="B20" s="202" t="s">
        <v>7593</v>
      </c>
      <c r="C20" s="202" t="s">
        <v>7596</v>
      </c>
      <c r="D20" s="202" t="s">
        <v>7598</v>
      </c>
      <c r="E20" s="202" t="s">
        <v>7593</v>
      </c>
      <c r="F20" s="202" t="s">
        <v>7603</v>
      </c>
      <c r="G20" s="202" t="s">
        <v>7607</v>
      </c>
      <c r="H20" s="202" t="s">
        <v>7611</v>
      </c>
      <c r="I20" s="202" t="s">
        <v>7615</v>
      </c>
      <c r="J20" s="202" t="s">
        <v>7401</v>
      </c>
      <c r="K20" s="202" t="s">
        <v>7619</v>
      </c>
      <c r="L20" s="202" t="s">
        <v>7622</v>
      </c>
      <c r="M20" s="202" t="s">
        <v>7621</v>
      </c>
    </row>
    <row r="21" spans="1:13" ht="12.75">
      <c r="A21" s="270" t="s">
        <v>7937</v>
      </c>
      <c r="B21" s="256">
        <v>27.8</v>
      </c>
      <c r="C21" s="256">
        <v>35.4</v>
      </c>
      <c r="D21" s="256">
        <v>19.399999999999999</v>
      </c>
      <c r="E21" s="256">
        <v>46</v>
      </c>
      <c r="F21" s="256">
        <v>7961</v>
      </c>
      <c r="G21" s="256">
        <v>2.8</v>
      </c>
      <c r="H21" s="256">
        <v>0</v>
      </c>
      <c r="I21" s="256">
        <v>8.1</v>
      </c>
    </row>
    <row r="22" spans="1:13" ht="12.75">
      <c r="A22" s="270" t="s">
        <v>7938</v>
      </c>
      <c r="B22" s="256">
        <v>23.6</v>
      </c>
      <c r="C22" s="256">
        <v>29</v>
      </c>
      <c r="D22" s="256">
        <v>19.2</v>
      </c>
      <c r="E22" s="256">
        <v>60</v>
      </c>
      <c r="F22" s="256">
        <v>6820</v>
      </c>
      <c r="G22" s="256">
        <v>2.6</v>
      </c>
      <c r="H22" s="256">
        <v>0.1</v>
      </c>
      <c r="I22" s="256">
        <v>5.9</v>
      </c>
    </row>
    <row r="23" spans="1:13" ht="12.75">
      <c r="A23" s="270" t="s">
        <v>7939</v>
      </c>
      <c r="B23" s="256">
        <v>25.8</v>
      </c>
      <c r="C23" s="256">
        <v>32</v>
      </c>
      <c r="D23" s="256">
        <v>18</v>
      </c>
      <c r="E23" s="256">
        <v>59</v>
      </c>
      <c r="F23" s="256">
        <v>7031</v>
      </c>
      <c r="G23" s="256">
        <v>2.4</v>
      </c>
      <c r="H23" s="256">
        <v>0</v>
      </c>
      <c r="I23" s="256">
        <v>6.2</v>
      </c>
    </row>
    <row r="24" spans="1:13" ht="12.75">
      <c r="A24" s="270" t="s">
        <v>7940</v>
      </c>
      <c r="B24" s="256">
        <v>24.6</v>
      </c>
      <c r="C24" s="256">
        <v>29.6</v>
      </c>
      <c r="D24" s="256">
        <v>22.7</v>
      </c>
      <c r="E24" s="256">
        <v>59</v>
      </c>
      <c r="F24" s="256">
        <v>6672</v>
      </c>
      <c r="G24" s="256">
        <v>2.6</v>
      </c>
      <c r="H24" s="256">
        <v>0.2</v>
      </c>
      <c r="I24" s="256">
        <v>6.1</v>
      </c>
    </row>
    <row r="25" spans="1:13" ht="12.75">
      <c r="A25" s="270" t="s">
        <v>7941</v>
      </c>
      <c r="B25" s="256">
        <v>18.899999999999999</v>
      </c>
      <c r="C25" s="256">
        <v>23.2</v>
      </c>
      <c r="D25" s="256">
        <v>17.600000000000001</v>
      </c>
      <c r="E25" s="256">
        <v>68</v>
      </c>
      <c r="F25" s="256">
        <v>4331</v>
      </c>
      <c r="G25" s="256">
        <v>2.2000000000000002</v>
      </c>
      <c r="H25" s="256">
        <v>0.9</v>
      </c>
      <c r="I25" s="256">
        <v>3.7</v>
      </c>
    </row>
    <row r="26" spans="1:13" ht="12.75">
      <c r="A26" s="270" t="s">
        <v>7942</v>
      </c>
      <c r="B26" s="256">
        <v>20.100000000000001</v>
      </c>
      <c r="C26" s="256">
        <v>26.4</v>
      </c>
      <c r="D26" s="256">
        <v>13.7</v>
      </c>
      <c r="E26" s="256">
        <v>61</v>
      </c>
      <c r="F26" s="256">
        <v>7286</v>
      </c>
      <c r="G26" s="256">
        <v>1.3</v>
      </c>
      <c r="H26" s="256">
        <v>0</v>
      </c>
      <c r="I26" s="256">
        <v>5</v>
      </c>
    </row>
    <row r="27" spans="1:13" ht="12.75">
      <c r="A27" s="270" t="s">
        <v>7943</v>
      </c>
      <c r="B27" s="256">
        <v>19.7</v>
      </c>
      <c r="C27" s="256">
        <v>26</v>
      </c>
      <c r="D27" s="256">
        <v>16.2</v>
      </c>
      <c r="E27" s="256">
        <v>68</v>
      </c>
      <c r="F27" s="256">
        <v>5628</v>
      </c>
      <c r="G27" s="256">
        <v>2.9</v>
      </c>
      <c r="H27" s="256">
        <v>1.1000000000000001</v>
      </c>
      <c r="I27" s="256">
        <v>5</v>
      </c>
    </row>
    <row r="28" spans="1:13" ht="12.75">
      <c r="A28" s="270" t="s">
        <v>7944</v>
      </c>
      <c r="B28" s="256">
        <v>16.5</v>
      </c>
      <c r="C28" s="256">
        <v>18.8</v>
      </c>
      <c r="D28" s="256">
        <v>13.7</v>
      </c>
      <c r="E28" s="256">
        <v>70</v>
      </c>
      <c r="F28" s="256">
        <v>3522</v>
      </c>
      <c r="G28" s="256">
        <v>4.9000000000000004</v>
      </c>
      <c r="H28" s="256">
        <v>1.1000000000000001</v>
      </c>
      <c r="I28" s="256">
        <v>3.3</v>
      </c>
    </row>
    <row r="29" spans="1:13" ht="12.75">
      <c r="A29" s="270" t="s">
        <v>7945</v>
      </c>
      <c r="B29" s="256">
        <v>16.100000000000001</v>
      </c>
      <c r="C29" s="256">
        <v>19.7</v>
      </c>
      <c r="D29" s="256">
        <v>13.5</v>
      </c>
      <c r="E29" s="256">
        <v>60</v>
      </c>
      <c r="F29" s="256">
        <v>6172</v>
      </c>
      <c r="G29" s="256">
        <v>2.2999999999999998</v>
      </c>
      <c r="H29" s="256">
        <v>0</v>
      </c>
      <c r="I29" s="256">
        <v>4.2</v>
      </c>
    </row>
    <row r="30" spans="1:13" ht="12.75">
      <c r="A30" s="270" t="s">
        <v>7946</v>
      </c>
      <c r="B30" s="256">
        <v>18.600000000000001</v>
      </c>
      <c r="C30" s="256">
        <v>25</v>
      </c>
      <c r="D30" s="256">
        <v>10.5</v>
      </c>
      <c r="E30" s="256">
        <v>52</v>
      </c>
      <c r="F30" s="256">
        <v>8020</v>
      </c>
      <c r="G30" s="256">
        <v>2</v>
      </c>
      <c r="H30" s="256">
        <v>0</v>
      </c>
      <c r="I30" s="256">
        <v>5.5</v>
      </c>
    </row>
    <row r="31" spans="1:13" ht="12.75">
      <c r="A31" s="270" t="s">
        <v>7947</v>
      </c>
      <c r="B31" s="256">
        <v>19.2</v>
      </c>
      <c r="C31" s="256">
        <v>25.5</v>
      </c>
      <c r="D31" s="256">
        <v>13</v>
      </c>
      <c r="E31" s="256">
        <v>57</v>
      </c>
      <c r="F31" s="256">
        <v>7906</v>
      </c>
      <c r="G31" s="256">
        <v>2.9</v>
      </c>
      <c r="H31" s="256">
        <v>0</v>
      </c>
      <c r="I31" s="256">
        <v>5.8</v>
      </c>
    </row>
    <row r="32" spans="1:13" ht="12.75">
      <c r="A32" s="270" t="s">
        <v>7948</v>
      </c>
      <c r="B32" s="256">
        <v>16.899999999999999</v>
      </c>
      <c r="C32" s="256">
        <v>19.899999999999999</v>
      </c>
      <c r="D32" s="256">
        <v>12.7</v>
      </c>
      <c r="E32" s="256">
        <v>71</v>
      </c>
      <c r="F32" s="256">
        <v>3006</v>
      </c>
      <c r="G32" s="256">
        <v>2.5</v>
      </c>
      <c r="H32" s="256">
        <v>1.1000000000000001</v>
      </c>
      <c r="I32" s="256">
        <v>2.8</v>
      </c>
    </row>
    <row r="33" spans="1:9" ht="12.75">
      <c r="A33" s="270" t="s">
        <v>7949</v>
      </c>
      <c r="B33" s="256">
        <v>18.8</v>
      </c>
      <c r="C33" s="256">
        <v>21.3</v>
      </c>
      <c r="D33" s="256">
        <v>16.399999999999999</v>
      </c>
      <c r="E33" s="256">
        <v>74</v>
      </c>
      <c r="F33" s="256">
        <v>2428</v>
      </c>
      <c r="G33" s="256">
        <v>3.4</v>
      </c>
      <c r="H33" s="256">
        <v>0</v>
      </c>
      <c r="I33" s="256">
        <v>2.7</v>
      </c>
    </row>
    <row r="34" spans="1:9" ht="12.75">
      <c r="A34" s="270" t="s">
        <v>7950</v>
      </c>
      <c r="B34" s="256">
        <v>19</v>
      </c>
      <c r="C34" s="256">
        <v>21.9</v>
      </c>
      <c r="D34" s="256">
        <v>17</v>
      </c>
      <c r="E34" s="256">
        <v>75</v>
      </c>
      <c r="F34" s="256">
        <v>3086</v>
      </c>
      <c r="G34" s="256">
        <v>3.1</v>
      </c>
      <c r="H34" s="256">
        <v>0.5</v>
      </c>
      <c r="I34" s="256">
        <v>3</v>
      </c>
    </row>
    <row r="35" spans="1:9" ht="12.75">
      <c r="A35" s="270" t="s">
        <v>7951</v>
      </c>
      <c r="B35" s="256">
        <v>19.899999999999999</v>
      </c>
      <c r="C35" s="256">
        <v>24.7</v>
      </c>
      <c r="D35" s="256">
        <v>16.100000000000001</v>
      </c>
      <c r="E35" s="256">
        <v>80</v>
      </c>
      <c r="F35" s="256">
        <v>3783</v>
      </c>
      <c r="G35" s="256">
        <v>2.1</v>
      </c>
      <c r="H35" s="256">
        <v>1.1000000000000001</v>
      </c>
      <c r="I35" s="256">
        <v>3</v>
      </c>
    </row>
    <row r="36" spans="1:9" ht="12.75">
      <c r="A36" s="270" t="s">
        <v>7952</v>
      </c>
      <c r="B36" s="256">
        <v>25</v>
      </c>
      <c r="C36" s="256">
        <v>31.9</v>
      </c>
      <c r="D36" s="256">
        <v>15.6</v>
      </c>
      <c r="E36" s="256">
        <v>60</v>
      </c>
      <c r="F36" s="256">
        <v>7567</v>
      </c>
      <c r="G36" s="256">
        <v>2.2000000000000002</v>
      </c>
      <c r="H36" s="256">
        <v>0</v>
      </c>
      <c r="I36" s="256">
        <v>6.1</v>
      </c>
    </row>
    <row r="37" spans="1:9" ht="12.75">
      <c r="A37" s="270" t="s">
        <v>7953</v>
      </c>
      <c r="B37" s="256">
        <v>22.3</v>
      </c>
      <c r="C37" s="256">
        <v>27.8</v>
      </c>
      <c r="D37" s="256">
        <v>19.600000000000001</v>
      </c>
      <c r="E37" s="256">
        <v>67</v>
      </c>
      <c r="F37" s="256">
        <v>7125</v>
      </c>
      <c r="G37" s="256">
        <v>3.1</v>
      </c>
      <c r="H37" s="256">
        <v>0</v>
      </c>
      <c r="I37" s="256">
        <v>5.8</v>
      </c>
    </row>
    <row r="38" spans="1:9" ht="12.75">
      <c r="A38" s="270" t="s">
        <v>7954</v>
      </c>
      <c r="B38" s="256">
        <v>20.2</v>
      </c>
      <c r="C38" s="256">
        <v>24.8</v>
      </c>
      <c r="D38" s="256">
        <v>15.4</v>
      </c>
      <c r="E38" s="256">
        <v>59</v>
      </c>
      <c r="F38" s="256">
        <v>7206</v>
      </c>
      <c r="G38" s="256">
        <v>1.7</v>
      </c>
      <c r="H38" s="256">
        <v>3.2</v>
      </c>
      <c r="I38" s="256">
        <v>5.0999999999999996</v>
      </c>
    </row>
    <row r="39" spans="1:9" ht="12.75">
      <c r="A39" s="270" t="s">
        <v>7955</v>
      </c>
      <c r="B39" s="256">
        <v>19.7</v>
      </c>
      <c r="C39" s="256">
        <v>23.3</v>
      </c>
      <c r="D39" s="256">
        <v>16</v>
      </c>
      <c r="E39" s="256">
        <v>73</v>
      </c>
      <c r="F39" s="256">
        <v>5147</v>
      </c>
      <c r="G39" s="256">
        <v>2.2999999999999998</v>
      </c>
      <c r="H39" s="256">
        <v>0.6</v>
      </c>
      <c r="I39" s="256">
        <v>3.8</v>
      </c>
    </row>
    <row r="40" spans="1:9" ht="12.75">
      <c r="A40" s="270" t="s">
        <v>7956</v>
      </c>
      <c r="B40" s="256">
        <v>21.8</v>
      </c>
      <c r="C40" s="256">
        <v>25.6</v>
      </c>
      <c r="D40" s="256">
        <v>18.399999999999999</v>
      </c>
      <c r="E40" s="256">
        <v>76</v>
      </c>
      <c r="F40" s="256">
        <v>2592</v>
      </c>
      <c r="G40" s="256">
        <v>3</v>
      </c>
      <c r="H40" s="256">
        <v>1.8</v>
      </c>
      <c r="I40" s="256">
        <v>3.1</v>
      </c>
    </row>
    <row r="41" spans="1:9" ht="12.75">
      <c r="A41" s="270" t="s">
        <v>7957</v>
      </c>
      <c r="B41" s="256">
        <v>20.9</v>
      </c>
      <c r="C41" s="256">
        <v>25.5</v>
      </c>
      <c r="D41" s="256">
        <v>18.8</v>
      </c>
      <c r="E41" s="256">
        <v>76</v>
      </c>
      <c r="F41" s="256">
        <v>2775</v>
      </c>
      <c r="G41" s="256">
        <v>1.9</v>
      </c>
      <c r="H41" s="256">
        <v>2.7</v>
      </c>
      <c r="I41" s="256">
        <v>2.6</v>
      </c>
    </row>
    <row r="42" spans="1:9" ht="12.75">
      <c r="A42" s="270" t="s">
        <v>7958</v>
      </c>
      <c r="B42" s="256">
        <v>19.5</v>
      </c>
      <c r="C42" s="256">
        <v>25.3</v>
      </c>
      <c r="D42" s="256">
        <v>17.3</v>
      </c>
      <c r="E42" s="256">
        <v>65</v>
      </c>
      <c r="F42" s="256">
        <v>5047</v>
      </c>
      <c r="G42" s="256">
        <v>2.4</v>
      </c>
      <c r="H42" s="256">
        <v>0</v>
      </c>
      <c r="I42" s="256">
        <v>4.5</v>
      </c>
    </row>
    <row r="43" spans="1:9" ht="12.75">
      <c r="A43" s="270" t="s">
        <v>7959</v>
      </c>
      <c r="B43" s="256">
        <v>17.899999999999999</v>
      </c>
      <c r="C43" s="256">
        <v>22.4</v>
      </c>
      <c r="D43" s="256">
        <v>12.9</v>
      </c>
      <c r="E43" s="256">
        <v>61</v>
      </c>
      <c r="F43" s="256">
        <v>5933</v>
      </c>
      <c r="G43" s="256">
        <v>2</v>
      </c>
      <c r="H43" s="256">
        <v>0</v>
      </c>
      <c r="I43" s="256">
        <v>4.2</v>
      </c>
    </row>
    <row r="44" spans="1:9" ht="12.75">
      <c r="A44" s="270" t="s">
        <v>7960</v>
      </c>
      <c r="B44" s="256">
        <v>19.100000000000001</v>
      </c>
      <c r="C44" s="256">
        <v>25.2</v>
      </c>
      <c r="D44" s="256">
        <v>14.3</v>
      </c>
      <c r="E44" s="256">
        <v>69</v>
      </c>
      <c r="F44" s="256">
        <v>3942</v>
      </c>
      <c r="G44" s="256">
        <v>2.5</v>
      </c>
      <c r="H44" s="256">
        <v>5.4</v>
      </c>
      <c r="I44" s="256">
        <v>3.7</v>
      </c>
    </row>
    <row r="45" spans="1:9" ht="12.75">
      <c r="A45" s="270" t="s">
        <v>7961</v>
      </c>
      <c r="B45" s="256">
        <v>15.4</v>
      </c>
      <c r="C45" s="256">
        <v>18.8</v>
      </c>
      <c r="D45" s="256">
        <v>13.3</v>
      </c>
      <c r="E45" s="256">
        <v>71</v>
      </c>
      <c r="F45" s="256">
        <v>4169</v>
      </c>
      <c r="G45" s="256">
        <v>5.2</v>
      </c>
      <c r="H45" s="256">
        <v>3.9</v>
      </c>
      <c r="I45" s="256">
        <v>3.8</v>
      </c>
    </row>
    <row r="46" spans="1:9" ht="12.75">
      <c r="A46" s="270" t="s">
        <v>7962</v>
      </c>
      <c r="B46" s="256">
        <v>14.5</v>
      </c>
      <c r="C46" s="256">
        <v>17.399999999999999</v>
      </c>
      <c r="D46" s="256">
        <v>10</v>
      </c>
      <c r="E46" s="256">
        <v>80</v>
      </c>
      <c r="F46" s="256">
        <v>2006</v>
      </c>
      <c r="G46" s="256">
        <v>3.1</v>
      </c>
      <c r="H46" s="256">
        <v>7</v>
      </c>
      <c r="I46" s="256">
        <v>2.2000000000000002</v>
      </c>
    </row>
    <row r="47" spans="1:9" ht="12.75">
      <c r="A47" s="270" t="s">
        <v>7963</v>
      </c>
      <c r="B47" s="256">
        <v>16.8</v>
      </c>
      <c r="C47" s="256">
        <v>19.7</v>
      </c>
      <c r="D47" s="256">
        <v>14.3</v>
      </c>
      <c r="E47" s="256">
        <v>72</v>
      </c>
      <c r="F47" s="256">
        <v>3717</v>
      </c>
      <c r="G47" s="256">
        <v>5.5</v>
      </c>
      <c r="H47" s="256">
        <v>2.7</v>
      </c>
      <c r="I47" s="256">
        <v>3.3</v>
      </c>
    </row>
    <row r="48" spans="1:9" ht="12.75">
      <c r="A48" s="270" t="s">
        <v>7964</v>
      </c>
      <c r="B48" s="256">
        <v>15.4</v>
      </c>
      <c r="C48" s="256">
        <v>18.3</v>
      </c>
      <c r="D48" s="256">
        <v>13.4</v>
      </c>
      <c r="E48" s="256">
        <v>64</v>
      </c>
      <c r="F48" s="256">
        <v>3850</v>
      </c>
      <c r="G48" s="256">
        <v>4.3</v>
      </c>
      <c r="H48" s="256">
        <v>0.3</v>
      </c>
      <c r="I48" s="256">
        <v>3.7</v>
      </c>
    </row>
    <row r="49" spans="1:9" ht="12.75">
      <c r="A49" s="270" t="s">
        <v>7965</v>
      </c>
      <c r="B49" s="256">
        <v>14.5</v>
      </c>
      <c r="C49" s="256">
        <v>18.600000000000001</v>
      </c>
      <c r="D49" s="256">
        <v>11</v>
      </c>
      <c r="E49" s="256">
        <v>68</v>
      </c>
      <c r="F49" s="256">
        <v>5667</v>
      </c>
      <c r="G49" s="256">
        <v>3.4</v>
      </c>
      <c r="H49" s="256">
        <v>0.4</v>
      </c>
      <c r="I49" s="256">
        <v>3.9</v>
      </c>
    </row>
    <row r="50" spans="1:9" ht="12.75">
      <c r="A50" s="270" t="s">
        <v>7966</v>
      </c>
      <c r="B50" s="256">
        <v>14.5</v>
      </c>
      <c r="C50" s="256">
        <v>18.7</v>
      </c>
      <c r="D50" s="256">
        <v>10.5</v>
      </c>
      <c r="E50" s="256">
        <v>68</v>
      </c>
      <c r="F50" s="256">
        <v>6231</v>
      </c>
      <c r="G50" s="256">
        <v>2.6</v>
      </c>
      <c r="H50" s="256">
        <v>0.2</v>
      </c>
      <c r="I50" s="256">
        <v>3.9</v>
      </c>
    </row>
    <row r="51" spans="1:9" ht="12.75">
      <c r="A51" s="270" t="s">
        <v>7967</v>
      </c>
      <c r="B51" s="256">
        <v>15.5</v>
      </c>
      <c r="C51" s="256">
        <v>20.6</v>
      </c>
      <c r="D51" s="256">
        <v>8.1999999999999993</v>
      </c>
      <c r="E51" s="256">
        <v>64</v>
      </c>
      <c r="F51" s="256">
        <v>6903</v>
      </c>
      <c r="G51" s="256">
        <v>2</v>
      </c>
      <c r="H51" s="256">
        <v>0</v>
      </c>
      <c r="I51" s="256">
        <v>4.0999999999999996</v>
      </c>
    </row>
    <row r="52" spans="1:9" ht="12.75">
      <c r="A52" s="270" t="s">
        <v>7968</v>
      </c>
      <c r="B52" s="256">
        <v>16.5</v>
      </c>
      <c r="C52" s="256">
        <v>23</v>
      </c>
      <c r="D52" s="256">
        <v>10.5</v>
      </c>
      <c r="E52" s="256">
        <v>62</v>
      </c>
      <c r="F52" s="256">
        <v>6928</v>
      </c>
      <c r="G52" s="256">
        <v>2.2000000000000002</v>
      </c>
      <c r="H52" s="256">
        <v>0</v>
      </c>
      <c r="I52" s="256">
        <v>4.5999999999999996</v>
      </c>
    </row>
    <row r="53" spans="1:9" ht="12.75">
      <c r="A53" s="270" t="s">
        <v>7969</v>
      </c>
      <c r="B53" s="256">
        <v>19.399999999999999</v>
      </c>
      <c r="C53" s="256">
        <v>26.2</v>
      </c>
      <c r="D53" s="256">
        <v>9.4</v>
      </c>
      <c r="E53" s="256">
        <v>55</v>
      </c>
      <c r="F53" s="256">
        <v>7422</v>
      </c>
      <c r="G53" s="256">
        <v>1.8</v>
      </c>
      <c r="H53" s="256">
        <v>0</v>
      </c>
      <c r="I53" s="256">
        <v>5.0999999999999996</v>
      </c>
    </row>
    <row r="54" spans="1:9" ht="12.75">
      <c r="A54" s="270" t="s">
        <v>7970</v>
      </c>
      <c r="B54" s="256">
        <v>23.9</v>
      </c>
      <c r="C54" s="256">
        <v>30.5</v>
      </c>
      <c r="D54" s="256">
        <v>17.899999999999999</v>
      </c>
      <c r="E54" s="256">
        <v>54</v>
      </c>
      <c r="F54" s="256">
        <v>6900</v>
      </c>
      <c r="G54" s="256">
        <v>2</v>
      </c>
      <c r="H54" s="256">
        <v>3.3</v>
      </c>
      <c r="I54" s="256">
        <v>5.7</v>
      </c>
    </row>
    <row r="55" spans="1:9" ht="12.75">
      <c r="A55" s="270" t="s">
        <v>7971</v>
      </c>
      <c r="B55" s="256">
        <v>18.399999999999999</v>
      </c>
      <c r="C55" s="256">
        <v>22.7</v>
      </c>
      <c r="D55" s="256">
        <v>17.3</v>
      </c>
      <c r="E55" s="256">
        <v>67</v>
      </c>
      <c r="F55" s="256">
        <v>5322</v>
      </c>
      <c r="G55" s="256">
        <v>2.5</v>
      </c>
      <c r="H55" s="256">
        <v>1.7</v>
      </c>
      <c r="I55" s="256">
        <v>4.2</v>
      </c>
    </row>
    <row r="56" spans="1:9" ht="12.75">
      <c r="A56" s="270" t="s">
        <v>7972</v>
      </c>
      <c r="B56" s="256">
        <v>21.4</v>
      </c>
      <c r="C56" s="256">
        <v>27.9</v>
      </c>
      <c r="D56" s="256">
        <v>12.6</v>
      </c>
      <c r="E56" s="256">
        <v>53</v>
      </c>
      <c r="F56" s="256">
        <v>6456</v>
      </c>
      <c r="G56" s="256">
        <v>2.2000000000000002</v>
      </c>
      <c r="H56" s="256">
        <v>0</v>
      </c>
      <c r="I56" s="256">
        <v>5.3</v>
      </c>
    </row>
    <row r="57" spans="1:9" ht="12.75">
      <c r="A57" s="270" t="s">
        <v>7973</v>
      </c>
      <c r="B57" s="256">
        <v>20.8</v>
      </c>
      <c r="C57" s="256">
        <v>26.7</v>
      </c>
      <c r="D57" s="256">
        <v>16.8</v>
      </c>
      <c r="E57" s="256">
        <v>62</v>
      </c>
      <c r="F57" s="256">
        <v>6975</v>
      </c>
      <c r="G57" s="256">
        <v>2.6</v>
      </c>
      <c r="H57" s="256">
        <v>0</v>
      </c>
      <c r="I57" s="256">
        <v>5.4</v>
      </c>
    </row>
    <row r="58" spans="1:9" ht="12.75">
      <c r="A58" s="270" t="s">
        <v>7974</v>
      </c>
      <c r="B58" s="256">
        <v>20.8</v>
      </c>
      <c r="C58" s="256">
        <v>26.1</v>
      </c>
      <c r="D58" s="256">
        <v>14.3</v>
      </c>
      <c r="E58" s="256">
        <v>55</v>
      </c>
      <c r="F58" s="256">
        <v>5742</v>
      </c>
      <c r="G58" s="256">
        <v>2.4</v>
      </c>
      <c r="H58" s="256">
        <v>0</v>
      </c>
      <c r="I58" s="256">
        <v>4.8</v>
      </c>
    </row>
    <row r="59" spans="1:9" ht="12.75">
      <c r="A59" s="270" t="s">
        <v>7975</v>
      </c>
      <c r="B59" s="256">
        <v>20.8</v>
      </c>
      <c r="C59" s="256">
        <v>26.4</v>
      </c>
      <c r="D59" s="256">
        <v>15.2</v>
      </c>
      <c r="E59" s="256">
        <v>57</v>
      </c>
      <c r="F59" s="256">
        <v>4736</v>
      </c>
      <c r="G59" s="256">
        <v>2.1</v>
      </c>
      <c r="H59" s="256">
        <v>0</v>
      </c>
      <c r="I59" s="256">
        <v>4.4000000000000004</v>
      </c>
    </row>
    <row r="60" spans="1:9" ht="12.75">
      <c r="A60" s="270" t="s">
        <v>7976</v>
      </c>
      <c r="B60" s="256">
        <v>19.5</v>
      </c>
      <c r="C60" s="256">
        <v>24.7</v>
      </c>
      <c r="D60" s="256">
        <v>15.3</v>
      </c>
      <c r="E60" s="256">
        <v>62</v>
      </c>
      <c r="F60" s="256">
        <v>4194</v>
      </c>
      <c r="G60" s="256">
        <v>2.1</v>
      </c>
      <c r="H60" s="256">
        <v>1</v>
      </c>
      <c r="I60" s="256">
        <v>3.8</v>
      </c>
    </row>
    <row r="61" spans="1:9" ht="12.75">
      <c r="A61" s="270" t="s">
        <v>7977</v>
      </c>
      <c r="B61" s="256">
        <v>20</v>
      </c>
      <c r="C61" s="256">
        <v>26.2</v>
      </c>
      <c r="D61" s="256">
        <v>13.3</v>
      </c>
      <c r="E61" s="256">
        <v>71</v>
      </c>
      <c r="F61" s="256">
        <v>5903</v>
      </c>
      <c r="G61" s="256">
        <v>2</v>
      </c>
      <c r="H61" s="256">
        <v>0</v>
      </c>
      <c r="I61" s="256">
        <v>4.2</v>
      </c>
    </row>
    <row r="62" spans="1:9" ht="12.75">
      <c r="A62" s="270" t="s">
        <v>7978</v>
      </c>
      <c r="B62" s="256">
        <v>21.8</v>
      </c>
      <c r="C62" s="256">
        <v>27.5</v>
      </c>
      <c r="D62" s="256">
        <v>16</v>
      </c>
      <c r="E62" s="256">
        <v>66</v>
      </c>
      <c r="F62" s="256">
        <v>5653</v>
      </c>
      <c r="G62" s="256">
        <v>2.4</v>
      </c>
      <c r="H62" s="256">
        <v>0.3</v>
      </c>
      <c r="I62" s="256">
        <v>4.5999999999999996</v>
      </c>
    </row>
    <row r="63" spans="1:9" ht="12.75">
      <c r="A63" s="270" t="s">
        <v>7979</v>
      </c>
      <c r="B63" s="256">
        <v>24.3</v>
      </c>
      <c r="C63" s="256">
        <v>30.3</v>
      </c>
      <c r="D63" s="256">
        <v>19</v>
      </c>
      <c r="E63" s="256">
        <v>65</v>
      </c>
      <c r="F63" s="256">
        <v>5078</v>
      </c>
      <c r="G63" s="256">
        <v>3.1</v>
      </c>
      <c r="H63" s="256">
        <v>0.2</v>
      </c>
      <c r="I63" s="256">
        <v>5.2</v>
      </c>
    </row>
    <row r="64" spans="1:9" ht="12.75">
      <c r="A64" s="270" t="s">
        <v>7980</v>
      </c>
      <c r="B64" s="256">
        <v>24.5</v>
      </c>
      <c r="C64" s="256">
        <v>32.700000000000003</v>
      </c>
      <c r="D64" s="256">
        <v>20.2</v>
      </c>
      <c r="E64" s="256">
        <v>72</v>
      </c>
      <c r="F64" s="256">
        <v>4767</v>
      </c>
      <c r="G64" s="256">
        <v>2.5</v>
      </c>
      <c r="H64" s="256">
        <v>8.8000000000000007</v>
      </c>
      <c r="I64" s="256">
        <v>4.9000000000000004</v>
      </c>
    </row>
    <row r="65" spans="1:9" ht="12.75">
      <c r="A65" s="270" t="s">
        <v>7981</v>
      </c>
      <c r="B65" s="256">
        <v>20.6</v>
      </c>
      <c r="C65" s="256">
        <v>24.5</v>
      </c>
      <c r="D65" s="256">
        <v>18.399999999999999</v>
      </c>
      <c r="E65" s="256">
        <v>75</v>
      </c>
      <c r="F65" s="256">
        <v>3664</v>
      </c>
      <c r="G65" s="256">
        <v>2.2000000000000002</v>
      </c>
      <c r="H65" s="256">
        <v>0.2</v>
      </c>
      <c r="I65" s="256">
        <v>3.2</v>
      </c>
    </row>
    <row r="66" spans="1:9" ht="12.75">
      <c r="A66" s="270" t="s">
        <v>7982</v>
      </c>
      <c r="B66" s="256">
        <v>16.600000000000001</v>
      </c>
      <c r="C66" s="256">
        <v>19.100000000000001</v>
      </c>
      <c r="D66" s="256">
        <v>15.8</v>
      </c>
      <c r="E66" s="256">
        <v>82</v>
      </c>
      <c r="F66" s="256">
        <v>2925</v>
      </c>
      <c r="G66" s="256">
        <v>3.1</v>
      </c>
      <c r="H66" s="256">
        <v>5.6</v>
      </c>
      <c r="I66" s="256">
        <v>2.5</v>
      </c>
    </row>
    <row r="67" spans="1:9" ht="12.75">
      <c r="A67" s="270" t="s">
        <v>7983</v>
      </c>
      <c r="B67" s="256">
        <v>17</v>
      </c>
      <c r="C67" s="256">
        <v>20.7</v>
      </c>
      <c r="D67" s="256">
        <v>13.5</v>
      </c>
      <c r="E67" s="256">
        <v>65</v>
      </c>
      <c r="F67" s="256">
        <v>3881</v>
      </c>
      <c r="G67" s="256">
        <v>1.8</v>
      </c>
      <c r="H67" s="256">
        <v>0.8</v>
      </c>
      <c r="I67" s="256">
        <v>3.1</v>
      </c>
    </row>
    <row r="68" spans="1:9" ht="12.75">
      <c r="A68" s="270" t="s">
        <v>7984</v>
      </c>
      <c r="B68" s="256">
        <v>15.6</v>
      </c>
      <c r="C68" s="256">
        <v>19</v>
      </c>
      <c r="D68" s="256">
        <v>13.3</v>
      </c>
      <c r="E68" s="256">
        <v>66</v>
      </c>
      <c r="F68" s="256">
        <v>3953</v>
      </c>
      <c r="G68" s="256">
        <v>2</v>
      </c>
      <c r="H68" s="256">
        <v>0</v>
      </c>
      <c r="I68" s="256">
        <v>3</v>
      </c>
    </row>
    <row r="69" spans="1:9" ht="12.75">
      <c r="A69" s="270" t="s">
        <v>7985</v>
      </c>
      <c r="B69" s="256">
        <v>15.5</v>
      </c>
      <c r="C69" s="256">
        <v>18.600000000000001</v>
      </c>
      <c r="D69" s="256">
        <v>12.6</v>
      </c>
      <c r="E69" s="256">
        <v>78</v>
      </c>
      <c r="F69" s="256">
        <v>2928</v>
      </c>
      <c r="G69" s="256">
        <v>1.6</v>
      </c>
      <c r="H69" s="256">
        <v>8.1999999999999993</v>
      </c>
      <c r="I69" s="256">
        <v>2.2000000000000002</v>
      </c>
    </row>
    <row r="70" spans="1:9" ht="12.75">
      <c r="A70" s="270" t="s">
        <v>7986</v>
      </c>
      <c r="B70" s="256">
        <v>17.600000000000001</v>
      </c>
      <c r="C70" s="256">
        <v>21.8</v>
      </c>
      <c r="D70" s="256">
        <v>12.4</v>
      </c>
      <c r="E70" s="256">
        <v>66</v>
      </c>
      <c r="F70" s="256">
        <v>4756</v>
      </c>
      <c r="G70" s="256">
        <v>1.4</v>
      </c>
      <c r="H70" s="256">
        <v>0.8</v>
      </c>
      <c r="I70" s="256">
        <v>3.3</v>
      </c>
    </row>
    <row r="71" spans="1:9" ht="12.75">
      <c r="A71" s="270" t="s">
        <v>7987</v>
      </c>
      <c r="B71" s="256">
        <v>17.7</v>
      </c>
      <c r="C71" s="256">
        <v>21.4</v>
      </c>
      <c r="D71" s="256">
        <v>14.8</v>
      </c>
      <c r="E71" s="256">
        <v>80</v>
      </c>
      <c r="F71" s="256">
        <v>2525</v>
      </c>
      <c r="G71" s="256">
        <v>1.6</v>
      </c>
      <c r="H71" s="256">
        <v>7.5</v>
      </c>
      <c r="I71" s="256">
        <v>2.1</v>
      </c>
    </row>
    <row r="72" spans="1:9" ht="12.75">
      <c r="A72" s="270" t="s">
        <v>7988</v>
      </c>
      <c r="B72" s="256">
        <v>20.399999999999999</v>
      </c>
      <c r="C72" s="256">
        <v>25.5</v>
      </c>
      <c r="D72" s="256">
        <v>15</v>
      </c>
      <c r="E72" s="256">
        <v>74</v>
      </c>
      <c r="F72" s="256">
        <v>5094</v>
      </c>
      <c r="G72" s="256">
        <v>1.6</v>
      </c>
      <c r="H72" s="256">
        <v>0.7</v>
      </c>
      <c r="I72" s="256">
        <v>3.5</v>
      </c>
    </row>
    <row r="73" spans="1:9" ht="12.75">
      <c r="A73" s="270" t="s">
        <v>7989</v>
      </c>
      <c r="B73" s="256">
        <v>21.5</v>
      </c>
      <c r="C73" s="256">
        <v>26.9</v>
      </c>
      <c r="D73" s="256">
        <v>15.9</v>
      </c>
      <c r="E73" s="256">
        <v>59</v>
      </c>
      <c r="F73" s="256">
        <v>6278</v>
      </c>
      <c r="G73" s="256">
        <v>2.6</v>
      </c>
      <c r="H73" s="256">
        <v>0</v>
      </c>
      <c r="I73" s="256">
        <v>5</v>
      </c>
    </row>
    <row r="74" spans="1:9" ht="12.75">
      <c r="A74" s="270" t="s">
        <v>7990</v>
      </c>
      <c r="B74" s="256">
        <v>18.600000000000001</v>
      </c>
      <c r="C74" s="256">
        <v>22.5</v>
      </c>
      <c r="D74" s="256">
        <v>17.3</v>
      </c>
      <c r="E74" s="256">
        <v>71</v>
      </c>
      <c r="F74" s="256">
        <v>3519</v>
      </c>
      <c r="G74" s="256">
        <v>3.2</v>
      </c>
      <c r="H74" s="256">
        <v>2.9</v>
      </c>
      <c r="I74" s="256">
        <v>3.3</v>
      </c>
    </row>
    <row r="75" spans="1:9" ht="12.75">
      <c r="A75" s="270" t="s">
        <v>7991</v>
      </c>
      <c r="B75" s="256">
        <v>16.2</v>
      </c>
      <c r="C75" s="256">
        <v>21.6</v>
      </c>
      <c r="D75" s="256">
        <v>14.8</v>
      </c>
      <c r="E75" s="256">
        <v>81</v>
      </c>
      <c r="F75" s="256">
        <v>3278</v>
      </c>
      <c r="G75" s="256">
        <v>5.4</v>
      </c>
      <c r="H75" s="256">
        <v>12.9</v>
      </c>
      <c r="I75" s="256">
        <v>3</v>
      </c>
    </row>
    <row r="76" spans="1:9" ht="12.75">
      <c r="A76" s="270" t="s">
        <v>7992</v>
      </c>
      <c r="B76" s="256">
        <v>16.399999999999999</v>
      </c>
      <c r="C76" s="256">
        <v>20</v>
      </c>
      <c r="D76" s="256">
        <v>12.3</v>
      </c>
      <c r="E76" s="256">
        <v>75</v>
      </c>
      <c r="F76" s="256">
        <v>3975</v>
      </c>
      <c r="G76" s="256">
        <v>4.7</v>
      </c>
      <c r="H76" s="256">
        <v>3.2</v>
      </c>
      <c r="I76" s="256">
        <v>3.7</v>
      </c>
    </row>
    <row r="77" spans="1:9" ht="12.75">
      <c r="A77" s="270" t="s">
        <v>7993</v>
      </c>
      <c r="B77" s="256">
        <v>20.9</v>
      </c>
      <c r="C77" s="256">
        <v>27.3</v>
      </c>
      <c r="D77" s="256">
        <v>16.2</v>
      </c>
      <c r="E77" s="256">
        <v>71</v>
      </c>
      <c r="F77" s="256">
        <v>4564</v>
      </c>
      <c r="G77" s="256">
        <v>4.5999999999999996</v>
      </c>
      <c r="H77" s="256">
        <v>2.1</v>
      </c>
      <c r="I77" s="256">
        <v>4.8</v>
      </c>
    </row>
    <row r="78" spans="1:9" ht="12.75">
      <c r="A78" s="270" t="s">
        <v>7994</v>
      </c>
      <c r="B78" s="256">
        <v>14.6</v>
      </c>
      <c r="C78" s="256">
        <v>14.8</v>
      </c>
      <c r="D78" s="256">
        <v>14.2</v>
      </c>
      <c r="E78" s="256">
        <v>88</v>
      </c>
      <c r="F78" s="256">
        <v>558</v>
      </c>
      <c r="G78" s="256">
        <v>2.6</v>
      </c>
      <c r="H78" s="256">
        <v>16.5</v>
      </c>
      <c r="I78" s="256">
        <v>0.8</v>
      </c>
    </row>
    <row r="79" spans="1:9" ht="12.75">
      <c r="A79" s="270" t="s">
        <v>7995</v>
      </c>
      <c r="B79" s="256">
        <v>16.3</v>
      </c>
      <c r="C79" s="256">
        <v>20.399999999999999</v>
      </c>
      <c r="D79" s="256">
        <v>13.4</v>
      </c>
      <c r="E79" s="256">
        <v>77</v>
      </c>
      <c r="F79" s="256">
        <v>4014</v>
      </c>
      <c r="G79" s="256">
        <v>1.2</v>
      </c>
      <c r="H79" s="256">
        <v>0.4</v>
      </c>
      <c r="I79" s="256">
        <v>2.6</v>
      </c>
    </row>
    <row r="80" spans="1:9" ht="12.75">
      <c r="A80" s="270" t="s">
        <v>7996</v>
      </c>
      <c r="B80" s="256">
        <v>19.399999999999999</v>
      </c>
      <c r="C80" s="256">
        <v>25</v>
      </c>
      <c r="D80" s="256">
        <v>11.4</v>
      </c>
      <c r="E80" s="256">
        <v>79</v>
      </c>
      <c r="F80" s="256">
        <v>5031</v>
      </c>
      <c r="G80" s="256">
        <v>1.9</v>
      </c>
      <c r="H80" s="256">
        <v>0</v>
      </c>
      <c r="I80" s="256">
        <v>3.2</v>
      </c>
    </row>
    <row r="81" spans="1:11" ht="12.75">
      <c r="A81" s="270" t="s">
        <v>7997</v>
      </c>
      <c r="B81" s="256">
        <v>23.8</v>
      </c>
      <c r="C81" s="256">
        <v>29.5</v>
      </c>
      <c r="D81" s="256">
        <v>18.3</v>
      </c>
      <c r="E81" s="256">
        <v>84</v>
      </c>
      <c r="F81" s="256">
        <v>4778</v>
      </c>
      <c r="G81" s="256">
        <v>1.8</v>
      </c>
      <c r="H81" s="256">
        <v>0.1</v>
      </c>
      <c r="I81" s="256">
        <v>3.5</v>
      </c>
    </row>
    <row r="82" spans="1:11" ht="12.75">
      <c r="A82" s="270" t="s">
        <v>7998</v>
      </c>
      <c r="B82" s="256">
        <v>20.9</v>
      </c>
      <c r="C82" s="256">
        <v>26.5</v>
      </c>
      <c r="D82" s="256">
        <v>18.100000000000001</v>
      </c>
      <c r="E82" s="256">
        <v>84</v>
      </c>
      <c r="F82" s="256">
        <v>3208</v>
      </c>
      <c r="G82" s="256">
        <v>2.7</v>
      </c>
      <c r="H82" s="256">
        <v>4.7</v>
      </c>
      <c r="I82" s="256">
        <v>2.8</v>
      </c>
    </row>
    <row r="83" spans="1:11" ht="12.75">
      <c r="A83" s="270" t="s">
        <v>7999</v>
      </c>
      <c r="B83" s="256">
        <v>15.8</v>
      </c>
      <c r="C83" s="256">
        <v>19.600000000000001</v>
      </c>
      <c r="D83" s="256">
        <v>15.9</v>
      </c>
      <c r="E83" s="256">
        <v>81</v>
      </c>
      <c r="F83" s="256">
        <v>2814</v>
      </c>
      <c r="G83" s="256">
        <v>2.7</v>
      </c>
      <c r="H83" s="256">
        <v>3.3</v>
      </c>
      <c r="I83" s="256">
        <v>2.4</v>
      </c>
    </row>
    <row r="84" spans="1:11" ht="12.75">
      <c r="A84" s="270" t="s">
        <v>8000</v>
      </c>
      <c r="B84" s="256">
        <v>14</v>
      </c>
      <c r="C84" s="256">
        <v>18.8</v>
      </c>
      <c r="D84" s="256">
        <v>10.1</v>
      </c>
      <c r="E84" s="256">
        <v>78</v>
      </c>
      <c r="F84" s="256">
        <v>4458</v>
      </c>
      <c r="G84" s="256">
        <v>2</v>
      </c>
      <c r="H84" s="256">
        <v>0.5</v>
      </c>
      <c r="I84" s="256">
        <v>2.7</v>
      </c>
    </row>
    <row r="85" spans="1:11" ht="12.75">
      <c r="A85" s="270" t="s">
        <v>8001</v>
      </c>
      <c r="B85" s="256">
        <v>12.9</v>
      </c>
      <c r="C85" s="256">
        <v>16.899999999999999</v>
      </c>
      <c r="D85" s="256">
        <v>8.6999999999999993</v>
      </c>
      <c r="E85" s="256">
        <v>74</v>
      </c>
      <c r="F85" s="256">
        <v>4483</v>
      </c>
      <c r="G85" s="256">
        <v>2.4</v>
      </c>
      <c r="H85" s="256">
        <v>0.5</v>
      </c>
      <c r="I85" s="256">
        <v>2.6</v>
      </c>
    </row>
    <row r="86" spans="1:11" ht="12.75">
      <c r="A86" s="270" t="s">
        <v>8002</v>
      </c>
      <c r="B86" s="256">
        <v>13.1</v>
      </c>
      <c r="C86" s="256">
        <v>16.7</v>
      </c>
      <c r="D86" s="256">
        <v>10.1</v>
      </c>
      <c r="E86" s="256">
        <v>76</v>
      </c>
      <c r="F86" s="256">
        <v>3575</v>
      </c>
      <c r="G86" s="256">
        <v>2.1</v>
      </c>
      <c r="H86" s="256">
        <v>0.3</v>
      </c>
      <c r="I86" s="256">
        <v>2.4</v>
      </c>
    </row>
    <row r="87" spans="1:11" ht="12.75">
      <c r="A87" s="270" t="s">
        <v>8003</v>
      </c>
      <c r="B87" s="256">
        <v>13.2</v>
      </c>
      <c r="C87" s="256">
        <v>16.399999999999999</v>
      </c>
      <c r="D87" s="256">
        <v>9.4</v>
      </c>
      <c r="E87" s="256">
        <v>73</v>
      </c>
      <c r="F87" s="256">
        <v>2814</v>
      </c>
      <c r="G87" s="256">
        <v>2.4</v>
      </c>
      <c r="H87" s="256">
        <v>0.3</v>
      </c>
      <c r="I87" s="256">
        <v>2.1</v>
      </c>
    </row>
    <row r="88" spans="1:11" ht="12.75">
      <c r="A88" s="270" t="s">
        <v>8004</v>
      </c>
      <c r="B88" s="256">
        <v>12.1</v>
      </c>
      <c r="C88" s="256">
        <v>15.5</v>
      </c>
      <c r="D88" s="256">
        <v>8.6999999999999993</v>
      </c>
      <c r="E88" s="256">
        <v>69</v>
      </c>
      <c r="F88" s="256">
        <v>3286</v>
      </c>
      <c r="G88" s="256">
        <v>2.2000000000000002</v>
      </c>
      <c r="H88" s="256">
        <v>0</v>
      </c>
      <c r="I88" s="256">
        <v>2.2999999999999998</v>
      </c>
    </row>
    <row r="89" spans="1:11" ht="12.75">
      <c r="A89" s="270" t="s">
        <v>8005</v>
      </c>
      <c r="B89" s="256">
        <v>13.8</v>
      </c>
      <c r="C89" s="256">
        <v>17.8</v>
      </c>
      <c r="D89" s="256">
        <v>8.8000000000000007</v>
      </c>
      <c r="E89" s="256">
        <v>81</v>
      </c>
      <c r="F89" s="256">
        <v>3133</v>
      </c>
      <c r="G89" s="256">
        <v>2.4</v>
      </c>
      <c r="H89" s="256">
        <v>0.3</v>
      </c>
      <c r="I89" s="256">
        <v>2.1</v>
      </c>
    </row>
    <row r="90" spans="1:11" ht="12.75">
      <c r="A90" s="270" t="s">
        <v>8006</v>
      </c>
      <c r="B90" s="256">
        <v>14.3</v>
      </c>
      <c r="C90" s="256">
        <v>17.899999999999999</v>
      </c>
      <c r="D90" s="256">
        <v>11.4</v>
      </c>
      <c r="E90" s="256">
        <v>78</v>
      </c>
      <c r="F90" s="256">
        <v>2781</v>
      </c>
      <c r="G90" s="256">
        <v>2.5</v>
      </c>
      <c r="H90" s="256">
        <v>0.1</v>
      </c>
      <c r="I90" s="256">
        <v>2.2000000000000002</v>
      </c>
    </row>
    <row r="91" spans="1:11" ht="12.75">
      <c r="A91" s="270" t="s">
        <v>8007</v>
      </c>
      <c r="B91" s="256">
        <v>15.2</v>
      </c>
      <c r="C91" s="256">
        <v>20.399999999999999</v>
      </c>
      <c r="D91" s="256">
        <v>10.1</v>
      </c>
      <c r="E91" s="256">
        <v>70</v>
      </c>
      <c r="F91" s="256">
        <v>5294</v>
      </c>
      <c r="G91" s="256">
        <v>2.8</v>
      </c>
      <c r="H91" s="256">
        <v>0</v>
      </c>
      <c r="I91" s="256">
        <v>3.2</v>
      </c>
    </row>
    <row r="92" spans="1:11" ht="12.75">
      <c r="A92" s="270" t="s">
        <v>8008</v>
      </c>
      <c r="B92" s="256">
        <v>15.1</v>
      </c>
      <c r="C92" s="256">
        <v>20.5</v>
      </c>
      <c r="D92" s="256">
        <v>10.7</v>
      </c>
      <c r="E92" s="256">
        <v>61</v>
      </c>
      <c r="F92" s="256">
        <v>5308</v>
      </c>
      <c r="G92" s="256">
        <v>2.6</v>
      </c>
      <c r="H92" s="256">
        <v>0</v>
      </c>
      <c r="I92" s="256">
        <v>3.6</v>
      </c>
      <c r="K92" s="253">
        <v>20</v>
      </c>
    </row>
    <row r="93" spans="1:11" ht="12.75">
      <c r="A93" s="270" t="s">
        <v>8009</v>
      </c>
      <c r="B93" s="256">
        <v>15.8</v>
      </c>
      <c r="C93" s="256">
        <v>20.8</v>
      </c>
      <c r="D93" s="256">
        <v>10.5</v>
      </c>
      <c r="E93" s="256">
        <v>64</v>
      </c>
      <c r="F93" s="256">
        <v>5094</v>
      </c>
      <c r="G93" s="256">
        <v>1.7</v>
      </c>
      <c r="H93" s="256">
        <v>0</v>
      </c>
      <c r="I93" s="256">
        <v>3</v>
      </c>
    </row>
    <row r="94" spans="1:11" ht="12.75">
      <c r="A94" s="270" t="s">
        <v>8010</v>
      </c>
      <c r="B94" s="256">
        <v>16</v>
      </c>
      <c r="C94" s="256">
        <v>19.5</v>
      </c>
      <c r="D94" s="256">
        <v>14.9</v>
      </c>
      <c r="E94" s="256">
        <v>77</v>
      </c>
      <c r="F94" s="256">
        <v>1803</v>
      </c>
      <c r="G94" s="256">
        <v>2.2999999999999998</v>
      </c>
      <c r="H94" s="256">
        <v>3.1</v>
      </c>
      <c r="I94" s="256">
        <v>2.1</v>
      </c>
    </row>
    <row r="95" spans="1:11" ht="12.75">
      <c r="A95" s="270" t="s">
        <v>8011</v>
      </c>
      <c r="B95" s="256">
        <v>13.4</v>
      </c>
      <c r="C95" s="256">
        <v>17.5</v>
      </c>
      <c r="D95" s="256">
        <v>9.5</v>
      </c>
      <c r="E95" s="256">
        <v>93</v>
      </c>
      <c r="F95" s="256">
        <v>1222</v>
      </c>
      <c r="G95" s="256">
        <v>2.8</v>
      </c>
      <c r="H95" s="256">
        <v>9.6</v>
      </c>
      <c r="I95" s="256">
        <v>0.8</v>
      </c>
    </row>
    <row r="96" spans="1:11" ht="12.75">
      <c r="A96" s="270" t="s">
        <v>8012</v>
      </c>
      <c r="B96" s="256">
        <v>14</v>
      </c>
      <c r="C96" s="256">
        <v>16.8</v>
      </c>
      <c r="D96" s="256">
        <v>11.2</v>
      </c>
      <c r="E96" s="256">
        <v>76</v>
      </c>
      <c r="F96" s="256">
        <v>2653</v>
      </c>
      <c r="G96" s="256">
        <v>4.9000000000000004</v>
      </c>
      <c r="H96" s="256">
        <v>9.4</v>
      </c>
      <c r="I96" s="256">
        <v>2.2999999999999998</v>
      </c>
    </row>
    <row r="97" spans="1:9" ht="12.75">
      <c r="A97" s="270" t="s">
        <v>8013</v>
      </c>
      <c r="B97" s="256">
        <v>14</v>
      </c>
      <c r="C97" s="256">
        <v>17.7</v>
      </c>
      <c r="D97" s="256">
        <v>10.6</v>
      </c>
      <c r="E97" s="256">
        <v>69</v>
      </c>
      <c r="F97" s="256">
        <v>4717</v>
      </c>
      <c r="G97" s="256">
        <v>4.8</v>
      </c>
      <c r="H97" s="256">
        <v>4.0999999999999996</v>
      </c>
      <c r="I97" s="256">
        <v>3.4</v>
      </c>
    </row>
    <row r="98" spans="1:9" ht="12.75">
      <c r="A98" s="270" t="s">
        <v>8014</v>
      </c>
      <c r="B98" s="256">
        <v>16.399999999999999</v>
      </c>
      <c r="C98" s="256">
        <v>19.600000000000001</v>
      </c>
      <c r="D98" s="256">
        <v>12.9</v>
      </c>
      <c r="E98" s="256">
        <v>79</v>
      </c>
      <c r="F98" s="256">
        <v>1819</v>
      </c>
      <c r="G98" s="256">
        <v>5.0999999999999996</v>
      </c>
      <c r="H98" s="256">
        <v>11.3</v>
      </c>
      <c r="I98" s="256">
        <v>2.2999999999999998</v>
      </c>
    </row>
    <row r="99" spans="1:9" ht="12.75">
      <c r="A99" s="270" t="s">
        <v>8015</v>
      </c>
      <c r="B99" s="256">
        <v>14.4</v>
      </c>
      <c r="C99" s="256">
        <v>17.2</v>
      </c>
      <c r="D99" s="256">
        <v>14.3</v>
      </c>
      <c r="E99" s="256">
        <v>77</v>
      </c>
      <c r="F99" s="256">
        <v>1953</v>
      </c>
      <c r="G99" s="256">
        <v>3.7</v>
      </c>
      <c r="H99" s="256">
        <v>0.5</v>
      </c>
      <c r="I99" s="256">
        <v>2</v>
      </c>
    </row>
    <row r="100" spans="1:9" ht="12.75">
      <c r="A100" s="270" t="s">
        <v>8016</v>
      </c>
      <c r="B100" s="256">
        <v>13.1</v>
      </c>
      <c r="C100" s="256">
        <v>16.899999999999999</v>
      </c>
      <c r="D100" s="256">
        <v>10.4</v>
      </c>
      <c r="E100" s="256">
        <v>85</v>
      </c>
      <c r="F100" s="256">
        <v>2497</v>
      </c>
      <c r="G100" s="256">
        <v>3.4</v>
      </c>
      <c r="H100" s="256">
        <v>5.6</v>
      </c>
      <c r="I100" s="256">
        <v>1.7</v>
      </c>
    </row>
    <row r="101" spans="1:9" ht="12.75">
      <c r="A101" s="270" t="s">
        <v>8017</v>
      </c>
      <c r="B101" s="256">
        <v>13</v>
      </c>
      <c r="C101" s="256">
        <v>17.5</v>
      </c>
      <c r="D101" s="256">
        <v>10.9</v>
      </c>
      <c r="E101" s="256">
        <v>83</v>
      </c>
      <c r="F101" s="256">
        <v>2867</v>
      </c>
      <c r="G101" s="256">
        <v>2.4</v>
      </c>
      <c r="H101" s="256">
        <v>0.5</v>
      </c>
      <c r="I101" s="256">
        <v>1.9</v>
      </c>
    </row>
    <row r="102" spans="1:9" ht="12.75">
      <c r="A102" s="270" t="s">
        <v>8018</v>
      </c>
      <c r="B102" s="256">
        <v>13</v>
      </c>
      <c r="C102" s="256">
        <v>17.7</v>
      </c>
      <c r="D102" s="256">
        <v>7.5</v>
      </c>
      <c r="E102" s="256">
        <v>77</v>
      </c>
      <c r="F102" s="256">
        <v>4108</v>
      </c>
      <c r="G102" s="256">
        <v>0.8</v>
      </c>
      <c r="H102" s="256">
        <v>0</v>
      </c>
      <c r="I102" s="256">
        <v>1.9</v>
      </c>
    </row>
    <row r="103" spans="1:9" ht="12.75">
      <c r="A103" s="270" t="s">
        <v>8019</v>
      </c>
      <c r="B103" s="256">
        <v>13.9</v>
      </c>
      <c r="C103" s="256">
        <v>17.3</v>
      </c>
      <c r="D103" s="256">
        <v>8.8000000000000007</v>
      </c>
      <c r="E103" s="256">
        <v>75</v>
      </c>
      <c r="F103" s="256">
        <v>3594</v>
      </c>
      <c r="G103" s="256">
        <v>2.6</v>
      </c>
      <c r="H103" s="256">
        <v>1.2</v>
      </c>
      <c r="I103" s="256">
        <v>2.2000000000000002</v>
      </c>
    </row>
    <row r="104" spans="1:9" ht="12.75">
      <c r="A104" s="270" t="s">
        <v>8020</v>
      </c>
      <c r="B104" s="256">
        <v>12</v>
      </c>
      <c r="C104" s="256">
        <v>14.8</v>
      </c>
      <c r="D104" s="256">
        <v>11.7</v>
      </c>
      <c r="E104" s="256">
        <v>85</v>
      </c>
      <c r="F104" s="256">
        <v>2486</v>
      </c>
      <c r="G104" s="256">
        <v>4</v>
      </c>
      <c r="H104" s="256">
        <v>8.1999999999999993</v>
      </c>
      <c r="I104" s="256">
        <v>1.7</v>
      </c>
    </row>
    <row r="105" spans="1:9" ht="12.75">
      <c r="A105" s="270" t="s">
        <v>8021</v>
      </c>
      <c r="B105" s="256">
        <v>12.8</v>
      </c>
      <c r="C105" s="256">
        <v>17</v>
      </c>
      <c r="D105" s="256">
        <v>9.3000000000000007</v>
      </c>
      <c r="E105" s="256">
        <v>76</v>
      </c>
      <c r="F105" s="256">
        <v>3808</v>
      </c>
      <c r="G105" s="256">
        <v>3.1</v>
      </c>
      <c r="H105" s="256">
        <v>0.1</v>
      </c>
      <c r="I105" s="256">
        <v>2.2999999999999998</v>
      </c>
    </row>
    <row r="106" spans="1:9" ht="12.75">
      <c r="A106" s="270" t="s">
        <v>8022</v>
      </c>
      <c r="B106" s="256">
        <v>13.4</v>
      </c>
      <c r="C106" s="256">
        <v>17.399999999999999</v>
      </c>
      <c r="D106" s="256">
        <v>10.9</v>
      </c>
      <c r="E106" s="256">
        <v>82</v>
      </c>
      <c r="F106" s="256">
        <v>2094</v>
      </c>
      <c r="G106" s="256">
        <v>3</v>
      </c>
      <c r="H106" s="256">
        <v>1.6</v>
      </c>
      <c r="I106" s="256">
        <v>1.7</v>
      </c>
    </row>
    <row r="107" spans="1:9" ht="12.75">
      <c r="A107" s="270" t="s">
        <v>8023</v>
      </c>
      <c r="B107" s="256">
        <v>12.8</v>
      </c>
      <c r="C107" s="256">
        <v>16.5</v>
      </c>
      <c r="D107" s="256">
        <v>9.6999999999999993</v>
      </c>
      <c r="E107" s="256">
        <v>79</v>
      </c>
      <c r="F107" s="256">
        <v>3003</v>
      </c>
      <c r="G107" s="256">
        <v>1.9</v>
      </c>
      <c r="H107" s="256">
        <v>0.1</v>
      </c>
      <c r="I107" s="256">
        <v>1.8</v>
      </c>
    </row>
    <row r="108" spans="1:9" ht="12.75">
      <c r="A108" s="270" t="s">
        <v>8024</v>
      </c>
      <c r="B108" s="256">
        <v>12.3</v>
      </c>
      <c r="C108" s="256">
        <v>16.2</v>
      </c>
      <c r="D108" s="256">
        <v>9</v>
      </c>
      <c r="E108" s="256">
        <v>74</v>
      </c>
      <c r="F108" s="256">
        <v>3519</v>
      </c>
      <c r="G108" s="256">
        <v>2.8</v>
      </c>
      <c r="H108" s="256">
        <v>0</v>
      </c>
      <c r="I108" s="256">
        <v>2.1</v>
      </c>
    </row>
    <row r="109" spans="1:9" ht="12.75">
      <c r="A109" s="270" t="s">
        <v>8025</v>
      </c>
      <c r="B109" s="256">
        <v>12.8</v>
      </c>
      <c r="C109" s="256">
        <v>18</v>
      </c>
      <c r="D109" s="256">
        <v>8.3000000000000007</v>
      </c>
      <c r="E109" s="256">
        <v>72</v>
      </c>
      <c r="F109" s="256">
        <v>4292</v>
      </c>
      <c r="G109" s="256">
        <v>3.7</v>
      </c>
      <c r="H109" s="256">
        <v>0</v>
      </c>
      <c r="I109" s="256">
        <v>2.6</v>
      </c>
    </row>
    <row r="110" spans="1:9" ht="12.75">
      <c r="A110" s="270" t="s">
        <v>8026</v>
      </c>
      <c r="B110" s="256">
        <v>12.3</v>
      </c>
      <c r="C110" s="256">
        <v>17.100000000000001</v>
      </c>
      <c r="D110" s="256">
        <v>8</v>
      </c>
      <c r="E110" s="256">
        <v>70</v>
      </c>
      <c r="F110" s="256">
        <v>4133</v>
      </c>
      <c r="G110" s="256">
        <v>3.5</v>
      </c>
      <c r="H110" s="256">
        <v>0</v>
      </c>
      <c r="I110" s="256">
        <v>2.5</v>
      </c>
    </row>
    <row r="111" spans="1:9" ht="12.75">
      <c r="A111" s="270" t="s">
        <v>8027</v>
      </c>
      <c r="B111" s="256">
        <v>12.5</v>
      </c>
      <c r="C111" s="256">
        <v>17.399999999999999</v>
      </c>
      <c r="D111" s="256">
        <v>8.1999999999999993</v>
      </c>
      <c r="E111" s="256">
        <v>67</v>
      </c>
      <c r="F111" s="256">
        <v>4153</v>
      </c>
      <c r="G111" s="256">
        <v>4</v>
      </c>
      <c r="H111" s="256">
        <v>0</v>
      </c>
      <c r="I111" s="256">
        <v>2.7</v>
      </c>
    </row>
    <row r="112" spans="1:9" ht="12.75">
      <c r="A112" s="270" t="s">
        <v>8028</v>
      </c>
      <c r="B112" s="256">
        <v>12.2</v>
      </c>
      <c r="C112" s="256">
        <v>17.100000000000001</v>
      </c>
      <c r="D112" s="256">
        <v>8.4</v>
      </c>
      <c r="E112" s="256">
        <v>67</v>
      </c>
      <c r="F112" s="256">
        <v>4172</v>
      </c>
      <c r="G112" s="256">
        <v>3.6</v>
      </c>
      <c r="H112" s="256">
        <v>0</v>
      </c>
      <c r="I112" s="256">
        <v>2.7</v>
      </c>
    </row>
    <row r="113" spans="1:9" ht="12.75">
      <c r="A113" s="270" t="s">
        <v>8029</v>
      </c>
      <c r="B113" s="256">
        <v>11</v>
      </c>
      <c r="C113" s="256">
        <v>15.3</v>
      </c>
      <c r="D113" s="256">
        <v>7.3</v>
      </c>
      <c r="E113" s="256">
        <v>64</v>
      </c>
      <c r="F113" s="256">
        <v>4139</v>
      </c>
      <c r="G113" s="256">
        <v>3.6</v>
      </c>
      <c r="H113" s="256">
        <v>0</v>
      </c>
      <c r="I113" s="256">
        <v>2.6</v>
      </c>
    </row>
    <row r="114" spans="1:9" ht="12.75">
      <c r="A114" s="270" t="s">
        <v>8030</v>
      </c>
      <c r="B114" s="256">
        <v>11.1</v>
      </c>
      <c r="C114" s="256">
        <v>17.8</v>
      </c>
      <c r="D114" s="256">
        <v>5.6</v>
      </c>
      <c r="E114" s="256">
        <v>74</v>
      </c>
      <c r="F114" s="256">
        <v>4039</v>
      </c>
      <c r="G114" s="256">
        <v>1.9</v>
      </c>
      <c r="H114" s="256">
        <v>0</v>
      </c>
      <c r="I114" s="256">
        <v>2</v>
      </c>
    </row>
    <row r="115" spans="1:9" ht="12.75">
      <c r="A115" s="270" t="s">
        <v>8031</v>
      </c>
      <c r="B115" s="256">
        <v>12.1</v>
      </c>
      <c r="C115" s="256">
        <v>18.5</v>
      </c>
      <c r="D115" s="256">
        <v>6.5</v>
      </c>
      <c r="E115" s="256">
        <v>81</v>
      </c>
      <c r="F115" s="256">
        <v>3608</v>
      </c>
      <c r="G115" s="256">
        <v>1.1000000000000001</v>
      </c>
      <c r="H115" s="256">
        <v>0</v>
      </c>
      <c r="I115" s="256">
        <v>1.6</v>
      </c>
    </row>
    <row r="116" spans="1:9" ht="12.75">
      <c r="A116" s="270" t="s">
        <v>8032</v>
      </c>
      <c r="B116" s="256">
        <v>12</v>
      </c>
      <c r="C116" s="256">
        <v>16.899999999999999</v>
      </c>
      <c r="D116" s="256">
        <v>6.3</v>
      </c>
      <c r="E116" s="256">
        <v>86</v>
      </c>
      <c r="F116" s="256">
        <v>3089</v>
      </c>
      <c r="G116" s="256">
        <v>1.8</v>
      </c>
      <c r="H116" s="256">
        <v>0</v>
      </c>
      <c r="I116" s="256">
        <v>1.5</v>
      </c>
    </row>
    <row r="117" spans="1:9" ht="12.75">
      <c r="A117" s="270" t="s">
        <v>8033</v>
      </c>
      <c r="B117" s="256">
        <v>15.2</v>
      </c>
      <c r="C117" s="256">
        <v>19.8</v>
      </c>
      <c r="D117" s="256">
        <v>12.4</v>
      </c>
      <c r="E117" s="256">
        <v>88</v>
      </c>
      <c r="F117" s="256">
        <v>2408</v>
      </c>
      <c r="G117" s="256">
        <v>2.7</v>
      </c>
      <c r="H117" s="256">
        <v>5.5</v>
      </c>
      <c r="I117" s="256">
        <v>1.5</v>
      </c>
    </row>
    <row r="118" spans="1:9" ht="12.75">
      <c r="A118" s="270" t="s">
        <v>8034</v>
      </c>
      <c r="B118" s="256">
        <v>16.3</v>
      </c>
      <c r="C118" s="256">
        <v>19.600000000000001</v>
      </c>
      <c r="D118" s="256">
        <v>14.1</v>
      </c>
      <c r="E118" s="256">
        <v>86</v>
      </c>
      <c r="F118" s="256">
        <v>1722</v>
      </c>
      <c r="G118" s="256">
        <v>3.7</v>
      </c>
      <c r="H118" s="256">
        <v>2</v>
      </c>
      <c r="I118" s="256">
        <v>1.5</v>
      </c>
    </row>
    <row r="119" spans="1:9" ht="12.75">
      <c r="A119" s="270" t="s">
        <v>8035</v>
      </c>
      <c r="B119" s="256">
        <v>13.1</v>
      </c>
      <c r="C119" s="256">
        <v>15.3</v>
      </c>
      <c r="D119" s="256">
        <v>13.6</v>
      </c>
      <c r="E119" s="256">
        <v>79</v>
      </c>
      <c r="F119" s="256">
        <v>522</v>
      </c>
      <c r="G119" s="256">
        <v>4</v>
      </c>
      <c r="H119" s="256">
        <v>0.3</v>
      </c>
      <c r="I119" s="256">
        <v>1.4</v>
      </c>
    </row>
    <row r="120" spans="1:9" ht="12.75">
      <c r="A120" s="270" t="s">
        <v>8036</v>
      </c>
      <c r="B120" s="256">
        <v>11.3</v>
      </c>
      <c r="C120" s="256">
        <v>14.6</v>
      </c>
      <c r="D120" s="256">
        <v>7.8</v>
      </c>
      <c r="E120" s="256">
        <v>74</v>
      </c>
      <c r="F120" s="256">
        <v>2539</v>
      </c>
      <c r="G120" s="256">
        <v>1.5</v>
      </c>
      <c r="H120" s="256">
        <v>0</v>
      </c>
      <c r="I120" s="256">
        <v>1.4</v>
      </c>
    </row>
    <row r="121" spans="1:9" ht="12.75">
      <c r="A121" s="270" t="s">
        <v>8037</v>
      </c>
      <c r="B121" s="256">
        <v>11.3</v>
      </c>
      <c r="C121" s="256">
        <v>15.1</v>
      </c>
      <c r="D121" s="256">
        <v>7.6</v>
      </c>
      <c r="E121" s="256">
        <v>80</v>
      </c>
      <c r="F121" s="256">
        <v>2908</v>
      </c>
      <c r="G121" s="256">
        <v>1.9</v>
      </c>
      <c r="H121" s="256">
        <v>0</v>
      </c>
      <c r="I121" s="256">
        <v>1.4</v>
      </c>
    </row>
    <row r="122" spans="1:9" ht="12.75">
      <c r="A122" s="270" t="s">
        <v>8038</v>
      </c>
      <c r="B122" s="256">
        <v>11.7</v>
      </c>
      <c r="C122" s="256">
        <v>15.7</v>
      </c>
      <c r="D122" s="256">
        <v>8.1999999999999993</v>
      </c>
      <c r="E122" s="256">
        <v>84</v>
      </c>
      <c r="F122" s="256">
        <v>2119</v>
      </c>
      <c r="G122" s="256">
        <v>3.1</v>
      </c>
      <c r="H122" s="256">
        <v>0.1</v>
      </c>
      <c r="I122" s="256">
        <v>1.5</v>
      </c>
    </row>
    <row r="123" spans="1:9" ht="12.75">
      <c r="A123" s="270" t="s">
        <v>8039</v>
      </c>
      <c r="B123" s="256">
        <v>10.8</v>
      </c>
      <c r="C123" s="256">
        <v>15.3</v>
      </c>
      <c r="D123" s="256">
        <v>8.3000000000000007</v>
      </c>
      <c r="E123" s="256">
        <v>81</v>
      </c>
      <c r="F123" s="256">
        <v>3108</v>
      </c>
      <c r="G123" s="256">
        <v>2.6</v>
      </c>
      <c r="H123" s="256">
        <v>0</v>
      </c>
      <c r="I123" s="256">
        <v>1.5</v>
      </c>
    </row>
    <row r="124" spans="1:9" ht="12.75">
      <c r="A124" s="270" t="s">
        <v>8040</v>
      </c>
      <c r="B124" s="256">
        <v>9.1999999999999993</v>
      </c>
      <c r="C124" s="256">
        <v>14.1</v>
      </c>
      <c r="D124" s="256">
        <v>6.4</v>
      </c>
      <c r="E124" s="256">
        <v>81</v>
      </c>
      <c r="F124" s="256">
        <v>2772</v>
      </c>
      <c r="G124" s="256">
        <v>1.9</v>
      </c>
      <c r="H124" s="256">
        <v>0</v>
      </c>
      <c r="I124" s="256">
        <v>1.3</v>
      </c>
    </row>
    <row r="125" spans="1:9" ht="12.75">
      <c r="A125" s="270" t="s">
        <v>8041</v>
      </c>
      <c r="B125" s="256">
        <v>7.8</v>
      </c>
      <c r="C125" s="256">
        <v>10.5</v>
      </c>
      <c r="D125" s="256">
        <v>6</v>
      </c>
      <c r="E125" s="256">
        <v>71</v>
      </c>
      <c r="F125" s="256">
        <v>3192</v>
      </c>
      <c r="G125" s="256">
        <v>3.3</v>
      </c>
      <c r="H125" s="256">
        <v>0</v>
      </c>
      <c r="I125" s="256">
        <v>1.5</v>
      </c>
    </row>
    <row r="126" spans="1:9" ht="12.75">
      <c r="A126" s="270" t="s">
        <v>8042</v>
      </c>
      <c r="B126" s="256">
        <v>6.4</v>
      </c>
      <c r="C126" s="256">
        <v>11.1</v>
      </c>
      <c r="D126" s="256">
        <v>3.3</v>
      </c>
      <c r="E126" s="256">
        <v>80</v>
      </c>
      <c r="F126" s="256">
        <v>1658</v>
      </c>
      <c r="G126" s="256">
        <v>2.7</v>
      </c>
      <c r="H126" s="256">
        <v>2</v>
      </c>
      <c r="I126" s="256">
        <v>1.1000000000000001</v>
      </c>
    </row>
    <row r="127" spans="1:9" ht="12.75">
      <c r="A127" s="270" t="s">
        <v>8043</v>
      </c>
      <c r="B127" s="256">
        <v>4.9000000000000004</v>
      </c>
      <c r="C127" s="256">
        <v>7.9</v>
      </c>
      <c r="D127" s="256">
        <v>3.1</v>
      </c>
      <c r="E127" s="256">
        <v>82</v>
      </c>
      <c r="F127" s="256">
        <v>2039</v>
      </c>
      <c r="G127" s="256">
        <v>2.8</v>
      </c>
      <c r="H127" s="256">
        <v>0.5</v>
      </c>
      <c r="I127" s="256">
        <v>1.1000000000000001</v>
      </c>
    </row>
    <row r="128" spans="1:9" ht="12.75">
      <c r="A128" s="270" t="s">
        <v>8044</v>
      </c>
      <c r="B128" s="256">
        <v>6.7</v>
      </c>
      <c r="C128" s="256">
        <v>8.1999999999999993</v>
      </c>
      <c r="D128" s="256">
        <v>3.1</v>
      </c>
      <c r="E128" s="256">
        <v>89</v>
      </c>
      <c r="F128" s="256">
        <v>883</v>
      </c>
      <c r="G128" s="256">
        <v>1.3</v>
      </c>
      <c r="H128" s="256">
        <v>4</v>
      </c>
      <c r="I128" s="256">
        <v>0.5</v>
      </c>
    </row>
    <row r="129" spans="1:9" ht="12.75">
      <c r="A129" s="270" t="s">
        <v>8045</v>
      </c>
      <c r="B129" s="256">
        <v>9.5</v>
      </c>
      <c r="C129" s="256">
        <v>11.6</v>
      </c>
      <c r="D129" s="256">
        <v>6.9</v>
      </c>
      <c r="E129" s="256">
        <v>91</v>
      </c>
      <c r="F129" s="256">
        <v>611</v>
      </c>
      <c r="G129" s="256">
        <v>2</v>
      </c>
      <c r="H129" s="256">
        <v>0.7</v>
      </c>
      <c r="I129" s="256">
        <v>0.5</v>
      </c>
    </row>
    <row r="130" spans="1:9" ht="12.75">
      <c r="A130" s="270" t="s">
        <v>8046</v>
      </c>
      <c r="B130" s="256">
        <v>7.8</v>
      </c>
      <c r="C130" s="256">
        <v>11.6</v>
      </c>
      <c r="D130" s="256">
        <v>4.7</v>
      </c>
      <c r="E130" s="256">
        <v>82</v>
      </c>
      <c r="F130" s="256">
        <v>1531</v>
      </c>
      <c r="G130" s="256">
        <v>1.7</v>
      </c>
      <c r="H130" s="256">
        <v>0</v>
      </c>
      <c r="I130" s="256">
        <v>1</v>
      </c>
    </row>
    <row r="131" spans="1:9" ht="12.75">
      <c r="A131" s="270" t="s">
        <v>8047</v>
      </c>
      <c r="B131" s="256">
        <v>9.8000000000000007</v>
      </c>
      <c r="C131" s="256">
        <v>14.2</v>
      </c>
      <c r="D131" s="256">
        <v>5</v>
      </c>
      <c r="E131" s="256">
        <v>86</v>
      </c>
      <c r="F131" s="256">
        <v>1378</v>
      </c>
      <c r="G131" s="256">
        <v>1.6</v>
      </c>
      <c r="H131" s="256">
        <v>0</v>
      </c>
      <c r="I131" s="256">
        <v>0.9</v>
      </c>
    </row>
    <row r="132" spans="1:9" ht="12.75">
      <c r="A132" s="270" t="s">
        <v>8048</v>
      </c>
      <c r="B132" s="256">
        <v>9.3000000000000007</v>
      </c>
      <c r="C132" s="256">
        <v>13.1</v>
      </c>
      <c r="D132" s="256">
        <v>9</v>
      </c>
      <c r="E132" s="256">
        <v>90</v>
      </c>
      <c r="F132" s="256">
        <v>1289</v>
      </c>
      <c r="G132" s="256">
        <v>1.6</v>
      </c>
      <c r="H132" s="256">
        <v>1.9</v>
      </c>
      <c r="I132" s="256">
        <v>0.9</v>
      </c>
    </row>
    <row r="133" spans="1:9" ht="12.75">
      <c r="A133" s="270" t="s">
        <v>8049</v>
      </c>
      <c r="B133" s="256">
        <v>9.1</v>
      </c>
      <c r="C133" s="256">
        <v>12.8</v>
      </c>
      <c r="D133" s="256">
        <v>3.4</v>
      </c>
      <c r="E133" s="256">
        <v>89</v>
      </c>
      <c r="F133" s="256">
        <v>1033</v>
      </c>
      <c r="G133" s="256">
        <v>2.6</v>
      </c>
      <c r="H133" s="256">
        <v>0.6</v>
      </c>
      <c r="I133" s="256">
        <v>0.9</v>
      </c>
    </row>
    <row r="134" spans="1:9" ht="12.75">
      <c r="A134" s="270" t="s">
        <v>8050</v>
      </c>
      <c r="B134" s="256">
        <v>12.5</v>
      </c>
      <c r="C134" s="256">
        <v>15.4</v>
      </c>
      <c r="D134" s="256">
        <v>9.9</v>
      </c>
      <c r="E134" s="256">
        <v>86</v>
      </c>
      <c r="F134" s="256">
        <v>939</v>
      </c>
      <c r="G134" s="256">
        <v>2.7</v>
      </c>
      <c r="H134" s="256">
        <v>0.5</v>
      </c>
      <c r="I134" s="256">
        <v>1</v>
      </c>
    </row>
    <row r="135" spans="1:9" ht="12.75">
      <c r="A135" s="270" t="s">
        <v>8051</v>
      </c>
      <c r="B135" s="256">
        <v>11</v>
      </c>
      <c r="C135" s="256">
        <v>13.6</v>
      </c>
      <c r="D135" s="256">
        <v>10.1</v>
      </c>
      <c r="E135" s="256">
        <v>82</v>
      </c>
      <c r="F135" s="256">
        <v>978</v>
      </c>
      <c r="G135" s="256">
        <v>1.1000000000000001</v>
      </c>
      <c r="H135" s="256">
        <v>0.8</v>
      </c>
      <c r="I135" s="256">
        <v>0.8</v>
      </c>
    </row>
    <row r="136" spans="1:9" ht="12.75">
      <c r="A136" s="270" t="s">
        <v>8052</v>
      </c>
      <c r="B136" s="256">
        <v>11.6</v>
      </c>
      <c r="C136" s="256">
        <v>14.1</v>
      </c>
      <c r="D136" s="256">
        <v>8.9</v>
      </c>
      <c r="E136" s="256">
        <v>84</v>
      </c>
      <c r="F136" s="256">
        <v>1722</v>
      </c>
      <c r="G136" s="256">
        <v>2</v>
      </c>
      <c r="H136" s="256">
        <v>0.6</v>
      </c>
      <c r="I136" s="256">
        <v>1</v>
      </c>
    </row>
    <row r="137" spans="1:9" ht="12.75">
      <c r="A137" s="270" t="s">
        <v>8053</v>
      </c>
      <c r="B137" s="256">
        <v>10.7</v>
      </c>
      <c r="C137" s="256">
        <v>12.9</v>
      </c>
      <c r="D137" s="256">
        <v>9.5</v>
      </c>
      <c r="E137" s="256">
        <v>83</v>
      </c>
      <c r="F137" s="256">
        <v>2292</v>
      </c>
      <c r="G137" s="256">
        <v>1.8</v>
      </c>
      <c r="H137" s="256">
        <v>0.1</v>
      </c>
      <c r="I137" s="256">
        <v>0.9</v>
      </c>
    </row>
    <row r="138" spans="1:9" ht="12.75">
      <c r="A138" s="270" t="s">
        <v>8054</v>
      </c>
      <c r="B138" s="256">
        <v>12.1</v>
      </c>
      <c r="C138" s="256">
        <v>17</v>
      </c>
      <c r="D138" s="256">
        <v>8.8000000000000007</v>
      </c>
      <c r="E138" s="256">
        <v>87</v>
      </c>
      <c r="F138" s="256">
        <v>2611</v>
      </c>
      <c r="G138" s="256">
        <v>2.8</v>
      </c>
      <c r="H138" s="256">
        <v>0.1</v>
      </c>
      <c r="I138" s="256">
        <v>1.1000000000000001</v>
      </c>
    </row>
    <row r="139" spans="1:9" ht="12.75">
      <c r="A139" s="270" t="s">
        <v>8055</v>
      </c>
      <c r="B139" s="256">
        <v>13</v>
      </c>
      <c r="C139" s="256">
        <v>17.899999999999999</v>
      </c>
      <c r="D139" s="256">
        <v>8.9</v>
      </c>
      <c r="E139" s="256">
        <v>83</v>
      </c>
      <c r="F139" s="256">
        <v>2417</v>
      </c>
      <c r="G139" s="256">
        <v>2.5</v>
      </c>
      <c r="H139" s="256">
        <v>0.4</v>
      </c>
      <c r="I139" s="256">
        <v>1.3</v>
      </c>
    </row>
    <row r="140" spans="1:9" ht="12.75">
      <c r="A140" s="270" t="s">
        <v>8056</v>
      </c>
      <c r="B140" s="256">
        <v>11.7</v>
      </c>
      <c r="C140" s="256">
        <v>14</v>
      </c>
      <c r="D140" s="256">
        <v>12.2</v>
      </c>
      <c r="E140" s="256">
        <v>94</v>
      </c>
      <c r="F140" s="256">
        <v>733</v>
      </c>
      <c r="G140" s="256">
        <v>2.2000000000000002</v>
      </c>
      <c r="H140" s="256">
        <v>7.5</v>
      </c>
      <c r="I140" s="256">
        <v>0.5</v>
      </c>
    </row>
    <row r="141" spans="1:9" ht="12.75">
      <c r="A141" s="270" t="s">
        <v>8057</v>
      </c>
      <c r="B141" s="256">
        <v>10.6</v>
      </c>
      <c r="C141" s="256">
        <v>14.4</v>
      </c>
      <c r="D141" s="256">
        <v>7</v>
      </c>
      <c r="E141" s="256">
        <v>85</v>
      </c>
      <c r="F141" s="256">
        <v>1669</v>
      </c>
      <c r="G141" s="256">
        <v>3.2</v>
      </c>
      <c r="H141" s="256">
        <v>0</v>
      </c>
      <c r="I141" s="256">
        <v>1</v>
      </c>
    </row>
    <row r="142" spans="1:9" ht="12.75">
      <c r="A142" s="270" t="s">
        <v>8058</v>
      </c>
      <c r="B142" s="256">
        <v>11</v>
      </c>
      <c r="C142" s="256">
        <v>15.3</v>
      </c>
      <c r="D142" s="256">
        <v>8</v>
      </c>
      <c r="E142" s="256">
        <v>86</v>
      </c>
      <c r="F142" s="256">
        <v>2025</v>
      </c>
      <c r="G142" s="256">
        <v>3</v>
      </c>
      <c r="H142" s="256">
        <v>0</v>
      </c>
      <c r="I142" s="256">
        <v>1</v>
      </c>
    </row>
    <row r="143" spans="1:9" ht="12.75">
      <c r="A143" s="270" t="s">
        <v>8059</v>
      </c>
      <c r="B143" s="256">
        <v>10.5</v>
      </c>
      <c r="C143" s="256">
        <v>16.399999999999999</v>
      </c>
      <c r="D143" s="256">
        <v>7.1</v>
      </c>
      <c r="E143" s="256">
        <v>87</v>
      </c>
      <c r="F143" s="256">
        <v>2447</v>
      </c>
      <c r="G143" s="256">
        <v>2.2000000000000002</v>
      </c>
      <c r="H143" s="256">
        <v>0</v>
      </c>
      <c r="I143" s="256">
        <v>0.9</v>
      </c>
    </row>
    <row r="144" spans="1:9" ht="12.75">
      <c r="A144" s="270" t="s">
        <v>8060</v>
      </c>
      <c r="B144" s="256">
        <v>9.5</v>
      </c>
      <c r="C144" s="256">
        <v>15.8</v>
      </c>
      <c r="D144" s="256">
        <v>6.2</v>
      </c>
      <c r="E144" s="256">
        <v>91</v>
      </c>
      <c r="F144" s="256">
        <v>2386</v>
      </c>
      <c r="G144" s="256">
        <v>1.5</v>
      </c>
      <c r="H144" s="256">
        <v>0</v>
      </c>
      <c r="I144" s="256">
        <v>0.6</v>
      </c>
    </row>
    <row r="145" spans="1:9" ht="12.75">
      <c r="A145" s="270" t="s">
        <v>8061</v>
      </c>
      <c r="B145" s="256">
        <v>8.3000000000000007</v>
      </c>
      <c r="C145" s="256">
        <v>13.2</v>
      </c>
      <c r="D145" s="256">
        <v>5.2</v>
      </c>
      <c r="E145" s="256">
        <v>92</v>
      </c>
      <c r="F145" s="256">
        <v>1511</v>
      </c>
      <c r="G145" s="256">
        <v>2.2000000000000002</v>
      </c>
      <c r="H145" s="256">
        <v>0</v>
      </c>
      <c r="I145" s="256">
        <v>0.6</v>
      </c>
    </row>
    <row r="146" spans="1:9" ht="12.75">
      <c r="A146" s="270" t="s">
        <v>8062</v>
      </c>
      <c r="B146" s="256">
        <v>10.7</v>
      </c>
      <c r="C146" s="256">
        <v>14.1</v>
      </c>
      <c r="D146" s="256">
        <v>7.1</v>
      </c>
      <c r="E146" s="256">
        <v>81</v>
      </c>
      <c r="F146" s="256">
        <v>653</v>
      </c>
      <c r="G146" s="256">
        <v>2.9</v>
      </c>
      <c r="H146" s="256">
        <v>0.1</v>
      </c>
      <c r="I146" s="256">
        <v>1.1000000000000001</v>
      </c>
    </row>
    <row r="147" spans="1:9" ht="12.75">
      <c r="A147" s="270" t="s">
        <v>8063</v>
      </c>
      <c r="B147" s="256">
        <v>12.9</v>
      </c>
      <c r="C147" s="256">
        <v>15.1</v>
      </c>
      <c r="D147" s="256">
        <v>10.199999999999999</v>
      </c>
      <c r="E147" s="256">
        <v>90</v>
      </c>
      <c r="F147" s="256">
        <v>1025</v>
      </c>
      <c r="G147" s="256">
        <v>3.2</v>
      </c>
      <c r="H147" s="256">
        <v>3.3</v>
      </c>
      <c r="I147" s="256">
        <v>0.8</v>
      </c>
    </row>
    <row r="148" spans="1:9" ht="12.75">
      <c r="A148" s="270" t="s">
        <v>8064</v>
      </c>
      <c r="B148" s="256">
        <v>14.2</v>
      </c>
      <c r="C148" s="256">
        <v>17.5</v>
      </c>
      <c r="D148" s="256">
        <v>10.4</v>
      </c>
      <c r="E148" s="256">
        <v>88</v>
      </c>
      <c r="F148" s="256">
        <v>1358</v>
      </c>
      <c r="G148" s="256">
        <v>3.6</v>
      </c>
      <c r="H148" s="256">
        <v>4.3</v>
      </c>
      <c r="I148" s="256">
        <v>1</v>
      </c>
    </row>
    <row r="149" spans="1:9" ht="12.75">
      <c r="A149" s="270" t="s">
        <v>8065</v>
      </c>
      <c r="B149" s="256">
        <v>15.8</v>
      </c>
      <c r="C149" s="256">
        <v>16.899999999999999</v>
      </c>
      <c r="D149" s="256">
        <v>14.5</v>
      </c>
      <c r="E149" s="256">
        <v>92</v>
      </c>
      <c r="F149" s="256">
        <v>703</v>
      </c>
      <c r="G149" s="256">
        <v>3.7</v>
      </c>
      <c r="H149" s="256">
        <v>2.9</v>
      </c>
      <c r="I149" s="256">
        <v>0.7</v>
      </c>
    </row>
    <row r="150" spans="1:9" ht="12.75">
      <c r="A150" s="270" t="s">
        <v>8066</v>
      </c>
      <c r="B150" s="256">
        <v>16.5</v>
      </c>
      <c r="C150" s="256">
        <v>19.7</v>
      </c>
      <c r="D150" s="256">
        <v>15.7</v>
      </c>
      <c r="E150" s="256">
        <v>86</v>
      </c>
      <c r="F150" s="256">
        <v>1611</v>
      </c>
      <c r="G150" s="256">
        <v>3.4</v>
      </c>
      <c r="H150" s="256">
        <v>0</v>
      </c>
      <c r="I150" s="256">
        <v>1.1000000000000001</v>
      </c>
    </row>
    <row r="151" spans="1:9" ht="12.75">
      <c r="A151" s="270" t="s">
        <v>8067</v>
      </c>
      <c r="B151" s="256">
        <v>13.7</v>
      </c>
      <c r="C151" s="256">
        <v>17.8</v>
      </c>
      <c r="D151" s="256">
        <v>8</v>
      </c>
      <c r="E151" s="256">
        <v>91</v>
      </c>
      <c r="F151" s="256">
        <v>1156</v>
      </c>
      <c r="G151" s="256">
        <v>3.1</v>
      </c>
      <c r="H151" s="256">
        <v>0.2</v>
      </c>
      <c r="I151" s="256">
        <v>0.8</v>
      </c>
    </row>
    <row r="152" spans="1:9" ht="12.75">
      <c r="A152" s="270" t="s">
        <v>8068</v>
      </c>
      <c r="B152" s="256">
        <v>13.2</v>
      </c>
      <c r="C152" s="256">
        <v>14.5</v>
      </c>
      <c r="D152" s="256">
        <v>14.4</v>
      </c>
      <c r="E152" s="256">
        <v>76</v>
      </c>
      <c r="F152" s="256">
        <v>1208</v>
      </c>
      <c r="G152" s="256">
        <v>3.8</v>
      </c>
      <c r="H152" s="256">
        <v>0.2</v>
      </c>
      <c r="I152" s="256">
        <v>1.4</v>
      </c>
    </row>
    <row r="153" spans="1:9" ht="12.75">
      <c r="A153" s="270" t="s">
        <v>8069</v>
      </c>
      <c r="B153" s="256">
        <v>11.8</v>
      </c>
      <c r="C153" s="256">
        <v>16.399999999999999</v>
      </c>
      <c r="D153" s="256">
        <v>10.6</v>
      </c>
      <c r="E153" s="256">
        <v>82</v>
      </c>
      <c r="F153" s="256">
        <v>1433</v>
      </c>
      <c r="G153" s="256">
        <v>2.8</v>
      </c>
      <c r="H153" s="256">
        <v>0</v>
      </c>
      <c r="I153" s="256">
        <v>1</v>
      </c>
    </row>
    <row r="154" spans="1:9" ht="12.75">
      <c r="A154" s="270" t="s">
        <v>8070</v>
      </c>
      <c r="B154" s="256">
        <v>12</v>
      </c>
      <c r="C154" s="256">
        <v>15.3</v>
      </c>
      <c r="D154" s="256">
        <v>8.3000000000000007</v>
      </c>
      <c r="E154" s="256">
        <v>87</v>
      </c>
      <c r="F154" s="256">
        <v>1667</v>
      </c>
      <c r="G154" s="256">
        <v>2.8</v>
      </c>
      <c r="H154" s="256">
        <v>0.9</v>
      </c>
      <c r="I154" s="256">
        <v>0.8</v>
      </c>
    </row>
    <row r="155" spans="1:9" ht="12.75">
      <c r="A155" s="270" t="s">
        <v>8071</v>
      </c>
      <c r="B155" s="256">
        <v>12.1</v>
      </c>
      <c r="C155" s="256">
        <v>14.2</v>
      </c>
      <c r="D155" s="256">
        <v>10.3</v>
      </c>
      <c r="E155" s="256">
        <v>89</v>
      </c>
      <c r="F155" s="256">
        <v>1389</v>
      </c>
      <c r="G155" s="256">
        <v>2.6</v>
      </c>
      <c r="H155" s="256">
        <v>0</v>
      </c>
      <c r="I155" s="256">
        <v>0.6</v>
      </c>
    </row>
    <row r="156" spans="1:9" ht="12.75">
      <c r="A156" s="270" t="s">
        <v>8072</v>
      </c>
      <c r="B156" s="256">
        <v>11</v>
      </c>
      <c r="C156" s="256">
        <v>13.4</v>
      </c>
      <c r="D156" s="256">
        <v>10.9</v>
      </c>
      <c r="E156" s="256">
        <v>77</v>
      </c>
      <c r="F156" s="256">
        <v>811</v>
      </c>
      <c r="G156" s="256">
        <v>4.3</v>
      </c>
      <c r="H156" s="256">
        <v>0.7</v>
      </c>
      <c r="I156" s="256">
        <v>1.3</v>
      </c>
    </row>
    <row r="157" spans="1:9" ht="12.75">
      <c r="A157" s="270" t="s">
        <v>8073</v>
      </c>
      <c r="B157" s="256">
        <v>10</v>
      </c>
      <c r="C157" s="256">
        <v>11</v>
      </c>
      <c r="D157" s="256">
        <v>7.9</v>
      </c>
      <c r="E157" s="256">
        <v>75</v>
      </c>
      <c r="F157" s="256">
        <v>772</v>
      </c>
      <c r="G157" s="256">
        <v>4.4000000000000004</v>
      </c>
      <c r="H157" s="256">
        <v>0.6</v>
      </c>
      <c r="I157" s="256">
        <v>1.3</v>
      </c>
    </row>
    <row r="158" spans="1:9" ht="12.75">
      <c r="A158" s="270" t="s">
        <v>8074</v>
      </c>
      <c r="B158" s="256">
        <v>12.7</v>
      </c>
      <c r="C158" s="256">
        <v>16.3</v>
      </c>
      <c r="D158" s="256">
        <v>9.4</v>
      </c>
      <c r="E158" s="256">
        <v>82</v>
      </c>
      <c r="F158" s="256">
        <v>1564</v>
      </c>
      <c r="G158" s="256">
        <v>4.3</v>
      </c>
      <c r="H158" s="256">
        <v>0</v>
      </c>
      <c r="I158" s="256">
        <v>1.1000000000000001</v>
      </c>
    </row>
    <row r="159" spans="1:9" ht="12.75">
      <c r="A159" s="270" t="s">
        <v>8075</v>
      </c>
      <c r="B159" s="256">
        <v>11.9</v>
      </c>
      <c r="C159" s="256">
        <v>14.4</v>
      </c>
      <c r="D159" s="256">
        <v>8.9</v>
      </c>
      <c r="E159" s="256">
        <v>87</v>
      </c>
      <c r="F159" s="256">
        <v>450</v>
      </c>
      <c r="G159" s="256">
        <v>4.5</v>
      </c>
      <c r="H159" s="256">
        <v>7.1</v>
      </c>
      <c r="I159" s="256">
        <v>0.8</v>
      </c>
    </row>
    <row r="160" spans="1:9" ht="12.75">
      <c r="A160" s="270" t="s">
        <v>8076</v>
      </c>
      <c r="B160" s="256">
        <v>14.5</v>
      </c>
      <c r="C160" s="256">
        <v>15.8</v>
      </c>
      <c r="D160" s="256">
        <v>12.9</v>
      </c>
      <c r="E160" s="256">
        <v>82</v>
      </c>
      <c r="F160" s="256">
        <v>867</v>
      </c>
      <c r="G160" s="256">
        <v>6.1</v>
      </c>
      <c r="H160" s="256">
        <v>5.9</v>
      </c>
      <c r="I160" s="256">
        <v>1.3</v>
      </c>
    </row>
    <row r="161" spans="1:9" ht="12.75">
      <c r="A161" s="270" t="s">
        <v>8077</v>
      </c>
      <c r="B161" s="256">
        <v>12.9</v>
      </c>
      <c r="C161" s="256">
        <v>14.1</v>
      </c>
      <c r="D161" s="256">
        <v>11.3</v>
      </c>
      <c r="E161" s="256">
        <v>75</v>
      </c>
      <c r="F161" s="256">
        <v>1461</v>
      </c>
      <c r="G161" s="256">
        <v>5.0999999999999996</v>
      </c>
      <c r="H161" s="256">
        <v>0</v>
      </c>
      <c r="I161" s="256">
        <v>1.5</v>
      </c>
    </row>
    <row r="162" spans="1:9" ht="12.75">
      <c r="A162" s="270" t="s">
        <v>8078</v>
      </c>
      <c r="B162" s="256">
        <v>12.8</v>
      </c>
      <c r="C162" s="256">
        <v>14.1</v>
      </c>
      <c r="D162" s="256">
        <v>12.3</v>
      </c>
      <c r="E162" s="256">
        <v>81</v>
      </c>
      <c r="F162" s="256">
        <v>519</v>
      </c>
      <c r="G162" s="256">
        <v>5</v>
      </c>
      <c r="H162" s="256">
        <v>1.5</v>
      </c>
      <c r="I162" s="256">
        <v>1.3</v>
      </c>
    </row>
    <row r="163" spans="1:9" ht="12.75">
      <c r="A163" s="270" t="s">
        <v>8079</v>
      </c>
      <c r="B163" s="256">
        <v>8.4</v>
      </c>
      <c r="C163" s="256">
        <v>10.3</v>
      </c>
      <c r="D163" s="256">
        <v>10.199999999999999</v>
      </c>
      <c r="E163" s="256">
        <v>87</v>
      </c>
      <c r="F163" s="256">
        <v>192</v>
      </c>
      <c r="G163" s="256">
        <v>2.5</v>
      </c>
      <c r="H163" s="256">
        <v>14.1</v>
      </c>
      <c r="I163" s="256">
        <v>0.4</v>
      </c>
    </row>
    <row r="164" spans="1:9" ht="12.75">
      <c r="A164" s="270" t="s">
        <v>8080</v>
      </c>
      <c r="B164" s="256">
        <v>4.2</v>
      </c>
      <c r="C164" s="256">
        <v>6.3</v>
      </c>
      <c r="D164" s="256">
        <v>3.2</v>
      </c>
      <c r="E164" s="256">
        <v>81</v>
      </c>
      <c r="F164" s="256">
        <v>953</v>
      </c>
      <c r="G164" s="256">
        <v>4.7</v>
      </c>
      <c r="H164" s="256">
        <v>4.3</v>
      </c>
      <c r="I164" s="256">
        <v>0.8</v>
      </c>
    </row>
    <row r="165" spans="1:9" ht="12.75">
      <c r="A165" s="270" t="s">
        <v>8081</v>
      </c>
      <c r="B165" s="256">
        <v>2.6</v>
      </c>
      <c r="C165" s="256">
        <v>5.6</v>
      </c>
      <c r="D165" s="256">
        <v>0.7</v>
      </c>
      <c r="E165" s="256">
        <v>83</v>
      </c>
      <c r="F165" s="256">
        <v>1589</v>
      </c>
      <c r="G165" s="256">
        <v>2.9</v>
      </c>
      <c r="H165" s="256">
        <v>0.3</v>
      </c>
      <c r="I165" s="256">
        <v>0.5</v>
      </c>
    </row>
    <row r="166" spans="1:9" ht="12.75">
      <c r="A166" s="270" t="s">
        <v>8082</v>
      </c>
      <c r="B166" s="256">
        <v>1.4</v>
      </c>
      <c r="C166" s="256">
        <v>5.9</v>
      </c>
      <c r="D166" s="256">
        <v>-1.5</v>
      </c>
      <c r="E166" s="256">
        <v>86</v>
      </c>
      <c r="F166" s="256">
        <v>1608</v>
      </c>
      <c r="G166" s="256">
        <v>1.5</v>
      </c>
      <c r="H166" s="256">
        <v>0</v>
      </c>
      <c r="I166" s="256">
        <v>0.2</v>
      </c>
    </row>
    <row r="167" spans="1:9" ht="12.75">
      <c r="A167" s="270" t="s">
        <v>8083</v>
      </c>
      <c r="B167" s="256">
        <v>4</v>
      </c>
      <c r="C167" s="256">
        <v>6</v>
      </c>
      <c r="D167" s="256">
        <v>0.6</v>
      </c>
      <c r="E167" s="256">
        <v>88</v>
      </c>
      <c r="F167" s="256">
        <v>258</v>
      </c>
      <c r="G167" s="256">
        <v>4.3</v>
      </c>
      <c r="H167" s="256">
        <v>7.2</v>
      </c>
      <c r="I167" s="256">
        <v>0.5</v>
      </c>
    </row>
    <row r="168" spans="1:9" ht="12.75">
      <c r="A168" s="270" t="s">
        <v>8084</v>
      </c>
      <c r="B168" s="256">
        <v>5.9</v>
      </c>
      <c r="C168" s="256">
        <v>8.6999999999999993</v>
      </c>
      <c r="D168" s="256">
        <v>4.8</v>
      </c>
      <c r="E168" s="256">
        <v>87</v>
      </c>
      <c r="F168" s="256">
        <v>997</v>
      </c>
      <c r="G168" s="256">
        <v>3</v>
      </c>
      <c r="H168" s="256">
        <v>2.7</v>
      </c>
      <c r="I168" s="256">
        <v>0.6</v>
      </c>
    </row>
    <row r="169" spans="1:9" ht="12.75">
      <c r="A169" s="270" t="s">
        <v>8085</v>
      </c>
      <c r="B169" s="256">
        <v>4.5999999999999996</v>
      </c>
      <c r="C169" s="256">
        <v>8.1</v>
      </c>
      <c r="D169" s="256">
        <v>3.5</v>
      </c>
      <c r="E169" s="256">
        <v>93</v>
      </c>
      <c r="F169" s="256">
        <v>1058</v>
      </c>
      <c r="G169" s="256">
        <v>1.6</v>
      </c>
      <c r="H169" s="256">
        <v>0.3</v>
      </c>
      <c r="I169" s="256">
        <v>0.2</v>
      </c>
    </row>
    <row r="170" spans="1:9" ht="12.75">
      <c r="A170" s="270" t="s">
        <v>8086</v>
      </c>
      <c r="B170" s="256">
        <v>5.0999999999999996</v>
      </c>
      <c r="C170" s="256">
        <v>6.5</v>
      </c>
      <c r="D170" s="256">
        <v>1.4</v>
      </c>
      <c r="E170" s="256">
        <v>92</v>
      </c>
      <c r="F170" s="256">
        <v>522</v>
      </c>
      <c r="G170" s="256">
        <v>3.7</v>
      </c>
      <c r="H170" s="256">
        <v>1.4</v>
      </c>
      <c r="I170" s="256">
        <v>0.4</v>
      </c>
    </row>
    <row r="171" spans="1:9" ht="12.75">
      <c r="A171" s="270" t="s">
        <v>8087</v>
      </c>
      <c r="B171" s="256">
        <v>6.4</v>
      </c>
      <c r="C171" s="256">
        <v>8.4</v>
      </c>
      <c r="D171" s="256">
        <v>4</v>
      </c>
      <c r="E171" s="256">
        <v>76</v>
      </c>
      <c r="F171" s="256">
        <v>1406</v>
      </c>
      <c r="G171" s="256">
        <v>4.9000000000000004</v>
      </c>
      <c r="H171" s="256">
        <v>1</v>
      </c>
      <c r="I171" s="256">
        <v>1</v>
      </c>
    </row>
    <row r="172" spans="1:9" ht="12.75">
      <c r="A172" s="270" t="s">
        <v>8088</v>
      </c>
      <c r="B172" s="256">
        <v>10.4</v>
      </c>
      <c r="C172" s="256">
        <v>11.3</v>
      </c>
      <c r="D172" s="256">
        <v>7</v>
      </c>
      <c r="E172" s="256">
        <v>81</v>
      </c>
      <c r="F172" s="256">
        <v>372</v>
      </c>
      <c r="G172" s="256">
        <v>6.5</v>
      </c>
      <c r="H172" s="256">
        <v>4.0999999999999996</v>
      </c>
      <c r="I172" s="256">
        <v>1.2</v>
      </c>
    </row>
    <row r="173" spans="1:9" ht="12.75">
      <c r="A173" s="270" t="s">
        <v>8089</v>
      </c>
      <c r="B173" s="256">
        <v>11.3</v>
      </c>
      <c r="C173" s="256">
        <v>11.6</v>
      </c>
      <c r="D173" s="256">
        <v>10.6</v>
      </c>
      <c r="E173" s="256">
        <v>79</v>
      </c>
      <c r="F173" s="256">
        <v>467</v>
      </c>
      <c r="G173" s="256">
        <v>6.1</v>
      </c>
      <c r="H173" s="256">
        <v>3.1</v>
      </c>
      <c r="I173" s="256">
        <v>1.3</v>
      </c>
    </row>
    <row r="174" spans="1:9" ht="12.75">
      <c r="A174" s="270" t="s">
        <v>8090</v>
      </c>
      <c r="B174" s="256">
        <v>11.6</v>
      </c>
      <c r="C174" s="256">
        <v>13.2</v>
      </c>
      <c r="D174" s="256">
        <v>11.6</v>
      </c>
      <c r="E174" s="256">
        <v>82</v>
      </c>
      <c r="F174" s="256">
        <v>542</v>
      </c>
      <c r="G174" s="256">
        <v>4</v>
      </c>
      <c r="H174" s="256">
        <v>0.3</v>
      </c>
      <c r="I174" s="256">
        <v>1</v>
      </c>
    </row>
    <row r="175" spans="1:9" ht="12.75">
      <c r="A175" s="270" t="s">
        <v>8091</v>
      </c>
      <c r="B175" s="256">
        <v>8.5</v>
      </c>
      <c r="C175" s="256">
        <v>11</v>
      </c>
      <c r="D175" s="256">
        <v>7.2</v>
      </c>
      <c r="E175" s="256">
        <v>81</v>
      </c>
      <c r="F175" s="256">
        <v>1008</v>
      </c>
      <c r="G175" s="256">
        <v>2.8</v>
      </c>
      <c r="H175" s="256">
        <v>0</v>
      </c>
      <c r="I175" s="256">
        <v>0.7</v>
      </c>
    </row>
    <row r="176" spans="1:9" ht="12.75">
      <c r="A176" s="270" t="s">
        <v>8092</v>
      </c>
      <c r="B176" s="256">
        <v>7.8</v>
      </c>
      <c r="C176" s="256">
        <v>10.7</v>
      </c>
      <c r="D176" s="256">
        <v>5.2</v>
      </c>
      <c r="E176" s="256">
        <v>76</v>
      </c>
      <c r="F176" s="256">
        <v>1247</v>
      </c>
      <c r="G176" s="256">
        <v>3.5</v>
      </c>
      <c r="H176" s="256">
        <v>0</v>
      </c>
      <c r="I176" s="256">
        <v>0.8</v>
      </c>
    </row>
    <row r="177" spans="1:9" ht="12.75">
      <c r="A177" s="270" t="s">
        <v>8093</v>
      </c>
      <c r="B177" s="256">
        <v>8.4</v>
      </c>
      <c r="C177" s="256">
        <v>10.8</v>
      </c>
      <c r="D177" s="256">
        <v>6.9</v>
      </c>
      <c r="E177" s="256">
        <v>86</v>
      </c>
      <c r="F177" s="256">
        <v>1278</v>
      </c>
      <c r="G177" s="256">
        <v>3.4</v>
      </c>
      <c r="H177" s="256">
        <v>3.3</v>
      </c>
      <c r="I177" s="256">
        <v>0.6</v>
      </c>
    </row>
    <row r="178" spans="1:9" ht="12.75">
      <c r="A178" s="270" t="s">
        <v>8094</v>
      </c>
      <c r="B178" s="256">
        <v>5.4</v>
      </c>
      <c r="C178" s="256">
        <v>7.5</v>
      </c>
      <c r="D178" s="256">
        <v>3.9</v>
      </c>
      <c r="E178" s="256">
        <v>82</v>
      </c>
      <c r="F178" s="256">
        <v>850</v>
      </c>
      <c r="G178" s="256">
        <v>4.3</v>
      </c>
      <c r="H178" s="256">
        <v>0</v>
      </c>
      <c r="I178" s="256">
        <v>0.7</v>
      </c>
    </row>
    <row r="179" spans="1:9" ht="12.75">
      <c r="A179" s="270" t="s">
        <v>8095</v>
      </c>
      <c r="B179" s="256">
        <v>9.6</v>
      </c>
      <c r="C179" s="256">
        <v>12.5</v>
      </c>
      <c r="D179" s="256">
        <v>5.2</v>
      </c>
      <c r="E179" s="256">
        <v>84</v>
      </c>
      <c r="F179" s="256">
        <v>689</v>
      </c>
      <c r="G179" s="256">
        <v>4.4000000000000004</v>
      </c>
      <c r="H179" s="256">
        <v>0.1</v>
      </c>
      <c r="I179" s="256">
        <v>0.8</v>
      </c>
    </row>
    <row r="180" spans="1:9" ht="12.75">
      <c r="A180" s="270" t="s">
        <v>8096</v>
      </c>
      <c r="B180" s="256">
        <v>8.9</v>
      </c>
      <c r="C180" s="256">
        <v>11.8</v>
      </c>
      <c r="D180" s="256">
        <v>7.6</v>
      </c>
      <c r="E180" s="256">
        <v>90</v>
      </c>
      <c r="F180" s="256">
        <v>828</v>
      </c>
      <c r="G180" s="256">
        <v>2.8</v>
      </c>
      <c r="H180" s="256">
        <v>0.4</v>
      </c>
      <c r="I180" s="256">
        <v>0.5</v>
      </c>
    </row>
    <row r="181" spans="1:9" ht="12.75">
      <c r="A181" s="270" t="s">
        <v>8097</v>
      </c>
      <c r="B181" s="256">
        <v>8.3000000000000007</v>
      </c>
      <c r="C181" s="256">
        <v>10.5</v>
      </c>
      <c r="D181" s="256">
        <v>7.1</v>
      </c>
      <c r="E181" s="256">
        <v>91</v>
      </c>
      <c r="F181" s="256">
        <v>264</v>
      </c>
      <c r="G181" s="256">
        <v>3.5</v>
      </c>
      <c r="H181" s="256">
        <v>4.0999999999999996</v>
      </c>
      <c r="I181" s="256">
        <v>0.4</v>
      </c>
    </row>
    <row r="182" spans="1:9" ht="12.75">
      <c r="A182" s="270" t="s">
        <v>8098</v>
      </c>
      <c r="B182" s="256">
        <v>5.9</v>
      </c>
      <c r="C182" s="256">
        <v>9.3000000000000007</v>
      </c>
      <c r="D182" s="256">
        <v>4.9000000000000004</v>
      </c>
      <c r="E182" s="256">
        <v>92</v>
      </c>
      <c r="F182" s="256">
        <v>1256</v>
      </c>
      <c r="G182" s="256">
        <v>2.6</v>
      </c>
      <c r="H182" s="256">
        <v>0</v>
      </c>
      <c r="I182" s="256">
        <v>0.2</v>
      </c>
    </row>
    <row r="183" spans="1:9" ht="12.75">
      <c r="A183" s="270" t="s">
        <v>8099</v>
      </c>
      <c r="B183" s="256">
        <v>3.4</v>
      </c>
      <c r="C183" s="256">
        <v>5.8</v>
      </c>
      <c r="D183" s="256">
        <v>2.6</v>
      </c>
      <c r="E183" s="256">
        <v>89</v>
      </c>
      <c r="F183" s="256">
        <v>897</v>
      </c>
      <c r="G183" s="256">
        <v>3.4</v>
      </c>
      <c r="H183" s="256">
        <v>0</v>
      </c>
      <c r="I183" s="256">
        <v>0.4</v>
      </c>
    </row>
    <row r="184" spans="1:9" ht="12.75">
      <c r="A184" s="270" t="s">
        <v>8100</v>
      </c>
      <c r="B184" s="256">
        <v>8.1999999999999993</v>
      </c>
      <c r="C184" s="256">
        <v>9.9</v>
      </c>
      <c r="D184" s="256">
        <v>1.9</v>
      </c>
      <c r="E184" s="256">
        <v>88</v>
      </c>
      <c r="F184" s="256">
        <v>264</v>
      </c>
      <c r="G184" s="256">
        <v>4.3</v>
      </c>
      <c r="H184" s="256">
        <v>3.5</v>
      </c>
      <c r="I184" s="256">
        <v>0.5</v>
      </c>
    </row>
    <row r="185" spans="1:9" ht="12.75">
      <c r="A185" s="270" t="s">
        <v>8101</v>
      </c>
      <c r="B185" s="256">
        <v>9.1</v>
      </c>
      <c r="C185" s="256">
        <v>11.2</v>
      </c>
      <c r="D185" s="256">
        <v>8.6999999999999993</v>
      </c>
      <c r="E185" s="256">
        <v>91</v>
      </c>
      <c r="F185" s="256">
        <v>358</v>
      </c>
      <c r="G185" s="256">
        <v>3.6</v>
      </c>
      <c r="H185" s="256">
        <v>0.1</v>
      </c>
      <c r="I185" s="256">
        <v>0.4</v>
      </c>
    </row>
    <row r="186" spans="1:9" ht="12.75">
      <c r="A186" s="270" t="s">
        <v>8102</v>
      </c>
      <c r="B186" s="256">
        <v>6.4</v>
      </c>
      <c r="C186" s="256">
        <v>8.6</v>
      </c>
      <c r="D186" s="256">
        <v>6.1</v>
      </c>
      <c r="E186" s="256">
        <v>92</v>
      </c>
      <c r="F186" s="256">
        <v>794</v>
      </c>
      <c r="G186" s="256">
        <v>2.6</v>
      </c>
      <c r="H186" s="256">
        <v>0</v>
      </c>
      <c r="I186" s="256">
        <v>0.4</v>
      </c>
    </row>
    <row r="187" spans="1:9" ht="12.75">
      <c r="A187" s="270" t="s">
        <v>8103</v>
      </c>
      <c r="B187" s="256">
        <v>5.6</v>
      </c>
      <c r="C187" s="256">
        <v>7.5</v>
      </c>
      <c r="D187" s="256">
        <v>4.9000000000000004</v>
      </c>
      <c r="E187" s="256">
        <v>90</v>
      </c>
      <c r="F187" s="256">
        <v>908</v>
      </c>
      <c r="G187" s="256">
        <v>2.4</v>
      </c>
      <c r="H187" s="256">
        <v>0</v>
      </c>
      <c r="I187" s="256">
        <v>0.3</v>
      </c>
    </row>
    <row r="188" spans="1:9" ht="12.75">
      <c r="A188" s="270" t="s">
        <v>8104</v>
      </c>
      <c r="B188" s="256">
        <v>8</v>
      </c>
      <c r="C188" s="256">
        <v>8.8000000000000007</v>
      </c>
      <c r="D188" s="256">
        <v>5.3</v>
      </c>
      <c r="E188" s="256">
        <v>92</v>
      </c>
      <c r="F188" s="256">
        <v>239</v>
      </c>
      <c r="G188" s="256">
        <v>3.1</v>
      </c>
      <c r="H188" s="256">
        <v>7.5</v>
      </c>
      <c r="I188" s="256">
        <v>0.3</v>
      </c>
    </row>
    <row r="189" spans="1:9" ht="12.75">
      <c r="A189" s="270" t="s">
        <v>8105</v>
      </c>
      <c r="B189" s="256">
        <v>12.2</v>
      </c>
      <c r="C189" s="256">
        <v>14.3</v>
      </c>
      <c r="D189" s="256">
        <v>9</v>
      </c>
      <c r="E189" s="256">
        <v>93</v>
      </c>
      <c r="F189" s="256">
        <v>456</v>
      </c>
      <c r="G189" s="256">
        <v>3.8</v>
      </c>
      <c r="H189" s="256">
        <v>1.2</v>
      </c>
      <c r="I189" s="256">
        <v>0.5</v>
      </c>
    </row>
    <row r="190" spans="1:9" ht="12.75">
      <c r="A190" s="270" t="s">
        <v>8106</v>
      </c>
      <c r="B190" s="256">
        <v>11.5</v>
      </c>
      <c r="C190" s="256">
        <v>14.2</v>
      </c>
      <c r="D190" s="256">
        <v>10</v>
      </c>
      <c r="E190" s="256">
        <v>87</v>
      </c>
      <c r="F190" s="256">
        <v>1119</v>
      </c>
      <c r="G190" s="256">
        <v>3.4</v>
      </c>
      <c r="H190" s="256">
        <v>0</v>
      </c>
      <c r="I190" s="256">
        <v>0.6</v>
      </c>
    </row>
    <row r="191" spans="1:9" ht="12.75">
      <c r="A191" s="270" t="s">
        <v>8107</v>
      </c>
      <c r="B191" s="256">
        <v>11.3</v>
      </c>
      <c r="C191" s="256">
        <v>13.1</v>
      </c>
      <c r="D191" s="256">
        <v>10</v>
      </c>
      <c r="E191" s="256">
        <v>90</v>
      </c>
      <c r="F191" s="256">
        <v>703</v>
      </c>
      <c r="G191" s="256">
        <v>2.8</v>
      </c>
      <c r="H191" s="256">
        <v>0</v>
      </c>
      <c r="I191" s="256">
        <v>0.6</v>
      </c>
    </row>
    <row r="192" spans="1:9" ht="12.75">
      <c r="A192" s="270" t="s">
        <v>8108</v>
      </c>
      <c r="B192" s="256">
        <v>11</v>
      </c>
      <c r="C192" s="256">
        <v>13.2</v>
      </c>
      <c r="D192" s="256">
        <v>9</v>
      </c>
      <c r="E192" s="256">
        <v>87</v>
      </c>
      <c r="F192" s="256">
        <v>614</v>
      </c>
      <c r="G192" s="256">
        <v>3.7</v>
      </c>
      <c r="H192" s="256">
        <v>0.1</v>
      </c>
      <c r="I192" s="256">
        <v>0.8</v>
      </c>
    </row>
    <row r="193" spans="1:9" ht="12.75">
      <c r="A193" s="270" t="s">
        <v>8109</v>
      </c>
      <c r="B193" s="256">
        <v>11.5</v>
      </c>
      <c r="C193" s="256">
        <v>13.3</v>
      </c>
      <c r="D193" s="256">
        <v>10.3</v>
      </c>
      <c r="E193" s="256">
        <v>80</v>
      </c>
      <c r="F193" s="256">
        <v>900</v>
      </c>
      <c r="G193" s="256">
        <v>4</v>
      </c>
      <c r="H193" s="256">
        <v>1.3</v>
      </c>
      <c r="I193" s="256">
        <v>0.9</v>
      </c>
    </row>
    <row r="194" spans="1:9" ht="12.75">
      <c r="A194" s="270" t="s">
        <v>8110</v>
      </c>
      <c r="B194" s="256">
        <v>10.7</v>
      </c>
      <c r="C194" s="256">
        <v>11.8</v>
      </c>
      <c r="D194" s="256">
        <v>8.5</v>
      </c>
      <c r="E194" s="256">
        <v>80</v>
      </c>
      <c r="F194" s="256">
        <v>919</v>
      </c>
      <c r="G194" s="256">
        <v>5.8</v>
      </c>
      <c r="H194" s="256">
        <v>0.2</v>
      </c>
      <c r="I194" s="256">
        <v>1.1000000000000001</v>
      </c>
    </row>
    <row r="195" spans="1:9" ht="12.75">
      <c r="A195" s="270" t="s">
        <v>8111</v>
      </c>
      <c r="B195" s="256">
        <v>12.5</v>
      </c>
      <c r="C195" s="256">
        <v>13.4</v>
      </c>
      <c r="D195" s="256">
        <v>11</v>
      </c>
      <c r="E195" s="256">
        <v>71</v>
      </c>
      <c r="F195" s="256">
        <v>856</v>
      </c>
      <c r="G195" s="256">
        <v>6</v>
      </c>
      <c r="H195" s="256">
        <v>0.3</v>
      </c>
      <c r="I195" s="256">
        <v>1.7</v>
      </c>
    </row>
    <row r="196" spans="1:9" ht="12.75">
      <c r="A196" s="270" t="s">
        <v>8112</v>
      </c>
      <c r="B196" s="256">
        <v>10</v>
      </c>
      <c r="C196" s="256">
        <v>12</v>
      </c>
      <c r="D196" s="256">
        <v>12.1</v>
      </c>
      <c r="E196" s="256">
        <v>82</v>
      </c>
      <c r="F196" s="256">
        <v>1039</v>
      </c>
      <c r="G196" s="256">
        <v>3.7</v>
      </c>
      <c r="H196" s="256">
        <v>0.2</v>
      </c>
      <c r="I196" s="256">
        <v>0.8</v>
      </c>
    </row>
    <row r="197" spans="1:9" ht="12.75">
      <c r="A197" s="270" t="s">
        <v>8113</v>
      </c>
      <c r="B197" s="256">
        <v>9.8000000000000007</v>
      </c>
      <c r="C197" s="256">
        <v>12.7</v>
      </c>
      <c r="D197" s="256">
        <v>7.7</v>
      </c>
      <c r="E197" s="256">
        <v>84</v>
      </c>
      <c r="F197" s="256">
        <v>864</v>
      </c>
      <c r="G197" s="256">
        <v>4.3</v>
      </c>
      <c r="H197" s="256">
        <v>0.9</v>
      </c>
      <c r="I197" s="256">
        <v>0.8</v>
      </c>
    </row>
    <row r="198" spans="1:9" ht="12.75">
      <c r="A198" s="270" t="s">
        <v>8114</v>
      </c>
      <c r="B198" s="256">
        <v>9.6999999999999993</v>
      </c>
      <c r="C198" s="256">
        <v>12.3</v>
      </c>
      <c r="D198" s="256">
        <v>6.6</v>
      </c>
      <c r="E198" s="256">
        <v>86</v>
      </c>
      <c r="F198" s="256">
        <v>247</v>
      </c>
      <c r="G198" s="256">
        <v>3.6</v>
      </c>
      <c r="H198" s="256">
        <v>2.5</v>
      </c>
      <c r="I198" s="256">
        <v>0.6</v>
      </c>
    </row>
    <row r="199" spans="1:9" ht="12.75">
      <c r="A199" s="270" t="s">
        <v>8115</v>
      </c>
      <c r="B199" s="256">
        <v>9.5</v>
      </c>
      <c r="C199" s="256">
        <v>12.2</v>
      </c>
      <c r="D199" s="256">
        <v>8.1</v>
      </c>
      <c r="E199" s="256">
        <v>87</v>
      </c>
      <c r="F199" s="256">
        <v>1158</v>
      </c>
      <c r="G199" s="256">
        <v>4</v>
      </c>
      <c r="H199" s="256">
        <v>0</v>
      </c>
      <c r="I199" s="256">
        <v>0.6</v>
      </c>
    </row>
    <row r="200" spans="1:9" ht="12.75">
      <c r="A200" s="270" t="s">
        <v>8116</v>
      </c>
      <c r="B200" s="256">
        <v>8.8000000000000007</v>
      </c>
      <c r="C200" s="256">
        <v>12.6</v>
      </c>
      <c r="D200" s="256">
        <v>8</v>
      </c>
      <c r="E200" s="256">
        <v>86</v>
      </c>
      <c r="F200" s="256">
        <v>1167</v>
      </c>
      <c r="G200" s="256">
        <v>3.2</v>
      </c>
      <c r="H200" s="256">
        <v>0</v>
      </c>
      <c r="I200" s="256">
        <v>0.5</v>
      </c>
    </row>
    <row r="201" spans="1:9" ht="12.75">
      <c r="A201" s="270" t="s">
        <v>8117</v>
      </c>
      <c r="B201" s="256">
        <v>7.4</v>
      </c>
      <c r="C201" s="256">
        <v>10.6</v>
      </c>
      <c r="D201" s="256">
        <v>4.3</v>
      </c>
      <c r="E201" s="256">
        <v>82</v>
      </c>
      <c r="F201" s="256">
        <v>1142</v>
      </c>
      <c r="G201" s="256">
        <v>3.4</v>
      </c>
      <c r="H201" s="256">
        <v>0</v>
      </c>
      <c r="I201" s="256">
        <v>0.6</v>
      </c>
    </row>
    <row r="202" spans="1:9" ht="12.75">
      <c r="A202" s="270" t="s">
        <v>8118</v>
      </c>
      <c r="B202" s="256">
        <v>8.1</v>
      </c>
      <c r="C202" s="256">
        <v>10.9</v>
      </c>
      <c r="D202" s="256">
        <v>7.6</v>
      </c>
      <c r="E202" s="256">
        <v>84</v>
      </c>
      <c r="F202" s="256">
        <v>583</v>
      </c>
      <c r="G202" s="256">
        <v>3.2</v>
      </c>
      <c r="H202" s="256">
        <v>3.6</v>
      </c>
      <c r="I202" s="256">
        <v>0.9</v>
      </c>
    </row>
    <row r="203" spans="1:9" ht="12.75">
      <c r="A203" s="270" t="s">
        <v>8119</v>
      </c>
      <c r="B203" s="256">
        <v>7.8</v>
      </c>
      <c r="C203" s="256">
        <v>10.199999999999999</v>
      </c>
      <c r="D203" s="256">
        <v>5.6</v>
      </c>
      <c r="E203" s="256">
        <v>80</v>
      </c>
      <c r="F203" s="256">
        <v>1114</v>
      </c>
      <c r="G203" s="256">
        <v>4.5</v>
      </c>
      <c r="H203" s="256">
        <v>1.1000000000000001</v>
      </c>
      <c r="I203" s="256">
        <v>0.8</v>
      </c>
    </row>
    <row r="204" spans="1:9" ht="12.75">
      <c r="A204" s="270" t="s">
        <v>8120</v>
      </c>
      <c r="B204" s="256">
        <v>8</v>
      </c>
      <c r="C204" s="256">
        <v>9.6</v>
      </c>
      <c r="D204" s="256">
        <v>8</v>
      </c>
      <c r="E204" s="256">
        <v>82</v>
      </c>
      <c r="F204" s="256">
        <v>1244</v>
      </c>
      <c r="G204" s="256">
        <v>4</v>
      </c>
      <c r="H204" s="256">
        <v>3.4</v>
      </c>
      <c r="I204" s="256">
        <v>0.7</v>
      </c>
    </row>
    <row r="205" spans="1:9" ht="12.75">
      <c r="A205" s="270" t="s">
        <v>8121</v>
      </c>
      <c r="B205" s="256">
        <v>5.8</v>
      </c>
      <c r="C205" s="256">
        <v>8.1</v>
      </c>
      <c r="D205" s="256">
        <v>2.1</v>
      </c>
      <c r="E205" s="256">
        <v>90</v>
      </c>
      <c r="F205" s="256">
        <v>772</v>
      </c>
      <c r="G205" s="256">
        <v>3.2</v>
      </c>
      <c r="H205" s="256">
        <v>0.5</v>
      </c>
      <c r="I205" s="256">
        <v>0.4</v>
      </c>
    </row>
    <row r="206" spans="1:9" ht="12.75">
      <c r="A206" s="270" t="s">
        <v>8122</v>
      </c>
      <c r="B206" s="256">
        <v>8.3000000000000007</v>
      </c>
      <c r="C206" s="256">
        <v>10.1</v>
      </c>
      <c r="D206" s="256">
        <v>6.5</v>
      </c>
      <c r="E206" s="256">
        <v>86</v>
      </c>
      <c r="F206" s="256">
        <v>789</v>
      </c>
      <c r="G206" s="256">
        <v>5.5</v>
      </c>
      <c r="H206" s="256">
        <v>8.6</v>
      </c>
      <c r="I206" s="256">
        <v>0.8</v>
      </c>
    </row>
    <row r="207" spans="1:9" ht="12.75">
      <c r="A207" s="270" t="s">
        <v>8123</v>
      </c>
      <c r="B207" s="256">
        <v>6.5</v>
      </c>
      <c r="C207" s="256">
        <v>7.6</v>
      </c>
      <c r="D207" s="256">
        <v>5</v>
      </c>
      <c r="E207" s="256">
        <v>87</v>
      </c>
      <c r="F207" s="256">
        <v>283</v>
      </c>
      <c r="G207" s="256">
        <v>4.7</v>
      </c>
      <c r="H207" s="256">
        <v>14.4</v>
      </c>
      <c r="I207" s="256">
        <v>0.7</v>
      </c>
    </row>
    <row r="208" spans="1:9" ht="12.75">
      <c r="A208" s="270" t="s">
        <v>8124</v>
      </c>
      <c r="B208" s="256">
        <v>7.1</v>
      </c>
      <c r="C208" s="256">
        <v>9</v>
      </c>
      <c r="D208" s="256">
        <v>6</v>
      </c>
      <c r="E208" s="256">
        <v>84</v>
      </c>
      <c r="F208" s="256">
        <v>900</v>
      </c>
      <c r="G208" s="256">
        <v>4.3</v>
      </c>
      <c r="H208" s="256">
        <v>0.2</v>
      </c>
      <c r="I208" s="256">
        <v>0.7</v>
      </c>
    </row>
    <row r="209" spans="1:9" ht="12.75">
      <c r="A209" s="270" t="s">
        <v>8125</v>
      </c>
      <c r="B209" s="256">
        <v>7</v>
      </c>
      <c r="C209" s="256">
        <v>8.5</v>
      </c>
      <c r="D209" s="256">
        <v>4.9000000000000004</v>
      </c>
      <c r="E209" s="256">
        <v>86</v>
      </c>
      <c r="F209" s="256">
        <v>553</v>
      </c>
      <c r="G209" s="256">
        <v>4</v>
      </c>
      <c r="H209" s="256">
        <v>2.1</v>
      </c>
      <c r="I209" s="256">
        <v>0.7</v>
      </c>
    </row>
    <row r="210" spans="1:9" ht="12.75">
      <c r="A210" s="270" t="s">
        <v>8126</v>
      </c>
      <c r="B210" s="256">
        <v>6.4</v>
      </c>
      <c r="C210" s="256">
        <v>8.3000000000000007</v>
      </c>
      <c r="D210" s="256">
        <v>6.2</v>
      </c>
      <c r="E210" s="256">
        <v>91</v>
      </c>
      <c r="F210" s="256">
        <v>511</v>
      </c>
      <c r="G210" s="256">
        <v>2.7</v>
      </c>
      <c r="H210" s="256">
        <v>0.6</v>
      </c>
      <c r="I210" s="256">
        <v>0.5</v>
      </c>
    </row>
    <row r="211" spans="1:9" ht="12.75">
      <c r="A211" s="270" t="s">
        <v>8127</v>
      </c>
      <c r="B211" s="256">
        <v>6.8</v>
      </c>
      <c r="C211" s="256">
        <v>10.199999999999999</v>
      </c>
      <c r="D211" s="256">
        <v>4.5</v>
      </c>
      <c r="E211" s="256">
        <v>81</v>
      </c>
      <c r="F211" s="256">
        <v>558</v>
      </c>
      <c r="G211" s="256">
        <v>5.3</v>
      </c>
      <c r="H211" s="256">
        <v>9.4</v>
      </c>
      <c r="I211" s="256">
        <v>1.1000000000000001</v>
      </c>
    </row>
    <row r="212" spans="1:9" ht="12.75">
      <c r="A212" s="270" t="s">
        <v>8128</v>
      </c>
      <c r="B212" s="256">
        <v>4.8</v>
      </c>
      <c r="C212" s="256">
        <v>7.9</v>
      </c>
      <c r="D212" s="256">
        <v>1.8</v>
      </c>
      <c r="E212" s="256">
        <v>90</v>
      </c>
      <c r="F212" s="256">
        <v>1217</v>
      </c>
      <c r="G212" s="256">
        <v>2.2999999999999998</v>
      </c>
      <c r="H212" s="256">
        <v>0</v>
      </c>
      <c r="I212" s="256">
        <v>0.3</v>
      </c>
    </row>
    <row r="213" spans="1:9" ht="12.75">
      <c r="A213" s="270" t="s">
        <v>8129</v>
      </c>
      <c r="B213" s="256">
        <v>7.3</v>
      </c>
      <c r="C213" s="256">
        <v>9.6</v>
      </c>
      <c r="D213" s="256">
        <v>4.3</v>
      </c>
      <c r="E213" s="256">
        <v>88</v>
      </c>
      <c r="F213" s="256">
        <v>750</v>
      </c>
      <c r="G213" s="256">
        <v>4.4000000000000004</v>
      </c>
      <c r="H213" s="256">
        <v>2.1</v>
      </c>
      <c r="I213" s="256">
        <v>0.7</v>
      </c>
    </row>
    <row r="214" spans="1:9" ht="12.75">
      <c r="A214" s="270" t="s">
        <v>8130</v>
      </c>
      <c r="B214" s="256">
        <v>5.7</v>
      </c>
      <c r="C214" s="256">
        <v>8</v>
      </c>
      <c r="D214" s="256">
        <v>4.7</v>
      </c>
      <c r="E214" s="256">
        <v>87</v>
      </c>
      <c r="F214" s="256">
        <v>911</v>
      </c>
      <c r="G214" s="256">
        <v>4.5</v>
      </c>
      <c r="H214" s="256">
        <v>0.7</v>
      </c>
      <c r="I214" s="256">
        <v>0.6</v>
      </c>
    </row>
    <row r="215" spans="1:9" ht="12.75">
      <c r="A215" s="270" t="s">
        <v>8131</v>
      </c>
      <c r="B215" s="256">
        <v>6.1</v>
      </c>
      <c r="C215" s="256">
        <v>8</v>
      </c>
      <c r="D215" s="256">
        <v>3.9</v>
      </c>
      <c r="E215" s="256">
        <v>87</v>
      </c>
      <c r="F215" s="256">
        <v>656</v>
      </c>
      <c r="G215" s="256">
        <v>4.5999999999999996</v>
      </c>
      <c r="H215" s="256">
        <v>4.3</v>
      </c>
      <c r="I215" s="256">
        <v>0.6</v>
      </c>
    </row>
    <row r="216" spans="1:9" ht="12.75">
      <c r="A216" s="270" t="s">
        <v>8132</v>
      </c>
      <c r="B216" s="256">
        <v>5.5</v>
      </c>
      <c r="C216" s="256">
        <v>7.2</v>
      </c>
      <c r="D216" s="256">
        <v>4.8</v>
      </c>
      <c r="E216" s="256">
        <v>83</v>
      </c>
      <c r="F216" s="256">
        <v>1150</v>
      </c>
      <c r="G216" s="256">
        <v>5.5</v>
      </c>
      <c r="H216" s="256">
        <v>2.1</v>
      </c>
      <c r="I216" s="256">
        <v>0.8</v>
      </c>
    </row>
    <row r="217" spans="1:9" ht="12.75">
      <c r="A217" s="270" t="s">
        <v>8133</v>
      </c>
      <c r="B217" s="256">
        <v>4.3</v>
      </c>
      <c r="C217" s="256">
        <v>6.8</v>
      </c>
      <c r="D217" s="256">
        <v>4.2</v>
      </c>
      <c r="E217" s="256">
        <v>81</v>
      </c>
      <c r="F217" s="256">
        <v>1144</v>
      </c>
      <c r="G217" s="256">
        <v>4</v>
      </c>
      <c r="H217" s="256">
        <v>2.4</v>
      </c>
      <c r="I217" s="256">
        <v>0.9</v>
      </c>
    </row>
    <row r="218" spans="1:9" ht="12.75">
      <c r="A218" s="270" t="s">
        <v>8134</v>
      </c>
      <c r="B218" s="256">
        <v>3.9</v>
      </c>
      <c r="C218" s="256">
        <v>5.7</v>
      </c>
      <c r="D218" s="256">
        <v>2.5</v>
      </c>
      <c r="E218" s="256">
        <v>79</v>
      </c>
      <c r="F218" s="256">
        <v>989</v>
      </c>
      <c r="G218" s="256">
        <v>5.0999999999999996</v>
      </c>
      <c r="H218" s="256">
        <v>4.9000000000000004</v>
      </c>
      <c r="I218" s="256">
        <v>1.1000000000000001</v>
      </c>
    </row>
    <row r="219" spans="1:9" ht="12.75">
      <c r="A219" s="270" t="s">
        <v>8135</v>
      </c>
      <c r="B219" s="256">
        <v>2.6</v>
      </c>
      <c r="C219" s="256">
        <v>4.3</v>
      </c>
      <c r="D219" s="256">
        <v>2.1</v>
      </c>
      <c r="E219" s="256">
        <v>70</v>
      </c>
      <c r="F219" s="256">
        <v>1311</v>
      </c>
      <c r="G219" s="256">
        <v>4.9000000000000004</v>
      </c>
      <c r="H219" s="256">
        <v>0</v>
      </c>
      <c r="I219" s="256">
        <v>1</v>
      </c>
    </row>
    <row r="220" spans="1:9" ht="12.75">
      <c r="A220" s="270" t="s">
        <v>8136</v>
      </c>
      <c r="B220" s="256">
        <v>1.3</v>
      </c>
      <c r="C220" s="256">
        <v>4.9000000000000004</v>
      </c>
      <c r="D220" s="256">
        <v>-0.5</v>
      </c>
      <c r="E220" s="256">
        <v>87</v>
      </c>
      <c r="F220" s="256">
        <v>1233</v>
      </c>
      <c r="G220" s="256">
        <v>2.5</v>
      </c>
      <c r="H220" s="256">
        <v>0.2</v>
      </c>
      <c r="I220" s="256">
        <v>0.4</v>
      </c>
    </row>
    <row r="221" spans="1:9" ht="12.75">
      <c r="A221" s="270" t="s">
        <v>8137</v>
      </c>
      <c r="B221" s="256">
        <v>0</v>
      </c>
      <c r="C221" s="256">
        <v>3.6</v>
      </c>
      <c r="D221" s="256">
        <v>-1.9</v>
      </c>
      <c r="E221" s="256">
        <v>84</v>
      </c>
      <c r="F221" s="256">
        <v>1206</v>
      </c>
      <c r="G221" s="256">
        <v>1.6</v>
      </c>
      <c r="H221" s="256">
        <v>0.2</v>
      </c>
      <c r="I221" s="256">
        <v>0.4</v>
      </c>
    </row>
    <row r="222" spans="1:9" ht="12.75">
      <c r="A222" s="270" t="s">
        <v>8138</v>
      </c>
      <c r="B222" s="256">
        <v>-2.2999999999999998</v>
      </c>
      <c r="C222" s="256">
        <v>0.6</v>
      </c>
      <c r="D222" s="256">
        <v>-3.6</v>
      </c>
      <c r="E222" s="256">
        <v>73</v>
      </c>
      <c r="F222" s="256">
        <v>1050</v>
      </c>
      <c r="G222" s="256">
        <v>2.7</v>
      </c>
      <c r="H222" s="256">
        <v>0</v>
      </c>
      <c r="I222" s="256">
        <v>0.6</v>
      </c>
    </row>
    <row r="223" spans="1:9" ht="12.75">
      <c r="A223" s="270" t="s">
        <v>8139</v>
      </c>
      <c r="B223" s="256">
        <v>-3.5</v>
      </c>
      <c r="C223" s="256">
        <v>0.4</v>
      </c>
      <c r="D223" s="256">
        <v>-5.7</v>
      </c>
      <c r="E223" s="256">
        <v>79</v>
      </c>
      <c r="F223" s="256">
        <v>1544</v>
      </c>
      <c r="G223" s="256">
        <v>1.3</v>
      </c>
      <c r="H223" s="256">
        <v>0</v>
      </c>
      <c r="I223" s="256">
        <v>0.2</v>
      </c>
    </row>
    <row r="224" spans="1:9" ht="12.75">
      <c r="A224" s="270" t="s">
        <v>8140</v>
      </c>
      <c r="B224" s="256">
        <v>-3.2</v>
      </c>
      <c r="C224" s="256">
        <v>1</v>
      </c>
      <c r="D224" s="256">
        <v>-5.3</v>
      </c>
      <c r="E224" s="256">
        <v>84</v>
      </c>
      <c r="F224" s="256">
        <v>1614</v>
      </c>
      <c r="G224" s="256">
        <v>1.2</v>
      </c>
      <c r="H224" s="256">
        <v>0</v>
      </c>
      <c r="I224" s="256">
        <v>0.2</v>
      </c>
    </row>
    <row r="225" spans="1:9" ht="12.75">
      <c r="A225" s="270" t="s">
        <v>8141</v>
      </c>
      <c r="B225" s="256">
        <v>-2</v>
      </c>
      <c r="C225" s="256">
        <v>2.8</v>
      </c>
      <c r="D225" s="256">
        <v>-5.9</v>
      </c>
      <c r="E225" s="256">
        <v>85</v>
      </c>
      <c r="F225" s="256">
        <v>1586</v>
      </c>
      <c r="G225" s="256">
        <v>2.1</v>
      </c>
      <c r="H225" s="256">
        <v>0</v>
      </c>
      <c r="I225" s="256">
        <v>0.3</v>
      </c>
    </row>
    <row r="226" spans="1:9" ht="12.75">
      <c r="A226" s="270" t="s">
        <v>8142</v>
      </c>
      <c r="B226" s="256">
        <v>2.2999999999999998</v>
      </c>
      <c r="C226" s="256">
        <v>4.4000000000000004</v>
      </c>
      <c r="D226" s="256">
        <v>-2.8</v>
      </c>
      <c r="E226" s="256">
        <v>88</v>
      </c>
      <c r="F226" s="256">
        <v>456</v>
      </c>
      <c r="G226" s="256">
        <v>3</v>
      </c>
      <c r="H226" s="256">
        <v>3.4</v>
      </c>
      <c r="I226" s="256">
        <v>0.5</v>
      </c>
    </row>
    <row r="227" spans="1:9" ht="12.75">
      <c r="A227" s="270" t="s">
        <v>8143</v>
      </c>
      <c r="B227" s="256">
        <v>4.2</v>
      </c>
      <c r="C227" s="256">
        <v>7.3</v>
      </c>
      <c r="D227" s="256">
        <v>3.8</v>
      </c>
      <c r="E227" s="256">
        <v>98</v>
      </c>
      <c r="F227" s="256">
        <v>900</v>
      </c>
      <c r="G227" s="256">
        <v>2.8</v>
      </c>
      <c r="H227" s="256">
        <v>0</v>
      </c>
      <c r="I227" s="256">
        <v>0.2</v>
      </c>
    </row>
    <row r="228" spans="1:9" ht="12.75">
      <c r="A228" s="270" t="s">
        <v>8144</v>
      </c>
      <c r="B228" s="256">
        <v>7.7</v>
      </c>
      <c r="C228" s="256">
        <v>10.6</v>
      </c>
      <c r="D228" s="256">
        <v>3</v>
      </c>
      <c r="E228" s="256">
        <v>94</v>
      </c>
      <c r="F228" s="256">
        <v>583</v>
      </c>
      <c r="G228" s="256">
        <v>2.8</v>
      </c>
      <c r="H228" s="256">
        <v>1.7</v>
      </c>
      <c r="I228" s="256">
        <v>0.4</v>
      </c>
    </row>
    <row r="229" spans="1:9" ht="12.75">
      <c r="A229" s="270" t="s">
        <v>8145</v>
      </c>
      <c r="B229" s="256">
        <v>8.1</v>
      </c>
      <c r="C229" s="256">
        <v>11.5</v>
      </c>
      <c r="D229" s="256">
        <v>4.5999999999999996</v>
      </c>
      <c r="E229" s="256">
        <v>85</v>
      </c>
      <c r="F229" s="256">
        <v>1697</v>
      </c>
      <c r="G229" s="256">
        <v>3.1</v>
      </c>
      <c r="H229" s="256">
        <v>0.1</v>
      </c>
      <c r="I229" s="256">
        <v>0.8</v>
      </c>
    </row>
    <row r="230" spans="1:9" ht="12.75">
      <c r="A230" s="270" t="s">
        <v>8146</v>
      </c>
      <c r="B230" s="256">
        <v>9.1</v>
      </c>
      <c r="C230" s="256">
        <v>9.6999999999999993</v>
      </c>
      <c r="D230" s="256">
        <v>8.1</v>
      </c>
      <c r="E230" s="256">
        <v>85</v>
      </c>
      <c r="F230" s="256">
        <v>958</v>
      </c>
      <c r="G230" s="256">
        <v>4.3</v>
      </c>
      <c r="H230" s="256">
        <v>0.6</v>
      </c>
      <c r="I230" s="256">
        <v>0.8</v>
      </c>
    </row>
    <row r="231" spans="1:9" ht="12.75">
      <c r="A231" s="270" t="s">
        <v>8147</v>
      </c>
      <c r="B231" s="256">
        <v>10.4</v>
      </c>
      <c r="C231" s="256">
        <v>11.5</v>
      </c>
      <c r="D231" s="256">
        <v>9.1999999999999993</v>
      </c>
      <c r="E231" s="256">
        <v>83</v>
      </c>
      <c r="F231" s="256">
        <v>494</v>
      </c>
      <c r="G231" s="256">
        <v>5.8</v>
      </c>
      <c r="H231" s="256">
        <v>8.4</v>
      </c>
      <c r="I231" s="256">
        <v>0.9</v>
      </c>
    </row>
    <row r="232" spans="1:9" ht="12.75">
      <c r="A232" s="270" t="s">
        <v>8148</v>
      </c>
      <c r="B232" s="256">
        <v>5.7</v>
      </c>
      <c r="C232" s="256">
        <v>8.1</v>
      </c>
      <c r="D232" s="256">
        <v>6.6</v>
      </c>
      <c r="E232" s="256">
        <v>80</v>
      </c>
      <c r="F232" s="256">
        <v>1411</v>
      </c>
      <c r="G232" s="256">
        <v>2.2999999999999998</v>
      </c>
      <c r="H232" s="256">
        <v>0.7</v>
      </c>
      <c r="I232" s="256">
        <v>0.7</v>
      </c>
    </row>
    <row r="233" spans="1:9" ht="12.75">
      <c r="A233" s="270" t="s">
        <v>8149</v>
      </c>
      <c r="B233" s="256">
        <v>7.6</v>
      </c>
      <c r="C233" s="256">
        <v>9.6</v>
      </c>
      <c r="D233" s="256">
        <v>3</v>
      </c>
      <c r="E233" s="256">
        <v>78</v>
      </c>
      <c r="F233" s="256">
        <v>1247</v>
      </c>
      <c r="G233" s="256">
        <v>5.2</v>
      </c>
      <c r="H233" s="256">
        <v>0</v>
      </c>
      <c r="I233" s="256">
        <v>1.2</v>
      </c>
    </row>
    <row r="234" spans="1:9" ht="12.75">
      <c r="A234" s="270" t="s">
        <v>8150</v>
      </c>
      <c r="B234" s="256">
        <v>6.7</v>
      </c>
      <c r="C234" s="256">
        <v>8.9</v>
      </c>
      <c r="D234" s="256">
        <v>8.4</v>
      </c>
      <c r="E234" s="256">
        <v>87</v>
      </c>
      <c r="F234" s="256">
        <v>183</v>
      </c>
      <c r="G234" s="256">
        <v>5.4</v>
      </c>
      <c r="H234" s="256">
        <v>15.5</v>
      </c>
      <c r="I234" s="256">
        <v>0.6</v>
      </c>
    </row>
    <row r="235" spans="1:9" ht="12.75">
      <c r="A235" s="270" t="s">
        <v>8151</v>
      </c>
      <c r="B235" s="256">
        <v>8.5</v>
      </c>
      <c r="C235" s="256">
        <v>11.9</v>
      </c>
      <c r="D235" s="256">
        <v>3.8</v>
      </c>
      <c r="E235" s="256">
        <v>92</v>
      </c>
      <c r="F235" s="256">
        <v>442</v>
      </c>
      <c r="G235" s="256">
        <v>4.4000000000000004</v>
      </c>
      <c r="H235" s="256">
        <v>0.9</v>
      </c>
      <c r="I235" s="256">
        <v>0.5</v>
      </c>
    </row>
    <row r="236" spans="1:9" ht="12.75">
      <c r="A236" s="270" t="s">
        <v>8152</v>
      </c>
      <c r="B236" s="256">
        <v>11.1</v>
      </c>
      <c r="C236" s="256">
        <v>12</v>
      </c>
      <c r="D236" s="256">
        <v>10.199999999999999</v>
      </c>
      <c r="E236" s="256">
        <v>78</v>
      </c>
      <c r="F236" s="256">
        <v>692</v>
      </c>
      <c r="G236" s="256">
        <v>5.4</v>
      </c>
      <c r="H236" s="256">
        <v>0.1</v>
      </c>
      <c r="I236" s="256">
        <v>1.4</v>
      </c>
    </row>
    <row r="237" spans="1:9" ht="12.75">
      <c r="A237" s="270" t="s">
        <v>8153</v>
      </c>
      <c r="B237" s="256">
        <v>8.5</v>
      </c>
      <c r="C237" s="256">
        <v>10.6</v>
      </c>
      <c r="D237" s="256">
        <v>10.5</v>
      </c>
      <c r="E237" s="256">
        <v>87</v>
      </c>
      <c r="F237" s="256">
        <v>306</v>
      </c>
      <c r="G237" s="256">
        <v>4.0999999999999996</v>
      </c>
      <c r="H237" s="256">
        <v>11.9</v>
      </c>
      <c r="I237" s="256">
        <v>0.6</v>
      </c>
    </row>
    <row r="238" spans="1:9" ht="12.75">
      <c r="A238" s="270" t="s">
        <v>8154</v>
      </c>
      <c r="B238" s="256">
        <v>4.9000000000000004</v>
      </c>
      <c r="C238" s="256">
        <v>7</v>
      </c>
      <c r="D238" s="256">
        <v>4.4000000000000004</v>
      </c>
      <c r="E238" s="256">
        <v>79</v>
      </c>
      <c r="F238" s="256">
        <v>1717</v>
      </c>
      <c r="G238" s="256">
        <v>3.8</v>
      </c>
      <c r="H238" s="256">
        <v>2.4</v>
      </c>
      <c r="I238" s="256">
        <v>1.2</v>
      </c>
    </row>
    <row r="239" spans="1:9" ht="12.75">
      <c r="A239" s="270" t="s">
        <v>8155</v>
      </c>
      <c r="B239" s="256">
        <v>7.3</v>
      </c>
      <c r="C239" s="256">
        <v>11.4</v>
      </c>
      <c r="D239" s="256">
        <v>2.7</v>
      </c>
      <c r="E239" s="256">
        <v>89</v>
      </c>
      <c r="F239" s="256">
        <v>778</v>
      </c>
      <c r="G239" s="256">
        <v>4.0999999999999996</v>
      </c>
      <c r="H239" s="256">
        <v>1.2</v>
      </c>
      <c r="I239" s="256">
        <v>0.8</v>
      </c>
    </row>
    <row r="240" spans="1:9" ht="12.75">
      <c r="A240" s="270" t="s">
        <v>8156</v>
      </c>
      <c r="B240" s="256">
        <v>9.3000000000000007</v>
      </c>
      <c r="C240" s="256">
        <v>10.7</v>
      </c>
      <c r="D240" s="256">
        <v>8.6</v>
      </c>
      <c r="E240" s="256">
        <v>90</v>
      </c>
      <c r="F240" s="256">
        <v>633</v>
      </c>
      <c r="G240" s="256">
        <v>3.4</v>
      </c>
      <c r="H240" s="256">
        <v>0.3</v>
      </c>
      <c r="I240" s="256">
        <v>0.6</v>
      </c>
    </row>
    <row r="241" spans="1:9" ht="12.75">
      <c r="A241" s="270" t="s">
        <v>8157</v>
      </c>
      <c r="B241" s="256">
        <v>10.199999999999999</v>
      </c>
      <c r="C241" s="256">
        <v>12.5</v>
      </c>
      <c r="D241" s="256">
        <v>7.2</v>
      </c>
      <c r="E241" s="256">
        <v>71</v>
      </c>
      <c r="F241" s="256">
        <v>1181</v>
      </c>
      <c r="G241" s="256">
        <v>6</v>
      </c>
      <c r="H241" s="256">
        <v>0.1</v>
      </c>
      <c r="I241" s="256">
        <v>1.9</v>
      </c>
    </row>
    <row r="242" spans="1:9" ht="12.75">
      <c r="A242" s="270" t="s">
        <v>8158</v>
      </c>
      <c r="B242" s="256">
        <v>7.4</v>
      </c>
      <c r="C242" s="256">
        <v>9</v>
      </c>
      <c r="D242" s="256">
        <v>6.7</v>
      </c>
      <c r="E242" s="256">
        <v>73</v>
      </c>
      <c r="F242" s="256">
        <v>1792</v>
      </c>
      <c r="G242" s="256">
        <v>5.5</v>
      </c>
      <c r="H242" s="256">
        <v>4.7</v>
      </c>
      <c r="I242" s="256">
        <v>1.5</v>
      </c>
    </row>
    <row r="243" spans="1:9" ht="12.75">
      <c r="A243" s="270" t="s">
        <v>8159</v>
      </c>
      <c r="B243" s="256">
        <v>7.9</v>
      </c>
      <c r="C243" s="256">
        <v>9.1999999999999993</v>
      </c>
      <c r="D243" s="256">
        <v>7.1</v>
      </c>
      <c r="E243" s="256">
        <v>76</v>
      </c>
      <c r="F243" s="256">
        <v>1572</v>
      </c>
      <c r="G243" s="256">
        <v>7.4</v>
      </c>
      <c r="H243" s="256">
        <v>9.8000000000000007</v>
      </c>
      <c r="I243" s="256">
        <v>1.5</v>
      </c>
    </row>
    <row r="244" spans="1:9" ht="12.75">
      <c r="A244" s="270" t="s">
        <v>8160</v>
      </c>
      <c r="B244" s="256">
        <v>5</v>
      </c>
      <c r="C244" s="256">
        <v>9.8000000000000007</v>
      </c>
      <c r="D244" s="256">
        <v>5.4</v>
      </c>
      <c r="E244" s="256">
        <v>87</v>
      </c>
      <c r="F244" s="256">
        <v>700</v>
      </c>
      <c r="G244" s="256">
        <v>5</v>
      </c>
      <c r="H244" s="256">
        <v>7.8</v>
      </c>
      <c r="I244" s="256">
        <v>0.9</v>
      </c>
    </row>
    <row r="245" spans="1:9" ht="12.75">
      <c r="A245" s="270" t="s">
        <v>8161</v>
      </c>
      <c r="B245" s="256">
        <v>4</v>
      </c>
      <c r="C245" s="256">
        <v>6.5</v>
      </c>
      <c r="D245" s="256">
        <v>2.2999999999999998</v>
      </c>
      <c r="E245" s="256">
        <v>88</v>
      </c>
      <c r="F245" s="256">
        <v>1289</v>
      </c>
      <c r="G245" s="256">
        <v>4.3</v>
      </c>
      <c r="H245" s="256">
        <v>4.5</v>
      </c>
      <c r="I245" s="256">
        <v>0.7</v>
      </c>
    </row>
    <row r="246" spans="1:9" ht="12.75">
      <c r="A246" s="270" t="s">
        <v>8162</v>
      </c>
      <c r="B246" s="256">
        <v>3.7</v>
      </c>
      <c r="C246" s="256">
        <v>7.2</v>
      </c>
      <c r="D246" s="256">
        <v>2.1</v>
      </c>
      <c r="E246" s="256">
        <v>88</v>
      </c>
      <c r="F246" s="256">
        <v>1492</v>
      </c>
      <c r="G246" s="256">
        <v>2.5</v>
      </c>
      <c r="H246" s="256">
        <v>2.1</v>
      </c>
      <c r="I246" s="256">
        <v>0.7</v>
      </c>
    </row>
    <row r="247" spans="1:9" ht="12.75">
      <c r="A247" s="270" t="s">
        <v>8163</v>
      </c>
      <c r="B247" s="256">
        <v>2.7</v>
      </c>
      <c r="C247" s="256">
        <v>4</v>
      </c>
      <c r="D247" s="256">
        <v>0.3</v>
      </c>
      <c r="E247" s="256">
        <v>90</v>
      </c>
      <c r="F247" s="256">
        <v>881</v>
      </c>
      <c r="G247" s="256">
        <v>3.1</v>
      </c>
      <c r="H247" s="256">
        <v>1.9</v>
      </c>
      <c r="I247" s="256">
        <v>0.6</v>
      </c>
    </row>
    <row r="248" spans="1:9" ht="12.75">
      <c r="A248" s="270" t="s">
        <v>8164</v>
      </c>
      <c r="B248" s="256">
        <v>4.5999999999999996</v>
      </c>
      <c r="C248" s="256">
        <v>9</v>
      </c>
      <c r="D248" s="256">
        <v>3.1</v>
      </c>
      <c r="E248" s="256">
        <v>94</v>
      </c>
      <c r="F248" s="256">
        <v>586</v>
      </c>
      <c r="G248" s="256">
        <v>2.5</v>
      </c>
      <c r="H248" s="256">
        <v>7.1</v>
      </c>
      <c r="I248" s="256">
        <v>0.4</v>
      </c>
    </row>
    <row r="249" spans="1:9" ht="12.75">
      <c r="A249" s="270" t="s">
        <v>8165</v>
      </c>
      <c r="B249" s="256">
        <v>3.9</v>
      </c>
      <c r="C249" s="256">
        <v>6.4</v>
      </c>
      <c r="D249" s="256">
        <v>3.1</v>
      </c>
      <c r="E249" s="256">
        <v>88</v>
      </c>
      <c r="F249" s="256">
        <v>1333</v>
      </c>
      <c r="G249" s="256">
        <v>2.8</v>
      </c>
      <c r="H249" s="256">
        <v>1.6</v>
      </c>
      <c r="I249" s="256">
        <v>0.7</v>
      </c>
    </row>
    <row r="250" spans="1:9" ht="12.75">
      <c r="A250" s="270" t="s">
        <v>8166</v>
      </c>
      <c r="B250" s="256">
        <v>2.6</v>
      </c>
      <c r="C250" s="256">
        <v>5.8</v>
      </c>
      <c r="D250" s="256">
        <v>1.5</v>
      </c>
      <c r="E250" s="256">
        <v>78</v>
      </c>
      <c r="F250" s="256">
        <v>2219</v>
      </c>
      <c r="G250" s="256">
        <v>3.8</v>
      </c>
      <c r="H250" s="256">
        <v>0.6</v>
      </c>
      <c r="I250" s="256">
        <v>1.1000000000000001</v>
      </c>
    </row>
    <row r="251" spans="1:9" ht="12.75">
      <c r="A251" s="270" t="s">
        <v>8167</v>
      </c>
      <c r="B251" s="256">
        <v>-0.3</v>
      </c>
      <c r="C251" s="256">
        <v>5</v>
      </c>
      <c r="D251" s="256">
        <v>-2.7</v>
      </c>
      <c r="E251" s="256">
        <v>77</v>
      </c>
      <c r="F251" s="256">
        <v>2831</v>
      </c>
      <c r="G251" s="256">
        <v>1.7</v>
      </c>
      <c r="H251" s="256">
        <v>0</v>
      </c>
      <c r="I251" s="256">
        <v>0.8</v>
      </c>
    </row>
    <row r="252" spans="1:9" ht="12.75">
      <c r="A252" s="270" t="s">
        <v>8168</v>
      </c>
      <c r="B252" s="256">
        <v>-0.5</v>
      </c>
      <c r="C252" s="256">
        <v>4.5</v>
      </c>
      <c r="D252" s="256">
        <v>-5.5</v>
      </c>
      <c r="E252" s="256">
        <v>80</v>
      </c>
      <c r="F252" s="256">
        <v>2861</v>
      </c>
      <c r="G252" s="256">
        <v>1.7</v>
      </c>
      <c r="H252" s="256">
        <v>0</v>
      </c>
      <c r="I252" s="256">
        <v>0.7</v>
      </c>
    </row>
    <row r="253" spans="1:9" ht="12.75">
      <c r="A253" s="270" t="s">
        <v>8169</v>
      </c>
      <c r="B253" s="256">
        <v>1.6</v>
      </c>
      <c r="C253" s="256">
        <v>4.3</v>
      </c>
      <c r="D253" s="256">
        <v>-1</v>
      </c>
      <c r="E253" s="256">
        <v>83</v>
      </c>
      <c r="F253" s="256">
        <v>1250</v>
      </c>
      <c r="G253" s="256">
        <v>3.1</v>
      </c>
      <c r="H253" s="256">
        <v>1.7</v>
      </c>
      <c r="I253" s="256">
        <v>0.8</v>
      </c>
    </row>
    <row r="254" spans="1:9" ht="12.75">
      <c r="A254" s="270" t="s">
        <v>8170</v>
      </c>
      <c r="B254" s="256">
        <v>3.8</v>
      </c>
      <c r="C254" s="256">
        <v>7.6</v>
      </c>
      <c r="D254" s="256">
        <v>-0.6</v>
      </c>
      <c r="E254" s="256">
        <v>80</v>
      </c>
      <c r="F254" s="256">
        <v>2183</v>
      </c>
      <c r="G254" s="256">
        <v>3.4</v>
      </c>
      <c r="H254" s="256">
        <v>1.3</v>
      </c>
      <c r="I254" s="256">
        <v>1.1000000000000001</v>
      </c>
    </row>
    <row r="255" spans="1:9" ht="12.75">
      <c r="A255" s="270" t="s">
        <v>8171</v>
      </c>
      <c r="B255" s="256">
        <v>9.8000000000000007</v>
      </c>
      <c r="C255" s="256">
        <v>11.4</v>
      </c>
      <c r="D255" s="256">
        <v>4.4000000000000004</v>
      </c>
      <c r="E255" s="256">
        <v>87</v>
      </c>
      <c r="F255" s="256">
        <v>781</v>
      </c>
      <c r="G255" s="256">
        <v>5.8</v>
      </c>
      <c r="H255" s="256">
        <v>6.9</v>
      </c>
      <c r="I255" s="256">
        <v>1</v>
      </c>
    </row>
    <row r="256" spans="1:9" ht="12.75">
      <c r="A256" s="270" t="s">
        <v>8172</v>
      </c>
      <c r="B256" s="256">
        <v>10.8</v>
      </c>
      <c r="C256" s="256">
        <v>11.9</v>
      </c>
      <c r="D256" s="256">
        <v>10.199999999999999</v>
      </c>
      <c r="E256" s="256">
        <v>84</v>
      </c>
      <c r="F256" s="256">
        <v>711</v>
      </c>
      <c r="G256" s="256">
        <v>4.9000000000000004</v>
      </c>
      <c r="H256" s="256">
        <v>0.4</v>
      </c>
      <c r="I256" s="256">
        <v>1</v>
      </c>
    </row>
    <row r="257" spans="1:9" ht="12.75">
      <c r="A257" s="270" t="s">
        <v>8173</v>
      </c>
      <c r="B257" s="256">
        <v>8.5</v>
      </c>
      <c r="C257" s="256">
        <v>10.3</v>
      </c>
      <c r="D257" s="256">
        <v>8.8000000000000007</v>
      </c>
      <c r="E257" s="256">
        <v>86</v>
      </c>
      <c r="F257" s="256">
        <v>325</v>
      </c>
      <c r="G257" s="256">
        <v>4.0999999999999996</v>
      </c>
      <c r="H257" s="256">
        <v>7.6</v>
      </c>
      <c r="I257" s="256">
        <v>0.6</v>
      </c>
    </row>
    <row r="258" spans="1:9" ht="12.75">
      <c r="A258" s="270" t="s">
        <v>8174</v>
      </c>
      <c r="B258" s="256">
        <v>4.8</v>
      </c>
      <c r="C258" s="256">
        <v>8.5</v>
      </c>
      <c r="D258" s="256">
        <v>4.0999999999999996</v>
      </c>
      <c r="E258" s="256">
        <v>81</v>
      </c>
      <c r="F258" s="256">
        <v>2725</v>
      </c>
      <c r="G258" s="256">
        <v>2.4</v>
      </c>
      <c r="H258" s="256">
        <v>2.9</v>
      </c>
      <c r="I258" s="256">
        <v>1.2</v>
      </c>
    </row>
    <row r="259" spans="1:9" ht="12.75">
      <c r="A259" s="270" t="s">
        <v>8175</v>
      </c>
      <c r="B259" s="256">
        <v>2.2999999999999998</v>
      </c>
      <c r="C259" s="256">
        <v>6.9</v>
      </c>
      <c r="D259" s="256">
        <v>-2.1</v>
      </c>
      <c r="E259" s="256">
        <v>86</v>
      </c>
      <c r="F259" s="256">
        <v>2083</v>
      </c>
      <c r="G259" s="256">
        <v>1.5</v>
      </c>
      <c r="H259" s="256">
        <v>0.4</v>
      </c>
      <c r="I259" s="256">
        <v>0.8</v>
      </c>
    </row>
    <row r="260" spans="1:9" ht="12.75">
      <c r="A260" s="270" t="s">
        <v>8176</v>
      </c>
      <c r="B260" s="256">
        <v>1</v>
      </c>
      <c r="C260" s="256">
        <v>6.4</v>
      </c>
      <c r="D260" s="256">
        <v>-2.9</v>
      </c>
      <c r="E260" s="256">
        <v>77</v>
      </c>
      <c r="F260" s="256">
        <v>2928</v>
      </c>
      <c r="G260" s="256">
        <v>1.5</v>
      </c>
      <c r="H260" s="256">
        <v>0</v>
      </c>
      <c r="I260" s="256">
        <v>1</v>
      </c>
    </row>
    <row r="261" spans="1:9" ht="12.75">
      <c r="A261" s="270" t="s">
        <v>8177</v>
      </c>
      <c r="B261" s="256">
        <v>2.1</v>
      </c>
      <c r="C261" s="256">
        <v>5.8</v>
      </c>
      <c r="D261" s="256">
        <v>-2</v>
      </c>
      <c r="E261" s="256">
        <v>69</v>
      </c>
      <c r="F261" s="256">
        <v>1631</v>
      </c>
      <c r="G261" s="256">
        <v>2.2000000000000002</v>
      </c>
      <c r="H261" s="256">
        <v>0.3</v>
      </c>
      <c r="I261" s="256">
        <v>1.1000000000000001</v>
      </c>
    </row>
    <row r="262" spans="1:9" ht="12.75">
      <c r="A262" s="270" t="s">
        <v>8178</v>
      </c>
      <c r="B262" s="256">
        <v>2.5</v>
      </c>
      <c r="C262" s="256">
        <v>6.5</v>
      </c>
      <c r="D262" s="256">
        <v>-0.4</v>
      </c>
      <c r="E262" s="256">
        <v>65</v>
      </c>
      <c r="F262" s="256">
        <v>2889</v>
      </c>
      <c r="G262" s="256">
        <v>3.9</v>
      </c>
      <c r="H262" s="256">
        <v>0</v>
      </c>
      <c r="I262" s="256">
        <v>1.6</v>
      </c>
    </row>
    <row r="263" spans="1:9" ht="12.75">
      <c r="A263" s="270" t="s">
        <v>8179</v>
      </c>
      <c r="B263" s="256">
        <v>2.4</v>
      </c>
      <c r="C263" s="256">
        <v>6.6</v>
      </c>
      <c r="D263" s="256">
        <v>-1</v>
      </c>
      <c r="E263" s="256">
        <v>64</v>
      </c>
      <c r="F263" s="256">
        <v>3497</v>
      </c>
      <c r="G263" s="256">
        <v>5.3</v>
      </c>
      <c r="H263" s="256">
        <v>0</v>
      </c>
      <c r="I263" s="256">
        <v>1.8</v>
      </c>
    </row>
    <row r="264" spans="1:9" ht="12.75">
      <c r="A264" s="270" t="s">
        <v>8180</v>
      </c>
      <c r="B264" s="256">
        <v>1.6</v>
      </c>
      <c r="C264" s="256">
        <v>6.4</v>
      </c>
      <c r="D264" s="256">
        <v>-0.7</v>
      </c>
      <c r="E264" s="256">
        <v>74</v>
      </c>
      <c r="F264" s="256">
        <v>3447</v>
      </c>
      <c r="G264" s="256">
        <v>3.7</v>
      </c>
      <c r="H264" s="256">
        <v>0</v>
      </c>
      <c r="I264" s="256">
        <v>1.4</v>
      </c>
    </row>
    <row r="265" spans="1:9" ht="12.75">
      <c r="A265" s="270" t="s">
        <v>8181</v>
      </c>
      <c r="B265" s="256">
        <v>4.2</v>
      </c>
      <c r="C265" s="256">
        <v>8.1999999999999993</v>
      </c>
      <c r="D265" s="256">
        <v>-3.5</v>
      </c>
      <c r="E265" s="256">
        <v>90</v>
      </c>
      <c r="F265" s="256">
        <v>592</v>
      </c>
      <c r="G265" s="256">
        <v>4</v>
      </c>
      <c r="H265" s="256">
        <v>4</v>
      </c>
      <c r="I265" s="256">
        <v>0.6</v>
      </c>
    </row>
    <row r="266" spans="1:9" ht="12.75">
      <c r="A266" s="270" t="s">
        <v>8182</v>
      </c>
      <c r="B266" s="256">
        <v>5.3</v>
      </c>
      <c r="C266" s="256">
        <v>8.6</v>
      </c>
      <c r="D266" s="256">
        <v>6.2</v>
      </c>
      <c r="E266" s="256">
        <v>76</v>
      </c>
      <c r="F266" s="256">
        <v>2522</v>
      </c>
      <c r="G266" s="256">
        <v>5.5</v>
      </c>
      <c r="H266" s="256">
        <v>4.8</v>
      </c>
      <c r="I266" s="256">
        <v>1.9</v>
      </c>
    </row>
    <row r="267" spans="1:9" ht="12.75">
      <c r="A267" s="270" t="s">
        <v>8183</v>
      </c>
      <c r="B267" s="256">
        <v>4.3</v>
      </c>
      <c r="C267" s="256">
        <v>7.5</v>
      </c>
      <c r="D267" s="256">
        <v>1.4</v>
      </c>
      <c r="E267" s="256">
        <v>80</v>
      </c>
      <c r="F267" s="256">
        <v>2731</v>
      </c>
      <c r="G267" s="256">
        <v>4.3</v>
      </c>
      <c r="H267" s="256">
        <v>3.3</v>
      </c>
      <c r="I267" s="256">
        <v>1.3</v>
      </c>
    </row>
    <row r="268" spans="1:9" ht="12.75">
      <c r="A268" s="270" t="s">
        <v>8184</v>
      </c>
      <c r="B268" s="256">
        <v>4.8</v>
      </c>
      <c r="C268" s="256">
        <v>8.4</v>
      </c>
      <c r="D268" s="256">
        <v>1.3</v>
      </c>
      <c r="E268" s="256">
        <v>83</v>
      </c>
      <c r="F268" s="256">
        <v>2433</v>
      </c>
      <c r="G268" s="256">
        <v>2.7</v>
      </c>
      <c r="H268" s="256">
        <v>14.6</v>
      </c>
      <c r="I268" s="256">
        <v>1.3</v>
      </c>
    </row>
    <row r="269" spans="1:9" ht="12.75">
      <c r="A269" s="270" t="s">
        <v>8185</v>
      </c>
      <c r="B269" s="256">
        <v>2.4</v>
      </c>
      <c r="C269" s="256">
        <v>6.1</v>
      </c>
      <c r="D269" s="256">
        <v>0.9</v>
      </c>
      <c r="E269" s="256">
        <v>86</v>
      </c>
      <c r="F269" s="256">
        <v>2186</v>
      </c>
      <c r="G269" s="256">
        <v>2.2999999999999998</v>
      </c>
      <c r="H269" s="256">
        <v>16</v>
      </c>
      <c r="I269" s="256">
        <v>1</v>
      </c>
    </row>
    <row r="270" spans="1:9" ht="12.75">
      <c r="A270" s="270" t="s">
        <v>8186</v>
      </c>
      <c r="B270" s="256">
        <v>2.8</v>
      </c>
      <c r="C270" s="256">
        <v>6.4</v>
      </c>
      <c r="D270" s="256">
        <v>1.9</v>
      </c>
      <c r="E270" s="256">
        <v>79</v>
      </c>
      <c r="F270" s="256">
        <v>3139</v>
      </c>
      <c r="G270" s="256">
        <v>3.4</v>
      </c>
      <c r="H270" s="256">
        <v>0.7</v>
      </c>
      <c r="I270" s="256">
        <v>1.3</v>
      </c>
    </row>
    <row r="271" spans="1:9" ht="12.75">
      <c r="A271" s="270" t="s">
        <v>8187</v>
      </c>
      <c r="B271" s="256">
        <v>1.7</v>
      </c>
      <c r="C271" s="256">
        <v>5.8</v>
      </c>
      <c r="D271" s="256">
        <v>-2.2000000000000002</v>
      </c>
      <c r="E271" s="256">
        <v>84</v>
      </c>
      <c r="F271" s="256">
        <v>2897</v>
      </c>
      <c r="G271" s="256">
        <v>2.8</v>
      </c>
      <c r="H271" s="256">
        <v>1.7</v>
      </c>
      <c r="I271" s="256">
        <v>1.1000000000000001</v>
      </c>
    </row>
    <row r="272" spans="1:9" ht="12.75">
      <c r="A272" s="270" t="s">
        <v>8188</v>
      </c>
      <c r="B272" s="256">
        <v>3.5</v>
      </c>
      <c r="C272" s="256">
        <v>7.5</v>
      </c>
      <c r="D272" s="256">
        <v>-1.7</v>
      </c>
      <c r="E272" s="256">
        <v>75</v>
      </c>
      <c r="F272" s="256">
        <v>3047</v>
      </c>
      <c r="G272" s="256">
        <v>2.2000000000000002</v>
      </c>
      <c r="H272" s="256">
        <v>0.2</v>
      </c>
      <c r="I272" s="256">
        <v>1.3</v>
      </c>
    </row>
    <row r="273" spans="1:9" ht="12.75">
      <c r="A273" s="270" t="s">
        <v>8189</v>
      </c>
      <c r="B273" s="256">
        <v>4.4000000000000004</v>
      </c>
      <c r="C273" s="256">
        <v>5.7</v>
      </c>
      <c r="D273" s="256">
        <v>3.3</v>
      </c>
      <c r="E273" s="256">
        <v>85</v>
      </c>
      <c r="F273" s="256">
        <v>819</v>
      </c>
      <c r="G273" s="256">
        <v>5.2</v>
      </c>
      <c r="H273" s="256">
        <v>5.6</v>
      </c>
      <c r="I273" s="256">
        <v>0.8</v>
      </c>
    </row>
    <row r="274" spans="1:9" ht="12.75">
      <c r="A274" s="270" t="s">
        <v>8190</v>
      </c>
      <c r="B274" s="256">
        <v>5.2</v>
      </c>
      <c r="C274" s="256">
        <v>9.1</v>
      </c>
      <c r="D274" s="256">
        <v>1.9</v>
      </c>
      <c r="E274" s="256">
        <v>81</v>
      </c>
      <c r="F274" s="256">
        <v>2142</v>
      </c>
      <c r="G274" s="256">
        <v>1.4</v>
      </c>
      <c r="H274" s="256">
        <v>0.2</v>
      </c>
      <c r="I274" s="256">
        <v>1.1000000000000001</v>
      </c>
    </row>
    <row r="275" spans="1:9" ht="12.75">
      <c r="A275" s="270" t="s">
        <v>8191</v>
      </c>
      <c r="B275" s="256">
        <v>5.2</v>
      </c>
      <c r="C275" s="256">
        <v>10.7</v>
      </c>
      <c r="D275" s="256">
        <v>-0.6</v>
      </c>
      <c r="E275" s="256">
        <v>75</v>
      </c>
      <c r="F275" s="256">
        <v>3972</v>
      </c>
      <c r="G275" s="256">
        <v>1.9</v>
      </c>
      <c r="H275" s="256">
        <v>0</v>
      </c>
      <c r="I275" s="256">
        <v>1.5</v>
      </c>
    </row>
    <row r="276" spans="1:9" ht="12.75">
      <c r="A276" s="270" t="s">
        <v>8192</v>
      </c>
      <c r="B276" s="256">
        <v>5.6</v>
      </c>
      <c r="C276" s="256">
        <v>11.3</v>
      </c>
      <c r="D276" s="256">
        <v>1.8</v>
      </c>
      <c r="E276" s="256">
        <v>76</v>
      </c>
      <c r="F276" s="256">
        <v>3928</v>
      </c>
      <c r="G276" s="256">
        <v>1.9</v>
      </c>
      <c r="H276" s="256">
        <v>0</v>
      </c>
      <c r="I276" s="256">
        <v>1.7</v>
      </c>
    </row>
    <row r="277" spans="1:9" ht="12.75">
      <c r="A277" s="270" t="s">
        <v>8193</v>
      </c>
      <c r="B277" s="256">
        <v>4.7</v>
      </c>
      <c r="C277" s="256">
        <v>9.9</v>
      </c>
      <c r="D277" s="256">
        <v>0.2</v>
      </c>
      <c r="E277" s="256">
        <v>76</v>
      </c>
      <c r="F277" s="256">
        <v>4247</v>
      </c>
      <c r="G277" s="256">
        <v>3.6</v>
      </c>
      <c r="H277" s="256">
        <v>0</v>
      </c>
      <c r="I277" s="256">
        <v>1.8</v>
      </c>
    </row>
    <row r="278" spans="1:9" ht="12.75">
      <c r="A278" s="270" t="s">
        <v>8194</v>
      </c>
      <c r="B278" s="256">
        <v>4.0999999999999996</v>
      </c>
      <c r="C278" s="256">
        <v>9.3000000000000007</v>
      </c>
      <c r="D278" s="256">
        <v>-0.3</v>
      </c>
      <c r="E278" s="256">
        <v>72</v>
      </c>
      <c r="F278" s="256">
        <v>4408</v>
      </c>
      <c r="G278" s="256">
        <v>3.4</v>
      </c>
      <c r="H278" s="256">
        <v>0</v>
      </c>
      <c r="I278" s="256">
        <v>1.8</v>
      </c>
    </row>
    <row r="279" spans="1:9" ht="12.75">
      <c r="A279" s="270" t="s">
        <v>8195</v>
      </c>
      <c r="B279" s="256">
        <v>5.4</v>
      </c>
      <c r="C279" s="256">
        <v>10.9</v>
      </c>
      <c r="D279" s="256">
        <v>-1.3</v>
      </c>
      <c r="E279" s="256">
        <v>74</v>
      </c>
      <c r="F279" s="256">
        <v>4300</v>
      </c>
      <c r="G279" s="256">
        <v>3</v>
      </c>
      <c r="H279" s="256">
        <v>0</v>
      </c>
      <c r="I279" s="256">
        <v>1.9</v>
      </c>
    </row>
    <row r="280" spans="1:9" ht="12.75">
      <c r="A280" s="270" t="s">
        <v>8196</v>
      </c>
      <c r="B280" s="256">
        <v>4.4000000000000004</v>
      </c>
      <c r="C280" s="256">
        <v>7.6</v>
      </c>
      <c r="D280" s="256">
        <v>1.3</v>
      </c>
      <c r="E280" s="256">
        <v>69</v>
      </c>
      <c r="F280" s="256">
        <v>3242</v>
      </c>
      <c r="G280" s="256">
        <v>4.2</v>
      </c>
      <c r="H280" s="256">
        <v>0</v>
      </c>
      <c r="I280" s="256">
        <v>1.7</v>
      </c>
    </row>
    <row r="281" spans="1:9" ht="12.75">
      <c r="A281" s="270" t="s">
        <v>8197</v>
      </c>
      <c r="B281" s="256">
        <v>4.7</v>
      </c>
      <c r="C281" s="256">
        <v>10.8</v>
      </c>
      <c r="D281" s="256">
        <v>-0.2</v>
      </c>
      <c r="E281" s="256">
        <v>74</v>
      </c>
      <c r="F281" s="256">
        <v>4569</v>
      </c>
      <c r="G281" s="256">
        <v>2.5</v>
      </c>
      <c r="H281" s="256">
        <v>0</v>
      </c>
      <c r="I281" s="256">
        <v>1.8</v>
      </c>
    </row>
    <row r="282" spans="1:9" ht="12.75">
      <c r="A282" s="270" t="s">
        <v>8198</v>
      </c>
      <c r="B282" s="256">
        <v>4.8</v>
      </c>
      <c r="C282" s="256">
        <v>9.1999999999999993</v>
      </c>
      <c r="D282" s="256">
        <v>-0.3</v>
      </c>
      <c r="E282" s="256">
        <v>83</v>
      </c>
      <c r="F282" s="256">
        <v>4339</v>
      </c>
      <c r="G282" s="256">
        <v>2.5</v>
      </c>
      <c r="H282" s="256">
        <v>0</v>
      </c>
      <c r="I282" s="256">
        <v>1.5</v>
      </c>
    </row>
    <row r="283" spans="1:9" ht="12.75">
      <c r="A283" s="270" t="s">
        <v>8199</v>
      </c>
      <c r="B283" s="256">
        <v>5.3</v>
      </c>
      <c r="C283" s="256">
        <v>7.5</v>
      </c>
      <c r="D283" s="256">
        <v>3.5</v>
      </c>
      <c r="E283" s="256">
        <v>77</v>
      </c>
      <c r="F283" s="256">
        <v>2142</v>
      </c>
      <c r="G283" s="256">
        <v>2.8</v>
      </c>
      <c r="H283" s="256">
        <v>0.1</v>
      </c>
      <c r="I283" s="256">
        <v>1.3</v>
      </c>
    </row>
    <row r="284" spans="1:9" ht="12.75">
      <c r="A284" s="270" t="s">
        <v>8200</v>
      </c>
      <c r="B284" s="256">
        <v>5</v>
      </c>
      <c r="C284" s="256">
        <v>7</v>
      </c>
      <c r="D284" s="256">
        <v>2.5</v>
      </c>
      <c r="E284" s="256">
        <v>80</v>
      </c>
      <c r="F284" s="256">
        <v>2211</v>
      </c>
      <c r="G284" s="256">
        <v>2.9</v>
      </c>
      <c r="H284" s="256">
        <v>0</v>
      </c>
      <c r="I284" s="256">
        <v>1.2</v>
      </c>
    </row>
    <row r="285" spans="1:9" ht="12.75">
      <c r="A285" s="270" t="s">
        <v>8201</v>
      </c>
      <c r="B285" s="256">
        <v>6.4</v>
      </c>
      <c r="C285" s="256">
        <v>9.6999999999999993</v>
      </c>
      <c r="D285" s="256">
        <v>4.7</v>
      </c>
      <c r="E285" s="256">
        <v>78</v>
      </c>
      <c r="F285" s="256">
        <v>1836</v>
      </c>
      <c r="G285" s="256">
        <v>2</v>
      </c>
      <c r="H285" s="256">
        <v>0.1</v>
      </c>
      <c r="I285" s="256">
        <v>1.3</v>
      </c>
    </row>
    <row r="286" spans="1:9" ht="12.75">
      <c r="A286" s="270" t="s">
        <v>8202</v>
      </c>
      <c r="B286" s="256">
        <v>6.4</v>
      </c>
      <c r="C286" s="256">
        <v>10.6</v>
      </c>
      <c r="D286" s="256">
        <v>1</v>
      </c>
      <c r="E286" s="256">
        <v>77</v>
      </c>
      <c r="F286" s="256">
        <v>3647</v>
      </c>
      <c r="G286" s="256">
        <v>2.2000000000000002</v>
      </c>
      <c r="H286" s="256">
        <v>0</v>
      </c>
      <c r="I286" s="256">
        <v>1.7</v>
      </c>
    </row>
    <row r="287" spans="1:9" ht="12.75">
      <c r="A287" s="270" t="s">
        <v>8203</v>
      </c>
      <c r="B287" s="256">
        <v>6.6</v>
      </c>
      <c r="C287" s="256">
        <v>10.5</v>
      </c>
      <c r="D287" s="256">
        <v>3.3</v>
      </c>
      <c r="E287" s="256">
        <v>82</v>
      </c>
      <c r="F287" s="256">
        <v>2281</v>
      </c>
      <c r="G287" s="256">
        <v>2.5</v>
      </c>
      <c r="H287" s="256">
        <v>0.2</v>
      </c>
      <c r="I287" s="256">
        <v>1.4</v>
      </c>
    </row>
    <row r="288" spans="1:9" ht="12.75">
      <c r="A288" s="270" t="s">
        <v>8204</v>
      </c>
      <c r="B288" s="256">
        <v>7</v>
      </c>
      <c r="C288" s="256">
        <v>9.8000000000000007</v>
      </c>
      <c r="D288" s="256">
        <v>3.8</v>
      </c>
      <c r="E288" s="256">
        <v>80</v>
      </c>
      <c r="F288" s="256">
        <v>2086</v>
      </c>
      <c r="G288" s="256">
        <v>2.1</v>
      </c>
      <c r="H288" s="256">
        <v>1.3</v>
      </c>
      <c r="I288" s="256">
        <v>1.4</v>
      </c>
    </row>
    <row r="289" spans="1:9" ht="12.75">
      <c r="A289" s="270" t="s">
        <v>8205</v>
      </c>
      <c r="B289" s="256">
        <v>6.9</v>
      </c>
      <c r="C289" s="256">
        <v>10.8</v>
      </c>
      <c r="D289" s="256">
        <v>6.3</v>
      </c>
      <c r="E289" s="256">
        <v>86</v>
      </c>
      <c r="F289" s="256">
        <v>1500</v>
      </c>
      <c r="G289" s="256">
        <v>2.8</v>
      </c>
      <c r="H289" s="256">
        <v>7.2</v>
      </c>
      <c r="I289" s="256">
        <v>1.1000000000000001</v>
      </c>
    </row>
    <row r="290" spans="1:9" ht="12.75">
      <c r="A290" s="270" t="s">
        <v>8206</v>
      </c>
      <c r="B290" s="256">
        <v>9.6999999999999993</v>
      </c>
      <c r="C290" s="256">
        <v>13.4</v>
      </c>
      <c r="D290" s="256">
        <v>2.5</v>
      </c>
      <c r="E290" s="256">
        <v>84</v>
      </c>
      <c r="F290" s="256">
        <v>2086</v>
      </c>
      <c r="G290" s="256">
        <v>5.0999999999999996</v>
      </c>
      <c r="H290" s="256">
        <v>4.7</v>
      </c>
      <c r="I290" s="256">
        <v>1.5</v>
      </c>
    </row>
    <row r="291" spans="1:9" ht="12.75">
      <c r="A291" s="270" t="s">
        <v>8207</v>
      </c>
      <c r="B291" s="256">
        <v>8.8000000000000007</v>
      </c>
      <c r="C291" s="256">
        <v>12.5</v>
      </c>
      <c r="D291" s="256">
        <v>4.9000000000000004</v>
      </c>
      <c r="E291" s="256">
        <v>71</v>
      </c>
      <c r="F291" s="256">
        <v>4206</v>
      </c>
      <c r="G291" s="256">
        <v>5.5</v>
      </c>
      <c r="H291" s="256">
        <v>6.7</v>
      </c>
      <c r="I291" s="256">
        <v>2.5</v>
      </c>
    </row>
    <row r="292" spans="1:9" ht="12.75">
      <c r="A292" s="270" t="s">
        <v>8208</v>
      </c>
      <c r="B292" s="256">
        <v>8.1999999999999993</v>
      </c>
      <c r="C292" s="256">
        <v>11.9</v>
      </c>
      <c r="D292" s="256">
        <v>7.5</v>
      </c>
      <c r="E292" s="256">
        <v>74</v>
      </c>
      <c r="F292" s="256">
        <v>3122</v>
      </c>
      <c r="G292" s="256">
        <v>6.7</v>
      </c>
      <c r="H292" s="256">
        <v>9</v>
      </c>
      <c r="I292" s="256">
        <v>2.2000000000000002</v>
      </c>
    </row>
    <row r="293" spans="1:9" ht="12.75">
      <c r="A293" s="270" t="s">
        <v>8209</v>
      </c>
      <c r="B293" s="256">
        <v>8.5</v>
      </c>
      <c r="C293" s="256">
        <v>12.5</v>
      </c>
      <c r="D293" s="256">
        <v>4.5999999999999996</v>
      </c>
      <c r="E293" s="256">
        <v>72</v>
      </c>
      <c r="F293" s="256">
        <v>4625</v>
      </c>
      <c r="G293" s="256">
        <v>4.3</v>
      </c>
      <c r="H293" s="256">
        <v>0.6</v>
      </c>
      <c r="I293" s="256">
        <v>2.4</v>
      </c>
    </row>
    <row r="294" spans="1:9" ht="12.75">
      <c r="A294" s="270" t="s">
        <v>8210</v>
      </c>
      <c r="B294" s="256">
        <v>8.1</v>
      </c>
      <c r="C294" s="256">
        <v>10.7</v>
      </c>
      <c r="D294" s="256">
        <v>6.5</v>
      </c>
      <c r="E294" s="256">
        <v>81</v>
      </c>
      <c r="F294" s="256">
        <v>1844</v>
      </c>
      <c r="G294" s="256">
        <v>2.2000000000000002</v>
      </c>
      <c r="H294" s="256">
        <v>2.9</v>
      </c>
      <c r="I294" s="256">
        <v>1.5</v>
      </c>
    </row>
    <row r="295" spans="1:9" ht="12.75">
      <c r="A295" s="270" t="s">
        <v>8211</v>
      </c>
      <c r="B295" s="256">
        <v>6.9</v>
      </c>
      <c r="C295" s="256">
        <v>8.9</v>
      </c>
      <c r="D295" s="256">
        <v>5.6</v>
      </c>
      <c r="E295" s="256">
        <v>83</v>
      </c>
      <c r="F295" s="256">
        <v>1586</v>
      </c>
      <c r="G295" s="256">
        <v>3.7</v>
      </c>
      <c r="H295" s="256">
        <v>3.1</v>
      </c>
      <c r="I295" s="256">
        <v>1.2</v>
      </c>
    </row>
    <row r="296" spans="1:9" ht="12.75">
      <c r="A296" s="270" t="s">
        <v>8212</v>
      </c>
      <c r="B296" s="256">
        <v>6.9</v>
      </c>
      <c r="C296" s="256">
        <v>12.1</v>
      </c>
      <c r="D296" s="256">
        <v>1.7</v>
      </c>
      <c r="E296" s="256">
        <v>77</v>
      </c>
      <c r="F296" s="256">
        <v>4950</v>
      </c>
      <c r="G296" s="256">
        <v>1.9</v>
      </c>
      <c r="H296" s="256">
        <v>0</v>
      </c>
      <c r="I296" s="256">
        <v>2.1</v>
      </c>
    </row>
    <row r="297" spans="1:9" ht="12.75">
      <c r="A297" s="270" t="s">
        <v>8213</v>
      </c>
      <c r="B297" s="256">
        <v>9.3000000000000007</v>
      </c>
      <c r="C297" s="256">
        <v>13.1</v>
      </c>
      <c r="D297" s="256">
        <v>0.1</v>
      </c>
      <c r="E297" s="256">
        <v>82</v>
      </c>
      <c r="F297" s="256">
        <v>3825</v>
      </c>
      <c r="G297" s="256">
        <v>2.4</v>
      </c>
      <c r="H297" s="256">
        <v>4.2</v>
      </c>
      <c r="I297" s="256">
        <v>1.9</v>
      </c>
    </row>
    <row r="298" spans="1:9" ht="12.75">
      <c r="A298" s="270" t="s">
        <v>8214</v>
      </c>
      <c r="B298" s="256">
        <v>13.8</v>
      </c>
      <c r="C298" s="256">
        <v>19.3</v>
      </c>
      <c r="D298" s="256">
        <v>9.6999999999999993</v>
      </c>
      <c r="E298" s="256">
        <v>83</v>
      </c>
      <c r="F298" s="256">
        <v>4850</v>
      </c>
      <c r="G298" s="256">
        <v>2.6</v>
      </c>
      <c r="H298" s="256">
        <v>1.1000000000000001</v>
      </c>
      <c r="I298" s="256">
        <v>2.9</v>
      </c>
    </row>
    <row r="299" spans="1:9" ht="12.75">
      <c r="A299" s="270" t="s">
        <v>8215</v>
      </c>
      <c r="B299" s="256">
        <v>11.6</v>
      </c>
      <c r="C299" s="256">
        <v>15.3</v>
      </c>
      <c r="D299" s="256">
        <v>9.4</v>
      </c>
      <c r="E299" s="256">
        <v>74</v>
      </c>
      <c r="F299" s="256">
        <v>4533</v>
      </c>
      <c r="G299" s="256">
        <v>3.1</v>
      </c>
      <c r="H299" s="256">
        <v>3</v>
      </c>
      <c r="I299" s="256">
        <v>2.7</v>
      </c>
    </row>
    <row r="300" spans="1:9" ht="12.75">
      <c r="A300" s="270" t="s">
        <v>8216</v>
      </c>
      <c r="B300" s="256">
        <v>9.6</v>
      </c>
      <c r="C300" s="256">
        <v>13.9</v>
      </c>
      <c r="D300" s="256">
        <v>7</v>
      </c>
      <c r="E300" s="256">
        <v>79</v>
      </c>
      <c r="F300" s="256">
        <v>3575</v>
      </c>
      <c r="G300" s="256">
        <v>2.2000000000000002</v>
      </c>
      <c r="H300" s="256">
        <v>1</v>
      </c>
      <c r="I300" s="256">
        <v>2.1</v>
      </c>
    </row>
    <row r="301" spans="1:9" ht="12.75">
      <c r="A301" s="270" t="s">
        <v>8217</v>
      </c>
      <c r="B301" s="256">
        <v>8.3000000000000007</v>
      </c>
      <c r="C301" s="256">
        <v>12.7</v>
      </c>
      <c r="D301" s="256">
        <v>5.3</v>
      </c>
      <c r="E301" s="256">
        <v>77</v>
      </c>
      <c r="F301" s="256">
        <v>2094</v>
      </c>
      <c r="G301" s="256">
        <v>4.5999999999999996</v>
      </c>
      <c r="H301" s="256">
        <v>0.6</v>
      </c>
      <c r="I301" s="256">
        <v>2</v>
      </c>
    </row>
    <row r="302" spans="1:9" ht="12.75">
      <c r="A302" s="270" t="s">
        <v>8218</v>
      </c>
      <c r="B302" s="256">
        <v>6.9</v>
      </c>
      <c r="C302" s="256">
        <v>10.4</v>
      </c>
      <c r="D302" s="256">
        <v>4</v>
      </c>
      <c r="E302" s="256">
        <v>73</v>
      </c>
      <c r="F302" s="256">
        <v>4947</v>
      </c>
      <c r="G302" s="256">
        <v>3.7</v>
      </c>
      <c r="H302" s="256">
        <v>4.3</v>
      </c>
      <c r="I302" s="256">
        <v>2.2999999999999998</v>
      </c>
    </row>
    <row r="303" spans="1:9" ht="12.75">
      <c r="A303" s="270" t="s">
        <v>8219</v>
      </c>
      <c r="B303" s="256">
        <v>7.6</v>
      </c>
      <c r="C303" s="256">
        <v>12</v>
      </c>
      <c r="D303" s="256">
        <v>3.7</v>
      </c>
      <c r="E303" s="256">
        <v>83</v>
      </c>
      <c r="F303" s="256">
        <v>4822</v>
      </c>
      <c r="G303" s="256">
        <v>1.3</v>
      </c>
      <c r="H303" s="256">
        <v>1.8</v>
      </c>
      <c r="I303" s="256">
        <v>2</v>
      </c>
    </row>
    <row r="304" spans="1:9" ht="12.75">
      <c r="A304" s="270" t="s">
        <v>8220</v>
      </c>
      <c r="B304" s="256">
        <v>7.1</v>
      </c>
      <c r="C304" s="256">
        <v>12</v>
      </c>
      <c r="D304" s="256">
        <v>1.6</v>
      </c>
      <c r="E304" s="256">
        <v>84</v>
      </c>
      <c r="F304" s="256">
        <v>2508</v>
      </c>
      <c r="G304" s="256">
        <v>2.7</v>
      </c>
      <c r="H304" s="256">
        <v>3.3</v>
      </c>
      <c r="I304" s="256">
        <v>1.7</v>
      </c>
    </row>
    <row r="305" spans="1:9" ht="12.75">
      <c r="A305" s="270" t="s">
        <v>8221</v>
      </c>
      <c r="B305" s="256">
        <v>9.3000000000000007</v>
      </c>
      <c r="C305" s="256">
        <v>15.6</v>
      </c>
      <c r="D305" s="256">
        <v>0.4</v>
      </c>
      <c r="E305" s="256">
        <v>70</v>
      </c>
      <c r="F305" s="256">
        <v>4931</v>
      </c>
      <c r="G305" s="256">
        <v>3.5</v>
      </c>
      <c r="H305" s="256">
        <v>0</v>
      </c>
      <c r="I305" s="256">
        <v>2.9</v>
      </c>
    </row>
    <row r="306" spans="1:9" ht="12.75">
      <c r="A306" s="270" t="s">
        <v>8222</v>
      </c>
      <c r="B306" s="256">
        <v>10.199999999999999</v>
      </c>
      <c r="C306" s="256">
        <v>16.100000000000001</v>
      </c>
      <c r="D306" s="256">
        <v>8.1999999999999993</v>
      </c>
      <c r="E306" s="256">
        <v>80</v>
      </c>
      <c r="F306" s="256">
        <v>4317</v>
      </c>
      <c r="G306" s="256">
        <v>2.8</v>
      </c>
      <c r="H306" s="256">
        <v>2.8</v>
      </c>
      <c r="I306" s="256">
        <v>2.4</v>
      </c>
    </row>
    <row r="307" spans="1:9" ht="12.75">
      <c r="A307" s="270" t="s">
        <v>8223</v>
      </c>
      <c r="B307" s="256">
        <v>8.9</v>
      </c>
      <c r="C307" s="256">
        <v>14.6</v>
      </c>
      <c r="D307" s="256">
        <v>4.0999999999999996</v>
      </c>
      <c r="E307" s="256">
        <v>86</v>
      </c>
      <c r="F307" s="256">
        <v>4564</v>
      </c>
      <c r="G307" s="256">
        <v>1.8</v>
      </c>
      <c r="H307" s="256">
        <v>1.9</v>
      </c>
      <c r="I307" s="256">
        <v>2</v>
      </c>
    </row>
    <row r="308" spans="1:9" ht="12.75">
      <c r="A308" s="270" t="s">
        <v>8224</v>
      </c>
      <c r="B308" s="256">
        <v>9.3000000000000007</v>
      </c>
      <c r="C308" s="256">
        <v>15</v>
      </c>
      <c r="D308" s="256">
        <v>3.8</v>
      </c>
      <c r="E308" s="256">
        <v>88</v>
      </c>
      <c r="F308" s="256">
        <v>4711</v>
      </c>
      <c r="G308" s="256">
        <v>1.2</v>
      </c>
      <c r="H308" s="256">
        <v>8.5</v>
      </c>
      <c r="I308" s="256">
        <v>2.1</v>
      </c>
    </row>
    <row r="309" spans="1:9" ht="12.75">
      <c r="A309" s="270" t="s">
        <v>8225</v>
      </c>
      <c r="B309" s="256">
        <v>10.4</v>
      </c>
      <c r="C309" s="256">
        <v>15.7</v>
      </c>
      <c r="D309" s="256">
        <v>4.5999999999999996</v>
      </c>
      <c r="E309" s="256">
        <v>80</v>
      </c>
      <c r="F309" s="256">
        <v>4686</v>
      </c>
      <c r="G309" s="256">
        <v>2.6</v>
      </c>
      <c r="H309" s="256">
        <v>4.2</v>
      </c>
      <c r="I309" s="256">
        <v>2.6</v>
      </c>
    </row>
    <row r="310" spans="1:9" ht="12.75">
      <c r="A310" s="270" t="s">
        <v>8226</v>
      </c>
      <c r="B310" s="256">
        <v>11.4</v>
      </c>
      <c r="C310" s="256">
        <v>15.9</v>
      </c>
      <c r="D310" s="256">
        <v>7.1</v>
      </c>
      <c r="E310" s="256">
        <v>69</v>
      </c>
      <c r="F310" s="256">
        <v>4411</v>
      </c>
      <c r="G310" s="256">
        <v>4.9000000000000004</v>
      </c>
      <c r="H310" s="256">
        <v>0.6</v>
      </c>
      <c r="I310" s="256">
        <v>3.2</v>
      </c>
    </row>
    <row r="311" spans="1:9" ht="12.75">
      <c r="A311" s="270" t="s">
        <v>8227</v>
      </c>
      <c r="B311" s="256">
        <v>8.5</v>
      </c>
      <c r="C311" s="256">
        <v>12.7</v>
      </c>
      <c r="D311" s="256">
        <v>7.3</v>
      </c>
      <c r="E311" s="256">
        <v>80</v>
      </c>
      <c r="F311" s="256">
        <v>3833</v>
      </c>
      <c r="G311" s="256">
        <v>2.9</v>
      </c>
      <c r="H311" s="256">
        <v>3.2</v>
      </c>
      <c r="I311" s="256">
        <v>2</v>
      </c>
    </row>
    <row r="312" spans="1:9" ht="12.75">
      <c r="A312" s="270" t="s">
        <v>8228</v>
      </c>
      <c r="B312" s="256">
        <v>5.9</v>
      </c>
      <c r="C312" s="256">
        <v>10.6</v>
      </c>
      <c r="D312" s="256">
        <v>2.1</v>
      </c>
      <c r="E312" s="256">
        <v>73</v>
      </c>
      <c r="F312" s="256">
        <v>5939</v>
      </c>
      <c r="G312" s="256">
        <v>2</v>
      </c>
      <c r="H312" s="256">
        <v>0.7</v>
      </c>
      <c r="I312" s="256">
        <v>2.4</v>
      </c>
    </row>
    <row r="313" spans="1:9" ht="12.75">
      <c r="A313" s="270" t="s">
        <v>8229</v>
      </c>
      <c r="B313" s="256">
        <v>6.5</v>
      </c>
      <c r="C313" s="256">
        <v>11.8</v>
      </c>
      <c r="D313" s="256">
        <v>-0.8</v>
      </c>
      <c r="E313" s="256">
        <v>71</v>
      </c>
      <c r="F313" s="256">
        <v>4967</v>
      </c>
      <c r="G313" s="256">
        <v>1.9</v>
      </c>
      <c r="H313" s="256">
        <v>0</v>
      </c>
      <c r="I313" s="256">
        <v>2.4</v>
      </c>
    </row>
    <row r="314" spans="1:9" ht="12.75">
      <c r="A314" s="270" t="s">
        <v>8230</v>
      </c>
      <c r="B314" s="256">
        <v>9</v>
      </c>
      <c r="C314" s="256">
        <v>13</v>
      </c>
      <c r="D314" s="256">
        <v>3.8</v>
      </c>
      <c r="E314" s="256">
        <v>74</v>
      </c>
      <c r="F314" s="256">
        <v>3683</v>
      </c>
      <c r="G314" s="256">
        <v>1.9</v>
      </c>
      <c r="H314" s="256">
        <v>0.1</v>
      </c>
      <c r="I314" s="256">
        <v>2.1</v>
      </c>
    </row>
    <row r="315" spans="1:9" ht="12.75">
      <c r="A315" s="270" t="s">
        <v>8231</v>
      </c>
      <c r="B315" s="256">
        <v>10.1</v>
      </c>
      <c r="C315" s="256">
        <v>16</v>
      </c>
      <c r="D315" s="256">
        <v>3.7</v>
      </c>
      <c r="E315" s="256">
        <v>67</v>
      </c>
      <c r="F315" s="256">
        <v>6745</v>
      </c>
      <c r="G315" s="256">
        <v>3.7</v>
      </c>
      <c r="H315" s="256">
        <v>0</v>
      </c>
      <c r="I315" s="256">
        <v>3.4</v>
      </c>
    </row>
    <row r="316" spans="1:9" ht="12.75">
      <c r="A316" s="270" t="s">
        <v>8232</v>
      </c>
      <c r="B316" s="256">
        <v>12.9</v>
      </c>
      <c r="C316" s="256">
        <v>18.8</v>
      </c>
      <c r="D316" s="256">
        <v>6.3</v>
      </c>
      <c r="E316" s="256">
        <v>66</v>
      </c>
      <c r="F316" s="256">
        <v>5825</v>
      </c>
      <c r="G316" s="256">
        <v>2.2000000000000002</v>
      </c>
      <c r="H316" s="256">
        <v>0</v>
      </c>
      <c r="I316" s="256">
        <v>3.3</v>
      </c>
    </row>
    <row r="317" spans="1:9" ht="12.75">
      <c r="A317" s="270" t="s">
        <v>8233</v>
      </c>
      <c r="B317" s="256">
        <v>12.2</v>
      </c>
      <c r="C317" s="256">
        <v>16.7</v>
      </c>
      <c r="D317" s="256">
        <v>9.3000000000000007</v>
      </c>
      <c r="E317" s="256">
        <v>73</v>
      </c>
      <c r="F317" s="256">
        <v>3497</v>
      </c>
      <c r="G317" s="256">
        <v>2.4</v>
      </c>
      <c r="H317" s="256">
        <v>0.8</v>
      </c>
      <c r="I317" s="256">
        <v>2.5</v>
      </c>
    </row>
    <row r="318" spans="1:9" ht="12.75">
      <c r="A318" s="270" t="s">
        <v>8234</v>
      </c>
      <c r="B318" s="256">
        <v>6.9</v>
      </c>
      <c r="C318" s="256">
        <v>10.8</v>
      </c>
      <c r="D318" s="256">
        <v>6.2</v>
      </c>
      <c r="E318" s="256">
        <v>70</v>
      </c>
      <c r="F318" s="256">
        <v>4358</v>
      </c>
      <c r="G318" s="256">
        <v>3.7</v>
      </c>
      <c r="H318" s="256">
        <v>0.7</v>
      </c>
      <c r="I318" s="256">
        <v>2.5</v>
      </c>
    </row>
    <row r="319" spans="1:9" ht="12.75">
      <c r="A319" s="270" t="s">
        <v>8235</v>
      </c>
      <c r="B319" s="256">
        <v>4.7</v>
      </c>
      <c r="C319" s="256">
        <v>9.1999999999999993</v>
      </c>
      <c r="D319" s="256">
        <v>1.4</v>
      </c>
      <c r="E319" s="256">
        <v>76</v>
      </c>
      <c r="F319" s="256">
        <v>4617</v>
      </c>
      <c r="G319" s="256">
        <v>2.6</v>
      </c>
      <c r="H319" s="256">
        <v>2.9</v>
      </c>
      <c r="I319" s="256">
        <v>2.1</v>
      </c>
    </row>
    <row r="320" spans="1:9" ht="12.75">
      <c r="A320" s="270" t="s">
        <v>8236</v>
      </c>
      <c r="B320" s="256">
        <v>6.5</v>
      </c>
      <c r="C320" s="256">
        <v>9.5</v>
      </c>
      <c r="D320" s="256">
        <v>1.8</v>
      </c>
      <c r="E320" s="256">
        <v>83</v>
      </c>
      <c r="F320" s="256">
        <v>2894</v>
      </c>
      <c r="G320" s="256">
        <v>3.6</v>
      </c>
      <c r="H320" s="256">
        <v>5.4</v>
      </c>
      <c r="I320" s="256">
        <v>1.4</v>
      </c>
    </row>
    <row r="321" spans="1:9" ht="12.75">
      <c r="A321" s="270" t="s">
        <v>8237</v>
      </c>
      <c r="B321" s="256">
        <v>4.5</v>
      </c>
      <c r="C321" s="256">
        <v>8.8000000000000007</v>
      </c>
      <c r="D321" s="256">
        <v>0.9</v>
      </c>
      <c r="E321" s="256">
        <v>72</v>
      </c>
      <c r="F321" s="256">
        <v>6156</v>
      </c>
      <c r="G321" s="256">
        <v>3.4</v>
      </c>
      <c r="H321" s="256">
        <v>1.7</v>
      </c>
      <c r="I321" s="256">
        <v>2.7</v>
      </c>
    </row>
    <row r="322" spans="1:9" ht="12.75">
      <c r="A322" s="270" t="s">
        <v>8238</v>
      </c>
      <c r="B322" s="256">
        <v>5.2</v>
      </c>
      <c r="C322" s="256">
        <v>9.6999999999999993</v>
      </c>
      <c r="D322" s="256">
        <v>1.6</v>
      </c>
      <c r="E322" s="256">
        <v>73</v>
      </c>
      <c r="F322" s="256">
        <v>6328</v>
      </c>
      <c r="G322" s="256">
        <v>2.6</v>
      </c>
      <c r="H322" s="256">
        <v>0.8</v>
      </c>
      <c r="I322" s="256">
        <v>2.5</v>
      </c>
    </row>
    <row r="323" spans="1:9" ht="12.75">
      <c r="A323" s="270" t="s">
        <v>8239</v>
      </c>
      <c r="B323" s="256">
        <v>6</v>
      </c>
      <c r="C323" s="256">
        <v>10.7</v>
      </c>
      <c r="D323" s="256">
        <v>-1.3</v>
      </c>
      <c r="E323" s="256">
        <v>67</v>
      </c>
      <c r="F323" s="256">
        <v>6244</v>
      </c>
      <c r="G323" s="256">
        <v>2.4</v>
      </c>
      <c r="H323" s="256">
        <v>0.8</v>
      </c>
      <c r="I323" s="256">
        <v>2.7</v>
      </c>
    </row>
    <row r="324" spans="1:9" ht="12.75">
      <c r="A324" s="270" t="s">
        <v>8240</v>
      </c>
      <c r="B324" s="256">
        <v>7.4</v>
      </c>
      <c r="C324" s="256">
        <v>10.1</v>
      </c>
      <c r="D324" s="256">
        <v>4.8</v>
      </c>
      <c r="E324" s="256">
        <v>81</v>
      </c>
      <c r="F324" s="256">
        <v>3147</v>
      </c>
      <c r="G324" s="256">
        <v>2.9</v>
      </c>
      <c r="H324" s="256">
        <v>7.3</v>
      </c>
      <c r="I324" s="256">
        <v>1.7</v>
      </c>
    </row>
    <row r="325" spans="1:9" ht="12.75">
      <c r="A325" s="270" t="s">
        <v>8241</v>
      </c>
      <c r="B325" s="256">
        <v>6.7</v>
      </c>
      <c r="C325" s="256">
        <v>10.6</v>
      </c>
      <c r="D325" s="256">
        <v>5.2</v>
      </c>
      <c r="E325" s="256">
        <v>75</v>
      </c>
      <c r="F325" s="256">
        <v>3214</v>
      </c>
      <c r="G325" s="256">
        <v>2.6</v>
      </c>
      <c r="H325" s="256">
        <v>5.8</v>
      </c>
      <c r="I325" s="256">
        <v>2</v>
      </c>
    </row>
    <row r="326" spans="1:9" ht="12.75">
      <c r="A326" s="270" t="s">
        <v>8242</v>
      </c>
      <c r="B326" s="256">
        <v>7.8</v>
      </c>
      <c r="C326" s="256">
        <v>13.4</v>
      </c>
      <c r="D326" s="256">
        <v>2</v>
      </c>
      <c r="E326" s="256">
        <v>72</v>
      </c>
      <c r="F326" s="256">
        <v>7206</v>
      </c>
      <c r="G326" s="256">
        <v>2.6</v>
      </c>
      <c r="H326" s="256">
        <v>0</v>
      </c>
      <c r="I326" s="256">
        <v>3.2</v>
      </c>
    </row>
    <row r="327" spans="1:9" ht="12.75">
      <c r="A327" s="270" t="s">
        <v>8243</v>
      </c>
      <c r="B327" s="256">
        <v>10.5</v>
      </c>
      <c r="C327" s="256">
        <v>15.8</v>
      </c>
      <c r="D327" s="256">
        <v>1.4</v>
      </c>
      <c r="E327" s="256">
        <v>73</v>
      </c>
      <c r="F327" s="256">
        <v>6053</v>
      </c>
      <c r="G327" s="256">
        <v>2.2999999999999998</v>
      </c>
      <c r="H327" s="256">
        <v>0.5</v>
      </c>
      <c r="I327" s="256">
        <v>3.1</v>
      </c>
    </row>
    <row r="328" spans="1:9" ht="12.75">
      <c r="A328" s="270" t="s">
        <v>8244</v>
      </c>
      <c r="B328" s="256">
        <v>9.1</v>
      </c>
      <c r="C328" s="256">
        <v>13.8</v>
      </c>
      <c r="D328" s="256">
        <v>6.2</v>
      </c>
      <c r="E328" s="256">
        <v>71</v>
      </c>
      <c r="F328" s="256">
        <v>6897</v>
      </c>
      <c r="G328" s="256">
        <v>2.6</v>
      </c>
      <c r="H328" s="256">
        <v>0.2</v>
      </c>
      <c r="I328" s="256">
        <v>3.4</v>
      </c>
    </row>
    <row r="329" spans="1:9" ht="12.75">
      <c r="A329" s="270" t="s">
        <v>8245</v>
      </c>
      <c r="B329" s="256">
        <v>9.6999999999999993</v>
      </c>
      <c r="C329" s="256">
        <v>15.5</v>
      </c>
      <c r="D329" s="256">
        <v>2.2000000000000002</v>
      </c>
      <c r="E329" s="256">
        <v>71</v>
      </c>
      <c r="F329" s="256">
        <v>7131</v>
      </c>
      <c r="G329" s="256">
        <v>1.6</v>
      </c>
      <c r="H329" s="256">
        <v>0</v>
      </c>
      <c r="I329" s="256">
        <v>3.3</v>
      </c>
    </row>
    <row r="330" spans="1:9" ht="12.75">
      <c r="A330" s="270" t="s">
        <v>8246</v>
      </c>
      <c r="B330" s="256">
        <v>12.1</v>
      </c>
      <c r="C330" s="256">
        <v>17.399999999999999</v>
      </c>
      <c r="D330" s="256">
        <v>5.6</v>
      </c>
      <c r="E330" s="256">
        <v>64</v>
      </c>
      <c r="F330" s="256">
        <v>7411</v>
      </c>
      <c r="G330" s="256">
        <v>2.9</v>
      </c>
      <c r="H330" s="256">
        <v>0</v>
      </c>
      <c r="I330" s="256">
        <v>4</v>
      </c>
    </row>
    <row r="331" spans="1:9" ht="12.75">
      <c r="A331" s="270" t="s">
        <v>8247</v>
      </c>
      <c r="B331" s="256">
        <v>15</v>
      </c>
      <c r="C331" s="256">
        <v>21.4</v>
      </c>
      <c r="D331" s="256">
        <v>7.9</v>
      </c>
      <c r="E331" s="256">
        <v>72</v>
      </c>
      <c r="F331" s="256">
        <v>7350</v>
      </c>
      <c r="G331" s="256">
        <v>2.4</v>
      </c>
      <c r="H331" s="256">
        <v>0</v>
      </c>
      <c r="I331" s="256">
        <v>4.3</v>
      </c>
    </row>
    <row r="332" spans="1:9" ht="12.75">
      <c r="A332" s="270" t="s">
        <v>8248</v>
      </c>
      <c r="B332" s="256">
        <v>16.100000000000001</v>
      </c>
      <c r="C332" s="256">
        <v>21.3</v>
      </c>
      <c r="D332" s="256">
        <v>10.199999999999999</v>
      </c>
      <c r="E332" s="256">
        <v>67</v>
      </c>
      <c r="F332" s="256">
        <v>6058</v>
      </c>
      <c r="G332" s="256">
        <v>2.5</v>
      </c>
      <c r="H332" s="256">
        <v>0</v>
      </c>
      <c r="I332" s="256">
        <v>4</v>
      </c>
    </row>
    <row r="333" spans="1:9" ht="12.75">
      <c r="A333" s="270" t="s">
        <v>8249</v>
      </c>
      <c r="B333" s="256">
        <v>17.5</v>
      </c>
      <c r="C333" s="256">
        <v>23.4</v>
      </c>
      <c r="D333" s="256">
        <v>10.7</v>
      </c>
      <c r="E333" s="256">
        <v>68</v>
      </c>
      <c r="F333" s="256">
        <v>7006</v>
      </c>
      <c r="G333" s="256">
        <v>2.5</v>
      </c>
      <c r="H333" s="256">
        <v>0.5</v>
      </c>
      <c r="I333" s="256">
        <v>4.5999999999999996</v>
      </c>
    </row>
    <row r="334" spans="1:9" ht="12.75">
      <c r="A334" s="270" t="s">
        <v>8250</v>
      </c>
      <c r="B334" s="256">
        <v>17.2</v>
      </c>
      <c r="C334" s="256">
        <v>21.2</v>
      </c>
      <c r="D334" s="256">
        <v>13.2</v>
      </c>
      <c r="E334" s="256">
        <v>73</v>
      </c>
      <c r="F334" s="256">
        <v>5197</v>
      </c>
      <c r="G334" s="256">
        <v>3.2</v>
      </c>
      <c r="H334" s="256">
        <v>3.1</v>
      </c>
      <c r="I334" s="256">
        <v>3.7</v>
      </c>
    </row>
    <row r="335" spans="1:9" ht="12.75">
      <c r="A335" s="270" t="s">
        <v>8251</v>
      </c>
      <c r="B335" s="256">
        <v>15.4</v>
      </c>
      <c r="C335" s="256">
        <v>19.100000000000001</v>
      </c>
      <c r="D335" s="256">
        <v>14.2</v>
      </c>
      <c r="E335" s="256">
        <v>89</v>
      </c>
      <c r="F335" s="256">
        <v>2886</v>
      </c>
      <c r="G335" s="256">
        <v>2.5</v>
      </c>
      <c r="H335" s="256">
        <v>8.1</v>
      </c>
      <c r="I335" s="256">
        <v>2.1</v>
      </c>
    </row>
    <row r="336" spans="1:9" ht="12.75">
      <c r="A336" s="270" t="s">
        <v>8252</v>
      </c>
      <c r="B336" s="256">
        <v>16.100000000000001</v>
      </c>
      <c r="C336" s="256">
        <v>20.7</v>
      </c>
      <c r="D336" s="256">
        <v>10.6</v>
      </c>
      <c r="E336" s="256">
        <v>85</v>
      </c>
      <c r="F336" s="256">
        <v>5536</v>
      </c>
      <c r="G336" s="256">
        <v>1.3</v>
      </c>
      <c r="H336" s="256">
        <v>14.5</v>
      </c>
      <c r="I336" s="256">
        <v>3.2</v>
      </c>
    </row>
    <row r="337" spans="1:9" ht="12.75">
      <c r="A337" s="270" t="s">
        <v>8253</v>
      </c>
      <c r="B337" s="256">
        <v>15.2</v>
      </c>
      <c r="C337" s="256">
        <v>19</v>
      </c>
      <c r="D337" s="256">
        <v>12.8</v>
      </c>
      <c r="E337" s="256">
        <v>91</v>
      </c>
      <c r="F337" s="256">
        <v>2353</v>
      </c>
      <c r="G337" s="256">
        <v>1.7</v>
      </c>
      <c r="H337" s="256">
        <v>19.3</v>
      </c>
      <c r="I337" s="256">
        <v>1.7</v>
      </c>
    </row>
    <row r="338" spans="1:9" ht="12.75">
      <c r="A338" s="270" t="s">
        <v>8254</v>
      </c>
      <c r="B338" s="256">
        <v>15.3</v>
      </c>
      <c r="C338" s="256">
        <v>21.7</v>
      </c>
      <c r="D338" s="256">
        <v>11.4</v>
      </c>
      <c r="E338" s="256">
        <v>77</v>
      </c>
      <c r="F338" s="256">
        <v>6531</v>
      </c>
      <c r="G338" s="256">
        <v>3.4</v>
      </c>
      <c r="H338" s="256">
        <v>2.9</v>
      </c>
      <c r="I338" s="256">
        <v>3.9</v>
      </c>
    </row>
    <row r="339" spans="1:9" ht="12.75">
      <c r="A339" s="270" t="s">
        <v>8255</v>
      </c>
      <c r="B339" s="256">
        <v>9</v>
      </c>
      <c r="C339" s="256">
        <v>12.2</v>
      </c>
      <c r="D339" s="256">
        <v>8</v>
      </c>
      <c r="E339" s="256">
        <v>67</v>
      </c>
      <c r="F339" s="256">
        <v>4919</v>
      </c>
      <c r="G339" s="256">
        <v>3.6</v>
      </c>
      <c r="H339" s="256">
        <v>0</v>
      </c>
      <c r="I339" s="256">
        <v>2.9</v>
      </c>
    </row>
    <row r="340" spans="1:9" ht="12.75">
      <c r="A340" s="270" t="s">
        <v>8256</v>
      </c>
      <c r="B340" s="256">
        <v>9.1999999999999993</v>
      </c>
      <c r="C340" s="256">
        <v>12.9</v>
      </c>
      <c r="D340" s="256">
        <v>4.4000000000000004</v>
      </c>
      <c r="E340" s="256">
        <v>74</v>
      </c>
      <c r="F340" s="256">
        <v>4458</v>
      </c>
      <c r="G340" s="256">
        <v>2.4</v>
      </c>
      <c r="H340" s="256">
        <v>0.7</v>
      </c>
      <c r="I340" s="256">
        <v>2.4</v>
      </c>
    </row>
    <row r="341" spans="1:9" ht="12.75">
      <c r="A341" s="270" t="s">
        <v>8257</v>
      </c>
      <c r="B341" s="256">
        <v>10.199999999999999</v>
      </c>
      <c r="C341" s="256">
        <v>13.4</v>
      </c>
      <c r="D341" s="256">
        <v>6.6</v>
      </c>
      <c r="E341" s="256">
        <v>82</v>
      </c>
      <c r="F341" s="256">
        <v>3719</v>
      </c>
      <c r="G341" s="256">
        <v>1</v>
      </c>
      <c r="H341" s="256">
        <v>0.7</v>
      </c>
      <c r="I341" s="256">
        <v>2.1</v>
      </c>
    </row>
    <row r="342" spans="1:9" ht="12.75">
      <c r="A342" s="270" t="s">
        <v>8258</v>
      </c>
      <c r="B342" s="256">
        <v>11.7</v>
      </c>
      <c r="C342" s="256">
        <v>16.2</v>
      </c>
      <c r="D342" s="256">
        <v>6</v>
      </c>
      <c r="E342" s="256">
        <v>80</v>
      </c>
      <c r="F342" s="256">
        <v>4592</v>
      </c>
      <c r="G342" s="256">
        <v>1.7</v>
      </c>
      <c r="H342" s="256">
        <v>0.6</v>
      </c>
      <c r="I342" s="256">
        <v>2.6</v>
      </c>
    </row>
    <row r="343" spans="1:9" ht="12.75">
      <c r="A343" s="270" t="s">
        <v>8259</v>
      </c>
      <c r="B343" s="256">
        <v>11.7</v>
      </c>
      <c r="C343" s="256">
        <v>15.5</v>
      </c>
      <c r="D343" s="256">
        <v>8.8000000000000007</v>
      </c>
      <c r="E343" s="256">
        <v>81</v>
      </c>
      <c r="F343" s="256">
        <v>3933</v>
      </c>
      <c r="G343" s="256">
        <v>3.4</v>
      </c>
      <c r="H343" s="256">
        <v>5.3</v>
      </c>
      <c r="I343" s="256">
        <v>2.6</v>
      </c>
    </row>
    <row r="344" spans="1:9" ht="12.75">
      <c r="A344" s="270" t="s">
        <v>8260</v>
      </c>
      <c r="B344" s="256">
        <v>11.7</v>
      </c>
      <c r="C344" s="256">
        <v>15.9</v>
      </c>
      <c r="D344" s="256">
        <v>7.5</v>
      </c>
      <c r="E344" s="256">
        <v>79</v>
      </c>
      <c r="F344" s="256">
        <v>4786</v>
      </c>
      <c r="G344" s="256">
        <v>2.6</v>
      </c>
      <c r="H344" s="256">
        <v>5.8</v>
      </c>
      <c r="I344" s="256">
        <v>2.8</v>
      </c>
    </row>
    <row r="345" spans="1:9" ht="12.75">
      <c r="A345" s="270" t="s">
        <v>8261</v>
      </c>
      <c r="B345" s="256">
        <v>14.4</v>
      </c>
      <c r="C345" s="256">
        <v>19</v>
      </c>
      <c r="D345" s="256">
        <v>9.5</v>
      </c>
      <c r="E345" s="256">
        <v>81</v>
      </c>
      <c r="F345" s="256">
        <v>3275</v>
      </c>
      <c r="G345" s="256">
        <v>2.5</v>
      </c>
      <c r="H345" s="256">
        <v>1.2</v>
      </c>
      <c r="I345" s="256">
        <v>2.7</v>
      </c>
    </row>
    <row r="346" spans="1:9" ht="12.75">
      <c r="A346" s="270" t="s">
        <v>8262</v>
      </c>
      <c r="B346" s="256">
        <v>17.399999999999999</v>
      </c>
      <c r="C346" s="256">
        <v>22.3</v>
      </c>
      <c r="D346" s="256">
        <v>12.4</v>
      </c>
      <c r="E346" s="256">
        <v>79</v>
      </c>
      <c r="F346" s="256">
        <v>5542</v>
      </c>
      <c r="G346" s="256">
        <v>3.4</v>
      </c>
      <c r="H346" s="256">
        <v>2.4</v>
      </c>
      <c r="I346" s="256">
        <v>3.9</v>
      </c>
    </row>
    <row r="347" spans="1:9" ht="12.75">
      <c r="A347" s="270" t="s">
        <v>8263</v>
      </c>
      <c r="B347" s="256">
        <v>13.6</v>
      </c>
      <c r="C347" s="256">
        <v>15.9</v>
      </c>
      <c r="D347" s="256">
        <v>14.4</v>
      </c>
      <c r="E347" s="256">
        <v>89</v>
      </c>
      <c r="F347" s="256">
        <v>1742</v>
      </c>
      <c r="G347" s="256">
        <v>2.2000000000000002</v>
      </c>
      <c r="H347" s="256">
        <v>26.7</v>
      </c>
      <c r="I347" s="256">
        <v>1.2</v>
      </c>
    </row>
    <row r="348" spans="1:9" ht="12.75">
      <c r="A348" s="270" t="s">
        <v>8264</v>
      </c>
      <c r="B348" s="256">
        <v>11.9</v>
      </c>
      <c r="C348" s="256">
        <v>16.3</v>
      </c>
      <c r="D348" s="256">
        <v>10.199999999999999</v>
      </c>
      <c r="E348" s="256">
        <v>88</v>
      </c>
      <c r="F348" s="256">
        <v>3922</v>
      </c>
      <c r="G348" s="256">
        <v>3</v>
      </c>
      <c r="H348" s="256">
        <v>8.9</v>
      </c>
      <c r="I348" s="256">
        <v>2.2999999999999998</v>
      </c>
    </row>
    <row r="349" spans="1:9" ht="12.75">
      <c r="A349" s="270" t="s">
        <v>8265</v>
      </c>
      <c r="B349" s="256">
        <v>11.1</v>
      </c>
      <c r="C349" s="256">
        <v>14.6</v>
      </c>
      <c r="D349" s="256">
        <v>8.6</v>
      </c>
      <c r="E349" s="256">
        <v>75</v>
      </c>
      <c r="F349" s="256">
        <v>3950</v>
      </c>
      <c r="G349" s="256">
        <v>2.6</v>
      </c>
      <c r="H349" s="256">
        <v>0.1</v>
      </c>
      <c r="I349" s="256">
        <v>2.5</v>
      </c>
    </row>
    <row r="350" spans="1:9" ht="12.75">
      <c r="A350" s="270" t="s">
        <v>8266</v>
      </c>
      <c r="B350" s="256">
        <v>11.9</v>
      </c>
      <c r="C350" s="256">
        <v>16.5</v>
      </c>
      <c r="D350" s="256">
        <v>6.4</v>
      </c>
      <c r="E350" s="256">
        <v>73</v>
      </c>
      <c r="F350" s="256">
        <v>5111</v>
      </c>
      <c r="G350" s="256">
        <v>1.6</v>
      </c>
      <c r="H350" s="256">
        <v>0</v>
      </c>
      <c r="I350" s="256">
        <v>2.9</v>
      </c>
    </row>
    <row r="351" spans="1:9" ht="12.75">
      <c r="A351" s="270" t="s">
        <v>8267</v>
      </c>
      <c r="B351" s="256">
        <v>15.4</v>
      </c>
      <c r="C351" s="256">
        <v>21.1</v>
      </c>
      <c r="D351" s="256">
        <v>8.9</v>
      </c>
      <c r="E351" s="256">
        <v>80</v>
      </c>
      <c r="F351" s="256">
        <v>6261</v>
      </c>
      <c r="G351" s="256">
        <v>2.1</v>
      </c>
      <c r="H351" s="256">
        <v>5</v>
      </c>
      <c r="I351" s="256">
        <v>3.7</v>
      </c>
    </row>
    <row r="352" spans="1:9" ht="12.75">
      <c r="A352" s="270" t="s">
        <v>8268</v>
      </c>
      <c r="B352" s="256">
        <v>16.5</v>
      </c>
      <c r="C352" s="256">
        <v>21.6</v>
      </c>
      <c r="D352" s="256">
        <v>11.4</v>
      </c>
      <c r="E352" s="256">
        <v>85</v>
      </c>
      <c r="F352" s="256">
        <v>6442</v>
      </c>
      <c r="G352" s="256">
        <v>1.5</v>
      </c>
      <c r="H352" s="256">
        <v>1.9</v>
      </c>
      <c r="I352" s="256">
        <v>3.7</v>
      </c>
    </row>
    <row r="353" spans="1:9" ht="12.75">
      <c r="A353" s="270" t="s">
        <v>8269</v>
      </c>
      <c r="B353" s="256">
        <v>16.5</v>
      </c>
      <c r="C353" s="256">
        <v>21.8</v>
      </c>
      <c r="D353" s="256">
        <v>12</v>
      </c>
      <c r="E353" s="256">
        <v>87</v>
      </c>
      <c r="F353" s="256">
        <v>4383</v>
      </c>
      <c r="G353" s="256">
        <v>2.2999999999999998</v>
      </c>
      <c r="H353" s="256">
        <v>3.5</v>
      </c>
      <c r="I353" s="256">
        <v>2.8</v>
      </c>
    </row>
    <row r="354" spans="1:9" ht="12.75">
      <c r="A354" s="270" t="s">
        <v>8270</v>
      </c>
      <c r="B354" s="256">
        <v>15.6</v>
      </c>
      <c r="C354" s="256">
        <v>19.5</v>
      </c>
      <c r="D354" s="256">
        <v>12.7</v>
      </c>
      <c r="E354" s="256">
        <v>89</v>
      </c>
      <c r="F354" s="256">
        <v>2989</v>
      </c>
      <c r="G354" s="256">
        <v>3.7</v>
      </c>
      <c r="H354" s="256">
        <v>11.7</v>
      </c>
      <c r="I354" s="256">
        <v>2.2000000000000002</v>
      </c>
    </row>
    <row r="355" spans="1:9" ht="12.75">
      <c r="A355" s="270" t="s">
        <v>8271</v>
      </c>
      <c r="B355" s="256">
        <v>13</v>
      </c>
      <c r="C355" s="256">
        <v>16.2</v>
      </c>
      <c r="D355" s="256">
        <v>12.2</v>
      </c>
      <c r="E355" s="256">
        <v>93</v>
      </c>
      <c r="F355" s="256">
        <v>1803</v>
      </c>
      <c r="G355" s="256">
        <v>5.5</v>
      </c>
      <c r="H355" s="256">
        <v>30</v>
      </c>
      <c r="I355" s="256">
        <v>1.2</v>
      </c>
    </row>
    <row r="356" spans="1:9" ht="12.75">
      <c r="A356" s="270" t="s">
        <v>8272</v>
      </c>
      <c r="B356" s="256">
        <v>14.3</v>
      </c>
      <c r="C356" s="256">
        <v>17.7</v>
      </c>
      <c r="D356" s="256">
        <v>12</v>
      </c>
      <c r="E356" s="256">
        <v>93</v>
      </c>
      <c r="F356" s="256">
        <v>1739</v>
      </c>
      <c r="G356" s="256">
        <v>2.8</v>
      </c>
      <c r="H356" s="256">
        <v>9.6</v>
      </c>
      <c r="I356" s="256">
        <v>1.2</v>
      </c>
    </row>
    <row r="357" spans="1:9" ht="12.75">
      <c r="A357" s="270" t="s">
        <v>8273</v>
      </c>
      <c r="B357" s="256">
        <v>15.7</v>
      </c>
      <c r="C357" s="256">
        <v>19.8</v>
      </c>
      <c r="D357" s="256">
        <v>13</v>
      </c>
      <c r="E357" s="256">
        <v>89</v>
      </c>
      <c r="F357" s="256">
        <v>4175</v>
      </c>
      <c r="G357" s="256">
        <v>3.1</v>
      </c>
      <c r="H357" s="256">
        <v>5.7</v>
      </c>
      <c r="I357" s="256">
        <v>2.6</v>
      </c>
    </row>
    <row r="358" spans="1:9" ht="12.75">
      <c r="A358" s="270" t="s">
        <v>8274</v>
      </c>
      <c r="B358" s="256">
        <v>13.1</v>
      </c>
      <c r="C358" s="256">
        <v>14.5</v>
      </c>
      <c r="D358" s="256">
        <v>12.9</v>
      </c>
      <c r="E358" s="256">
        <v>90</v>
      </c>
      <c r="F358" s="256">
        <v>2431</v>
      </c>
      <c r="G358" s="256">
        <v>4.7</v>
      </c>
      <c r="H358" s="256">
        <v>0.4</v>
      </c>
      <c r="I358" s="256">
        <v>1.5</v>
      </c>
    </row>
    <row r="359" spans="1:9" ht="12.75">
      <c r="A359" s="270" t="s">
        <v>8275</v>
      </c>
      <c r="B359" s="256">
        <v>11.9</v>
      </c>
      <c r="C359" s="256">
        <v>13.4</v>
      </c>
      <c r="D359" s="256">
        <v>10.4</v>
      </c>
      <c r="E359" s="256">
        <v>91</v>
      </c>
      <c r="F359" s="256">
        <v>1106</v>
      </c>
      <c r="G359" s="256">
        <v>2.7</v>
      </c>
      <c r="H359" s="256">
        <v>2.7</v>
      </c>
      <c r="I359" s="256">
        <v>0.8</v>
      </c>
    </row>
    <row r="360" spans="1:9" ht="12.75">
      <c r="A360" s="270" t="s">
        <v>8276</v>
      </c>
      <c r="B360" s="256">
        <v>15.2</v>
      </c>
      <c r="C360" s="256">
        <v>19.3</v>
      </c>
      <c r="D360" s="256">
        <v>11</v>
      </c>
      <c r="E360" s="256">
        <v>89</v>
      </c>
      <c r="F360" s="256">
        <v>3403</v>
      </c>
      <c r="G360" s="256">
        <v>2.6</v>
      </c>
      <c r="H360" s="256">
        <v>0.4</v>
      </c>
      <c r="I360" s="256">
        <v>2.1</v>
      </c>
    </row>
    <row r="361" spans="1:9" ht="12.75">
      <c r="A361" s="270" t="s">
        <v>8277</v>
      </c>
      <c r="B361" s="256">
        <v>17.2</v>
      </c>
      <c r="C361" s="256">
        <v>21.8</v>
      </c>
      <c r="D361" s="256">
        <v>13.5</v>
      </c>
      <c r="E361" s="256">
        <v>89</v>
      </c>
      <c r="F361" s="256">
        <v>4542</v>
      </c>
      <c r="G361" s="256">
        <v>1.6</v>
      </c>
      <c r="H361" s="256">
        <v>1.3</v>
      </c>
      <c r="I361" s="256">
        <v>2.9</v>
      </c>
    </row>
    <row r="362" spans="1:9" ht="12.75">
      <c r="A362" s="270" t="s">
        <v>8278</v>
      </c>
      <c r="B362" s="256">
        <v>18.5</v>
      </c>
      <c r="C362" s="256">
        <v>24.4</v>
      </c>
      <c r="D362" s="256">
        <v>13.1</v>
      </c>
      <c r="E362" s="256">
        <v>87</v>
      </c>
      <c r="F362" s="256">
        <v>5964</v>
      </c>
      <c r="G362" s="256">
        <v>1.3</v>
      </c>
      <c r="H362" s="256">
        <v>4.8</v>
      </c>
      <c r="I362" s="256">
        <v>3.8</v>
      </c>
    </row>
    <row r="363" spans="1:9" ht="12.75">
      <c r="A363" s="270" t="s">
        <v>8279</v>
      </c>
      <c r="B363" s="256">
        <v>18.8</v>
      </c>
      <c r="C363" s="256">
        <v>24.5</v>
      </c>
      <c r="D363" s="256">
        <v>14.6</v>
      </c>
      <c r="E363" s="256">
        <v>89</v>
      </c>
      <c r="F363" s="256">
        <v>5094</v>
      </c>
      <c r="G363" s="256">
        <v>1.7</v>
      </c>
      <c r="H363" s="256">
        <v>7.8</v>
      </c>
      <c r="I363" s="256">
        <v>3.4</v>
      </c>
    </row>
    <row r="364" spans="1:9" ht="12.75">
      <c r="A364" s="270" t="s">
        <v>8280</v>
      </c>
      <c r="B364" s="256">
        <v>17</v>
      </c>
      <c r="C364" s="256">
        <v>23.1</v>
      </c>
      <c r="D364" s="256">
        <v>12.9</v>
      </c>
      <c r="E364" s="256">
        <v>82</v>
      </c>
      <c r="F364" s="256">
        <v>4925</v>
      </c>
      <c r="G364" s="256">
        <v>2.4</v>
      </c>
      <c r="H364" s="256">
        <v>9.1</v>
      </c>
      <c r="I364" s="256">
        <v>3.5</v>
      </c>
    </row>
    <row r="365" spans="1:9" ht="12.75">
      <c r="A365" s="270" t="s">
        <v>8281</v>
      </c>
      <c r="B365" s="256">
        <v>15.8</v>
      </c>
      <c r="C365" s="256">
        <v>21</v>
      </c>
      <c r="D365" s="256">
        <v>9.8000000000000007</v>
      </c>
      <c r="E365" s="256">
        <v>80</v>
      </c>
      <c r="F365" s="256">
        <v>7578</v>
      </c>
      <c r="G365" s="256">
        <v>2.2000000000000002</v>
      </c>
      <c r="H365" s="256">
        <v>0</v>
      </c>
      <c r="I365" s="256">
        <v>4.2</v>
      </c>
    </row>
    <row r="366" spans="1:9" ht="12.75">
      <c r="A366" s="270" t="s">
        <v>8282</v>
      </c>
      <c r="B366" s="256">
        <v>17</v>
      </c>
      <c r="C366" s="256">
        <v>21.6</v>
      </c>
      <c r="D366" s="256">
        <v>10</v>
      </c>
      <c r="E366" s="256">
        <v>76</v>
      </c>
      <c r="F366" s="256">
        <v>6672</v>
      </c>
      <c r="G366" s="256">
        <v>1.2</v>
      </c>
      <c r="H366" s="256">
        <v>0</v>
      </c>
      <c r="I366" s="256">
        <v>3.9</v>
      </c>
    </row>
    <row r="367" spans="1:9" ht="12.75">
      <c r="A367" s="270" t="s">
        <v>8283</v>
      </c>
      <c r="B367" s="256">
        <v>16.7</v>
      </c>
      <c r="C367" s="256">
        <v>21.4</v>
      </c>
      <c r="D367" s="256">
        <v>13.8</v>
      </c>
      <c r="E367" s="256">
        <v>82</v>
      </c>
      <c r="F367" s="256">
        <v>4431</v>
      </c>
      <c r="G367" s="256">
        <v>1</v>
      </c>
      <c r="H367" s="256">
        <v>2.5</v>
      </c>
      <c r="I367" s="256">
        <v>3</v>
      </c>
    </row>
    <row r="368" spans="1:9" ht="12.75">
      <c r="A368" s="270" t="s">
        <v>8284</v>
      </c>
      <c r="B368" s="256">
        <v>15.2</v>
      </c>
      <c r="C368" s="256">
        <v>18.3</v>
      </c>
      <c r="D368" s="256">
        <v>11.7</v>
      </c>
      <c r="E368" s="256">
        <v>88</v>
      </c>
      <c r="F368" s="256">
        <v>3253</v>
      </c>
      <c r="G368" s="256">
        <v>2.6</v>
      </c>
      <c r="H368" s="256">
        <v>9.3000000000000007</v>
      </c>
      <c r="I368" s="256">
        <v>2.2000000000000002</v>
      </c>
    </row>
    <row r="369" spans="1:9" ht="12.75">
      <c r="A369" s="270" t="s">
        <v>8285</v>
      </c>
      <c r="B369" s="256">
        <v>15</v>
      </c>
      <c r="C369" s="256">
        <v>17.7</v>
      </c>
      <c r="D369" s="256">
        <v>13.5</v>
      </c>
      <c r="E369" s="256">
        <v>83</v>
      </c>
      <c r="F369" s="256">
        <v>4519</v>
      </c>
      <c r="G369" s="256">
        <v>3</v>
      </c>
      <c r="H369" s="256">
        <v>1.4</v>
      </c>
      <c r="I369" s="256">
        <v>2.9</v>
      </c>
    </row>
    <row r="370" spans="1:9" ht="12.75">
      <c r="A370" s="270" t="s">
        <v>8286</v>
      </c>
      <c r="B370" s="256">
        <v>14.5</v>
      </c>
      <c r="C370" s="256">
        <v>17.3</v>
      </c>
      <c r="D370" s="256">
        <v>12.7</v>
      </c>
      <c r="E370" s="256">
        <v>81</v>
      </c>
      <c r="F370" s="256">
        <v>4872</v>
      </c>
      <c r="G370" s="256">
        <v>3.2</v>
      </c>
      <c r="H370" s="256">
        <v>2.7</v>
      </c>
      <c r="I370" s="256">
        <v>3.1</v>
      </c>
    </row>
    <row r="371" spans="1:9" ht="12.75">
      <c r="A371" s="270" t="s">
        <v>8287</v>
      </c>
      <c r="B371" s="256">
        <v>13.6</v>
      </c>
      <c r="C371" s="256">
        <v>17.5</v>
      </c>
      <c r="D371" s="256">
        <v>10.5</v>
      </c>
      <c r="E371" s="256">
        <v>83</v>
      </c>
      <c r="F371" s="256">
        <v>4906</v>
      </c>
      <c r="G371" s="256">
        <v>1.9</v>
      </c>
      <c r="H371" s="256">
        <v>3.8</v>
      </c>
      <c r="I371" s="256">
        <v>3</v>
      </c>
    </row>
    <row r="372" spans="1:9" ht="12.75">
      <c r="A372" s="270" t="s">
        <v>8288</v>
      </c>
      <c r="B372" s="256">
        <v>14.7</v>
      </c>
      <c r="C372" s="256">
        <v>17.899999999999999</v>
      </c>
      <c r="D372" s="256">
        <v>11.5</v>
      </c>
      <c r="E372" s="256">
        <v>81</v>
      </c>
      <c r="F372" s="256">
        <v>4908</v>
      </c>
      <c r="G372" s="256">
        <v>1.5</v>
      </c>
      <c r="H372" s="256">
        <v>4.8</v>
      </c>
      <c r="I372" s="256">
        <v>2.9</v>
      </c>
    </row>
    <row r="373" spans="1:9" ht="12.75">
      <c r="A373" s="270" t="s">
        <v>8289</v>
      </c>
      <c r="B373" s="256">
        <v>14.8</v>
      </c>
      <c r="C373" s="256">
        <v>18.899999999999999</v>
      </c>
      <c r="D373" s="256">
        <v>11.3</v>
      </c>
      <c r="E373" s="256">
        <v>82</v>
      </c>
      <c r="F373" s="256">
        <v>5744</v>
      </c>
      <c r="G373" s="256">
        <v>2.4</v>
      </c>
      <c r="H373" s="256">
        <v>3.2</v>
      </c>
      <c r="I373" s="256">
        <v>3.3</v>
      </c>
    </row>
    <row r="374" spans="1:9" ht="12.75">
      <c r="A374" s="270" t="s">
        <v>8290</v>
      </c>
      <c r="B374" s="256">
        <v>13.9</v>
      </c>
      <c r="C374" s="256">
        <v>17.5</v>
      </c>
      <c r="D374" s="256">
        <v>9.9</v>
      </c>
      <c r="E374" s="256">
        <v>86</v>
      </c>
      <c r="F374" s="256">
        <v>4206</v>
      </c>
      <c r="G374" s="256">
        <v>1.9</v>
      </c>
      <c r="H374" s="256">
        <v>8</v>
      </c>
      <c r="I374" s="256">
        <v>2.5</v>
      </c>
    </row>
    <row r="375" spans="1:9" ht="12.75">
      <c r="A375" s="270" t="s">
        <v>8291</v>
      </c>
      <c r="B375" s="256">
        <v>15.8</v>
      </c>
      <c r="C375" s="256">
        <v>19.5</v>
      </c>
      <c r="D375" s="256">
        <v>11.3</v>
      </c>
      <c r="E375" s="256">
        <v>75</v>
      </c>
      <c r="F375" s="256">
        <v>5603</v>
      </c>
      <c r="G375" s="256">
        <v>0.9</v>
      </c>
      <c r="H375" s="256">
        <v>0.3</v>
      </c>
      <c r="I375" s="256">
        <v>3.4</v>
      </c>
    </row>
    <row r="376" spans="1:9" ht="12.75">
      <c r="A376" s="270" t="s">
        <v>8292</v>
      </c>
      <c r="B376" s="256">
        <v>15.3</v>
      </c>
      <c r="C376" s="256">
        <v>15.5</v>
      </c>
      <c r="D376" s="256">
        <v>14</v>
      </c>
      <c r="E376" s="256">
        <v>90</v>
      </c>
      <c r="F376" s="256">
        <v>678</v>
      </c>
      <c r="G376" s="256">
        <v>3.7</v>
      </c>
      <c r="H376" s="256">
        <v>10.4</v>
      </c>
      <c r="I376" s="256">
        <v>0.9</v>
      </c>
    </row>
    <row r="377" spans="1:9" ht="12.75">
      <c r="A377" s="270" t="s">
        <v>8293</v>
      </c>
      <c r="B377" s="256">
        <v>17.2</v>
      </c>
      <c r="C377" s="256">
        <v>19.7</v>
      </c>
      <c r="D377" s="256">
        <v>15.2</v>
      </c>
      <c r="E377" s="256">
        <v>91</v>
      </c>
      <c r="F377" s="256">
        <v>1814</v>
      </c>
      <c r="G377" s="256">
        <v>2</v>
      </c>
      <c r="H377" s="256">
        <v>2.4</v>
      </c>
      <c r="I377" s="256">
        <v>1.5</v>
      </c>
    </row>
    <row r="378" spans="1:9" ht="12.75">
      <c r="A378" s="270" t="s">
        <v>8294</v>
      </c>
      <c r="B378" s="256">
        <v>21.8</v>
      </c>
      <c r="C378" s="256">
        <v>26.2</v>
      </c>
      <c r="D378" s="256">
        <v>16.399999999999999</v>
      </c>
      <c r="E378" s="256">
        <v>82</v>
      </c>
      <c r="F378" s="256">
        <v>5219</v>
      </c>
      <c r="G378" s="256">
        <v>2.1</v>
      </c>
      <c r="H378" s="256">
        <v>1.2</v>
      </c>
      <c r="I378" s="256">
        <v>3.8</v>
      </c>
    </row>
    <row r="379" spans="1:9" ht="12.75">
      <c r="A379" s="270" t="s">
        <v>8295</v>
      </c>
      <c r="B379" s="256">
        <v>22.5</v>
      </c>
      <c r="C379" s="256">
        <v>27.9</v>
      </c>
      <c r="D379" s="256">
        <v>19.7</v>
      </c>
      <c r="E379" s="256">
        <v>86</v>
      </c>
      <c r="F379" s="256">
        <v>5731</v>
      </c>
      <c r="G379" s="256">
        <v>2.2000000000000002</v>
      </c>
      <c r="H379" s="256">
        <v>11.3</v>
      </c>
      <c r="I379" s="256">
        <v>4.2</v>
      </c>
    </row>
    <row r="380" spans="1:9" ht="12.75">
      <c r="A380" s="270" t="s">
        <v>8296</v>
      </c>
      <c r="B380" s="256">
        <v>17.8</v>
      </c>
      <c r="C380" s="256">
        <v>21.6</v>
      </c>
      <c r="D380" s="256">
        <v>15.7</v>
      </c>
      <c r="E380" s="256">
        <v>76</v>
      </c>
      <c r="F380" s="256">
        <v>7306</v>
      </c>
      <c r="G380" s="256">
        <v>2</v>
      </c>
      <c r="H380" s="256">
        <v>0.2</v>
      </c>
      <c r="I380" s="256">
        <v>4.5</v>
      </c>
    </row>
    <row r="381" spans="1:9" ht="12.75">
      <c r="A381" s="270" t="s">
        <v>8297</v>
      </c>
      <c r="B381" s="256">
        <v>15.2</v>
      </c>
      <c r="C381" s="256">
        <v>18.899999999999999</v>
      </c>
      <c r="D381" s="256">
        <v>12.3</v>
      </c>
      <c r="E381" s="256">
        <v>75</v>
      </c>
      <c r="F381" s="256">
        <v>5181</v>
      </c>
      <c r="G381" s="256">
        <v>2.2999999999999998</v>
      </c>
      <c r="H381" s="256">
        <v>0.1</v>
      </c>
      <c r="I381" s="256">
        <v>3.4</v>
      </c>
    </row>
    <row r="382" spans="1:9" ht="12.75">
      <c r="A382" s="270" t="s">
        <v>8298</v>
      </c>
      <c r="B382" s="256">
        <v>14.9</v>
      </c>
      <c r="C382" s="256">
        <v>18.3</v>
      </c>
      <c r="D382" s="256">
        <v>11.2</v>
      </c>
      <c r="E382" s="256">
        <v>78</v>
      </c>
      <c r="F382" s="256">
        <v>6072</v>
      </c>
      <c r="G382" s="256">
        <v>3</v>
      </c>
      <c r="H382" s="256">
        <v>5.9</v>
      </c>
      <c r="I382" s="256">
        <v>3.6</v>
      </c>
    </row>
    <row r="383" spans="1:9" ht="12.75">
      <c r="A383" s="270" t="s">
        <v>8299</v>
      </c>
      <c r="B383" s="256">
        <v>15.6</v>
      </c>
      <c r="C383" s="256">
        <v>19.2</v>
      </c>
      <c r="D383" s="256">
        <v>12.4</v>
      </c>
      <c r="E383" s="256">
        <v>83</v>
      </c>
      <c r="F383" s="256">
        <v>3839</v>
      </c>
      <c r="G383" s="256">
        <v>3.1</v>
      </c>
      <c r="H383" s="256">
        <v>2.2999999999999998</v>
      </c>
      <c r="I383" s="256">
        <v>2.6</v>
      </c>
    </row>
    <row r="384" spans="1:9" ht="12.75">
      <c r="A384" s="270" t="s">
        <v>8300</v>
      </c>
      <c r="B384" s="256">
        <v>16.2</v>
      </c>
      <c r="C384" s="256">
        <v>19.899999999999999</v>
      </c>
      <c r="D384" s="256">
        <v>11.1</v>
      </c>
      <c r="E384" s="256">
        <v>76</v>
      </c>
      <c r="F384" s="256">
        <v>5108</v>
      </c>
      <c r="G384" s="256">
        <v>2.9</v>
      </c>
      <c r="H384" s="256">
        <v>0.8</v>
      </c>
      <c r="I384" s="256">
        <v>3.4</v>
      </c>
    </row>
    <row r="385" spans="1:9" ht="12.75">
      <c r="A385" s="270" t="s">
        <v>8301</v>
      </c>
      <c r="B385" s="256">
        <v>16.2</v>
      </c>
      <c r="C385" s="256">
        <v>20.100000000000001</v>
      </c>
      <c r="D385" s="256">
        <v>12.3</v>
      </c>
      <c r="E385" s="256">
        <v>71</v>
      </c>
      <c r="F385" s="256">
        <v>5075</v>
      </c>
      <c r="G385" s="256">
        <v>3.2</v>
      </c>
      <c r="H385" s="256">
        <v>0.3</v>
      </c>
      <c r="I385" s="256">
        <v>3.7</v>
      </c>
    </row>
    <row r="386" spans="1:9" ht="12.75">
      <c r="A386" s="270" t="s">
        <v>8302</v>
      </c>
      <c r="B386" s="256">
        <v>16.899999999999999</v>
      </c>
      <c r="C386" s="256">
        <v>19.3</v>
      </c>
      <c r="D386" s="256">
        <v>13.7</v>
      </c>
      <c r="E386" s="256">
        <v>84</v>
      </c>
      <c r="F386" s="256">
        <v>2275</v>
      </c>
      <c r="G386" s="256">
        <v>3.2</v>
      </c>
      <c r="H386" s="256">
        <v>2.1</v>
      </c>
      <c r="I386" s="256">
        <v>1.9</v>
      </c>
    </row>
    <row r="387" spans="1:9" ht="12.75">
      <c r="A387" s="270" t="s">
        <v>8303</v>
      </c>
      <c r="B387" s="256">
        <v>17.100000000000001</v>
      </c>
      <c r="C387" s="256">
        <v>20.100000000000001</v>
      </c>
      <c r="D387" s="256">
        <v>15.6</v>
      </c>
      <c r="E387" s="256">
        <v>82</v>
      </c>
      <c r="F387" s="256">
        <v>2778</v>
      </c>
      <c r="G387" s="256">
        <v>3.9</v>
      </c>
      <c r="H387" s="256">
        <v>2.4</v>
      </c>
      <c r="I387" s="256">
        <v>2.5</v>
      </c>
    </row>
    <row r="388" spans="1:9" ht="12.75">
      <c r="A388" s="270" t="s">
        <v>8304</v>
      </c>
      <c r="B388" s="256">
        <v>14.4</v>
      </c>
      <c r="C388" s="256">
        <v>17.399999999999999</v>
      </c>
      <c r="D388" s="256">
        <v>12.2</v>
      </c>
      <c r="E388" s="256">
        <v>74</v>
      </c>
      <c r="F388" s="256">
        <v>6158</v>
      </c>
      <c r="G388" s="256">
        <v>3.3</v>
      </c>
      <c r="H388" s="256">
        <v>3</v>
      </c>
      <c r="I388" s="256">
        <v>3.6</v>
      </c>
    </row>
    <row r="389" spans="1:9" ht="12.75">
      <c r="A389" s="270" t="s">
        <v>8305</v>
      </c>
      <c r="B389" s="256">
        <v>14</v>
      </c>
      <c r="C389" s="256">
        <v>16.2</v>
      </c>
      <c r="D389" s="256">
        <v>10.3</v>
      </c>
      <c r="E389" s="256">
        <v>81</v>
      </c>
      <c r="F389" s="256">
        <v>1992</v>
      </c>
      <c r="G389" s="256">
        <v>2.2999999999999998</v>
      </c>
      <c r="H389" s="256">
        <v>0.6</v>
      </c>
      <c r="I389" s="256">
        <v>1.7</v>
      </c>
    </row>
    <row r="390" spans="1:9" ht="12.75">
      <c r="A390" s="270" t="s">
        <v>8306</v>
      </c>
      <c r="B390" s="256">
        <v>16.8</v>
      </c>
      <c r="C390" s="256">
        <v>20</v>
      </c>
      <c r="D390" s="256">
        <v>11.3</v>
      </c>
      <c r="E390" s="256">
        <v>81</v>
      </c>
      <c r="F390" s="256">
        <v>4783</v>
      </c>
      <c r="G390" s="256">
        <v>1.3</v>
      </c>
      <c r="H390" s="256">
        <v>1.1000000000000001</v>
      </c>
      <c r="I390" s="256">
        <v>3</v>
      </c>
    </row>
    <row r="391" spans="1:9" ht="12.75">
      <c r="A391" s="270" t="s">
        <v>8307</v>
      </c>
      <c r="B391" s="256">
        <v>16.3</v>
      </c>
      <c r="C391" s="256">
        <v>19.8</v>
      </c>
      <c r="D391" s="256">
        <v>14.6</v>
      </c>
      <c r="E391" s="256">
        <v>79</v>
      </c>
      <c r="F391" s="256">
        <v>4650</v>
      </c>
      <c r="G391" s="256">
        <v>3.1</v>
      </c>
      <c r="H391" s="256">
        <v>0.8</v>
      </c>
      <c r="I391" s="256">
        <v>3.1</v>
      </c>
    </row>
    <row r="392" spans="1:9" ht="12.75">
      <c r="A392" s="270" t="s">
        <v>8308</v>
      </c>
      <c r="B392" s="256">
        <v>16.100000000000001</v>
      </c>
      <c r="C392" s="256">
        <v>20.399999999999999</v>
      </c>
      <c r="D392" s="256">
        <v>10.4</v>
      </c>
      <c r="E392" s="256">
        <v>75</v>
      </c>
      <c r="F392" s="256">
        <v>5228</v>
      </c>
      <c r="G392" s="256">
        <v>1.3</v>
      </c>
      <c r="H392" s="256">
        <v>0.2</v>
      </c>
      <c r="I392" s="256">
        <v>3.3</v>
      </c>
    </row>
    <row r="393" spans="1:9" ht="12.75">
      <c r="A393" s="270" t="s">
        <v>8309</v>
      </c>
      <c r="B393" s="256">
        <v>18.5</v>
      </c>
      <c r="C393" s="256">
        <v>24.2</v>
      </c>
      <c r="D393" s="256">
        <v>10.4</v>
      </c>
      <c r="E393" s="256">
        <v>73</v>
      </c>
      <c r="F393" s="256">
        <v>7725</v>
      </c>
      <c r="G393" s="256">
        <v>1.8</v>
      </c>
      <c r="H393" s="256">
        <v>0.3</v>
      </c>
      <c r="I393" s="256">
        <v>4.8</v>
      </c>
    </row>
    <row r="394" spans="1:9" ht="12.75">
      <c r="A394" s="270" t="s">
        <v>8310</v>
      </c>
      <c r="B394" s="256">
        <v>18.2</v>
      </c>
      <c r="C394" s="256">
        <v>22.6</v>
      </c>
      <c r="D394" s="256">
        <v>12.8</v>
      </c>
      <c r="E394" s="256">
        <v>77</v>
      </c>
      <c r="F394" s="256">
        <v>6297</v>
      </c>
      <c r="G394" s="256">
        <v>2.2000000000000002</v>
      </c>
      <c r="H394" s="256">
        <v>0</v>
      </c>
      <c r="I394" s="256">
        <v>4</v>
      </c>
    </row>
    <row r="395" spans="1:9" ht="12.75">
      <c r="A395" s="270" t="s">
        <v>8311</v>
      </c>
      <c r="B395" s="256">
        <v>19.7</v>
      </c>
      <c r="C395" s="256">
        <v>24.2</v>
      </c>
      <c r="D395" s="256">
        <v>13.8</v>
      </c>
      <c r="E395" s="256">
        <v>76</v>
      </c>
      <c r="F395" s="256">
        <v>7270</v>
      </c>
      <c r="G395" s="256">
        <v>2</v>
      </c>
      <c r="H395" s="256">
        <v>0</v>
      </c>
      <c r="I395" s="256">
        <v>4.5999999999999996</v>
      </c>
    </row>
    <row r="396" spans="1:9" ht="12.75">
      <c r="A396" s="270" t="s">
        <v>8312</v>
      </c>
      <c r="B396" s="256">
        <v>21.5</v>
      </c>
      <c r="C396" s="256">
        <v>26.4</v>
      </c>
      <c r="D396" s="256">
        <v>17.3</v>
      </c>
      <c r="E396" s="256">
        <v>71</v>
      </c>
      <c r="F396" s="256">
        <v>7103</v>
      </c>
      <c r="G396" s="256">
        <v>2.8</v>
      </c>
      <c r="H396" s="256">
        <v>0.2</v>
      </c>
      <c r="I396" s="256">
        <v>5.4</v>
      </c>
    </row>
    <row r="397" spans="1:9" ht="12.75">
      <c r="A397" s="270" t="s">
        <v>8313</v>
      </c>
      <c r="B397" s="256">
        <v>18.399999999999999</v>
      </c>
      <c r="C397" s="256">
        <v>21.3</v>
      </c>
      <c r="D397" s="256">
        <v>17</v>
      </c>
      <c r="E397" s="256">
        <v>70</v>
      </c>
      <c r="F397" s="256">
        <v>4675</v>
      </c>
      <c r="G397" s="256">
        <v>2.9</v>
      </c>
      <c r="H397" s="256">
        <v>0.5</v>
      </c>
      <c r="I397" s="256">
        <v>3.9</v>
      </c>
    </row>
    <row r="398" spans="1:9" ht="12.75">
      <c r="A398" s="270" t="s">
        <v>8314</v>
      </c>
      <c r="B398" s="256">
        <v>16.2</v>
      </c>
      <c r="C398" s="256">
        <v>19.399999999999999</v>
      </c>
      <c r="D398" s="256">
        <v>14.3</v>
      </c>
      <c r="E398" s="256">
        <v>70</v>
      </c>
      <c r="F398" s="256">
        <v>5489</v>
      </c>
      <c r="G398" s="256">
        <v>2.5</v>
      </c>
      <c r="H398" s="256">
        <v>4.4000000000000004</v>
      </c>
      <c r="I398" s="256">
        <v>3.8</v>
      </c>
    </row>
    <row r="399" spans="1:9" ht="12.75">
      <c r="A399" s="270" t="s">
        <v>8315</v>
      </c>
      <c r="B399" s="256">
        <v>13.8</v>
      </c>
      <c r="C399" s="256">
        <v>16.2</v>
      </c>
      <c r="D399" s="256">
        <v>11.4</v>
      </c>
      <c r="E399" s="256">
        <v>81</v>
      </c>
      <c r="F399" s="256">
        <v>4358</v>
      </c>
      <c r="G399" s="256">
        <v>3</v>
      </c>
      <c r="H399" s="256">
        <v>6.8</v>
      </c>
      <c r="I399" s="256">
        <v>2.6</v>
      </c>
    </row>
    <row r="400" spans="1:9" ht="12.75">
      <c r="A400" s="270" t="s">
        <v>8316</v>
      </c>
      <c r="B400" s="256">
        <v>14.6</v>
      </c>
      <c r="C400" s="256">
        <v>18.5</v>
      </c>
      <c r="D400" s="256">
        <v>10.7</v>
      </c>
      <c r="E400" s="256">
        <v>78</v>
      </c>
      <c r="F400" s="256">
        <v>6294</v>
      </c>
      <c r="G400" s="256">
        <v>2.5</v>
      </c>
      <c r="H400" s="256">
        <v>2.7</v>
      </c>
      <c r="I400" s="256">
        <v>3.7</v>
      </c>
    </row>
    <row r="401" spans="1:9" ht="12.75">
      <c r="A401" s="270" t="s">
        <v>8317</v>
      </c>
      <c r="B401" s="256">
        <v>16</v>
      </c>
      <c r="C401" s="256">
        <v>20.7</v>
      </c>
      <c r="D401" s="256">
        <v>9.6</v>
      </c>
      <c r="E401" s="256">
        <v>70</v>
      </c>
      <c r="F401" s="256">
        <v>5989</v>
      </c>
      <c r="G401" s="256">
        <v>1.9</v>
      </c>
      <c r="H401" s="256">
        <v>0.2</v>
      </c>
      <c r="I401" s="256">
        <v>3.8</v>
      </c>
    </row>
    <row r="402" spans="1:9" ht="12.75">
      <c r="A402" s="270" t="s">
        <v>8318</v>
      </c>
      <c r="B402" s="256">
        <v>18.100000000000001</v>
      </c>
      <c r="C402" s="256">
        <v>22.7</v>
      </c>
      <c r="D402" s="256">
        <v>13.1</v>
      </c>
      <c r="E402" s="256">
        <v>77</v>
      </c>
      <c r="F402" s="256">
        <v>4153</v>
      </c>
      <c r="G402" s="256">
        <v>2</v>
      </c>
      <c r="H402" s="256">
        <v>0.2</v>
      </c>
      <c r="I402" s="256">
        <v>3.1</v>
      </c>
    </row>
    <row r="403" spans="1:9" ht="12.75">
      <c r="A403" s="270" t="s">
        <v>8319</v>
      </c>
      <c r="B403" s="256">
        <v>19.399999999999999</v>
      </c>
      <c r="C403" s="256">
        <v>25.1</v>
      </c>
      <c r="D403" s="256">
        <v>12.8</v>
      </c>
      <c r="E403" s="256">
        <v>79</v>
      </c>
      <c r="F403" s="256">
        <v>5592</v>
      </c>
      <c r="G403" s="256">
        <v>1.6</v>
      </c>
      <c r="H403" s="256">
        <v>0.3</v>
      </c>
      <c r="I403" s="256">
        <v>3.8</v>
      </c>
    </row>
    <row r="404" spans="1:9" ht="12.75">
      <c r="A404" s="270" t="s">
        <v>8320</v>
      </c>
      <c r="B404" s="256">
        <v>21.1</v>
      </c>
      <c r="C404" s="256">
        <v>26.8</v>
      </c>
      <c r="D404" s="256">
        <v>13.8</v>
      </c>
      <c r="E404" s="256">
        <v>77</v>
      </c>
      <c r="F404" s="256">
        <v>7097</v>
      </c>
      <c r="G404" s="256">
        <v>1</v>
      </c>
      <c r="H404" s="256">
        <v>0</v>
      </c>
      <c r="I404" s="256">
        <v>4.5</v>
      </c>
    </row>
    <row r="405" spans="1:9" ht="12.75">
      <c r="A405" s="270" t="s">
        <v>8321</v>
      </c>
      <c r="B405" s="256">
        <v>24.5</v>
      </c>
      <c r="C405" s="256">
        <v>30.6</v>
      </c>
      <c r="D405" s="256">
        <v>16.899999999999999</v>
      </c>
      <c r="E405" s="256">
        <v>69</v>
      </c>
      <c r="F405" s="256">
        <v>7686</v>
      </c>
      <c r="G405" s="256">
        <v>2.5</v>
      </c>
      <c r="H405" s="256">
        <v>0</v>
      </c>
      <c r="I405" s="256">
        <v>6</v>
      </c>
    </row>
    <row r="406" spans="1:9" ht="12.75">
      <c r="A406" s="270" t="s">
        <v>8322</v>
      </c>
      <c r="B406" s="256">
        <v>23.7</v>
      </c>
      <c r="C406" s="256">
        <v>29.5</v>
      </c>
      <c r="D406" s="256">
        <v>21</v>
      </c>
      <c r="E406" s="256">
        <v>67</v>
      </c>
      <c r="F406" s="256">
        <v>6914</v>
      </c>
      <c r="G406" s="256">
        <v>2.9</v>
      </c>
      <c r="H406" s="256">
        <v>0.7</v>
      </c>
      <c r="I406" s="256">
        <v>5.8</v>
      </c>
    </row>
    <row r="407" spans="1:9" ht="12.75">
      <c r="A407" s="270" t="s">
        <v>8323</v>
      </c>
      <c r="B407" s="256">
        <v>19.899999999999999</v>
      </c>
      <c r="C407" s="256">
        <v>24</v>
      </c>
      <c r="D407" s="256">
        <v>16</v>
      </c>
      <c r="E407" s="256">
        <v>72</v>
      </c>
      <c r="F407" s="256">
        <v>5422</v>
      </c>
      <c r="G407" s="256">
        <v>2</v>
      </c>
      <c r="H407" s="256">
        <v>0</v>
      </c>
      <c r="I407" s="256">
        <v>3.9</v>
      </c>
    </row>
    <row r="408" spans="1:9" ht="12.75">
      <c r="A408" s="270" t="s">
        <v>8324</v>
      </c>
      <c r="B408" s="256">
        <v>20</v>
      </c>
      <c r="C408" s="256">
        <v>23.4</v>
      </c>
      <c r="D408" s="256">
        <v>16.5</v>
      </c>
      <c r="E408" s="256">
        <v>73</v>
      </c>
      <c r="F408" s="256">
        <v>4556</v>
      </c>
      <c r="G408" s="256">
        <v>1.9</v>
      </c>
      <c r="H408" s="256">
        <v>0.5</v>
      </c>
      <c r="I408" s="256">
        <v>3.4</v>
      </c>
    </row>
    <row r="409" spans="1:9" ht="12.75">
      <c r="A409" s="270" t="s">
        <v>8325</v>
      </c>
      <c r="B409" s="256">
        <v>19.3</v>
      </c>
      <c r="C409" s="256">
        <v>24.9</v>
      </c>
      <c r="D409" s="256">
        <v>15</v>
      </c>
      <c r="E409" s="256">
        <v>75</v>
      </c>
      <c r="F409" s="256">
        <v>6475</v>
      </c>
      <c r="G409" s="256">
        <v>2.8</v>
      </c>
      <c r="H409" s="256">
        <v>0</v>
      </c>
      <c r="I409" s="256">
        <v>4.7</v>
      </c>
    </row>
    <row r="410" spans="1:9" ht="12.75">
      <c r="A410" s="270" t="s">
        <v>8326</v>
      </c>
      <c r="B410" s="256">
        <v>19.100000000000001</v>
      </c>
      <c r="C410" s="256">
        <v>24.3</v>
      </c>
      <c r="D410" s="256">
        <v>12.7</v>
      </c>
      <c r="E410" s="256">
        <v>73</v>
      </c>
      <c r="F410" s="256">
        <v>6422</v>
      </c>
      <c r="G410" s="256">
        <v>2</v>
      </c>
      <c r="H410" s="256">
        <v>0</v>
      </c>
      <c r="I410" s="256">
        <v>4.3</v>
      </c>
    </row>
    <row r="411" spans="1:9" ht="12.75">
      <c r="A411" s="270" t="s">
        <v>8327</v>
      </c>
      <c r="B411" s="256">
        <v>19.2</v>
      </c>
      <c r="C411" s="256">
        <v>22.9</v>
      </c>
      <c r="D411" s="256">
        <v>16</v>
      </c>
      <c r="E411" s="256">
        <v>75</v>
      </c>
      <c r="F411" s="256">
        <v>3125</v>
      </c>
      <c r="G411" s="256">
        <v>1.9</v>
      </c>
      <c r="H411" s="256">
        <v>1.1000000000000001</v>
      </c>
      <c r="I411" s="256">
        <v>2.7</v>
      </c>
    </row>
    <row r="412" spans="1:9" ht="12.75">
      <c r="A412" s="270" t="s">
        <v>8328</v>
      </c>
      <c r="B412" s="256">
        <v>17.3</v>
      </c>
      <c r="C412" s="256">
        <v>21.6</v>
      </c>
      <c r="D412" s="256">
        <v>12.5</v>
      </c>
      <c r="E412" s="256">
        <v>74</v>
      </c>
      <c r="F412" s="256">
        <v>4467</v>
      </c>
      <c r="G412" s="256">
        <v>2</v>
      </c>
      <c r="H412" s="256">
        <v>0.1</v>
      </c>
      <c r="I412" s="256">
        <v>3.2</v>
      </c>
    </row>
    <row r="413" spans="1:9" ht="12.75">
      <c r="A413" s="270" t="s">
        <v>8329</v>
      </c>
      <c r="B413" s="256">
        <v>18.3</v>
      </c>
      <c r="C413" s="256">
        <v>21.8</v>
      </c>
      <c r="D413" s="256">
        <v>12.8</v>
      </c>
      <c r="E413" s="256">
        <v>74</v>
      </c>
      <c r="F413" s="256">
        <v>3544</v>
      </c>
      <c r="G413" s="256">
        <v>2.4</v>
      </c>
      <c r="H413" s="256">
        <v>0.8</v>
      </c>
      <c r="I413" s="256">
        <v>2.9</v>
      </c>
    </row>
    <row r="414" spans="1:9" ht="12.75">
      <c r="A414" s="270" t="s">
        <v>8330</v>
      </c>
      <c r="B414" s="256">
        <v>19.8</v>
      </c>
      <c r="C414" s="256">
        <v>23.4</v>
      </c>
      <c r="D414" s="256">
        <v>16.899999999999999</v>
      </c>
      <c r="E414" s="256">
        <v>70</v>
      </c>
      <c r="F414" s="256">
        <v>5847</v>
      </c>
      <c r="G414" s="256">
        <v>2.8</v>
      </c>
      <c r="H414" s="256">
        <v>1.4</v>
      </c>
      <c r="I414" s="256">
        <v>4.4000000000000004</v>
      </c>
    </row>
    <row r="415" spans="1:9" ht="12.75">
      <c r="A415" s="270" t="s">
        <v>8331</v>
      </c>
      <c r="B415" s="256">
        <v>18.899999999999999</v>
      </c>
      <c r="C415" s="256">
        <v>22.6</v>
      </c>
      <c r="D415" s="256">
        <v>17.100000000000001</v>
      </c>
      <c r="E415" s="256">
        <v>75</v>
      </c>
      <c r="F415" s="256">
        <v>4172</v>
      </c>
      <c r="G415" s="256">
        <v>2.8</v>
      </c>
      <c r="H415" s="256">
        <v>4</v>
      </c>
      <c r="I415" s="256">
        <v>3.4</v>
      </c>
    </row>
    <row r="416" spans="1:9" ht="12.75">
      <c r="A416" s="270" t="s">
        <v>8332</v>
      </c>
      <c r="B416" s="256">
        <v>18.100000000000001</v>
      </c>
      <c r="C416" s="256">
        <v>21</v>
      </c>
      <c r="D416" s="256">
        <v>15.6</v>
      </c>
      <c r="E416" s="256">
        <v>72</v>
      </c>
      <c r="F416" s="256">
        <v>4361</v>
      </c>
      <c r="G416" s="256">
        <v>1.9</v>
      </c>
      <c r="H416" s="256">
        <v>1</v>
      </c>
      <c r="I416" s="256">
        <v>3.2</v>
      </c>
    </row>
    <row r="417" spans="1:9" ht="12.75">
      <c r="A417" s="270" t="s">
        <v>8333</v>
      </c>
      <c r="B417" s="256">
        <v>16.7</v>
      </c>
      <c r="C417" s="256">
        <v>20.7</v>
      </c>
      <c r="D417" s="256">
        <v>14.5</v>
      </c>
      <c r="E417" s="256">
        <v>77</v>
      </c>
      <c r="F417" s="256">
        <v>4206</v>
      </c>
      <c r="G417" s="256">
        <v>1.9</v>
      </c>
      <c r="H417" s="256">
        <v>4</v>
      </c>
      <c r="I417" s="256">
        <v>3.1</v>
      </c>
    </row>
    <row r="418" spans="1:9" ht="12.75">
      <c r="A418" s="270" t="s">
        <v>8334</v>
      </c>
      <c r="B418" s="256">
        <v>16.5</v>
      </c>
      <c r="C418" s="256">
        <v>21.1</v>
      </c>
      <c r="D418" s="256">
        <v>10.9</v>
      </c>
      <c r="E418" s="256">
        <v>70</v>
      </c>
      <c r="F418" s="256">
        <v>5361</v>
      </c>
      <c r="G418" s="256">
        <v>2.1</v>
      </c>
      <c r="H418" s="256">
        <v>0</v>
      </c>
      <c r="I418" s="256">
        <v>3.7</v>
      </c>
    </row>
    <row r="419" spans="1:9" ht="12.75">
      <c r="A419" s="270" t="s">
        <v>8335</v>
      </c>
      <c r="B419" s="256">
        <v>17.600000000000001</v>
      </c>
      <c r="C419" s="256">
        <v>19.2</v>
      </c>
      <c r="D419" s="256">
        <v>15.1</v>
      </c>
      <c r="E419" s="256">
        <v>85</v>
      </c>
      <c r="F419" s="256">
        <v>1242</v>
      </c>
      <c r="G419" s="256">
        <v>4</v>
      </c>
      <c r="H419" s="256">
        <v>5.7</v>
      </c>
      <c r="I419" s="256">
        <v>1.4</v>
      </c>
    </row>
    <row r="420" spans="1:9" ht="12.75">
      <c r="A420" s="270" t="s">
        <v>8336</v>
      </c>
      <c r="B420" s="256">
        <v>18.5</v>
      </c>
      <c r="C420" s="256">
        <v>20.399999999999999</v>
      </c>
      <c r="D420" s="256">
        <v>17.600000000000001</v>
      </c>
      <c r="E420" s="256">
        <v>87</v>
      </c>
      <c r="F420" s="256">
        <v>969</v>
      </c>
      <c r="G420" s="256">
        <v>3.7</v>
      </c>
      <c r="H420" s="256">
        <v>9.5</v>
      </c>
      <c r="I420" s="256">
        <v>1.2</v>
      </c>
    </row>
    <row r="421" spans="1:9" ht="12.75">
      <c r="A421" s="270" t="s">
        <v>8337</v>
      </c>
      <c r="B421" s="256">
        <v>17.2</v>
      </c>
      <c r="C421" s="256">
        <v>21.3</v>
      </c>
      <c r="D421" s="256">
        <v>14</v>
      </c>
      <c r="E421" s="256">
        <v>72</v>
      </c>
      <c r="F421" s="256">
        <v>3731</v>
      </c>
      <c r="G421" s="256">
        <v>2.8</v>
      </c>
      <c r="H421" s="256">
        <v>0.3</v>
      </c>
      <c r="I421" s="256">
        <v>3.2</v>
      </c>
    </row>
    <row r="422" spans="1:9" ht="12.75">
      <c r="A422" s="270" t="s">
        <v>8338</v>
      </c>
      <c r="B422" s="256">
        <v>16.5</v>
      </c>
      <c r="C422" s="256">
        <v>20.6</v>
      </c>
      <c r="D422" s="256">
        <v>12.6</v>
      </c>
      <c r="E422" s="256">
        <v>77</v>
      </c>
      <c r="F422" s="256">
        <v>4989</v>
      </c>
      <c r="G422" s="256">
        <v>2.8</v>
      </c>
      <c r="H422" s="256">
        <v>0.5</v>
      </c>
      <c r="I422" s="256">
        <v>3.4</v>
      </c>
    </row>
    <row r="423" spans="1:9" ht="12.75">
      <c r="A423" s="270" t="s">
        <v>8339</v>
      </c>
      <c r="B423" s="256">
        <v>16.8</v>
      </c>
      <c r="C423" s="256">
        <v>21.6</v>
      </c>
      <c r="D423" s="256">
        <v>12.1</v>
      </c>
      <c r="E423" s="256">
        <v>76</v>
      </c>
      <c r="F423" s="256">
        <v>4869</v>
      </c>
      <c r="G423" s="256">
        <v>2.2999999999999998</v>
      </c>
      <c r="H423" s="256">
        <v>0.6</v>
      </c>
      <c r="I423" s="256">
        <v>3.4</v>
      </c>
    </row>
    <row r="424" spans="1:9" ht="12.75">
      <c r="A424" s="270" t="s">
        <v>8340</v>
      </c>
      <c r="B424" s="256">
        <v>19.2</v>
      </c>
      <c r="C424" s="256">
        <v>24.1</v>
      </c>
      <c r="D424" s="256">
        <v>12.3</v>
      </c>
      <c r="E424" s="256">
        <v>78</v>
      </c>
      <c r="F424" s="256">
        <v>4514</v>
      </c>
      <c r="G424" s="256">
        <v>2.5</v>
      </c>
      <c r="H424" s="256">
        <v>0</v>
      </c>
      <c r="I424" s="256">
        <v>3.5</v>
      </c>
    </row>
    <row r="425" spans="1:9" ht="12.75">
      <c r="A425" s="270" t="s">
        <v>8341</v>
      </c>
      <c r="B425" s="256">
        <v>17</v>
      </c>
      <c r="C425" s="256">
        <v>21.5</v>
      </c>
      <c r="D425" s="256">
        <v>13.1</v>
      </c>
      <c r="E425" s="256">
        <v>70</v>
      </c>
      <c r="F425" s="256">
        <v>5053</v>
      </c>
      <c r="G425" s="256">
        <v>3.2</v>
      </c>
      <c r="H425" s="256">
        <v>0.3</v>
      </c>
      <c r="I425" s="256">
        <v>3.9</v>
      </c>
    </row>
    <row r="426" spans="1:9" ht="12.75">
      <c r="A426" s="270" t="s">
        <v>8342</v>
      </c>
      <c r="B426" s="256">
        <v>15.4</v>
      </c>
      <c r="C426" s="256">
        <v>19.100000000000001</v>
      </c>
      <c r="D426" s="256">
        <v>11.9</v>
      </c>
      <c r="E426" s="256">
        <v>67</v>
      </c>
      <c r="F426" s="256">
        <v>6161</v>
      </c>
      <c r="G426" s="256">
        <v>2.5</v>
      </c>
      <c r="H426" s="256">
        <v>0</v>
      </c>
      <c r="I426" s="256">
        <v>3.8</v>
      </c>
    </row>
    <row r="427" spans="1:9" ht="12.75">
      <c r="A427" s="270" t="s">
        <v>8343</v>
      </c>
      <c r="B427" s="256">
        <v>13.8</v>
      </c>
      <c r="C427" s="256">
        <v>17.3</v>
      </c>
      <c r="D427" s="256">
        <v>11.5</v>
      </c>
      <c r="E427" s="256">
        <v>71</v>
      </c>
      <c r="F427" s="256">
        <v>4969</v>
      </c>
      <c r="G427" s="256">
        <v>2.4</v>
      </c>
      <c r="H427" s="256">
        <v>1</v>
      </c>
      <c r="I427" s="256">
        <v>3.1</v>
      </c>
    </row>
    <row r="428" spans="1:9" ht="12.75">
      <c r="A428" s="270" t="s">
        <v>8344</v>
      </c>
      <c r="B428" s="256">
        <v>15.2</v>
      </c>
      <c r="C428" s="256">
        <v>19.5</v>
      </c>
      <c r="D428" s="256">
        <v>8.8000000000000007</v>
      </c>
      <c r="E428" s="256">
        <v>77</v>
      </c>
      <c r="F428" s="256">
        <v>2550</v>
      </c>
      <c r="G428" s="256">
        <v>2.8</v>
      </c>
      <c r="H428" s="256">
        <v>0.1</v>
      </c>
      <c r="I428" s="256">
        <v>2.5</v>
      </c>
    </row>
    <row r="429" spans="1:9" ht="12.75">
      <c r="A429" s="270" t="s">
        <v>8345</v>
      </c>
      <c r="B429" s="256">
        <v>17.899999999999999</v>
      </c>
      <c r="C429" s="256">
        <v>23.2</v>
      </c>
      <c r="D429" s="256">
        <v>13.5</v>
      </c>
      <c r="E429" s="256">
        <v>80</v>
      </c>
      <c r="F429" s="256">
        <v>3981</v>
      </c>
      <c r="G429" s="256">
        <v>1.9</v>
      </c>
      <c r="H429" s="256">
        <v>0.3</v>
      </c>
      <c r="I429" s="256">
        <v>3</v>
      </c>
    </row>
    <row r="430" spans="1:9" ht="12.75">
      <c r="A430" s="270" t="s">
        <v>8346</v>
      </c>
      <c r="B430" s="256">
        <v>17.8</v>
      </c>
      <c r="C430" s="256">
        <v>24.3</v>
      </c>
      <c r="D430" s="256">
        <v>10.7</v>
      </c>
      <c r="E430" s="256">
        <v>76</v>
      </c>
      <c r="F430" s="256">
        <v>6617</v>
      </c>
      <c r="G430" s="256">
        <v>1.7</v>
      </c>
      <c r="H430" s="256">
        <v>0</v>
      </c>
      <c r="I430" s="256">
        <v>4</v>
      </c>
    </row>
    <row r="431" spans="1:9" ht="12.75">
      <c r="A431" s="270" t="s">
        <v>8347</v>
      </c>
      <c r="B431" s="256">
        <v>18.100000000000001</v>
      </c>
      <c r="C431" s="256">
        <v>23.8</v>
      </c>
      <c r="D431" s="256">
        <v>12</v>
      </c>
      <c r="E431" s="256">
        <v>77</v>
      </c>
      <c r="F431" s="256">
        <v>5131</v>
      </c>
      <c r="G431" s="256">
        <v>1.8</v>
      </c>
      <c r="H431" s="256">
        <v>0</v>
      </c>
      <c r="I431" s="256">
        <v>3.4</v>
      </c>
    </row>
    <row r="432" spans="1:9" ht="12.75">
      <c r="A432" s="270" t="s">
        <v>8348</v>
      </c>
      <c r="B432" s="256">
        <v>18.399999999999999</v>
      </c>
      <c r="C432" s="256">
        <v>23.6</v>
      </c>
      <c r="D432" s="256">
        <v>13</v>
      </c>
      <c r="E432" s="256">
        <v>71</v>
      </c>
      <c r="F432" s="256">
        <v>6664</v>
      </c>
      <c r="G432" s="256">
        <v>2.9</v>
      </c>
      <c r="H432" s="256">
        <v>0</v>
      </c>
      <c r="I432" s="256">
        <v>4.3</v>
      </c>
    </row>
  </sheetData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5"/>
  <sheetViews>
    <sheetView workbookViewId="0">
      <selection activeCell="N64" sqref="N64"/>
    </sheetView>
  </sheetViews>
  <sheetFormatPr baseColWidth="10" defaultColWidth="11.42578125" defaultRowHeight="12"/>
  <sheetData>
    <row r="2" spans="3:8">
      <c r="C2" s="338" t="s">
        <v>7628</v>
      </c>
      <c r="D2" s="338"/>
      <c r="E2" s="338"/>
      <c r="F2" s="338"/>
      <c r="G2" s="338"/>
      <c r="H2" s="338"/>
    </row>
    <row r="3" spans="3:8" ht="12" customHeight="1">
      <c r="C3" s="338"/>
      <c r="D3" s="338"/>
      <c r="E3" s="338"/>
      <c r="F3" s="338"/>
      <c r="G3" s="338"/>
      <c r="H3" s="338"/>
    </row>
    <row r="4" spans="3:8" ht="12" customHeight="1">
      <c r="C4" s="338"/>
      <c r="D4" s="338"/>
      <c r="E4" s="338"/>
      <c r="F4" s="338"/>
      <c r="G4" s="338"/>
      <c r="H4" s="338"/>
    </row>
    <row r="5" spans="3:8" ht="12" customHeight="1">
      <c r="C5" s="338"/>
      <c r="D5" s="338"/>
      <c r="E5" s="338"/>
      <c r="F5" s="338"/>
      <c r="G5" s="338"/>
      <c r="H5" s="338"/>
    </row>
  </sheetData>
  <protectedRanges>
    <protectedRange password="DF17" sqref="A4:I5" name="Range1"/>
  </protectedRanges>
  <mergeCells count="1">
    <mergeCell ref="C2:H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>
      <selection activeCell="F13" sqref="F13"/>
    </sheetView>
  </sheetViews>
  <sheetFormatPr baseColWidth="10" defaultColWidth="11.42578125" defaultRowHeight="12"/>
  <cols>
    <col min="6" max="6" width="20.42578125" bestFit="1" customWidth="1"/>
    <col min="16" max="16" width="14.42578125" bestFit="1" customWidth="1"/>
    <col min="21" max="21" width="47.140625" bestFit="1" customWidth="1"/>
    <col min="24" max="24" width="15.85546875" bestFit="1" customWidth="1"/>
  </cols>
  <sheetData>
    <row r="1" spans="1:22" ht="12" customHeight="1">
      <c r="C1" s="138"/>
      <c r="D1" s="138"/>
      <c r="E1" s="138"/>
      <c r="F1" s="138"/>
      <c r="G1" s="138"/>
    </row>
    <row r="2" spans="1:22" s="187" customFormat="1" ht="15">
      <c r="A2" s="234" t="s">
        <v>7629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35"/>
      <c r="Q2" s="235"/>
      <c r="R2" s="200"/>
      <c r="U2" s="200"/>
      <c r="V2" s="200"/>
    </row>
    <row r="3" spans="1:22" s="187" customFormat="1" ht="15">
      <c r="A3" s="236" t="s">
        <v>7630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339" t="s">
        <v>7631</v>
      </c>
      <c r="M3" s="339"/>
      <c r="N3" s="339"/>
      <c r="O3" s="339"/>
      <c r="P3" s="235"/>
      <c r="Q3" s="235"/>
      <c r="R3" s="200"/>
      <c r="U3" s="200"/>
      <c r="V3" s="200"/>
    </row>
    <row r="4" spans="1:22" s="187" customFormat="1" ht="15">
      <c r="A4" s="236" t="s">
        <v>7632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339"/>
      <c r="M4" s="339"/>
      <c r="N4" s="339"/>
      <c r="O4" s="339"/>
      <c r="P4" s="200"/>
      <c r="Q4" s="200"/>
      <c r="R4" s="200"/>
      <c r="U4" s="200"/>
      <c r="V4" s="200"/>
    </row>
    <row r="5" spans="1:22" s="187" customFormat="1" ht="15">
      <c r="A5" s="236" t="s">
        <v>7633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U5" s="200"/>
      <c r="V5" s="200"/>
    </row>
    <row r="6" spans="1:22" s="187" customFormat="1" ht="15">
      <c r="A6" s="234" t="s">
        <v>7634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35"/>
      <c r="Q6" s="235"/>
      <c r="R6" s="200"/>
      <c r="U6" s="200"/>
      <c r="V6" s="200"/>
    </row>
    <row r="7" spans="1:22" s="187" customFormat="1" ht="15">
      <c r="A7" s="234" t="s">
        <v>7635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35"/>
      <c r="Q7" s="235"/>
      <c r="R7" s="200"/>
      <c r="U7" s="200"/>
      <c r="V7" s="200"/>
    </row>
    <row r="8" spans="1:22" s="187" customFormat="1" ht="15">
      <c r="A8" s="234" t="s">
        <v>7636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U8" s="200"/>
      <c r="V8" s="200"/>
    </row>
    <row r="9" spans="1:22" s="187" customFormat="1" ht="15">
      <c r="A9" s="236" t="s">
        <v>7637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U9" s="200"/>
      <c r="V9" s="200"/>
    </row>
    <row r="10" spans="1:22" s="187" customFormat="1" ht="15">
      <c r="A10" s="236" t="s">
        <v>7638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U10" s="200"/>
      <c r="V10" s="200"/>
    </row>
    <row r="11" spans="1:22" s="187" customFormat="1" ht="15">
      <c r="A11" s="236" t="s">
        <v>7639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U11" s="200"/>
      <c r="V11" s="200"/>
    </row>
    <row r="12" spans="1:22" s="187" customFormat="1" ht="15">
      <c r="A12" s="236" t="s">
        <v>7640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U12" s="200"/>
      <c r="V12" s="200"/>
    </row>
    <row r="13" spans="1:22" s="187" customFormat="1" ht="15">
      <c r="A13" s="200"/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U13" s="200"/>
      <c r="V13" s="200"/>
    </row>
    <row r="14" spans="1:22" s="187" customFormat="1" ht="15">
      <c r="A14" s="200" t="s">
        <v>7641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U14" s="200"/>
      <c r="V14" s="200"/>
    </row>
    <row r="15" spans="1:22" ht="12" customHeight="1"/>
    <row r="16" spans="1:22" ht="12.75" customHeight="1"/>
    <row r="18" spans="1:23" ht="48">
      <c r="A18" s="244" t="s">
        <v>8349</v>
      </c>
      <c r="B18" s="251" t="s">
        <v>8350</v>
      </c>
      <c r="C18" s="255" t="s">
        <v>8351</v>
      </c>
      <c r="D18" s="255" t="s">
        <v>8352</v>
      </c>
      <c r="E18" s="252" t="s">
        <v>8353</v>
      </c>
      <c r="F18" s="255" t="s">
        <v>8354</v>
      </c>
      <c r="G18" s="255" t="s">
        <v>8355</v>
      </c>
      <c r="H18" s="255" t="s">
        <v>8356</v>
      </c>
      <c r="I18" s="255" t="s">
        <v>8357</v>
      </c>
      <c r="J18" s="255" t="s">
        <v>8358</v>
      </c>
      <c r="K18" s="255" t="s">
        <v>8359</v>
      </c>
      <c r="L18" s="255" t="s">
        <v>8360</v>
      </c>
      <c r="M18" s="255" t="s">
        <v>8361</v>
      </c>
      <c r="N18" s="255" t="s">
        <v>8362</v>
      </c>
      <c r="O18" s="255" t="s">
        <v>8363</v>
      </c>
      <c r="P18" s="255" t="s">
        <v>8364</v>
      </c>
      <c r="Q18" s="252" t="s">
        <v>7587</v>
      </c>
      <c r="R18" s="255" t="s">
        <v>8365</v>
      </c>
      <c r="S18" s="255" t="s">
        <v>8366</v>
      </c>
      <c r="T18" s="255" t="s">
        <v>8367</v>
      </c>
      <c r="U18" s="248" t="s">
        <v>8368</v>
      </c>
      <c r="V18" s="247" t="s">
        <v>8369</v>
      </c>
      <c r="W18" s="247" t="s">
        <v>8370</v>
      </c>
    </row>
    <row r="19" spans="1:23" ht="15">
      <c r="A19" s="244" t="s">
        <v>8371</v>
      </c>
      <c r="B19" s="246">
        <f t="shared" ref="B19:B42" si="0">C19+D19</f>
        <v>89</v>
      </c>
      <c r="C19" s="245">
        <v>75</v>
      </c>
      <c r="D19" s="245">
        <v>14</v>
      </c>
      <c r="E19" s="208">
        <f t="shared" ref="E19:E42" si="1">F19+G19</f>
        <v>3750</v>
      </c>
      <c r="F19" s="245">
        <v>2900</v>
      </c>
      <c r="G19" s="245">
        <v>850</v>
      </c>
      <c r="H19" s="245">
        <v>838</v>
      </c>
      <c r="I19" s="245">
        <v>12</v>
      </c>
      <c r="J19" s="249">
        <v>0.22666666666666666</v>
      </c>
      <c r="K19" s="245">
        <v>422</v>
      </c>
      <c r="L19" s="245">
        <v>416</v>
      </c>
      <c r="M19" s="245">
        <f t="shared" ref="M19:M42" si="2">O19+P19</f>
        <v>94.199999999999989</v>
      </c>
      <c r="N19" s="257">
        <f t="shared" ref="N19:N42" si="3">(H19-M19)/H19</f>
        <v>0.88758949880668248</v>
      </c>
      <c r="O19" s="245">
        <v>57.3</v>
      </c>
      <c r="P19" s="245">
        <v>36.9</v>
      </c>
      <c r="Q19" s="266">
        <f t="shared" ref="Q19:Q42" si="4">R19/(4.48*((E19*(1-N19))*(10000/2.25)/1000000)^(-0.25))</f>
        <v>1.4075920818093777</v>
      </c>
      <c r="R19" s="254">
        <v>5.390026751592357</v>
      </c>
      <c r="S19" s="254">
        <v>4.9219999999999997</v>
      </c>
      <c r="T19" s="254">
        <v>6.1167999999999996</v>
      </c>
      <c r="U19" s="207"/>
      <c r="V19" s="245">
        <v>2.25</v>
      </c>
      <c r="W19" s="250">
        <v>39.555555555555557</v>
      </c>
    </row>
    <row r="20" spans="1:23" ht="15">
      <c r="A20" s="244" t="s">
        <v>8372</v>
      </c>
      <c r="B20" s="246">
        <f t="shared" si="0"/>
        <v>52</v>
      </c>
      <c r="C20" s="245">
        <v>41</v>
      </c>
      <c r="D20" s="245">
        <v>11</v>
      </c>
      <c r="E20" s="208">
        <f t="shared" si="1"/>
        <v>3750</v>
      </c>
      <c r="F20" s="245">
        <v>3000</v>
      </c>
      <c r="G20" s="245">
        <v>750</v>
      </c>
      <c r="H20" s="245">
        <v>756</v>
      </c>
      <c r="I20" s="245">
        <v>-6</v>
      </c>
      <c r="J20" s="249">
        <v>0.2</v>
      </c>
      <c r="K20" s="245">
        <v>437</v>
      </c>
      <c r="L20" s="245">
        <v>319</v>
      </c>
      <c r="M20" s="245">
        <f t="shared" si="2"/>
        <v>93.5</v>
      </c>
      <c r="N20" s="257">
        <f t="shared" si="3"/>
        <v>0.87632275132275128</v>
      </c>
      <c r="O20" s="245">
        <v>59.6</v>
      </c>
      <c r="P20" s="245">
        <v>33.9</v>
      </c>
      <c r="Q20" s="266">
        <f t="shared" si="4"/>
        <v>1.2190933736463121</v>
      </c>
      <c r="R20" s="254">
        <v>4.5580632085561499</v>
      </c>
      <c r="S20" s="254">
        <v>4.3914999999999997</v>
      </c>
      <c r="T20" s="254">
        <v>4.8509000000000002</v>
      </c>
      <c r="U20" s="207"/>
      <c r="V20" s="245">
        <v>2.25</v>
      </c>
      <c r="W20" s="250">
        <v>23.111111111111111</v>
      </c>
    </row>
    <row r="21" spans="1:23" ht="15">
      <c r="A21" s="244" t="s">
        <v>8373</v>
      </c>
      <c r="B21" s="246">
        <f t="shared" si="0"/>
        <v>71</v>
      </c>
      <c r="C21" s="245">
        <v>57</v>
      </c>
      <c r="D21" s="245">
        <v>14</v>
      </c>
      <c r="E21" s="208">
        <f t="shared" si="1"/>
        <v>3900</v>
      </c>
      <c r="F21" s="245">
        <v>2950</v>
      </c>
      <c r="G21" s="245">
        <v>950</v>
      </c>
      <c r="H21" s="245">
        <v>942</v>
      </c>
      <c r="I21" s="245">
        <v>8</v>
      </c>
      <c r="J21" s="249">
        <v>0.24358974358974358</v>
      </c>
      <c r="K21" s="245">
        <v>535</v>
      </c>
      <c r="L21" s="245">
        <v>407</v>
      </c>
      <c r="M21" s="245">
        <f t="shared" si="2"/>
        <v>115</v>
      </c>
      <c r="N21" s="257">
        <f t="shared" si="3"/>
        <v>0.87791932059447986</v>
      </c>
      <c r="O21" s="245">
        <v>77.599999999999994</v>
      </c>
      <c r="P21" s="245">
        <v>37.4</v>
      </c>
      <c r="Q21" s="266">
        <f t="shared" si="4"/>
        <v>1.3071599806884104</v>
      </c>
      <c r="R21" s="254">
        <v>4.8553942608695646</v>
      </c>
      <c r="S21" s="254">
        <v>4.6882000000000001</v>
      </c>
      <c r="T21" s="254">
        <v>5.2023000000000001</v>
      </c>
      <c r="U21" s="207"/>
      <c r="V21" s="245">
        <v>2.25</v>
      </c>
      <c r="W21" s="250">
        <v>31.555555555555557</v>
      </c>
    </row>
    <row r="22" spans="1:23" ht="15">
      <c r="A22" s="268" t="s">
        <v>8374</v>
      </c>
      <c r="B22" s="246">
        <f t="shared" si="0"/>
        <v>82</v>
      </c>
      <c r="C22" s="245">
        <v>66</v>
      </c>
      <c r="D22" s="245">
        <v>16</v>
      </c>
      <c r="E22" s="208">
        <f t="shared" si="1"/>
        <v>5350</v>
      </c>
      <c r="F22" s="245">
        <v>3550</v>
      </c>
      <c r="G22" s="245">
        <v>1800</v>
      </c>
      <c r="H22" s="245">
        <v>1636</v>
      </c>
      <c r="I22" s="245">
        <v>164</v>
      </c>
      <c r="J22" s="249">
        <v>0.3364485981308411</v>
      </c>
      <c r="K22" s="245" t="s">
        <v>8375</v>
      </c>
      <c r="L22" s="245" t="s">
        <v>8376</v>
      </c>
      <c r="M22" s="245">
        <f t="shared" si="2"/>
        <v>49.2</v>
      </c>
      <c r="N22" s="257">
        <f>(172+275-M22)/(172+275)</f>
        <v>0.88993288590604025</v>
      </c>
      <c r="O22" s="245">
        <v>24.5</v>
      </c>
      <c r="P22" s="245">
        <v>24.7</v>
      </c>
      <c r="Q22" s="266">
        <f t="shared" si="4"/>
        <v>1.137922429656425</v>
      </c>
      <c r="R22" s="254">
        <v>4.0080530487804875</v>
      </c>
      <c r="S22" s="254">
        <v>4.4519000000000002</v>
      </c>
      <c r="T22" s="254">
        <v>3.5678000000000001</v>
      </c>
      <c r="U22" s="207" t="s">
        <v>8377</v>
      </c>
      <c r="V22" s="245">
        <v>2.25</v>
      </c>
      <c r="W22" s="250">
        <v>36.444444444444443</v>
      </c>
    </row>
    <row r="23" spans="1:23" ht="15">
      <c r="A23" s="244" t="s">
        <v>8378</v>
      </c>
      <c r="B23" s="246">
        <f t="shared" si="0"/>
        <v>64</v>
      </c>
      <c r="C23" s="245">
        <v>52</v>
      </c>
      <c r="D23" s="245">
        <v>12</v>
      </c>
      <c r="E23" s="208">
        <f t="shared" si="1"/>
        <v>3950</v>
      </c>
      <c r="F23" s="245">
        <v>2800</v>
      </c>
      <c r="G23" s="245">
        <v>1150</v>
      </c>
      <c r="H23" s="245">
        <v>1131</v>
      </c>
      <c r="I23" s="245">
        <v>19</v>
      </c>
      <c r="J23" s="249">
        <v>0.29113924050632911</v>
      </c>
      <c r="K23" s="245">
        <v>675</v>
      </c>
      <c r="L23" s="245">
        <v>456</v>
      </c>
      <c r="M23" s="245">
        <f t="shared" si="2"/>
        <v>139.6</v>
      </c>
      <c r="N23" s="257">
        <f t="shared" si="3"/>
        <v>0.87656940760389035</v>
      </c>
      <c r="O23" s="245">
        <v>97.7</v>
      </c>
      <c r="P23" s="245">
        <v>41.9</v>
      </c>
      <c r="Q23" s="266">
        <f t="shared" si="4"/>
        <v>1.2329297737663711</v>
      </c>
      <c r="R23" s="254">
        <v>4.5525739255014326</v>
      </c>
      <c r="S23" s="254">
        <v>4.5652999999999997</v>
      </c>
      <c r="T23" s="254">
        <v>4.5228999999999999</v>
      </c>
      <c r="U23" s="207"/>
      <c r="V23" s="245">
        <v>2.25</v>
      </c>
      <c r="W23" s="250">
        <v>28.444444444444443</v>
      </c>
    </row>
    <row r="24" spans="1:23" ht="15">
      <c r="A24" s="244" t="s">
        <v>8379</v>
      </c>
      <c r="B24" s="246">
        <f t="shared" si="0"/>
        <v>69</v>
      </c>
      <c r="C24" s="245">
        <v>55</v>
      </c>
      <c r="D24" s="245">
        <v>14</v>
      </c>
      <c r="E24" s="208">
        <f t="shared" si="1"/>
        <v>3350</v>
      </c>
      <c r="F24" s="245">
        <v>2550</v>
      </c>
      <c r="G24" s="245">
        <v>800</v>
      </c>
      <c r="H24" s="245">
        <v>779</v>
      </c>
      <c r="I24" s="245">
        <v>21</v>
      </c>
      <c r="J24" s="249">
        <v>0.23880597014925373</v>
      </c>
      <c r="K24" s="245">
        <v>475</v>
      </c>
      <c r="L24" s="245">
        <v>304</v>
      </c>
      <c r="M24" s="245">
        <f t="shared" si="2"/>
        <v>95</v>
      </c>
      <c r="N24" s="257">
        <f t="shared" si="3"/>
        <v>0.87804878048780488</v>
      </c>
      <c r="O24" s="245">
        <v>63.4</v>
      </c>
      <c r="P24" s="245">
        <v>31.6</v>
      </c>
      <c r="Q24" s="266">
        <f t="shared" si="4"/>
        <v>1.333640181490009</v>
      </c>
      <c r="R24" s="254">
        <v>5.1470048421052637</v>
      </c>
      <c r="S24" s="254">
        <v>4.9755000000000003</v>
      </c>
      <c r="T24" s="254">
        <v>5.4911000000000003</v>
      </c>
      <c r="U24" s="207"/>
      <c r="V24" s="245">
        <v>2.25</v>
      </c>
      <c r="W24" s="250">
        <v>30.666666666666668</v>
      </c>
    </row>
    <row r="25" spans="1:23" ht="15">
      <c r="A25" s="268" t="s">
        <v>8380</v>
      </c>
      <c r="B25" s="246">
        <f t="shared" si="0"/>
        <v>63</v>
      </c>
      <c r="C25" s="245">
        <v>48</v>
      </c>
      <c r="D25" s="245">
        <v>15</v>
      </c>
      <c r="E25" s="208">
        <f t="shared" si="1"/>
        <v>2950</v>
      </c>
      <c r="F25" s="245">
        <v>2100</v>
      </c>
      <c r="G25" s="245">
        <v>850</v>
      </c>
      <c r="H25" s="245">
        <v>790</v>
      </c>
      <c r="I25" s="245">
        <v>60</v>
      </c>
      <c r="J25" s="249">
        <v>0.28813559322033899</v>
      </c>
      <c r="K25" s="245">
        <v>480</v>
      </c>
      <c r="L25" s="245">
        <v>310</v>
      </c>
      <c r="M25" s="245">
        <f t="shared" si="2"/>
        <v>97.5</v>
      </c>
      <c r="N25" s="257">
        <f t="shared" si="3"/>
        <v>0.87658227848101267</v>
      </c>
      <c r="O25" s="245">
        <v>62.9</v>
      </c>
      <c r="P25" s="245">
        <v>34.6</v>
      </c>
      <c r="Q25" s="266">
        <f t="shared" si="4"/>
        <v>1.2023813696760968</v>
      </c>
      <c r="R25" s="254">
        <v>4.7760184615384613</v>
      </c>
      <c r="S25" s="254">
        <v>4.3011999999999997</v>
      </c>
      <c r="T25" s="254">
        <v>5.6391999999999998</v>
      </c>
      <c r="U25" s="207" t="s">
        <v>8381</v>
      </c>
      <c r="V25" s="245">
        <v>2.25</v>
      </c>
      <c r="W25" s="250">
        <v>28</v>
      </c>
    </row>
    <row r="26" spans="1:23" ht="15">
      <c r="A26" s="244" t="s">
        <v>8382</v>
      </c>
      <c r="B26" s="246">
        <f t="shared" si="0"/>
        <v>74</v>
      </c>
      <c r="C26" s="245">
        <v>59</v>
      </c>
      <c r="D26" s="245">
        <v>15</v>
      </c>
      <c r="E26" s="208">
        <f t="shared" si="1"/>
        <v>4000</v>
      </c>
      <c r="F26" s="245">
        <v>2700</v>
      </c>
      <c r="G26" s="245">
        <v>1300</v>
      </c>
      <c r="H26" s="245">
        <v>1260</v>
      </c>
      <c r="I26" s="245">
        <v>40</v>
      </c>
      <c r="J26" s="249">
        <v>0.32500000000000001</v>
      </c>
      <c r="K26" s="245">
        <v>708</v>
      </c>
      <c r="L26" s="245">
        <v>552</v>
      </c>
      <c r="M26" s="245">
        <f t="shared" si="2"/>
        <v>148.9</v>
      </c>
      <c r="N26" s="257">
        <f t="shared" si="3"/>
        <v>0.88182539682539673</v>
      </c>
      <c r="O26" s="245">
        <v>88.8</v>
      </c>
      <c r="P26" s="245">
        <v>60.1</v>
      </c>
      <c r="Q26" s="266">
        <f t="shared" si="4"/>
        <v>1.3449387630761742</v>
      </c>
      <c r="R26" s="254">
        <v>5.0047238415043651</v>
      </c>
      <c r="S26" s="254">
        <v>4.5925000000000002</v>
      </c>
      <c r="T26" s="254">
        <v>5.6138000000000003</v>
      </c>
      <c r="U26" s="207"/>
      <c r="V26" s="245">
        <v>2.25</v>
      </c>
      <c r="W26" s="250">
        <v>32.888888888888886</v>
      </c>
    </row>
    <row r="27" spans="1:23" ht="15">
      <c r="A27" s="244" t="s">
        <v>8383</v>
      </c>
      <c r="B27" s="246">
        <f t="shared" si="0"/>
        <v>76</v>
      </c>
      <c r="C27" s="245">
        <v>60</v>
      </c>
      <c r="D27" s="245">
        <v>16</v>
      </c>
      <c r="E27" s="208">
        <f t="shared" si="1"/>
        <v>3500</v>
      </c>
      <c r="F27" s="245">
        <v>2350</v>
      </c>
      <c r="G27" s="245">
        <v>1150</v>
      </c>
      <c r="H27" s="245">
        <v>1114</v>
      </c>
      <c r="I27" s="245">
        <v>36</v>
      </c>
      <c r="J27" s="249">
        <v>0.32857142857142857</v>
      </c>
      <c r="K27" s="245">
        <v>624</v>
      </c>
      <c r="L27" s="245">
        <v>490</v>
      </c>
      <c r="M27" s="245">
        <f t="shared" si="2"/>
        <v>138.19999999999999</v>
      </c>
      <c r="N27" s="257">
        <f t="shared" si="3"/>
        <v>0.87594254937163374</v>
      </c>
      <c r="O27" s="245">
        <v>88</v>
      </c>
      <c r="P27" s="245">
        <v>50.2</v>
      </c>
      <c r="Q27" s="266">
        <f t="shared" si="4"/>
        <v>1.2360883784503232</v>
      </c>
      <c r="R27" s="254">
        <v>4.6984049204052107</v>
      </c>
      <c r="S27" s="254">
        <v>4.3097000000000003</v>
      </c>
      <c r="T27" s="254">
        <v>5.3798000000000004</v>
      </c>
      <c r="U27" s="207"/>
      <c r="V27" s="245">
        <v>2.25</v>
      </c>
      <c r="W27" s="250">
        <v>33.777777777777779</v>
      </c>
    </row>
    <row r="28" spans="1:23" ht="15">
      <c r="A28" s="244" t="s">
        <v>8384</v>
      </c>
      <c r="B28" s="246">
        <f t="shared" si="0"/>
        <v>67</v>
      </c>
      <c r="C28" s="245">
        <v>53</v>
      </c>
      <c r="D28" s="245">
        <v>14</v>
      </c>
      <c r="E28" s="208">
        <f t="shared" si="1"/>
        <v>5150</v>
      </c>
      <c r="F28" s="245">
        <v>3950</v>
      </c>
      <c r="G28" s="245">
        <v>1200</v>
      </c>
      <c r="H28" s="245">
        <v>1169</v>
      </c>
      <c r="I28" s="245">
        <v>31</v>
      </c>
      <c r="J28" s="249">
        <v>0.23300970873786409</v>
      </c>
      <c r="K28" s="245">
        <v>577</v>
      </c>
      <c r="L28" s="245">
        <v>592</v>
      </c>
      <c r="M28" s="245">
        <f t="shared" si="2"/>
        <v>136.5</v>
      </c>
      <c r="N28" s="257">
        <f t="shared" si="3"/>
        <v>0.88323353293413176</v>
      </c>
      <c r="O28" s="245">
        <v>71.099999999999994</v>
      </c>
      <c r="P28" s="245">
        <v>65.400000000000006</v>
      </c>
      <c r="Q28" s="266">
        <f t="shared" si="4"/>
        <v>1.380211836674375</v>
      </c>
      <c r="R28" s="254">
        <v>4.8360195604395608</v>
      </c>
      <c r="S28" s="254">
        <v>4.0815000000000001</v>
      </c>
      <c r="T28" s="254">
        <v>5.6562999999999999</v>
      </c>
      <c r="U28" s="207"/>
      <c r="V28" s="245">
        <v>2.25</v>
      </c>
      <c r="W28" s="250">
        <v>29.777777777777779</v>
      </c>
    </row>
    <row r="29" spans="1:23" ht="15">
      <c r="A29" s="244" t="s">
        <v>8385</v>
      </c>
      <c r="B29" s="246">
        <f t="shared" si="0"/>
        <v>111</v>
      </c>
      <c r="C29" s="245">
        <v>90</v>
      </c>
      <c r="D29" s="245">
        <v>21</v>
      </c>
      <c r="E29" s="208">
        <f t="shared" si="1"/>
        <v>3250</v>
      </c>
      <c r="F29" s="245">
        <v>2400</v>
      </c>
      <c r="G29" s="245">
        <v>850</v>
      </c>
      <c r="H29" s="245">
        <v>809</v>
      </c>
      <c r="I29" s="245">
        <v>41</v>
      </c>
      <c r="J29" s="249">
        <v>0.26153846153846155</v>
      </c>
      <c r="K29" s="245">
        <v>483</v>
      </c>
      <c r="L29" s="245">
        <v>326</v>
      </c>
      <c r="M29" s="245">
        <f t="shared" si="2"/>
        <v>108</v>
      </c>
      <c r="N29" s="257">
        <f t="shared" si="3"/>
        <v>0.86650185414091474</v>
      </c>
      <c r="O29" s="245">
        <v>64.599999999999994</v>
      </c>
      <c r="P29" s="245">
        <v>43.4</v>
      </c>
      <c r="Q29" s="266">
        <f t="shared" si="4"/>
        <v>1.2648018666534873</v>
      </c>
      <c r="R29" s="254">
        <v>4.808465370370369</v>
      </c>
      <c r="S29" s="254">
        <v>4.4600999999999997</v>
      </c>
      <c r="T29" s="254">
        <v>5.327</v>
      </c>
      <c r="U29" s="207"/>
      <c r="V29" s="245">
        <v>2.25</v>
      </c>
      <c r="W29" s="250">
        <v>49.333333333333336</v>
      </c>
    </row>
    <row r="30" spans="1:23" ht="15">
      <c r="A30" s="244" t="s">
        <v>8386</v>
      </c>
      <c r="B30" s="246">
        <f t="shared" si="0"/>
        <v>60</v>
      </c>
      <c r="C30" s="245">
        <v>49</v>
      </c>
      <c r="D30" s="245">
        <v>11</v>
      </c>
      <c r="E30" s="208">
        <f t="shared" si="1"/>
        <v>3550</v>
      </c>
      <c r="F30" s="245">
        <v>2450</v>
      </c>
      <c r="G30" s="245">
        <v>1100</v>
      </c>
      <c r="H30" s="245">
        <v>1077</v>
      </c>
      <c r="I30" s="245">
        <v>23</v>
      </c>
      <c r="J30" s="249">
        <v>0.30985915492957744</v>
      </c>
      <c r="K30" s="245">
        <v>593</v>
      </c>
      <c r="L30" s="245">
        <v>484</v>
      </c>
      <c r="M30" s="245">
        <f t="shared" si="2"/>
        <v>121</v>
      </c>
      <c r="N30" s="257">
        <f t="shared" si="3"/>
        <v>0.88765088207985143</v>
      </c>
      <c r="O30" s="245">
        <v>75.900000000000006</v>
      </c>
      <c r="P30" s="245">
        <v>45.1</v>
      </c>
      <c r="Q30" s="266">
        <f t="shared" si="4"/>
        <v>1.1633448470028971</v>
      </c>
      <c r="R30" s="254">
        <v>4.5168181818181816</v>
      </c>
      <c r="S30" s="254">
        <v>4.0728999999999997</v>
      </c>
      <c r="T30" s="254">
        <v>5.2638999999999996</v>
      </c>
      <c r="U30" s="207"/>
      <c r="V30" s="245">
        <v>2.25</v>
      </c>
      <c r="W30" s="250">
        <v>26.666666666666668</v>
      </c>
    </row>
    <row r="31" spans="1:23" ht="15">
      <c r="A31" s="244" t="s">
        <v>8387</v>
      </c>
      <c r="B31" s="246">
        <f t="shared" si="0"/>
        <v>21</v>
      </c>
      <c r="C31" s="245">
        <v>17</v>
      </c>
      <c r="D31" s="245">
        <v>4</v>
      </c>
      <c r="E31" s="208">
        <f t="shared" si="1"/>
        <v>2400</v>
      </c>
      <c r="F31" s="245">
        <v>2000</v>
      </c>
      <c r="G31" s="245">
        <v>400</v>
      </c>
      <c r="H31" s="245">
        <v>398</v>
      </c>
      <c r="I31" s="245">
        <v>2</v>
      </c>
      <c r="J31" s="249">
        <v>0.16666666666666666</v>
      </c>
      <c r="K31" s="245">
        <v>232</v>
      </c>
      <c r="L31" s="245">
        <v>166</v>
      </c>
      <c r="M31" s="245">
        <f t="shared" si="2"/>
        <v>59.6</v>
      </c>
      <c r="N31" s="257">
        <f t="shared" si="3"/>
        <v>0.85025125628140696</v>
      </c>
      <c r="O31" s="245">
        <v>31.3</v>
      </c>
      <c r="P31" s="245">
        <v>28.3</v>
      </c>
      <c r="Q31" s="266">
        <f t="shared" si="4"/>
        <v>1.1847622871136636</v>
      </c>
      <c r="R31" s="254">
        <v>4.721296308724833</v>
      </c>
      <c r="S31" s="254">
        <v>4.2439</v>
      </c>
      <c r="T31" s="254">
        <v>5.2492999999999999</v>
      </c>
      <c r="U31" s="207"/>
      <c r="V31" s="245">
        <v>2.25</v>
      </c>
      <c r="W31" s="250">
        <v>9.3333333333333339</v>
      </c>
    </row>
    <row r="32" spans="1:23" ht="15">
      <c r="A32" s="268" t="s">
        <v>8388</v>
      </c>
      <c r="B32" s="246">
        <f t="shared" si="0"/>
        <v>32</v>
      </c>
      <c r="C32" s="245">
        <v>27</v>
      </c>
      <c r="D32" s="245">
        <v>5</v>
      </c>
      <c r="E32" s="208">
        <f t="shared" si="1"/>
        <v>4250</v>
      </c>
      <c r="F32" s="245">
        <v>3400</v>
      </c>
      <c r="G32" s="245">
        <v>850</v>
      </c>
      <c r="H32" s="245">
        <v>838</v>
      </c>
      <c r="I32" s="245">
        <v>12</v>
      </c>
      <c r="J32" s="249">
        <v>0.2</v>
      </c>
      <c r="K32" s="245">
        <v>442</v>
      </c>
      <c r="L32" s="245">
        <v>396</v>
      </c>
      <c r="M32" s="245">
        <f t="shared" si="2"/>
        <v>104.6</v>
      </c>
      <c r="N32" s="257">
        <f t="shared" si="3"/>
        <v>0.87517899761336515</v>
      </c>
      <c r="O32" s="245">
        <v>58.4</v>
      </c>
      <c r="P32" s="245">
        <v>46.2</v>
      </c>
      <c r="Q32" s="266">
        <f t="shared" si="4"/>
        <v>1.2621810378874989</v>
      </c>
      <c r="R32" s="254">
        <v>4.5632697896749521</v>
      </c>
      <c r="S32" s="254">
        <v>3.8761000000000001</v>
      </c>
      <c r="T32" s="254">
        <v>5.4318999999999997</v>
      </c>
      <c r="U32" s="207"/>
      <c r="V32" s="245">
        <v>2.25</v>
      </c>
      <c r="W32" s="250">
        <v>14.222222222222221</v>
      </c>
    </row>
    <row r="33" spans="1:23" ht="15">
      <c r="A33" s="244" t="s">
        <v>8389</v>
      </c>
      <c r="B33" s="246">
        <f t="shared" si="0"/>
        <v>30</v>
      </c>
      <c r="C33" s="245">
        <v>23</v>
      </c>
      <c r="D33" s="245">
        <v>7</v>
      </c>
      <c r="E33" s="208">
        <f t="shared" si="1"/>
        <v>4100</v>
      </c>
      <c r="F33" s="245">
        <v>3450</v>
      </c>
      <c r="G33" s="245">
        <v>650</v>
      </c>
      <c r="H33" s="245">
        <v>640</v>
      </c>
      <c r="I33" s="245">
        <v>10</v>
      </c>
      <c r="J33" s="249">
        <v>0.15853658536585366</v>
      </c>
      <c r="K33" s="245">
        <v>366</v>
      </c>
      <c r="L33" s="245">
        <v>274</v>
      </c>
      <c r="M33" s="245">
        <f t="shared" si="2"/>
        <v>65.599999999999994</v>
      </c>
      <c r="N33" s="257">
        <f t="shared" si="3"/>
        <v>0.89749999999999996</v>
      </c>
      <c r="O33" s="245">
        <v>47.8</v>
      </c>
      <c r="P33" s="245">
        <v>17.8</v>
      </c>
      <c r="Q33" s="266">
        <f>R33/(4.48*((E33*(1-N33))*(10000/2.25)/1000000)^(-0.25))</f>
        <v>1.0711299423672505</v>
      </c>
      <c r="R33" s="254">
        <v>4.1047704268292691</v>
      </c>
      <c r="S33" s="254">
        <v>3.67</v>
      </c>
      <c r="T33" s="254">
        <v>5.2723000000000004</v>
      </c>
      <c r="U33" s="207"/>
      <c r="V33" s="245">
        <v>2.25</v>
      </c>
      <c r="W33" s="250">
        <v>13.333333333333334</v>
      </c>
    </row>
    <row r="34" spans="1:23" ht="15">
      <c r="A34" s="268" t="s">
        <v>8390</v>
      </c>
      <c r="B34" s="246">
        <f t="shared" si="0"/>
        <v>26</v>
      </c>
      <c r="C34" s="245">
        <v>21</v>
      </c>
      <c r="D34" s="245">
        <v>5</v>
      </c>
      <c r="E34" s="208">
        <f t="shared" si="1"/>
        <v>4900</v>
      </c>
      <c r="F34" s="245">
        <v>3600</v>
      </c>
      <c r="G34" s="245">
        <v>1300</v>
      </c>
      <c r="H34" s="245">
        <v>1270</v>
      </c>
      <c r="I34" s="245">
        <v>30</v>
      </c>
      <c r="J34" s="249">
        <v>0.26530612244897961</v>
      </c>
      <c r="K34" s="245">
        <v>558</v>
      </c>
      <c r="L34" s="245">
        <v>712</v>
      </c>
      <c r="M34" s="245">
        <f t="shared" si="2"/>
        <v>181.4</v>
      </c>
      <c r="N34" s="257">
        <f t="shared" si="3"/>
        <v>0.85716535433070862</v>
      </c>
      <c r="O34" s="245">
        <v>88.9</v>
      </c>
      <c r="P34" s="245">
        <v>92.5</v>
      </c>
      <c r="Q34" s="266">
        <f t="shared" si="4"/>
        <v>1.3166315837686602</v>
      </c>
      <c r="R34" s="254">
        <v>4.4415085446527014</v>
      </c>
      <c r="S34" s="254">
        <v>3.7909999999999999</v>
      </c>
      <c r="T34" s="254">
        <v>5.0667</v>
      </c>
      <c r="U34" s="207"/>
      <c r="V34" s="245">
        <v>2.25</v>
      </c>
      <c r="W34" s="250">
        <v>11.555555555555555</v>
      </c>
    </row>
    <row r="35" spans="1:23" ht="15">
      <c r="A35" s="244" t="s">
        <v>8391</v>
      </c>
      <c r="B35" s="246">
        <f t="shared" si="0"/>
        <v>40</v>
      </c>
      <c r="C35" s="245">
        <v>32</v>
      </c>
      <c r="D35" s="245">
        <v>8</v>
      </c>
      <c r="E35" s="208">
        <f t="shared" si="1"/>
        <v>4600</v>
      </c>
      <c r="F35" s="245">
        <v>3700</v>
      </c>
      <c r="G35" s="245">
        <v>900</v>
      </c>
      <c r="H35" s="245">
        <v>855</v>
      </c>
      <c r="I35" s="245">
        <v>45</v>
      </c>
      <c r="J35" s="249">
        <v>0.19565217391304349</v>
      </c>
      <c r="K35" s="245">
        <v>431</v>
      </c>
      <c r="L35" s="245">
        <v>424</v>
      </c>
      <c r="M35" s="245">
        <f t="shared" si="2"/>
        <v>108.9</v>
      </c>
      <c r="N35" s="257">
        <f t="shared" si="3"/>
        <v>0.87263157894736842</v>
      </c>
      <c r="O35" s="245">
        <v>59.6</v>
      </c>
      <c r="P35" s="245">
        <v>49.3</v>
      </c>
      <c r="Q35" s="266">
        <f t="shared" si="4"/>
        <v>1.2880568782688528</v>
      </c>
      <c r="R35" s="254">
        <v>4.5425925619834713</v>
      </c>
      <c r="S35" s="254">
        <v>3.7542</v>
      </c>
      <c r="T35" s="254">
        <v>5.4957000000000003</v>
      </c>
      <c r="U35" s="207"/>
      <c r="V35" s="245">
        <v>2.25</v>
      </c>
      <c r="W35" s="250">
        <v>17.777777777777779</v>
      </c>
    </row>
    <row r="36" spans="1:23" ht="15">
      <c r="A36" s="244" t="s">
        <v>8392</v>
      </c>
      <c r="B36" s="246">
        <f t="shared" si="0"/>
        <v>28</v>
      </c>
      <c r="C36" s="245">
        <v>22</v>
      </c>
      <c r="D36" s="245">
        <v>6</v>
      </c>
      <c r="E36" s="208">
        <f t="shared" si="1"/>
        <v>2450</v>
      </c>
      <c r="F36" s="245">
        <v>2050</v>
      </c>
      <c r="G36" s="245">
        <v>400</v>
      </c>
      <c r="H36" s="245">
        <v>366</v>
      </c>
      <c r="I36" s="245">
        <v>34</v>
      </c>
      <c r="J36" s="249">
        <v>0.16326530612244897</v>
      </c>
      <c r="K36" s="245">
        <v>216</v>
      </c>
      <c r="L36" s="245">
        <v>150</v>
      </c>
      <c r="M36" s="245">
        <f t="shared" si="2"/>
        <v>47.8</v>
      </c>
      <c r="N36" s="257">
        <f t="shared" si="3"/>
        <v>0.86939890710382506</v>
      </c>
      <c r="O36" s="245">
        <v>31.3</v>
      </c>
      <c r="P36" s="245">
        <v>16.5</v>
      </c>
      <c r="Q36" s="266">
        <f t="shared" si="4"/>
        <v>1.0669583413040271</v>
      </c>
      <c r="R36" s="254">
        <v>4.3771646443514651</v>
      </c>
      <c r="S36" s="254">
        <v>3.7774000000000001</v>
      </c>
      <c r="T36" s="254">
        <v>5.5148999999999999</v>
      </c>
      <c r="U36" s="207"/>
      <c r="V36" s="245">
        <v>2.25</v>
      </c>
      <c r="W36" s="250">
        <v>12.444444444444445</v>
      </c>
    </row>
    <row r="37" spans="1:23" ht="15">
      <c r="A37" s="244" t="s">
        <v>8393</v>
      </c>
      <c r="B37" s="246">
        <f t="shared" si="0"/>
        <v>65</v>
      </c>
      <c r="C37" s="245">
        <v>52</v>
      </c>
      <c r="D37" s="245">
        <v>13</v>
      </c>
      <c r="E37" s="208">
        <f t="shared" si="1"/>
        <v>4300</v>
      </c>
      <c r="F37" s="245">
        <v>3400</v>
      </c>
      <c r="G37" s="245">
        <v>900</v>
      </c>
      <c r="H37" s="245">
        <v>872</v>
      </c>
      <c r="I37" s="245">
        <v>28</v>
      </c>
      <c r="J37" s="249">
        <v>0.20930232558139536</v>
      </c>
      <c r="K37" s="245">
        <v>507</v>
      </c>
      <c r="L37" s="245">
        <v>365</v>
      </c>
      <c r="M37" s="245">
        <f t="shared" si="2"/>
        <v>104.3</v>
      </c>
      <c r="N37" s="257">
        <f t="shared" si="3"/>
        <v>0.88038990825688079</v>
      </c>
      <c r="O37" s="245">
        <v>67.5</v>
      </c>
      <c r="P37" s="245">
        <v>36.799999999999997</v>
      </c>
      <c r="Q37" s="266">
        <f t="shared" si="4"/>
        <v>1.2811741960638596</v>
      </c>
      <c r="R37" s="254">
        <v>4.6679130393096839</v>
      </c>
      <c r="S37" s="254">
        <v>4.3775000000000004</v>
      </c>
      <c r="T37" s="254">
        <v>5.2005999999999997</v>
      </c>
      <c r="U37" s="207"/>
      <c r="V37" s="245">
        <v>2.25</v>
      </c>
      <c r="W37" s="250">
        <v>28.888888888888889</v>
      </c>
    </row>
    <row r="38" spans="1:23" ht="15">
      <c r="A38" s="244" t="s">
        <v>8394</v>
      </c>
      <c r="B38" s="246">
        <f t="shared" si="0"/>
        <v>64</v>
      </c>
      <c r="C38" s="245">
        <v>51</v>
      </c>
      <c r="D38" s="245">
        <v>13</v>
      </c>
      <c r="E38" s="208">
        <f t="shared" si="1"/>
        <v>5300</v>
      </c>
      <c r="F38" s="245">
        <v>3850</v>
      </c>
      <c r="G38" s="245">
        <v>1450</v>
      </c>
      <c r="H38" s="245">
        <v>1442</v>
      </c>
      <c r="I38" s="245">
        <v>8</v>
      </c>
      <c r="J38" s="249">
        <v>0.27358490566037735</v>
      </c>
      <c r="K38" s="245">
        <v>721</v>
      </c>
      <c r="L38" s="245">
        <v>721</v>
      </c>
      <c r="M38" s="245">
        <f t="shared" si="2"/>
        <v>160.19999999999999</v>
      </c>
      <c r="N38" s="257">
        <f t="shared" si="3"/>
        <v>0.88890429958391115</v>
      </c>
      <c r="O38" s="245">
        <v>92.2</v>
      </c>
      <c r="P38" s="245">
        <v>68</v>
      </c>
      <c r="Q38" s="266">
        <f t="shared" si="4"/>
        <v>1.1696179716597637</v>
      </c>
      <c r="R38" s="254">
        <v>4.1197835205992517</v>
      </c>
      <c r="S38" s="254">
        <v>3.6065999999999998</v>
      </c>
      <c r="T38" s="254">
        <v>4.8155999999999999</v>
      </c>
      <c r="U38" s="207"/>
      <c r="V38" s="245">
        <v>2.25</v>
      </c>
      <c r="W38" s="250">
        <v>28.444444444444443</v>
      </c>
    </row>
    <row r="39" spans="1:23" ht="15">
      <c r="A39" s="244" t="s">
        <v>8395</v>
      </c>
      <c r="B39" s="246">
        <f t="shared" si="0"/>
        <v>52</v>
      </c>
      <c r="C39" s="245">
        <v>41</v>
      </c>
      <c r="D39" s="245">
        <v>11</v>
      </c>
      <c r="E39" s="208">
        <f t="shared" si="1"/>
        <v>4000</v>
      </c>
      <c r="F39" s="245">
        <v>2950</v>
      </c>
      <c r="G39" s="245">
        <v>1050</v>
      </c>
      <c r="H39" s="245">
        <v>1013</v>
      </c>
      <c r="I39" s="245">
        <v>37</v>
      </c>
      <c r="J39" s="249">
        <v>0.26250000000000001</v>
      </c>
      <c r="K39" s="245">
        <v>500</v>
      </c>
      <c r="L39" s="245">
        <v>513</v>
      </c>
      <c r="M39" s="245">
        <f t="shared" si="2"/>
        <v>120</v>
      </c>
      <c r="N39" s="257">
        <f t="shared" si="3"/>
        <v>0.88153998025666336</v>
      </c>
      <c r="O39" s="245">
        <v>65.599999999999994</v>
      </c>
      <c r="P39" s="245">
        <v>54.4</v>
      </c>
      <c r="Q39" s="266">
        <f t="shared" si="4"/>
        <v>1.2904221126608184</v>
      </c>
      <c r="R39" s="254">
        <v>4.7989639999999998</v>
      </c>
      <c r="S39" s="254">
        <v>4.2891000000000004</v>
      </c>
      <c r="T39" s="254">
        <v>5.4138000000000002</v>
      </c>
      <c r="U39" s="207"/>
      <c r="V39" s="245">
        <v>2.25</v>
      </c>
      <c r="W39" s="250">
        <v>23.111111111111111</v>
      </c>
    </row>
    <row r="40" spans="1:23" ht="15">
      <c r="A40" s="244" t="s">
        <v>8396</v>
      </c>
      <c r="B40" s="246">
        <f t="shared" si="0"/>
        <v>61</v>
      </c>
      <c r="C40" s="245">
        <v>49</v>
      </c>
      <c r="D40" s="245">
        <v>12</v>
      </c>
      <c r="E40" s="208">
        <f t="shared" si="1"/>
        <v>4300</v>
      </c>
      <c r="F40" s="245">
        <v>3400</v>
      </c>
      <c r="G40" s="245">
        <v>900</v>
      </c>
      <c r="H40" s="245">
        <v>877</v>
      </c>
      <c r="I40" s="245">
        <v>23</v>
      </c>
      <c r="J40" s="249">
        <v>0.20930232558139536</v>
      </c>
      <c r="K40" s="245">
        <v>495</v>
      </c>
      <c r="L40" s="245">
        <v>382</v>
      </c>
      <c r="M40" s="245">
        <f t="shared" si="2"/>
        <v>104.9</v>
      </c>
      <c r="N40" s="257">
        <f t="shared" si="3"/>
        <v>0.88038768529076394</v>
      </c>
      <c r="O40" s="245">
        <v>64.5</v>
      </c>
      <c r="P40" s="245">
        <v>40.4</v>
      </c>
      <c r="Q40" s="266">
        <f t="shared" si="4"/>
        <v>1.3032839517032635</v>
      </c>
      <c r="R40" s="254">
        <v>4.7484470924690179</v>
      </c>
      <c r="S40" s="254">
        <v>4.4130000000000003</v>
      </c>
      <c r="T40" s="254">
        <v>5.2839999999999998</v>
      </c>
      <c r="U40" s="207"/>
      <c r="V40" s="245">
        <v>2.25</v>
      </c>
      <c r="W40" s="250">
        <v>27.111111111111111</v>
      </c>
    </row>
    <row r="41" spans="1:23" ht="15">
      <c r="A41" s="244" t="s">
        <v>8397</v>
      </c>
      <c r="B41" s="246">
        <f t="shared" si="0"/>
        <v>72</v>
      </c>
      <c r="C41" s="245">
        <v>56</v>
      </c>
      <c r="D41" s="245">
        <v>16</v>
      </c>
      <c r="E41" s="208">
        <f t="shared" si="1"/>
        <v>5150</v>
      </c>
      <c r="F41" s="245">
        <v>3750</v>
      </c>
      <c r="G41" s="245">
        <v>1400</v>
      </c>
      <c r="H41" s="245">
        <v>1368</v>
      </c>
      <c r="I41" s="245">
        <v>32</v>
      </c>
      <c r="J41" s="249">
        <v>0.27184466019417475</v>
      </c>
      <c r="K41" s="245">
        <v>747</v>
      </c>
      <c r="L41" s="245">
        <v>621</v>
      </c>
      <c r="M41" s="245">
        <f t="shared" si="2"/>
        <v>166</v>
      </c>
      <c r="N41" s="257">
        <f t="shared" si="3"/>
        <v>0.87865497076023391</v>
      </c>
      <c r="O41" s="245">
        <v>100.7</v>
      </c>
      <c r="P41" s="245">
        <v>65.3</v>
      </c>
      <c r="Q41" s="266">
        <f t="shared" si="4"/>
        <v>1.1835916240637681</v>
      </c>
      <c r="R41" s="254">
        <v>4.1074115662650605</v>
      </c>
      <c r="S41" s="254">
        <v>3.5762</v>
      </c>
      <c r="T41" s="254">
        <v>4.9265999999999996</v>
      </c>
      <c r="U41" s="207"/>
      <c r="V41" s="245">
        <v>2.25</v>
      </c>
      <c r="W41" s="250">
        <v>32</v>
      </c>
    </row>
    <row r="42" spans="1:23" ht="15">
      <c r="A42" s="268" t="s">
        <v>8398</v>
      </c>
      <c r="B42" s="246">
        <f t="shared" si="0"/>
        <v>72</v>
      </c>
      <c r="C42" s="245">
        <v>56</v>
      </c>
      <c r="D42" s="245">
        <v>16</v>
      </c>
      <c r="E42" s="208">
        <f t="shared" si="1"/>
        <v>2900</v>
      </c>
      <c r="F42" s="245">
        <v>2250</v>
      </c>
      <c r="G42" s="245">
        <v>650</v>
      </c>
      <c r="H42" s="245">
        <v>644</v>
      </c>
      <c r="I42" s="245">
        <v>6</v>
      </c>
      <c r="J42" s="249">
        <v>0.22413793103448276</v>
      </c>
      <c r="K42" s="245">
        <v>396</v>
      </c>
      <c r="L42" s="245">
        <v>248</v>
      </c>
      <c r="M42" s="245">
        <f t="shared" si="2"/>
        <v>81.900000000000006</v>
      </c>
      <c r="N42" s="257">
        <f t="shared" si="3"/>
        <v>0.87282608695652175</v>
      </c>
      <c r="O42" s="245">
        <v>56.3</v>
      </c>
      <c r="P42" s="245">
        <v>25.6</v>
      </c>
      <c r="Q42" s="266">
        <f t="shared" si="4"/>
        <v>1.10855092531377</v>
      </c>
      <c r="R42" s="254">
        <v>4.3891485958485958</v>
      </c>
      <c r="S42" s="254">
        <v>4.0876999999999999</v>
      </c>
      <c r="T42" s="254">
        <v>5.0521000000000003</v>
      </c>
      <c r="U42" s="207"/>
      <c r="V42" s="245">
        <v>2.25</v>
      </c>
      <c r="W42" s="250">
        <v>32</v>
      </c>
    </row>
  </sheetData>
  <mergeCells count="1">
    <mergeCell ref="L3:O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X34"/>
  <sheetViews>
    <sheetView workbookViewId="0">
      <selection activeCell="W28" sqref="W28"/>
    </sheetView>
  </sheetViews>
  <sheetFormatPr baseColWidth="10" defaultColWidth="4.7109375" defaultRowHeight="12"/>
  <cols>
    <col min="1" max="16384" width="4.7109375" style="178"/>
  </cols>
  <sheetData>
    <row r="4" spans="4:24">
      <c r="F4" s="340" t="s">
        <v>7642</v>
      </c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</row>
    <row r="5" spans="4:24" ht="20.25" customHeight="1"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</row>
    <row r="6" spans="4:24"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</row>
    <row r="7" spans="4:24"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</row>
    <row r="12" spans="4:24" ht="12.75" thickBot="1"/>
    <row r="13" spans="4:24">
      <c r="D13" s="178" t="s">
        <v>8443</v>
      </c>
      <c r="E13" s="264">
        <v>21</v>
      </c>
      <c r="F13" s="262"/>
      <c r="G13" s="260" t="s">
        <v>8399</v>
      </c>
      <c r="H13" s="258" t="s">
        <v>8400</v>
      </c>
      <c r="I13" s="269" t="s">
        <v>8401</v>
      </c>
      <c r="J13" s="258" t="s">
        <v>8402</v>
      </c>
      <c r="K13" s="269" t="s">
        <v>8403</v>
      </c>
      <c r="L13" s="267" t="s">
        <v>8404</v>
      </c>
      <c r="M13" s="265"/>
      <c r="N13" s="263"/>
      <c r="O13" s="262"/>
      <c r="P13" s="260" t="s">
        <v>8405</v>
      </c>
      <c r="Q13" s="258" t="s">
        <v>8406</v>
      </c>
      <c r="R13" s="258" t="s">
        <v>8407</v>
      </c>
      <c r="S13" s="258" t="s">
        <v>8408</v>
      </c>
      <c r="T13" s="258" t="s">
        <v>8409</v>
      </c>
      <c r="U13" s="267" t="s">
        <v>8410</v>
      </c>
      <c r="V13" s="265"/>
      <c r="W13" s="291" t="s">
        <v>8444</v>
      </c>
    </row>
    <row r="14" spans="4:24">
      <c r="E14" s="264">
        <v>20</v>
      </c>
      <c r="F14" s="262"/>
      <c r="G14" s="261" t="s">
        <v>8411</v>
      </c>
      <c r="H14" s="259" t="s">
        <v>8412</v>
      </c>
      <c r="I14" s="271" t="s">
        <v>8406</v>
      </c>
      <c r="J14" s="259" t="s">
        <v>8413</v>
      </c>
      <c r="K14" s="271" t="s">
        <v>8414</v>
      </c>
      <c r="L14" s="272" t="s">
        <v>8415</v>
      </c>
      <c r="M14" s="265"/>
      <c r="N14" s="263"/>
      <c r="O14" s="262"/>
      <c r="P14" s="261" t="s">
        <v>8416</v>
      </c>
      <c r="Q14" s="271" t="s">
        <v>8417</v>
      </c>
      <c r="R14" s="271" t="s">
        <v>8418</v>
      </c>
      <c r="S14" s="271" t="s">
        <v>8419</v>
      </c>
      <c r="T14" s="271" t="s">
        <v>8420</v>
      </c>
      <c r="U14" s="272" t="s">
        <v>8421</v>
      </c>
      <c r="V14" s="265"/>
    </row>
    <row r="15" spans="4:24">
      <c r="E15" s="264">
        <v>19</v>
      </c>
      <c r="F15" s="262"/>
      <c r="G15" s="261" t="s">
        <v>8422</v>
      </c>
      <c r="H15" s="271" t="s">
        <v>8423</v>
      </c>
      <c r="I15" s="271" t="s">
        <v>8421</v>
      </c>
      <c r="J15" s="271" t="s">
        <v>8424</v>
      </c>
      <c r="K15" s="271" t="s">
        <v>8410</v>
      </c>
      <c r="L15" s="272" t="s">
        <v>8408</v>
      </c>
      <c r="M15" s="265"/>
      <c r="N15" s="263"/>
      <c r="O15" s="262"/>
      <c r="P15" s="273" t="s">
        <v>8413</v>
      </c>
      <c r="Q15" s="271" t="s">
        <v>8425</v>
      </c>
      <c r="R15" s="259" t="s">
        <v>8426</v>
      </c>
      <c r="S15" s="271" t="s">
        <v>8400</v>
      </c>
      <c r="T15" s="259" t="s">
        <v>8412</v>
      </c>
      <c r="U15" s="272" t="s">
        <v>8427</v>
      </c>
      <c r="V15" s="265"/>
    </row>
    <row r="16" spans="4:24">
      <c r="E16" s="264">
        <v>18</v>
      </c>
      <c r="F16" s="262"/>
      <c r="G16" s="273" t="s">
        <v>8428</v>
      </c>
      <c r="H16" s="271" t="s">
        <v>8429</v>
      </c>
      <c r="I16" s="259" t="s">
        <v>8430</v>
      </c>
      <c r="J16" s="271" t="s">
        <v>8418</v>
      </c>
      <c r="K16" s="271" t="s">
        <v>8427</v>
      </c>
      <c r="L16" s="274" t="s">
        <v>8431</v>
      </c>
      <c r="M16" s="265"/>
      <c r="N16" s="263"/>
      <c r="O16" s="262"/>
      <c r="P16" s="261" t="s">
        <v>8422</v>
      </c>
      <c r="Q16" s="259" t="s">
        <v>8432</v>
      </c>
      <c r="R16" s="271" t="s">
        <v>8415</v>
      </c>
      <c r="S16" s="271" t="s">
        <v>8424</v>
      </c>
      <c r="T16" s="271" t="s">
        <v>8433</v>
      </c>
      <c r="U16" s="272" t="s">
        <v>8429</v>
      </c>
      <c r="V16" s="265"/>
    </row>
    <row r="17" spans="4:23">
      <c r="E17" s="264">
        <v>17</v>
      </c>
      <c r="F17" s="262"/>
      <c r="G17" s="261" t="s">
        <v>8409</v>
      </c>
      <c r="H17" s="259" t="s">
        <v>8434</v>
      </c>
      <c r="I17" s="271" t="s">
        <v>8405</v>
      </c>
      <c r="J17" s="259" t="s">
        <v>8435</v>
      </c>
      <c r="K17" s="271" t="s">
        <v>8436</v>
      </c>
      <c r="L17" s="274" t="s">
        <v>8426</v>
      </c>
      <c r="M17" s="265"/>
      <c r="N17" s="263"/>
      <c r="O17" s="262"/>
      <c r="P17" s="261" t="s">
        <v>8404</v>
      </c>
      <c r="Q17" s="259" t="s">
        <v>8428</v>
      </c>
      <c r="R17" s="271" t="s">
        <v>8402</v>
      </c>
      <c r="S17" s="259" t="s">
        <v>8435</v>
      </c>
      <c r="T17" s="271" t="s">
        <v>8414</v>
      </c>
      <c r="U17" s="274" t="s">
        <v>8430</v>
      </c>
      <c r="V17" s="265"/>
    </row>
    <row r="18" spans="4:23">
      <c r="E18" s="264">
        <v>16</v>
      </c>
      <c r="F18" s="262"/>
      <c r="G18" s="273" t="s">
        <v>8437</v>
      </c>
      <c r="H18" s="271" t="s">
        <v>8425</v>
      </c>
      <c r="I18" s="271" t="s">
        <v>8438</v>
      </c>
      <c r="J18" s="271" t="s">
        <v>8439</v>
      </c>
      <c r="K18" s="271" t="s">
        <v>8407</v>
      </c>
      <c r="L18" s="274" t="s">
        <v>8432</v>
      </c>
      <c r="M18" s="265"/>
      <c r="N18" s="263"/>
      <c r="O18" s="262"/>
      <c r="P18" s="273" t="s">
        <v>8431</v>
      </c>
      <c r="Q18" s="271" t="s">
        <v>8423</v>
      </c>
      <c r="R18" s="271" t="s">
        <v>8440</v>
      </c>
      <c r="S18" s="271" t="s">
        <v>8399</v>
      </c>
      <c r="T18" s="271" t="s">
        <v>8436</v>
      </c>
      <c r="U18" s="274" t="s">
        <v>8437</v>
      </c>
      <c r="V18" s="265"/>
    </row>
    <row r="19" spans="4:23" ht="12.75" thickBot="1">
      <c r="E19" s="264">
        <v>15</v>
      </c>
      <c r="F19" s="262"/>
      <c r="G19" s="275" t="s">
        <v>8416</v>
      </c>
      <c r="H19" s="276" t="s">
        <v>8440</v>
      </c>
      <c r="I19" s="276" t="s">
        <v>8433</v>
      </c>
      <c r="J19" s="276" t="s">
        <v>8419</v>
      </c>
      <c r="K19" s="276" t="s">
        <v>8417</v>
      </c>
      <c r="L19" s="277" t="s">
        <v>8420</v>
      </c>
      <c r="M19" s="265"/>
      <c r="N19" s="263"/>
      <c r="O19" s="262"/>
      <c r="P19" s="278" t="s">
        <v>8403</v>
      </c>
      <c r="Q19" s="276" t="s">
        <v>8438</v>
      </c>
      <c r="R19" s="279" t="s">
        <v>8401</v>
      </c>
      <c r="S19" s="276" t="s">
        <v>8439</v>
      </c>
      <c r="T19" s="279" t="s">
        <v>8434</v>
      </c>
      <c r="U19" s="277" t="s">
        <v>8411</v>
      </c>
      <c r="V19" s="265"/>
    </row>
    <row r="20" spans="4:23" ht="12.75" thickTop="1">
      <c r="D20" s="178" t="s">
        <v>8442</v>
      </c>
      <c r="E20" s="264">
        <v>14</v>
      </c>
      <c r="F20" s="262"/>
      <c r="G20" s="280" t="s">
        <v>8403</v>
      </c>
      <c r="H20" s="281" t="s">
        <v>8430</v>
      </c>
      <c r="I20" s="281" t="s">
        <v>8431</v>
      </c>
      <c r="J20" s="282" t="s">
        <v>8407</v>
      </c>
      <c r="K20" s="281" t="s">
        <v>8413</v>
      </c>
      <c r="L20" s="283" t="s">
        <v>8433</v>
      </c>
      <c r="M20" s="265"/>
      <c r="N20" s="263"/>
      <c r="O20" s="262"/>
      <c r="P20" s="280" t="s">
        <v>8403</v>
      </c>
      <c r="Q20" s="281" t="s">
        <v>8430</v>
      </c>
      <c r="R20" s="281" t="s">
        <v>8431</v>
      </c>
      <c r="S20" s="282" t="s">
        <v>8407</v>
      </c>
      <c r="T20" s="281" t="s">
        <v>8413</v>
      </c>
      <c r="U20" s="283" t="s">
        <v>8433</v>
      </c>
      <c r="V20" s="265"/>
      <c r="W20" s="178" t="s">
        <v>8445</v>
      </c>
    </row>
    <row r="21" spans="4:23">
      <c r="E21" s="264">
        <v>13</v>
      </c>
      <c r="F21" s="262"/>
      <c r="G21" s="284" t="s">
        <v>8434</v>
      </c>
      <c r="H21" s="285" t="s">
        <v>8401</v>
      </c>
      <c r="I21" s="271" t="s">
        <v>8422</v>
      </c>
      <c r="J21" s="271" t="s">
        <v>8411</v>
      </c>
      <c r="K21" s="271" t="s">
        <v>8439</v>
      </c>
      <c r="L21" s="272" t="s">
        <v>8423</v>
      </c>
      <c r="M21" s="265"/>
      <c r="N21" s="263"/>
      <c r="O21" s="262"/>
      <c r="P21" s="284" t="s">
        <v>8434</v>
      </c>
      <c r="Q21" s="285" t="s">
        <v>8401</v>
      </c>
      <c r="R21" s="271" t="s">
        <v>8422</v>
      </c>
      <c r="S21" s="271" t="s">
        <v>8411</v>
      </c>
      <c r="T21" s="271" t="s">
        <v>8439</v>
      </c>
      <c r="U21" s="272" t="s">
        <v>8423</v>
      </c>
      <c r="V21" s="265"/>
    </row>
    <row r="22" spans="4:23">
      <c r="E22" s="264">
        <v>12</v>
      </c>
      <c r="F22" s="262"/>
      <c r="G22" s="261" t="s">
        <v>8424</v>
      </c>
      <c r="H22" s="271" t="s">
        <v>8440</v>
      </c>
      <c r="I22" s="271" t="s">
        <v>8436</v>
      </c>
      <c r="J22" s="271" t="s">
        <v>8415</v>
      </c>
      <c r="K22" s="271" t="s">
        <v>8419</v>
      </c>
      <c r="L22" s="272" t="s">
        <v>8427</v>
      </c>
      <c r="M22" s="265"/>
      <c r="N22" s="263"/>
      <c r="O22" s="262"/>
      <c r="P22" s="261" t="s">
        <v>8424</v>
      </c>
      <c r="Q22" s="271" t="s">
        <v>8440</v>
      </c>
      <c r="R22" s="271" t="s">
        <v>8436</v>
      </c>
      <c r="S22" s="271" t="s">
        <v>8415</v>
      </c>
      <c r="T22" s="271" t="s">
        <v>8419</v>
      </c>
      <c r="U22" s="272" t="s">
        <v>8427</v>
      </c>
      <c r="V22" s="265"/>
    </row>
    <row r="23" spans="4:23">
      <c r="E23" s="264">
        <v>11</v>
      </c>
      <c r="F23" s="262"/>
      <c r="G23" s="261" t="s">
        <v>8399</v>
      </c>
      <c r="H23" s="271" t="s">
        <v>8410</v>
      </c>
      <c r="I23" s="271" t="s">
        <v>8416</v>
      </c>
      <c r="J23" s="285" t="s">
        <v>8437</v>
      </c>
      <c r="K23" s="271" t="s">
        <v>8402</v>
      </c>
      <c r="L23" s="286" t="s">
        <v>8412</v>
      </c>
      <c r="M23" s="265"/>
      <c r="N23" s="263"/>
      <c r="O23" s="262"/>
      <c r="P23" s="261" t="s">
        <v>8399</v>
      </c>
      <c r="Q23" s="271" t="s">
        <v>8410</v>
      </c>
      <c r="R23" s="271" t="s">
        <v>8416</v>
      </c>
      <c r="S23" s="285" t="s">
        <v>8437</v>
      </c>
      <c r="T23" s="271" t="s">
        <v>8402</v>
      </c>
      <c r="U23" s="286" t="s">
        <v>8412</v>
      </c>
      <c r="V23" s="265"/>
    </row>
    <row r="24" spans="4:23">
      <c r="E24" s="264">
        <v>10</v>
      </c>
      <c r="F24" s="262"/>
      <c r="G24" s="261" t="s">
        <v>8409</v>
      </c>
      <c r="H24" s="285" t="s">
        <v>8435</v>
      </c>
      <c r="I24" s="285" t="s">
        <v>8432</v>
      </c>
      <c r="J24" s="271" t="s">
        <v>8425</v>
      </c>
      <c r="K24" s="285" t="s">
        <v>8426</v>
      </c>
      <c r="L24" s="272" t="s">
        <v>8414</v>
      </c>
      <c r="M24" s="265"/>
      <c r="N24" s="263"/>
      <c r="O24" s="262"/>
      <c r="P24" s="261" t="s">
        <v>8409</v>
      </c>
      <c r="Q24" s="285" t="s">
        <v>8435</v>
      </c>
      <c r="R24" s="285" t="s">
        <v>8432</v>
      </c>
      <c r="S24" s="271" t="s">
        <v>8425</v>
      </c>
      <c r="T24" s="285" t="s">
        <v>8426</v>
      </c>
      <c r="U24" s="272" t="s">
        <v>8414</v>
      </c>
      <c r="V24" s="265"/>
    </row>
    <row r="25" spans="4:23">
      <c r="E25" s="264">
        <v>9</v>
      </c>
      <c r="F25" s="262"/>
      <c r="G25" s="261" t="s">
        <v>8420</v>
      </c>
      <c r="H25" s="271" t="s">
        <v>8429</v>
      </c>
      <c r="I25" s="271" t="s">
        <v>8417</v>
      </c>
      <c r="J25" s="271" t="s">
        <v>8406</v>
      </c>
      <c r="K25" s="285" t="s">
        <v>8428</v>
      </c>
      <c r="L25" s="272" t="s">
        <v>8438</v>
      </c>
      <c r="M25" s="265"/>
      <c r="N25" s="263"/>
      <c r="O25" s="262"/>
      <c r="P25" s="261" t="s">
        <v>8420</v>
      </c>
      <c r="Q25" s="271" t="s">
        <v>8429</v>
      </c>
      <c r="R25" s="271" t="s">
        <v>8417</v>
      </c>
      <c r="S25" s="271" t="s">
        <v>8406</v>
      </c>
      <c r="T25" s="285" t="s">
        <v>8428</v>
      </c>
      <c r="U25" s="272" t="s">
        <v>8438</v>
      </c>
      <c r="V25" s="265"/>
    </row>
    <row r="26" spans="4:23" ht="12.75" thickBot="1">
      <c r="E26" s="264">
        <v>8</v>
      </c>
      <c r="F26" s="265"/>
      <c r="G26" s="287" t="s">
        <v>8400</v>
      </c>
      <c r="H26" s="288" t="s">
        <v>8404</v>
      </c>
      <c r="I26" s="288" t="s">
        <v>8408</v>
      </c>
      <c r="J26" s="288" t="s">
        <v>8421</v>
      </c>
      <c r="K26" s="288" t="s">
        <v>8405</v>
      </c>
      <c r="L26" s="277" t="s">
        <v>8418</v>
      </c>
      <c r="M26" s="265"/>
      <c r="N26" s="263"/>
      <c r="O26" s="265"/>
      <c r="P26" s="287" t="s">
        <v>8400</v>
      </c>
      <c r="Q26" s="288" t="s">
        <v>8404</v>
      </c>
      <c r="R26" s="288" t="s">
        <v>8408</v>
      </c>
      <c r="S26" s="288" t="s">
        <v>8421</v>
      </c>
      <c r="T26" s="288" t="s">
        <v>8405</v>
      </c>
      <c r="U26" s="277" t="s">
        <v>8418</v>
      </c>
      <c r="V26" s="265"/>
    </row>
    <row r="27" spans="4:23" ht="12.75" thickTop="1">
      <c r="D27" s="178" t="s">
        <v>8441</v>
      </c>
      <c r="E27" s="264">
        <v>7</v>
      </c>
      <c r="F27" s="265"/>
      <c r="G27" s="289" t="s">
        <v>8405</v>
      </c>
      <c r="H27" s="282" t="s">
        <v>8406</v>
      </c>
      <c r="I27" s="282" t="s">
        <v>8407</v>
      </c>
      <c r="J27" s="282" t="s">
        <v>8408</v>
      </c>
      <c r="K27" s="282" t="s">
        <v>8409</v>
      </c>
      <c r="L27" s="283" t="s">
        <v>8410</v>
      </c>
      <c r="M27" s="265"/>
      <c r="N27" s="263"/>
      <c r="O27" s="265"/>
      <c r="P27" s="289" t="s">
        <v>8399</v>
      </c>
      <c r="Q27" s="282" t="s">
        <v>8400</v>
      </c>
      <c r="R27" s="290" t="s">
        <v>8401</v>
      </c>
      <c r="S27" s="282" t="s">
        <v>8402</v>
      </c>
      <c r="T27" s="290" t="s">
        <v>8403</v>
      </c>
      <c r="U27" s="283" t="s">
        <v>8404</v>
      </c>
      <c r="V27" s="265"/>
      <c r="W27" s="178" t="s">
        <v>8446</v>
      </c>
    </row>
    <row r="28" spans="4:23">
      <c r="E28" s="264">
        <v>6</v>
      </c>
      <c r="F28" s="265"/>
      <c r="G28" s="261" t="s">
        <v>8416</v>
      </c>
      <c r="H28" s="271" t="s">
        <v>8417</v>
      </c>
      <c r="I28" s="271" t="s">
        <v>8418</v>
      </c>
      <c r="J28" s="271" t="s">
        <v>8419</v>
      </c>
      <c r="K28" s="271" t="s">
        <v>8420</v>
      </c>
      <c r="L28" s="272" t="s">
        <v>8421</v>
      </c>
      <c r="M28" s="265"/>
      <c r="N28" s="263"/>
      <c r="O28" s="265"/>
      <c r="P28" s="261" t="s">
        <v>8411</v>
      </c>
      <c r="Q28" s="259" t="s">
        <v>8412</v>
      </c>
      <c r="R28" s="271" t="s">
        <v>8406</v>
      </c>
      <c r="S28" s="259" t="s">
        <v>8413</v>
      </c>
      <c r="T28" s="271" t="s">
        <v>8414</v>
      </c>
      <c r="U28" s="272" t="s">
        <v>8415</v>
      </c>
      <c r="V28" s="265"/>
    </row>
    <row r="29" spans="4:23">
      <c r="E29" s="264">
        <v>5</v>
      </c>
      <c r="F29" s="265"/>
      <c r="G29" s="273" t="s">
        <v>8413</v>
      </c>
      <c r="H29" s="271" t="s">
        <v>8425</v>
      </c>
      <c r="I29" s="259" t="s">
        <v>8426</v>
      </c>
      <c r="J29" s="271" t="s">
        <v>8400</v>
      </c>
      <c r="K29" s="259" t="s">
        <v>8412</v>
      </c>
      <c r="L29" s="272" t="s">
        <v>8427</v>
      </c>
      <c r="M29" s="265"/>
      <c r="N29" s="263"/>
      <c r="O29" s="265"/>
      <c r="P29" s="261" t="s">
        <v>8422</v>
      </c>
      <c r="Q29" s="271" t="s">
        <v>8423</v>
      </c>
      <c r="R29" s="271" t="s">
        <v>8421</v>
      </c>
      <c r="S29" s="271" t="s">
        <v>8424</v>
      </c>
      <c r="T29" s="271" t="s">
        <v>8410</v>
      </c>
      <c r="U29" s="272" t="s">
        <v>8408</v>
      </c>
      <c r="V29" s="265"/>
    </row>
    <row r="30" spans="4:23">
      <c r="E30" s="264">
        <v>4</v>
      </c>
      <c r="F30" s="265"/>
      <c r="G30" s="261" t="s">
        <v>8422</v>
      </c>
      <c r="H30" s="259" t="s">
        <v>8432</v>
      </c>
      <c r="I30" s="271" t="s">
        <v>8415</v>
      </c>
      <c r="J30" s="271" t="s">
        <v>8424</v>
      </c>
      <c r="K30" s="271" t="s">
        <v>8433</v>
      </c>
      <c r="L30" s="272" t="s">
        <v>8429</v>
      </c>
      <c r="M30" s="265"/>
      <c r="N30" s="263"/>
      <c r="O30" s="265"/>
      <c r="P30" s="273" t="s">
        <v>8428</v>
      </c>
      <c r="Q30" s="271" t="s">
        <v>8429</v>
      </c>
      <c r="R30" s="259" t="s">
        <v>8430</v>
      </c>
      <c r="S30" s="271" t="s">
        <v>8418</v>
      </c>
      <c r="T30" s="271" t="s">
        <v>8427</v>
      </c>
      <c r="U30" s="274" t="s">
        <v>8431</v>
      </c>
      <c r="V30" s="265"/>
    </row>
    <row r="31" spans="4:23">
      <c r="E31" s="264">
        <v>3</v>
      </c>
      <c r="F31" s="265"/>
      <c r="G31" s="261" t="s">
        <v>8404</v>
      </c>
      <c r="H31" s="259" t="s">
        <v>8428</v>
      </c>
      <c r="I31" s="271" t="s">
        <v>8402</v>
      </c>
      <c r="J31" s="259" t="s">
        <v>8435</v>
      </c>
      <c r="K31" s="271" t="s">
        <v>8414</v>
      </c>
      <c r="L31" s="274" t="s">
        <v>8430</v>
      </c>
      <c r="M31" s="265"/>
      <c r="N31" s="263"/>
      <c r="O31" s="265"/>
      <c r="P31" s="261" t="s">
        <v>8409</v>
      </c>
      <c r="Q31" s="259" t="s">
        <v>8434</v>
      </c>
      <c r="R31" s="271" t="s">
        <v>8405</v>
      </c>
      <c r="S31" s="259" t="s">
        <v>8435</v>
      </c>
      <c r="T31" s="271" t="s">
        <v>8436</v>
      </c>
      <c r="U31" s="274" t="s">
        <v>8426</v>
      </c>
      <c r="V31" s="265"/>
    </row>
    <row r="32" spans="4:23">
      <c r="E32" s="264">
        <v>2</v>
      </c>
      <c r="F32" s="265"/>
      <c r="G32" s="273" t="s">
        <v>8431</v>
      </c>
      <c r="H32" s="271" t="s">
        <v>8423</v>
      </c>
      <c r="I32" s="271" t="s">
        <v>8440</v>
      </c>
      <c r="J32" s="271" t="s">
        <v>8399</v>
      </c>
      <c r="K32" s="271" t="s">
        <v>8436</v>
      </c>
      <c r="L32" s="274" t="s">
        <v>8437</v>
      </c>
      <c r="M32" s="265"/>
      <c r="N32" s="263"/>
      <c r="O32" s="265"/>
      <c r="P32" s="273" t="s">
        <v>8437</v>
      </c>
      <c r="Q32" s="271" t="s">
        <v>8425</v>
      </c>
      <c r="R32" s="271" t="s">
        <v>8438</v>
      </c>
      <c r="S32" s="271" t="s">
        <v>8439</v>
      </c>
      <c r="T32" s="271" t="s">
        <v>8407</v>
      </c>
      <c r="U32" s="274" t="s">
        <v>8432</v>
      </c>
      <c r="V32" s="265"/>
    </row>
    <row r="33" spans="5:22">
      <c r="E33" s="264">
        <v>1</v>
      </c>
      <c r="F33" s="265"/>
      <c r="G33" s="273" t="s">
        <v>8403</v>
      </c>
      <c r="H33" s="271" t="s">
        <v>8438</v>
      </c>
      <c r="I33" s="259" t="s">
        <v>8401</v>
      </c>
      <c r="J33" s="271" t="s">
        <v>8439</v>
      </c>
      <c r="K33" s="259" t="s">
        <v>8434</v>
      </c>
      <c r="L33" s="272" t="s">
        <v>8411</v>
      </c>
      <c r="M33" s="265"/>
      <c r="N33" s="263"/>
      <c r="O33" s="265"/>
      <c r="P33" s="275" t="s">
        <v>8416</v>
      </c>
      <c r="Q33" s="276" t="s">
        <v>8440</v>
      </c>
      <c r="R33" s="276" t="s">
        <v>8433</v>
      </c>
      <c r="S33" s="276" t="s">
        <v>8419</v>
      </c>
      <c r="T33" s="276" t="s">
        <v>8417</v>
      </c>
      <c r="U33" s="277" t="s">
        <v>8420</v>
      </c>
      <c r="V33" s="265"/>
    </row>
    <row r="34" spans="5:22">
      <c r="E34" s="264"/>
      <c r="F34" s="264"/>
      <c r="G34" s="264">
        <v>1</v>
      </c>
      <c r="H34" s="264">
        <v>2</v>
      </c>
      <c r="I34" s="264">
        <v>3</v>
      </c>
      <c r="J34" s="264">
        <v>4</v>
      </c>
      <c r="K34" s="264">
        <v>5</v>
      </c>
      <c r="L34" s="264">
        <v>6</v>
      </c>
      <c r="M34" s="264"/>
      <c r="N34" s="264"/>
      <c r="O34" s="264"/>
      <c r="P34" s="264">
        <v>10</v>
      </c>
      <c r="Q34" s="264">
        <v>11</v>
      </c>
      <c r="R34" s="264">
        <v>12</v>
      </c>
      <c r="S34" s="264">
        <v>13</v>
      </c>
      <c r="T34" s="264">
        <v>14</v>
      </c>
      <c r="U34" s="264">
        <v>15</v>
      </c>
      <c r="V34" s="264"/>
    </row>
  </sheetData>
  <protectedRanges>
    <protectedRange password="DF17" sqref="O20 D23:D24 U24 L20:M21 D20 E20:E21 H24:H25" name="Range1"/>
  </protectedRanges>
  <mergeCells count="1">
    <mergeCell ref="F4:X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activeCell="C12" sqref="C12"/>
    </sheetView>
  </sheetViews>
  <sheetFormatPr baseColWidth="10" defaultColWidth="11.42578125" defaultRowHeight="12"/>
  <cols>
    <col min="1" max="1" width="36.42578125" bestFit="1" customWidth="1"/>
    <col min="2" max="2" width="18.7109375" bestFit="1" customWidth="1"/>
    <col min="3" max="3" width="18.85546875" bestFit="1" customWidth="1"/>
    <col min="5" max="5" width="44.140625" bestFit="1" customWidth="1"/>
  </cols>
  <sheetData>
    <row r="1" spans="1:7" ht="15.75">
      <c r="A1" s="197" t="s">
        <v>7583</v>
      </c>
      <c r="B1" s="197" t="s">
        <v>177</v>
      </c>
      <c r="C1" s="197" t="s">
        <v>7584</v>
      </c>
      <c r="D1" s="197" t="s">
        <v>7585</v>
      </c>
      <c r="E1" s="197" t="s">
        <v>7586</v>
      </c>
    </row>
    <row r="2" spans="1:7" s="178" customFormat="1" ht="15.75">
      <c r="A2" s="198"/>
      <c r="B2" s="218"/>
      <c r="C2" s="219"/>
      <c r="D2" s="219"/>
      <c r="E2" s="215"/>
      <c r="F2" s="138"/>
      <c r="G2" s="138"/>
    </row>
    <row r="3" spans="1:7" s="178" customFormat="1" ht="15.75">
      <c r="A3" s="198"/>
      <c r="B3" s="218"/>
      <c r="C3" s="219"/>
      <c r="D3" s="219"/>
      <c r="E3" s="215"/>
      <c r="F3" s="138"/>
      <c r="G3" s="138"/>
    </row>
    <row r="4" spans="1:7" s="178" customFormat="1" ht="15.75">
      <c r="A4" s="198"/>
      <c r="B4" s="218"/>
      <c r="C4" s="219"/>
      <c r="D4" s="219"/>
      <c r="E4" s="215"/>
      <c r="F4" s="138"/>
      <c r="G4" s="138"/>
    </row>
    <row r="5" spans="1:7" s="178" customFormat="1" ht="15.75">
      <c r="A5" s="198"/>
      <c r="B5" s="218"/>
      <c r="C5" s="219"/>
      <c r="D5" s="219"/>
      <c r="E5" s="215"/>
      <c r="F5" s="138"/>
      <c r="G5" s="138"/>
    </row>
    <row r="6" spans="1:7" ht="15.75">
      <c r="A6" s="198"/>
      <c r="B6" s="218"/>
      <c r="C6" s="199"/>
      <c r="D6" s="199"/>
      <c r="E6" s="214"/>
      <c r="F6" s="138"/>
      <c r="G6" s="138"/>
    </row>
    <row r="7" spans="1:7" s="178" customFormat="1" ht="15.75">
      <c r="A7" s="198"/>
      <c r="B7" s="218"/>
      <c r="C7" s="219"/>
      <c r="D7" s="199"/>
      <c r="E7" s="214"/>
      <c r="F7" s="138"/>
      <c r="G7" s="138"/>
    </row>
    <row r="8" spans="1:7" ht="15.75">
      <c r="A8" s="198"/>
      <c r="B8" s="218"/>
      <c r="C8" s="219"/>
      <c r="D8" s="199"/>
      <c r="E8" s="199"/>
    </row>
    <row r="9" spans="1:7" ht="15.75">
      <c r="A9" s="217"/>
      <c r="B9" s="218"/>
      <c r="C9" s="220"/>
      <c r="D9" s="199"/>
      <c r="E9" s="199"/>
    </row>
    <row r="10" spans="1:7" ht="15.75">
      <c r="A10" s="198"/>
      <c r="B10" s="218"/>
      <c r="C10" s="219"/>
      <c r="D10" s="199"/>
      <c r="E10" s="199"/>
    </row>
    <row r="11" spans="1:7" ht="15.75">
      <c r="A11" s="198"/>
      <c r="B11" s="218"/>
      <c r="C11" s="216"/>
      <c r="D11" s="216"/>
      <c r="E11" s="199"/>
    </row>
    <row r="12" spans="1:7" ht="15.75">
      <c r="A12" s="198"/>
      <c r="B12" s="218"/>
      <c r="C12" s="216"/>
      <c r="D12" s="207"/>
      <c r="E12" s="216"/>
    </row>
    <row r="13" spans="1:7" s="178" customFormat="1" ht="15.75">
      <c r="A13" s="198"/>
      <c r="B13" s="218"/>
      <c r="C13" s="219"/>
      <c r="D13" s="207"/>
      <c r="E13" s="216"/>
    </row>
    <row r="14" spans="1:7" ht="15.75">
      <c r="A14" s="198"/>
      <c r="B14" s="218"/>
      <c r="C14" s="216"/>
      <c r="D14" s="207"/>
      <c r="E14" s="216"/>
    </row>
    <row r="15" spans="1:7" ht="15.75">
      <c r="A15" s="198"/>
      <c r="B15" s="218"/>
      <c r="C15" s="219"/>
      <c r="D15" s="199"/>
      <c r="E15" s="199"/>
    </row>
    <row r="16" spans="1:7" ht="15.75">
      <c r="A16" s="198"/>
      <c r="B16" s="218"/>
      <c r="C16" s="219"/>
      <c r="D16" s="199"/>
      <c r="E16" s="199"/>
    </row>
    <row r="17" spans="1:9" ht="15.75">
      <c r="A17" s="198"/>
      <c r="B17" s="218"/>
      <c r="C17" s="219"/>
      <c r="D17" s="199"/>
      <c r="E17" s="199"/>
    </row>
    <row r="18" spans="1:9" ht="15.75">
      <c r="A18" s="198"/>
      <c r="B18" s="218"/>
      <c r="C18" s="199"/>
      <c r="D18" s="199"/>
      <c r="E18" s="199"/>
    </row>
    <row r="19" spans="1:9" ht="12.75" thickBot="1">
      <c r="D19" s="178"/>
    </row>
    <row r="20" spans="1:9" s="138" customFormat="1" ht="14.25" thickTop="1" thickBot="1">
      <c r="A20" s="350" t="s">
        <v>8447</v>
      </c>
      <c r="B20" s="351"/>
      <c r="C20" s="351"/>
      <c r="D20" s="351"/>
      <c r="E20" s="351"/>
      <c r="F20" s="351"/>
      <c r="G20" s="351"/>
      <c r="H20" s="351"/>
      <c r="I20" s="352"/>
    </row>
    <row r="21" spans="1:9" ht="13.5" thickTop="1">
      <c r="A21" s="378" t="s">
        <v>177</v>
      </c>
      <c r="B21" s="379"/>
      <c r="C21" s="380" t="s">
        <v>8448</v>
      </c>
      <c r="D21" s="381"/>
      <c r="E21" s="381"/>
      <c r="F21" s="379"/>
      <c r="G21" s="380" t="s">
        <v>8449</v>
      </c>
      <c r="H21" s="381"/>
      <c r="I21" s="382"/>
    </row>
    <row r="22" spans="1:9" ht="12.75">
      <c r="A22" s="383"/>
      <c r="B22" s="384"/>
      <c r="C22" s="370" t="s">
        <v>8450</v>
      </c>
      <c r="D22" s="371"/>
      <c r="E22" s="371"/>
      <c r="F22" s="372"/>
      <c r="G22" s="377">
        <v>10</v>
      </c>
      <c r="H22" s="348"/>
      <c r="I22" s="349"/>
    </row>
    <row r="23" spans="1:9" ht="12.75">
      <c r="A23" s="375">
        <v>42237</v>
      </c>
      <c r="B23" s="376"/>
      <c r="C23" s="370" t="s">
        <v>8451</v>
      </c>
      <c r="D23" s="371"/>
      <c r="E23" s="371"/>
      <c r="F23" s="372"/>
      <c r="G23" s="377">
        <v>25</v>
      </c>
      <c r="H23" s="348"/>
      <c r="I23" s="349"/>
    </row>
    <row r="24" spans="1:9" ht="12.75">
      <c r="A24" s="375">
        <v>42238</v>
      </c>
      <c r="B24" s="376"/>
      <c r="C24" s="370" t="s">
        <v>8452</v>
      </c>
      <c r="D24" s="371"/>
      <c r="E24" s="371"/>
      <c r="F24" s="372"/>
      <c r="G24" s="377">
        <v>5</v>
      </c>
      <c r="H24" s="348"/>
      <c r="I24" s="349"/>
    </row>
    <row r="25" spans="1:9" ht="13.5" thickBot="1">
      <c r="A25" s="368">
        <v>42247</v>
      </c>
      <c r="B25" s="369"/>
      <c r="C25" s="370" t="s">
        <v>8452</v>
      </c>
      <c r="D25" s="371"/>
      <c r="E25" s="371"/>
      <c r="F25" s="372"/>
      <c r="G25" s="373">
        <v>5</v>
      </c>
      <c r="H25" s="342"/>
      <c r="I25" s="343"/>
    </row>
    <row r="26" spans="1:9" ht="14.25" thickTop="1" thickBot="1">
      <c r="A26" s="292"/>
      <c r="B26" s="292"/>
      <c r="C26" s="292"/>
      <c r="D26" s="292"/>
      <c r="E26" s="292"/>
      <c r="F26" s="292"/>
      <c r="G26" s="292"/>
      <c r="H26" s="292"/>
      <c r="I26" s="292"/>
    </row>
    <row r="27" spans="1:9" ht="14.25" thickTop="1" thickBot="1">
      <c r="A27" s="350" t="s">
        <v>8453</v>
      </c>
      <c r="B27" s="351"/>
      <c r="C27" s="351"/>
      <c r="D27" s="351"/>
      <c r="E27" s="351"/>
      <c r="F27" s="351"/>
      <c r="G27" s="351"/>
      <c r="H27" s="351"/>
      <c r="I27" s="352"/>
    </row>
    <row r="28" spans="1:9" ht="14.25" thickTop="1" thickBot="1">
      <c r="A28" s="350" t="s">
        <v>8454</v>
      </c>
      <c r="B28" s="351"/>
      <c r="C28" s="352"/>
      <c r="D28" s="293"/>
      <c r="E28" s="293"/>
      <c r="F28" s="294"/>
      <c r="G28" s="294"/>
      <c r="H28" s="294"/>
      <c r="I28" s="294"/>
    </row>
    <row r="29" spans="1:9" ht="14.25" thickTop="1" thickBot="1">
      <c r="A29" s="295" t="s">
        <v>177</v>
      </c>
      <c r="B29" s="353" t="s">
        <v>8455</v>
      </c>
      <c r="C29" s="355"/>
      <c r="D29" s="296"/>
      <c r="E29" s="296"/>
      <c r="F29" s="374"/>
      <c r="G29" s="374"/>
      <c r="H29" s="374"/>
      <c r="I29" s="374"/>
    </row>
    <row r="30" spans="1:9" ht="13.5" thickTop="1">
      <c r="A30" s="297">
        <v>42257</v>
      </c>
      <c r="B30" s="362">
        <v>20</v>
      </c>
      <c r="C30" s="363"/>
      <c r="D30" s="296"/>
      <c r="E30" s="296"/>
      <c r="F30" s="292"/>
      <c r="G30" s="292"/>
      <c r="H30" s="292"/>
      <c r="I30" s="292"/>
    </row>
    <row r="31" spans="1:9" ht="12.75">
      <c r="A31" s="298"/>
      <c r="B31" s="364"/>
      <c r="C31" s="365"/>
      <c r="D31" s="296"/>
      <c r="E31" s="296"/>
      <c r="F31" s="292"/>
      <c r="G31" s="292"/>
      <c r="H31" s="292"/>
      <c r="I31" s="292"/>
    </row>
    <row r="32" spans="1:9" ht="12.75">
      <c r="A32" s="298"/>
      <c r="B32" s="364"/>
      <c r="C32" s="365"/>
      <c r="D32" s="296"/>
      <c r="E32" s="296"/>
      <c r="F32" s="292"/>
      <c r="G32" s="292"/>
      <c r="H32" s="292"/>
      <c r="I32" s="292"/>
    </row>
    <row r="33" spans="1:9" ht="12.75">
      <c r="A33" s="298"/>
      <c r="B33" s="364"/>
      <c r="C33" s="365"/>
      <c r="D33" s="296"/>
      <c r="E33" s="296"/>
      <c r="F33" s="292"/>
      <c r="G33" s="292"/>
      <c r="H33" s="292"/>
      <c r="I33" s="292"/>
    </row>
    <row r="34" spans="1:9" ht="13.5" thickBot="1">
      <c r="A34" s="298"/>
      <c r="B34" s="366"/>
      <c r="C34" s="367"/>
      <c r="D34" s="178"/>
      <c r="E34" s="296"/>
      <c r="F34" s="292"/>
      <c r="G34" s="292"/>
      <c r="H34" s="292"/>
      <c r="I34" s="292"/>
    </row>
    <row r="35" spans="1:9" ht="14.25" thickTop="1" thickBot="1">
      <c r="A35" s="292"/>
      <c r="B35" s="292"/>
      <c r="C35" s="292"/>
      <c r="D35" s="292"/>
      <c r="E35" s="292"/>
      <c r="F35" s="292"/>
      <c r="G35" s="292"/>
      <c r="H35" s="292"/>
      <c r="I35" s="292"/>
    </row>
    <row r="36" spans="1:9" ht="14.25" thickTop="1" thickBot="1">
      <c r="A36" s="350" t="s">
        <v>8456</v>
      </c>
      <c r="B36" s="351"/>
      <c r="C36" s="351"/>
      <c r="D36" s="351"/>
      <c r="E36" s="351"/>
      <c r="F36" s="351"/>
      <c r="G36" s="351"/>
      <c r="H36" s="351"/>
      <c r="I36" s="352"/>
    </row>
    <row r="37" spans="1:9" ht="13.5" thickTop="1">
      <c r="A37" s="299" t="s">
        <v>177</v>
      </c>
      <c r="B37" s="300" t="s">
        <v>69</v>
      </c>
      <c r="C37" s="356" t="s">
        <v>8457</v>
      </c>
      <c r="D37" s="357"/>
      <c r="E37" s="301" t="s">
        <v>8458</v>
      </c>
      <c r="F37" s="300" t="s">
        <v>8459</v>
      </c>
      <c r="G37" s="300" t="s">
        <v>8460</v>
      </c>
      <c r="H37" s="300" t="s">
        <v>8461</v>
      </c>
      <c r="I37" s="302" t="s">
        <v>8462</v>
      </c>
    </row>
    <row r="38" spans="1:9" ht="12.75">
      <c r="A38" s="303">
        <v>42418</v>
      </c>
      <c r="B38" s="304" t="s">
        <v>8463</v>
      </c>
      <c r="C38" s="358">
        <v>230</v>
      </c>
      <c r="D38" s="359"/>
      <c r="E38" s="305">
        <f>2.3*39</f>
        <v>89.699999999999989</v>
      </c>
      <c r="F38" s="305"/>
      <c r="G38" s="305"/>
      <c r="H38" s="305"/>
      <c r="I38" s="306"/>
    </row>
    <row r="39" spans="1:9" ht="12.75">
      <c r="A39" s="303">
        <v>42426</v>
      </c>
      <c r="B39" s="304" t="s">
        <v>8464</v>
      </c>
      <c r="C39" s="358">
        <v>150</v>
      </c>
      <c r="D39" s="359"/>
      <c r="E39" s="305"/>
      <c r="F39" s="305"/>
      <c r="G39" s="305"/>
      <c r="H39" s="207">
        <v>22.5</v>
      </c>
      <c r="I39" s="207">
        <v>60</v>
      </c>
    </row>
    <row r="40" spans="1:9" ht="12.75">
      <c r="A40" s="303">
        <v>42440</v>
      </c>
      <c r="B40" s="304" t="s">
        <v>8465</v>
      </c>
      <c r="C40" s="358">
        <v>230</v>
      </c>
      <c r="D40" s="359"/>
      <c r="E40" s="305">
        <v>89.7</v>
      </c>
      <c r="F40" s="305"/>
      <c r="G40" s="305"/>
      <c r="H40" s="305"/>
      <c r="I40" s="306"/>
    </row>
    <row r="41" spans="1:9" ht="12.75">
      <c r="A41" s="303"/>
      <c r="B41" s="304"/>
      <c r="C41" s="358"/>
      <c r="D41" s="359"/>
      <c r="E41" s="305"/>
      <c r="F41" s="305"/>
      <c r="G41" s="305"/>
      <c r="H41" s="305"/>
      <c r="I41" s="306"/>
    </row>
    <row r="42" spans="1:9" ht="13.5" thickBot="1">
      <c r="A42" s="307"/>
      <c r="B42" s="308"/>
      <c r="C42" s="360"/>
      <c r="D42" s="361"/>
      <c r="E42" s="309"/>
      <c r="F42" s="309"/>
      <c r="G42" s="309"/>
      <c r="H42" s="309"/>
      <c r="I42" s="310"/>
    </row>
    <row r="43" spans="1:9" ht="14.25" thickTop="1" thickBot="1">
      <c r="A43" s="292"/>
      <c r="B43" s="292"/>
      <c r="C43" s="292"/>
      <c r="D43" s="292"/>
      <c r="E43" s="292"/>
      <c r="F43" s="292"/>
      <c r="G43" s="292"/>
      <c r="H43" s="292"/>
      <c r="I43" s="292"/>
    </row>
    <row r="44" spans="1:9" ht="14.25" thickTop="1" thickBot="1">
      <c r="A44" s="350" t="s">
        <v>8466</v>
      </c>
      <c r="B44" s="351"/>
      <c r="C44" s="351"/>
      <c r="D44" s="351"/>
      <c r="E44" s="351"/>
      <c r="F44" s="351"/>
      <c r="G44" s="351"/>
      <c r="H44" s="351"/>
      <c r="I44" s="352"/>
    </row>
    <row r="45" spans="1:9" ht="14.25" thickTop="1" thickBot="1">
      <c r="A45" s="311" t="s">
        <v>8467</v>
      </c>
      <c r="B45" s="312" t="s">
        <v>177</v>
      </c>
      <c r="C45" s="353" t="s">
        <v>8468</v>
      </c>
      <c r="D45" s="354"/>
      <c r="E45" s="354"/>
      <c r="F45" s="354"/>
      <c r="G45" s="354"/>
      <c r="H45" s="354"/>
      <c r="I45" s="355"/>
    </row>
    <row r="46" spans="1:9" ht="14.25" thickTop="1" thickBot="1">
      <c r="A46" s="313" t="s">
        <v>8469</v>
      </c>
      <c r="B46" s="314">
        <v>42278</v>
      </c>
      <c r="C46" s="344" t="s">
        <v>8470</v>
      </c>
      <c r="D46" s="345"/>
      <c r="E46" s="345"/>
      <c r="F46" s="345"/>
      <c r="G46" s="345"/>
      <c r="H46" s="345"/>
      <c r="I46" s="346"/>
    </row>
    <row r="47" spans="1:9" ht="13.5" thickTop="1">
      <c r="A47" s="315"/>
      <c r="B47" s="316">
        <v>42479</v>
      </c>
      <c r="C47" s="345" t="s">
        <v>8471</v>
      </c>
      <c r="D47" s="345"/>
      <c r="E47" s="345"/>
      <c r="F47" s="345"/>
      <c r="G47" s="345"/>
      <c r="H47" s="345"/>
      <c r="I47" s="346"/>
    </row>
    <row r="48" spans="1:9" ht="12.75">
      <c r="A48" s="315"/>
      <c r="B48" s="317">
        <v>42492</v>
      </c>
      <c r="C48" s="347" t="s">
        <v>8472</v>
      </c>
      <c r="D48" s="348"/>
      <c r="E48" s="348"/>
      <c r="F48" s="348"/>
      <c r="G48" s="348"/>
      <c r="H48" s="348"/>
      <c r="I48" s="349"/>
    </row>
    <row r="49" spans="1:9" ht="12.75">
      <c r="A49" s="315"/>
      <c r="B49" s="318"/>
      <c r="C49" s="347"/>
      <c r="D49" s="348"/>
      <c r="E49" s="348"/>
      <c r="F49" s="348"/>
      <c r="G49" s="348"/>
      <c r="H49" s="348"/>
      <c r="I49" s="349"/>
    </row>
    <row r="50" spans="1:9" ht="13.5" thickBot="1">
      <c r="A50" s="319"/>
      <c r="B50" s="320"/>
      <c r="C50" s="341"/>
      <c r="D50" s="342"/>
      <c r="E50" s="342"/>
      <c r="F50" s="342"/>
      <c r="G50" s="342"/>
      <c r="H50" s="342"/>
      <c r="I50" s="343"/>
    </row>
    <row r="51" spans="1:9" ht="14.25" thickTop="1" thickBot="1">
      <c r="A51" s="321" t="s">
        <v>8473</v>
      </c>
      <c r="B51" s="318">
        <v>42278</v>
      </c>
      <c r="C51" s="344" t="s">
        <v>8474</v>
      </c>
      <c r="D51" s="345"/>
      <c r="E51" s="345"/>
      <c r="F51" s="345"/>
      <c r="G51" s="345"/>
      <c r="H51" s="345"/>
      <c r="I51" s="346"/>
    </row>
    <row r="52" spans="1:9" ht="13.5" thickTop="1">
      <c r="A52" s="315"/>
      <c r="B52" s="318">
        <v>42298</v>
      </c>
      <c r="C52" s="347" t="s">
        <v>8474</v>
      </c>
      <c r="D52" s="348"/>
      <c r="E52" s="348"/>
      <c r="F52" s="348"/>
      <c r="G52" s="348"/>
      <c r="H52" s="348"/>
      <c r="I52" s="349"/>
    </row>
    <row r="53" spans="1:9" ht="12.75">
      <c r="A53" s="315"/>
      <c r="B53" s="318">
        <v>42424</v>
      </c>
      <c r="C53" s="347" t="s">
        <v>8475</v>
      </c>
      <c r="D53" s="348"/>
      <c r="E53" s="348"/>
      <c r="F53" s="348"/>
      <c r="G53" s="348"/>
      <c r="H53" s="348"/>
      <c r="I53" s="349"/>
    </row>
    <row r="54" spans="1:9" ht="12.75">
      <c r="A54" s="315"/>
      <c r="B54" s="318"/>
      <c r="C54" s="347"/>
      <c r="D54" s="348"/>
      <c r="E54" s="348"/>
      <c r="F54" s="348"/>
      <c r="G54" s="348"/>
      <c r="H54" s="348"/>
      <c r="I54" s="349"/>
    </row>
    <row r="55" spans="1:9" ht="12.75">
      <c r="A55" s="315"/>
      <c r="B55" s="318"/>
      <c r="C55" s="347"/>
      <c r="D55" s="348"/>
      <c r="E55" s="348"/>
      <c r="F55" s="348"/>
      <c r="G55" s="348"/>
      <c r="H55" s="348"/>
      <c r="I55" s="349"/>
    </row>
    <row r="56" spans="1:9" ht="13.5" thickBot="1">
      <c r="A56" s="315"/>
      <c r="B56" s="320"/>
      <c r="C56" s="341"/>
      <c r="D56" s="342"/>
      <c r="E56" s="342"/>
      <c r="F56" s="342"/>
      <c r="G56" s="342"/>
      <c r="H56" s="342"/>
      <c r="I56" s="343"/>
    </row>
    <row r="57" spans="1:9" ht="13.5" thickTop="1">
      <c r="A57" s="322" t="s">
        <v>8476</v>
      </c>
      <c r="B57" s="318">
        <v>42481</v>
      </c>
      <c r="C57" s="344" t="s">
        <v>8477</v>
      </c>
      <c r="D57" s="345"/>
      <c r="E57" s="345"/>
      <c r="F57" s="345"/>
      <c r="G57" s="345"/>
      <c r="H57" s="345"/>
      <c r="I57" s="346"/>
    </row>
    <row r="58" spans="1:9" ht="13.5" thickBot="1">
      <c r="A58" s="321" t="s">
        <v>8478</v>
      </c>
      <c r="B58" s="318">
        <v>42495</v>
      </c>
      <c r="C58" s="347" t="s">
        <v>8479</v>
      </c>
      <c r="D58" s="348"/>
      <c r="E58" s="348"/>
      <c r="F58" s="348"/>
      <c r="G58" s="348"/>
      <c r="H58" s="348"/>
      <c r="I58" s="349"/>
    </row>
    <row r="59" spans="1:9" ht="13.5" thickTop="1">
      <c r="A59" s="315"/>
      <c r="B59" s="318"/>
      <c r="C59" s="347"/>
      <c r="D59" s="348"/>
      <c r="E59" s="348"/>
      <c r="F59" s="348"/>
      <c r="G59" s="348"/>
      <c r="H59" s="348"/>
      <c r="I59" s="349"/>
    </row>
    <row r="60" spans="1:9" ht="12.75">
      <c r="A60" s="315"/>
      <c r="B60" s="318"/>
      <c r="C60" s="347"/>
      <c r="D60" s="348"/>
      <c r="E60" s="348"/>
      <c r="F60" s="348"/>
      <c r="G60" s="348"/>
      <c r="H60" s="348"/>
      <c r="I60" s="349"/>
    </row>
    <row r="61" spans="1:9" ht="12.75">
      <c r="A61" s="315"/>
      <c r="B61" s="318"/>
      <c r="C61" s="347"/>
      <c r="D61" s="348"/>
      <c r="E61" s="348"/>
      <c r="F61" s="348"/>
      <c r="G61" s="348"/>
      <c r="H61" s="348"/>
      <c r="I61" s="349"/>
    </row>
    <row r="62" spans="1:9" ht="13.5" thickBot="1">
      <c r="A62" s="319"/>
      <c r="B62" s="320"/>
      <c r="C62" s="341"/>
      <c r="D62" s="342"/>
      <c r="E62" s="342"/>
      <c r="F62" s="342"/>
      <c r="G62" s="342"/>
      <c r="H62" s="342"/>
      <c r="I62" s="343"/>
    </row>
    <row r="63" spans="1:9" ht="14.25" thickTop="1" thickBot="1">
      <c r="A63" s="323" t="s">
        <v>8480</v>
      </c>
      <c r="B63" s="318">
        <v>42255</v>
      </c>
      <c r="C63" s="344" t="s">
        <v>8481</v>
      </c>
      <c r="D63" s="345"/>
      <c r="E63" s="345"/>
      <c r="F63" s="345"/>
      <c r="G63" s="345"/>
      <c r="H63" s="345"/>
      <c r="I63" s="346"/>
    </row>
    <row r="64" spans="1:9" ht="13.5" thickTop="1">
      <c r="A64" s="324" t="s">
        <v>8482</v>
      </c>
      <c r="B64" s="318">
        <v>42306</v>
      </c>
      <c r="C64" s="344" t="s">
        <v>8481</v>
      </c>
      <c r="D64" s="345"/>
      <c r="E64" s="345"/>
      <c r="F64" s="345"/>
      <c r="G64" s="345"/>
      <c r="H64" s="345"/>
      <c r="I64" s="346"/>
    </row>
    <row r="65" spans="1:9" ht="13.5" thickBot="1">
      <c r="A65" s="321" t="s">
        <v>8483</v>
      </c>
      <c r="B65" s="318"/>
      <c r="C65" s="347"/>
      <c r="D65" s="348"/>
      <c r="E65" s="348"/>
      <c r="F65" s="348"/>
      <c r="G65" s="348"/>
      <c r="H65" s="348"/>
      <c r="I65" s="349"/>
    </row>
    <row r="66" spans="1:9" ht="13.5" thickTop="1">
      <c r="A66" s="315"/>
      <c r="B66" s="318"/>
      <c r="C66" s="347"/>
      <c r="D66" s="348"/>
      <c r="E66" s="348"/>
      <c r="F66" s="348"/>
      <c r="G66" s="348"/>
      <c r="H66" s="348"/>
      <c r="I66" s="349"/>
    </row>
    <row r="67" spans="1:9" ht="12.75">
      <c r="A67" s="315"/>
      <c r="B67" s="318"/>
      <c r="C67" s="347"/>
      <c r="D67" s="348"/>
      <c r="E67" s="348"/>
      <c r="F67" s="348"/>
      <c r="G67" s="348"/>
      <c r="H67" s="348"/>
      <c r="I67" s="349"/>
    </row>
    <row r="68" spans="1:9" ht="13.5" thickBot="1">
      <c r="A68" s="319"/>
      <c r="B68" s="320"/>
      <c r="C68" s="341"/>
      <c r="D68" s="342"/>
      <c r="E68" s="342"/>
      <c r="F68" s="342"/>
      <c r="G68" s="342"/>
      <c r="H68" s="342"/>
      <c r="I68" s="343"/>
    </row>
    <row r="69" spans="1:9" ht="12.75" thickTop="1"/>
  </sheetData>
  <protectedRanges>
    <protectedRange password="DF17" sqref="D19" name="Range1"/>
    <protectedRange password="DF17" sqref="A2:G5" name="Range1_1"/>
    <protectedRange password="DF17" sqref="E12:E14 D11" name="Range1_2"/>
    <protectedRange password="DF17" sqref="C15 B8:C8 C13 C9" name="Range1_3"/>
    <protectedRange password="DF17" sqref="B10:C10" name="Range1_2_1"/>
    <protectedRange password="DF17" sqref="C30:I36 H38:I38 C45:I49 C22:I28 C38:G43 H40:I43 A53:D55 A51:A52" name="Range1_4"/>
  </protectedRanges>
  <mergeCells count="57">
    <mergeCell ref="A20:I20"/>
    <mergeCell ref="A21:B21"/>
    <mergeCell ref="C21:F21"/>
    <mergeCell ref="G21:I21"/>
    <mergeCell ref="A22:B22"/>
    <mergeCell ref="C22:F22"/>
    <mergeCell ref="G22:I22"/>
    <mergeCell ref="A23:B23"/>
    <mergeCell ref="C23:F23"/>
    <mergeCell ref="G23:I23"/>
    <mergeCell ref="A24:B24"/>
    <mergeCell ref="C24:F24"/>
    <mergeCell ref="G24:I24"/>
    <mergeCell ref="A36:I36"/>
    <mergeCell ref="A25:B25"/>
    <mergeCell ref="C25:F25"/>
    <mergeCell ref="G25:I25"/>
    <mergeCell ref="A27:I27"/>
    <mergeCell ref="A28:C28"/>
    <mergeCell ref="B29:C29"/>
    <mergeCell ref="F29:I29"/>
    <mergeCell ref="B30:C30"/>
    <mergeCell ref="B31:C31"/>
    <mergeCell ref="B32:C32"/>
    <mergeCell ref="B33:C33"/>
    <mergeCell ref="B34:C34"/>
    <mergeCell ref="C49:I49"/>
    <mergeCell ref="C37:D37"/>
    <mergeCell ref="C38:D38"/>
    <mergeCell ref="C39:D39"/>
    <mergeCell ref="C40:D40"/>
    <mergeCell ref="C41:D41"/>
    <mergeCell ref="C42:D42"/>
    <mergeCell ref="A44:I44"/>
    <mergeCell ref="C45:I45"/>
    <mergeCell ref="C46:I46"/>
    <mergeCell ref="C47:I47"/>
    <mergeCell ref="C48:I48"/>
    <mergeCell ref="C61:I61"/>
    <mergeCell ref="C50:I50"/>
    <mergeCell ref="C51:I51"/>
    <mergeCell ref="C52:I52"/>
    <mergeCell ref="C53:I53"/>
    <mergeCell ref="C54:I54"/>
    <mergeCell ref="C55:I55"/>
    <mergeCell ref="C56:I56"/>
    <mergeCell ref="C57:I57"/>
    <mergeCell ref="C58:I58"/>
    <mergeCell ref="C59:I59"/>
    <mergeCell ref="C60:I60"/>
    <mergeCell ref="C68:I68"/>
    <mergeCell ref="C62:I62"/>
    <mergeCell ref="C63:I63"/>
    <mergeCell ref="C64:I64"/>
    <mergeCell ref="C65:I65"/>
    <mergeCell ref="C66:I66"/>
    <mergeCell ref="C67:I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5</vt:i4>
      </vt:variant>
    </vt:vector>
  </HeadingPairs>
  <TitlesOfParts>
    <vt:vector size="22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FOUBERT Thomas</cp:lastModifiedBy>
  <cp:revision>11</cp:revision>
  <cp:lastPrinted>1601-01-01T00:00:00Z</cp:lastPrinted>
  <dcterms:created xsi:type="dcterms:W3CDTF">2013-10-04T13:51:10Z</dcterms:created>
  <dcterms:modified xsi:type="dcterms:W3CDTF">2016-10-16T20:48:40Z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