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1.1.1_Fichiers Ephesis GENERGY-RAPSODYN\1.1.1.3_2012-2013_G\"/>
    </mc:Choice>
  </mc:AlternateContent>
  <xr:revisionPtr revIDLastSave="0" documentId="13_ncr:1_{965A38B8-CEB6-4172-AA1D-BC3B26DF89C4}" xr6:coauthVersionLast="47" xr6:coauthVersionMax="47" xr10:uidLastSave="{00000000-0000-0000-0000-000000000000}"/>
  <bookViews>
    <workbookView xWindow="0" yWindow="360" windowWidth="19420" windowHeight="10300" tabRatio="903" firstSheet="5" activeTab="8" xr2:uid="{00000000-000D-0000-FFFF-FFFF00000000}"/>
  </bookViews>
  <sheets>
    <sheet name="README" sheetId="1" r:id="rId1"/>
    <sheet name="Trial" sheetId="2" r:id="rId2"/>
    <sheet name="Site" sheetId="3" r:id="rId3"/>
    <sheet name="Contact" sheetId="4" r:id="rId4"/>
    <sheet name="Variable" sheetId="5" r:id="rId5"/>
    <sheet name="PlantMaterial" sheetId="6" r:id="rId6"/>
    <sheet name="Treatment" sheetId="7" r:id="rId7"/>
    <sheet name="Level" sheetId="8" r:id="rId8"/>
    <sheet name="Data" sheetId="9" r:id="rId9"/>
    <sheet name="Files" sheetId="10" r:id="rId10"/>
    <sheet name="ForestComplementaryInfo" sheetId="11" r:id="rId11"/>
    <sheet name="StaticData" sheetId="12" r:id="rId12"/>
    <sheet name="Meteo_Data" sheetId="13" r:id="rId13"/>
    <sheet name="Soil_data" sheetId="14" r:id="rId14"/>
    <sheet name="INN_Data" sheetId="15" r:id="rId15"/>
    <sheet name="Parcellaire_data" sheetId="16" r:id="rId16"/>
    <sheet name="ITK_data" sheetId="17" r:id="rId17"/>
  </sheets>
  <definedNames>
    <definedName name="_xlnm._FilterDatabase" localSheetId="8" hidden="1">Data!$A$1:$CM$1</definedName>
    <definedName name="_xlnm._FilterDatabase" localSheetId="5" hidden="1">PlantMaterial!$A$1:$E$81</definedName>
    <definedName name="HoldingInstitution">StaticData!$C$1:$C$21</definedName>
    <definedName name="InstitutionName">StaticData!$B$1:$B$1457</definedName>
    <definedName name="ProjectAcronym">StaticData!$D$1:$D$225</definedName>
    <definedName name="SiteName">StaticData!$E$1:$E$24</definedName>
    <definedName name="TaxonScientificName">StaticData!$A$1:$A$5470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" i="15" l="1"/>
  <c r="W13" i="15"/>
  <c r="W14" i="15"/>
  <c r="W15" i="15"/>
  <c r="W16" i="15"/>
  <c r="W17" i="15"/>
  <c r="W18" i="15"/>
  <c r="W19" i="15"/>
  <c r="W20" i="15"/>
  <c r="W21" i="15"/>
  <c r="W22" i="15"/>
  <c r="W11" i="15"/>
  <c r="W4" i="15"/>
  <c r="W5" i="15"/>
  <c r="W6" i="15"/>
  <c r="W7" i="15"/>
  <c r="W8" i="15"/>
  <c r="W9" i="15"/>
  <c r="W10" i="15"/>
  <c r="W3" i="15"/>
  <c r="O3" i="15"/>
  <c r="O4" i="15"/>
  <c r="O5" i="15"/>
  <c r="O6" i="15"/>
  <c r="O7" i="15"/>
  <c r="O8" i="15"/>
  <c r="O9" i="15"/>
  <c r="O10" i="15"/>
  <c r="O12" i="15"/>
  <c r="O13" i="15"/>
  <c r="O14" i="15"/>
  <c r="O15" i="15"/>
  <c r="O16" i="15"/>
  <c r="O17" i="15"/>
  <c r="O18" i="15"/>
  <c r="O19" i="15"/>
  <c r="O20" i="15"/>
  <c r="O21" i="15"/>
  <c r="O22" i="15"/>
  <c r="O11" i="15"/>
  <c r="R3" i="15"/>
  <c r="S3" i="15" s="1"/>
  <c r="R4" i="15"/>
  <c r="S4" i="15" s="1"/>
  <c r="R5" i="15"/>
  <c r="S5" i="15" s="1"/>
  <c r="R6" i="15"/>
  <c r="S6" i="15" s="1"/>
  <c r="R7" i="15"/>
  <c r="S7" i="15" s="1"/>
  <c r="R8" i="15"/>
  <c r="S8" i="15" s="1"/>
  <c r="R9" i="15"/>
  <c r="S9" i="15" s="1"/>
  <c r="R10" i="15"/>
  <c r="S10" i="15" s="1"/>
  <c r="R12" i="15"/>
  <c r="S12" i="15" s="1"/>
  <c r="R13" i="15"/>
  <c r="S13" i="15" s="1"/>
  <c r="R14" i="15"/>
  <c r="R15" i="15"/>
  <c r="S15" i="15" s="1"/>
  <c r="T15" i="15" s="1"/>
  <c r="R16" i="15"/>
  <c r="S16" i="15" s="1"/>
  <c r="T16" i="15" s="1"/>
  <c r="R17" i="15"/>
  <c r="R18" i="15"/>
  <c r="S18" i="15" s="1"/>
  <c r="T18" i="15" s="1"/>
  <c r="R19" i="15"/>
  <c r="R20" i="15"/>
  <c r="S20" i="15" s="1"/>
  <c r="T20" i="15" s="1"/>
  <c r="R21" i="15"/>
  <c r="S21" i="15" s="1"/>
  <c r="T21" i="15" s="1"/>
  <c r="R22" i="15"/>
  <c r="S22" i="15" s="1"/>
  <c r="T22" i="15" s="1"/>
  <c r="R11" i="15"/>
  <c r="X15" i="15" l="1"/>
  <c r="X22" i="15"/>
  <c r="X21" i="15"/>
  <c r="L19" i="15"/>
  <c r="J19" i="15" s="1"/>
  <c r="S19" i="15"/>
  <c r="T19" i="15" s="1"/>
  <c r="X19" i="15"/>
  <c r="X18" i="15"/>
  <c r="Y18" i="15" s="1"/>
  <c r="L17" i="15"/>
  <c r="J17" i="15" s="1"/>
  <c r="S17" i="15"/>
  <c r="T17" i="15" s="1"/>
  <c r="X17" i="15"/>
  <c r="X16" i="15"/>
  <c r="X20" i="15"/>
  <c r="L11" i="15"/>
  <c r="J11" i="15" s="1"/>
  <c r="S11" i="15"/>
  <c r="L14" i="15"/>
  <c r="J14" i="15" s="1"/>
  <c r="S14" i="15"/>
  <c r="L9" i="15"/>
  <c r="J9" i="15" s="1"/>
  <c r="T9" i="15" s="1"/>
  <c r="L8" i="15"/>
  <c r="J8" i="15" s="1"/>
  <c r="L3" i="15"/>
  <c r="J3" i="15" s="1"/>
  <c r="L10" i="15"/>
  <c r="J10" i="15" s="1"/>
  <c r="L15" i="15"/>
  <c r="J15" i="15" s="1"/>
  <c r="L22" i="15"/>
  <c r="J22" i="15" s="1"/>
  <c r="L18" i="15"/>
  <c r="J18" i="15" s="1"/>
  <c r="L16" i="15"/>
  <c r="J16" i="15" s="1"/>
  <c r="L6" i="15"/>
  <c r="J6" i="15" s="1"/>
  <c r="L21" i="15"/>
  <c r="J21" i="15" s="1"/>
  <c r="L13" i="15"/>
  <c r="J13" i="15" s="1"/>
  <c r="L5" i="15"/>
  <c r="J5" i="15" s="1"/>
  <c r="L12" i="15"/>
  <c r="J12" i="15" s="1"/>
  <c r="L4" i="15"/>
  <c r="J4" i="15" s="1"/>
  <c r="L7" i="15"/>
  <c r="J7" i="15" s="1"/>
  <c r="L20" i="15"/>
  <c r="J20" i="15" s="1"/>
  <c r="Y19" i="15" l="1"/>
  <c r="Y17" i="15"/>
  <c r="Y20" i="15"/>
  <c r="Y15" i="15"/>
  <c r="Y16" i="15"/>
  <c r="Y22" i="15"/>
  <c r="Y21" i="15"/>
  <c r="T11" i="15"/>
  <c r="Y11" i="15" s="1"/>
  <c r="T12" i="15"/>
  <c r="Y12" i="15" s="1"/>
  <c r="T14" i="15"/>
  <c r="Y14" i="15" s="1"/>
  <c r="T13" i="15"/>
  <c r="Y13" i="15" s="1"/>
  <c r="Y9" i="15"/>
  <c r="T10" i="15"/>
  <c r="Y10" i="15" s="1"/>
  <c r="T5" i="15"/>
  <c r="Y5" i="15" s="1"/>
  <c r="T7" i="15"/>
  <c r="Y7" i="15" s="1"/>
  <c r="T4" i="15"/>
  <c r="Y4" i="15" s="1"/>
  <c r="T3" i="15"/>
  <c r="Y3" i="15" s="1"/>
  <c r="T8" i="15"/>
  <c r="Y8" i="15" s="1"/>
  <c r="T6" i="15"/>
  <c r="Y6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68" authorId="0" shapeId="0" xr:uid="{00000000-0006-0000-0000-000001000000}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Tyfanie Bourlet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  <comment ref="C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Adonis : modalité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Tyfanie Bourlet</author>
    <author/>
  </authors>
  <commentList>
    <comment ref="A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LotNames (RAPSO003,,,,)</t>
        </r>
      </text>
    </comment>
    <comment ref="E1" authorId="1" shapeId="0" xr:uid="{00000000-0006-0000-0800-000002000000}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Tyfanie Bourlet</author>
  </authors>
  <commentList>
    <comment ref="A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<sst xmlns="http://schemas.openxmlformats.org/spreadsheetml/2006/main" count="11471" uniqueCount="8052">
  <si>
    <t>GnpISVersionNumber</t>
  </si>
  <si>
    <t>14_1</t>
  </si>
  <si>
    <t>StaticDataExtraction</t>
  </si>
  <si>
    <t>SubmissionType</t>
  </si>
  <si>
    <t>Ephesis</t>
  </si>
  <si>
    <t>This worksheet is used for submit phenotyping data.</t>
  </si>
  <si>
    <t>SUBMIT NOTE</t>
  </si>
  <si>
    <r>
      <t>RED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</si>
  <si>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t>BLACK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</si>
  <si>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t>BLUE</t>
    </r>
    <r>
      <rPr>
        <sz val="10"/>
        <color indexed="4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>names indicate</t>
    </r>
    <r>
      <rPr>
        <b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>for submission. Column can be empty but must not be deleted.</t>
    </r>
  </si>
  <si>
    <t>DOCUMENTATION</t>
  </si>
  <si>
    <t>TRIAL</t>
  </si>
  <si>
    <t>General information on the trial</t>
  </si>
  <si>
    <t>TrialName</t>
  </si>
  <si>
    <t>TrialCode</t>
  </si>
  <si>
    <t>DateBegin</t>
  </si>
  <si>
    <t>DateEnd</t>
  </si>
  <si>
    <t>TrialGoal</t>
  </si>
  <si>
    <t>TrialComments</t>
  </si>
  <si>
    <t>PhenotypingCampain</t>
  </si>
  <si>
    <t>PMID</t>
  </si>
  <si>
    <t>X</t>
  </si>
  <si>
    <t>Y</t>
  </si>
  <si>
    <t>PreviousCrop</t>
  </si>
  <si>
    <t>TrialDesign</t>
  </si>
  <si>
    <t>TrialHistory</t>
  </si>
  <si>
    <t>ProjectAcronym</t>
  </si>
  <si>
    <t>TrialSet</t>
  </si>
  <si>
    <t>TrialSetType</t>
  </si>
  <si>
    <t>Description</t>
  </si>
  <si>
    <t>Free naming of the trial/assay</t>
  </si>
  <si>
    <t>Trial identification. Used for data integrity and update so must be unique</t>
  </si>
  <si>
    <t>Beginning date of this trial</t>
  </si>
  <si>
    <t>End date of this trial</t>
  </si>
  <si>
    <t>The main objectives of this experimentation</t>
  </si>
  <si>
    <t>Comments on this trial</t>
  </si>
  <si>
    <t>Name/Tag of a group of observations within the Trial. For instance all 2012 observations for a multiannual perenial plant trial.</t>
  </si>
  <si>
    <t>Comma separated list of publication's PMID.</t>
  </si>
  <si>
    <r>
      <t xml:space="preserve">Description of the </t>
    </r>
    <r>
      <rPr>
        <b/>
        <sz val="10"/>
        <rFont val="Arial"/>
        <family val="2"/>
        <charset val="1"/>
      </rPr>
      <t>X</t>
    </r>
    <r>
      <rPr>
        <sz val="10"/>
        <rFont val="Arial"/>
        <family val="2"/>
        <charset val="1"/>
      </rPr>
      <t xml:space="preserve"> of the</t>
    </r>
    <r>
      <rPr>
        <b/>
        <sz val="10"/>
        <rFont val="Arial"/>
        <family val="2"/>
        <charset val="1"/>
      </rPr>
      <t xml:space="preserve"> Data sheet</t>
    </r>
  </si>
  <si>
    <r>
      <t>Description of the</t>
    </r>
    <r>
      <rPr>
        <b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/>
        <sz val="10"/>
        <rFont val="Arial"/>
        <family val="2"/>
        <charset val="1"/>
      </rPr>
      <t>Data sheet</t>
    </r>
  </si>
  <si>
    <t>Crop installed on this site before this trial</t>
  </si>
  <si>
    <t>Design of the trial</t>
  </si>
  <si>
    <t>Identification of previous contacts and/or owners</t>
  </si>
  <si>
    <t>Acronym of the project in which the experiment was made</t>
  </si>
  <si>
    <t>Name of the trial group</t>
  </si>
  <si>
    <t>Type of the trial group</t>
  </si>
  <si>
    <t>Example</t>
  </si>
  <si>
    <t>mon test</t>
  </si>
  <si>
    <t>MON_TEST</t>
  </si>
  <si>
    <t>22/03/2013</t>
  </si>
  <si>
    <t>2014</t>
  </si>
  <si>
    <t>Diversity analysis</t>
  </si>
  <si>
    <t>Essai test</t>
  </si>
  <si>
    <t>15608279,2052071</t>
  </si>
  <si>
    <t>row</t>
  </si>
  <si>
    <t>column</t>
  </si>
  <si>
    <t>Come from BORDEAUX (Louvet)</t>
  </si>
  <si>
    <t>myGroup</t>
  </si>
  <si>
    <t>Replication</t>
  </si>
  <si>
    <t>Data type</t>
  </si>
  <si>
    <t>String</t>
  </si>
  <si>
    <t>Date: dd/mm/yyyy
Date: mm/yyyy
Date: yyyy</t>
  </si>
  <si>
    <t>Number</t>
  </si>
  <si>
    <t>SITE</t>
  </si>
  <si>
    <t>General information on the experimental site</t>
  </si>
  <si>
    <t>SiteName</t>
  </si>
  <si>
    <t>Latitude</t>
  </si>
  <si>
    <t>Longitude</t>
  </si>
  <si>
    <t>Elevation</t>
  </si>
  <si>
    <t>Exposure</t>
  </si>
  <si>
    <t>Slope</t>
  </si>
  <si>
    <t>CityOrRegionOrCountry</t>
  </si>
  <si>
    <t>SiteStatus</t>
  </si>
  <si>
    <t>Landowner</t>
  </si>
  <si>
    <t>Comment</t>
  </si>
  <si>
    <t>MeteoStationCode</t>
  </si>
  <si>
    <t>MeteoStationNetwork</t>
  </si>
  <si>
    <t>Name of the experimental site (Plateform name, Field identification, etc…)</t>
  </si>
  <si>
    <t>Latitude of the experimental site (GPS).
Use decimal version of the coordinate (cf. http://www.lexilogos.com/calcul_distances.htm)</t>
  </si>
  <si>
    <t>Longitude of the experimental site (GPS).
Use decimal version of the coordinate (cf. http://www.lexilogos.com/calcul_distances.htm)</t>
  </si>
  <si>
    <t>Altitude of the experimental site</t>
  </si>
  <si>
    <t>Principal exposure of the experimental site</t>
  </si>
  <si>
    <t>Principal type of the slope of the experimental site</t>
  </si>
  <si>
    <t>Nearest city, region or country from the experimental site</t>
  </si>
  <si>
    <t>Property status of the experimental site</t>
  </si>
  <si>
    <t>Landowner of the experimental site</t>
  </si>
  <si>
    <t>Comment about the experimental site</t>
  </si>
  <si>
    <t>Code of the meteo station</t>
  </si>
  <si>
    <t>Name of the meteo station network</t>
  </si>
  <si>
    <t>Examples</t>
  </si>
  <si>
    <t>Bordeaux</t>
  </si>
  <si>
    <t>FRA</t>
  </si>
  <si>
    <t>S</t>
  </si>
  <si>
    <t>Forêt domaniale</t>
  </si>
  <si>
    <t>P (= Private property)
I (= INRA)
S (= Under a specific regime)</t>
  </si>
  <si>
    <t>CONTACT</t>
  </si>
  <si>
    <t>List of persons involved in this trial (scientific, submiter, landowner…)</t>
  </si>
  <si>
    <t>Type</t>
  </si>
  <si>
    <t>LastName</t>
  </si>
  <si>
    <t>FirstName</t>
  </si>
  <si>
    <t>Phone</t>
  </si>
  <si>
    <t>Fax</t>
  </si>
  <si>
    <t>Email</t>
  </si>
  <si>
    <t>Institution</t>
  </si>
  <si>
    <t>Laboratory</t>
  </si>
  <si>
    <t>Type of the contact.</t>
  </si>
  <si>
    <t>Contact name, in upper case.</t>
  </si>
  <si>
    <t>Contact first name, first letter in upper case.</t>
  </si>
  <si>
    <t>Following international phone number convention.</t>
  </si>
  <si>
    <t>Following international fax number convention</t>
  </si>
  <si>
    <t>Electronic mail.</t>
  </si>
  <si>
    <t>Institution name.</t>
  </si>
  <si>
    <t>Laboratory name.</t>
  </si>
  <si>
    <t>Submiter</t>
  </si>
  <si>
    <t>DUPOND</t>
  </si>
  <si>
    <t>Jacques</t>
  </si>
  <si>
    <t>+33 (0) 1 30 83 38 99</t>
  </si>
  <si>
    <t>+33 (0) 1 30 83 38 90</t>
  </si>
  <si>
    <t>jacques.dupond@email.com</t>
  </si>
  <si>
    <t>INRA</t>
  </si>
  <si>
    <t>URGI</t>
  </si>
  <si>
    <t>Phone number</t>
  </si>
  <si>
    <t>Fax number</t>
  </si>
  <si>
    <t>VARIABLE</t>
  </si>
  <si>
    <t>List of variables observed in this trial. Idealy they are part of a well identified ontology.</t>
  </si>
  <si>
    <t>Each variable is reused as a column in the Data sheet.</t>
  </si>
  <si>
    <t>OntologyName</t>
  </si>
  <si>
    <t>VariableCode</t>
  </si>
  <si>
    <t>VariableName</t>
  </si>
  <si>
    <t>MeasurmentUnit</t>
  </si>
  <si>
    <t>MeasurmentProtocol</t>
  </si>
  <si>
    <t>ParentVariable</t>
  </si>
  <si>
    <t>Full name of the ontology holding this variable</t>
  </si>
  <si>
    <r>
      <t>Identification of the variable. Unique within the ontology declared in O</t>
    </r>
    <r>
      <rPr>
        <b/>
        <sz val="10"/>
        <rFont val="Arial"/>
        <family val="2"/>
        <charset val="1"/>
      </rPr>
      <t>ntologyName</t>
    </r>
    <r>
      <rPr>
        <sz val="10"/>
        <rFont val="Arial"/>
        <family val="2"/>
        <charset val="1"/>
      </rPr>
      <t xml:space="preserve">. This code is used as header in the </t>
    </r>
    <r>
      <rPr>
        <b/>
        <sz val="10"/>
        <rFont val="Arial"/>
        <family val="2"/>
        <charset val="1"/>
      </rPr>
      <t>Data sheet</t>
    </r>
  </si>
  <si>
    <t>Name of the variable</t>
  </si>
  <si>
    <t>Full description of the variable</t>
  </si>
  <si>
    <t>Unit of the mesured variable</t>
  </si>
  <si>
    <t>Reference measurment protocol of the variable</t>
  </si>
  <si>
    <r>
      <t>VariableCode</t>
    </r>
    <r>
      <rPr>
        <sz val="10"/>
        <rFont val="Arial"/>
        <family val="2"/>
        <charset val="1"/>
      </rPr>
      <t xml:space="preserve"> of this variable's parent</t>
    </r>
  </si>
  <si>
    <t>Comments on the variable</t>
  </si>
  <si>
    <t>trait ontology</t>
  </si>
  <si>
    <t>haut</t>
  </si>
  <si>
    <t>hauteur</t>
  </si>
  <si>
    <t>cm</t>
  </si>
  <si>
    <t>PLANT MATERIAL</t>
  </si>
  <si>
    <t>List of genotypes. Should be preexisting in GnpIS. If not sure contact us.</t>
  </si>
  <si>
    <t>TaxonScientificName</t>
  </si>
  <si>
    <t>AccessionNumber</t>
  </si>
  <si>
    <t>AccessionName</t>
  </si>
  <si>
    <t>HoldingInstitution</t>
  </si>
  <si>
    <t>LotName</t>
  </si>
  <si>
    <t>Scientific name of the taxon</t>
  </si>
  <si>
    <t>Unique identification of the accession/genotype</t>
  </si>
  <si>
    <t>Full name of the accession</t>
  </si>
  <si>
    <t>Institution holding this accession</t>
  </si>
  <si>
    <r>
      <t xml:space="preserve">Identification of the physical plant(s) used in the trial : seeds, tree, ….
Used in the first column of the </t>
    </r>
    <r>
      <rPr>
        <b/>
        <sz val="10"/>
        <rFont val="Arial"/>
        <family val="2"/>
        <charset val="1"/>
      </rPr>
      <t>Data sheet</t>
    </r>
  </si>
  <si>
    <t>Triticum aestivum</t>
  </si>
  <si>
    <t>274Col49</t>
  </si>
  <si>
    <t>chargeur</t>
  </si>
  <si>
    <t>ch</t>
  </si>
  <si>
    <t>TREATMENT</t>
  </si>
  <si>
    <t>List of factor and modalities used in this trial. Treatments are  combination of modalities.</t>
  </si>
  <si>
    <t>Each factor is reused as a column in the Data sheet. The modalities of each factor are the authorised value for this factor/column.</t>
  </si>
  <si>
    <t>Factor</t>
  </si>
  <si>
    <t>ModeCode</t>
  </si>
  <si>
    <t>ModeName</t>
  </si>
  <si>
    <t>ModeDescription</t>
  </si>
  <si>
    <r>
      <t xml:space="preserve">Name of the factor.
This name is used as header in the </t>
    </r>
    <r>
      <rPr>
        <b/>
        <sz val="10"/>
        <rFont val="Arial"/>
        <family val="2"/>
        <charset val="1"/>
      </rPr>
      <t>Data sheet</t>
    </r>
  </si>
  <si>
    <r>
      <t xml:space="preserve">Unique identifier of the modality.
This code is used as value in the </t>
    </r>
    <r>
      <rPr>
        <b/>
        <sz val="10"/>
        <rFont val="Arial"/>
        <family val="2"/>
        <charset val="1"/>
      </rPr>
      <t>Data sheet</t>
    </r>
    <r>
      <rPr>
        <sz val="10"/>
        <rFont val="Arial"/>
        <family val="2"/>
        <charset val="1"/>
      </rPr>
      <t xml:space="preserve"> </t>
    </r>
    <r>
      <rPr>
        <b/>
        <sz val="10"/>
        <rFont val="Arial"/>
        <family val="2"/>
        <charset val="1"/>
      </rPr>
      <t>factor</t>
    </r>
    <r>
      <rPr>
        <sz val="10"/>
        <rFont val="Arial"/>
        <family val="2"/>
        <charset val="1"/>
      </rPr>
      <t>'s column</t>
    </r>
  </si>
  <si>
    <t>Full name of the modality</t>
  </si>
  <si>
    <t>Full description of the modality, possibly with a short description of its caracteristics like phenologic stade for a given treatment</t>
  </si>
  <si>
    <t>engrais</t>
  </si>
  <si>
    <t>N0</t>
  </si>
  <si>
    <t>azote 0</t>
  </si>
  <si>
    <t>ajout de 0 kilog/hectar de produitA a x concentration tous les mois.</t>
  </si>
  <si>
    <t>LEVEL</t>
  </si>
  <si>
    <t xml:space="preserve">Structure of the trial, for instance bloc &gt; plot &gt; plant. Can be empty if you want to store only genotype x factor data and no plot data. </t>
  </si>
  <si>
    <t>Each level is reused as a column in the Data sheet.</t>
  </si>
  <si>
    <t>Code</t>
  </si>
  <si>
    <t>Name</t>
  </si>
  <si>
    <t>ParentLevel</t>
  </si>
  <si>
    <r>
      <t xml:space="preserve">Unique identification of the level (plot, bloc, plant, …) within the trial.
This code is used as header in the </t>
    </r>
    <r>
      <rPr>
        <b/>
        <sz val="10"/>
        <rFont val="Arial"/>
        <family val="2"/>
        <charset val="1"/>
      </rPr>
      <t>Data sheet</t>
    </r>
  </si>
  <si>
    <t>Full name of the level</t>
  </si>
  <si>
    <t>Description of the level</t>
  </si>
  <si>
    <r>
      <t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</si>
  <si>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>Rep</t>
  </si>
  <si>
    <t>Repetition</t>
  </si>
  <si>
    <t>Bloc</t>
  </si>
  <si>
    <t>DATA</t>
  </si>
  <si>
    <t>Data matrix: hold any type of observation (phenotype, env, etc…)</t>
  </si>
  <si>
    <t>&lt;factors&gt;</t>
  </si>
  <si>
    <t>&lt;levels&gt;</t>
  </si>
  <si>
    <t>X(m)</t>
  </si>
  <si>
    <t>Y(m)</t>
  </si>
  <si>
    <t>&lt;variables&gt;_value</t>
  </si>
  <si>
    <t>&lt;variables&gt;_date</t>
  </si>
  <si>
    <r>
      <t xml:space="preserve">Identification of the genotype of the observed object.
Must be found in the </t>
    </r>
    <r>
      <rPr>
        <b/>
        <sz val="10"/>
        <rFont val="Arial"/>
        <family val="2"/>
        <charset val="1"/>
      </rPr>
      <t>VarietalList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</si>
  <si>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factors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Treatments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</si>
  <si>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levels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StudySubjectLevels sheet</t>
    </r>
  </si>
  <si>
    <t>X position of the observed object</t>
  </si>
  <si>
    <t>Y position of the observed object</t>
  </si>
  <si>
    <t>X position of the observed object in meters</t>
  </si>
  <si>
    <t>Y position of the observed object in meters</t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</si>
  <si>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variables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Variables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</si>
  <si>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mode_code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</si>
  <si>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levels identifiers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</si>
  <si>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value of the variable for the observed object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</si>
  <si>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observation date of the variable</t>
    </r>
  </si>
  <si>
    <r>
      <t>header</t>
    </r>
    <r>
      <rPr>
        <sz val="10"/>
        <rFont val="Arial"/>
        <family val="2"/>
        <charset val="1"/>
      </rPr>
      <t xml:space="preserve">: engrais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N0</t>
    </r>
  </si>
  <si>
    <r>
      <t>header</t>
    </r>
    <r>
      <rPr>
        <sz val="10"/>
        <rFont val="Arial"/>
        <family val="2"/>
        <charset val="1"/>
      </rPr>
      <t xml:space="preserve">: bloc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bloc1</t>
    </r>
  </si>
  <si>
    <r>
      <t>header</t>
    </r>
    <r>
      <rPr>
        <sz val="10"/>
        <rFont val="Arial"/>
        <family val="2"/>
        <charset val="1"/>
      </rPr>
      <t xml:space="preserve">: haut_value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15</t>
    </r>
  </si>
  <si>
    <r>
      <t>header</t>
    </r>
    <r>
      <rPr>
        <sz val="10"/>
        <rFont val="Arial"/>
        <family val="2"/>
        <charset val="1"/>
      </rPr>
      <t xml:space="preserve">: haut_date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</t>
    </r>
  </si>
  <si>
    <t>String or Number</t>
  </si>
  <si>
    <t>Date</t>
  </si>
  <si>
    <t>FILES</t>
  </si>
  <si>
    <t>FileName</t>
  </si>
  <si>
    <t>Link</t>
  </si>
  <si>
    <t>FileType</t>
  </si>
  <si>
    <t>FileSize</t>
  </si>
  <si>
    <t>CreationDate</t>
  </si>
  <si>
    <t>Name of the file</t>
  </si>
  <si>
    <t>URL where the file can be found (file repository)</t>
  </si>
  <si>
    <t>File type</t>
  </si>
  <si>
    <t>File size</t>
  </si>
  <si>
    <t>Creation date of the file</t>
  </si>
  <si>
    <t>Description of the file</t>
  </si>
  <si>
    <t>MeteoWholeTrial.txt
ITK.xls
Plan.xls</t>
  </si>
  <si>
    <t>http://urgi.versailles.inra.fr/Species/Wheat/Sequence-Repository</t>
  </si>
  <si>
    <t>xls</t>
  </si>
  <si>
    <t>xls
csv
txt</t>
  </si>
  <si>
    <t>Date: dd/mm/yyyy</t>
  </si>
  <si>
    <t>FOREST COMPLEMENTARY INFO</t>
  </si>
  <si>
    <r>
      <t xml:space="preserve">Additional fields. </t>
    </r>
    <r>
      <rPr>
        <b/>
        <sz val="10"/>
        <color indexed="10"/>
        <rFont val="Arial"/>
        <family val="2"/>
        <charset val="1"/>
      </rPr>
      <t>Mandatory</t>
    </r>
    <r>
      <rPr>
        <b/>
        <sz val="10"/>
        <rFont val="Arial"/>
        <family val="2"/>
        <charset val="1"/>
      </rPr>
      <t xml:space="preserve"> tab for forest submissions.</t>
    </r>
  </si>
  <si>
    <t>TrialType</t>
  </si>
  <si>
    <t>TrialStatus</t>
  </si>
  <si>
    <t>DataFormat</t>
  </si>
  <si>
    <t>Type of this trial</t>
  </si>
  <si>
    <t>State and monitoring level of this trial</t>
  </si>
  <si>
    <t>Which format is used to store the data ?</t>
  </si>
  <si>
    <t>Digital</t>
  </si>
  <si>
    <t>1 (= provenances comparison)
2 (= maternal descendants comparison)
3 (= two-parents descendants comparison)
4 (= species comparison)
5 (=clones seeds orchard)
6 (=clonal comparison)
7 (= clonal park)
8 (= juveniles comparison)
9 (= other)</t>
  </si>
  <si>
    <t>A (= abandoned/ruined)
1 (= weakly active)
2 (= moderately active)
3 (= active)
4 (= very active)
9 (= unknown)</t>
  </si>
  <si>
    <t>Paper
Scan
Digital
Unknown</t>
  </si>
  <si>
    <t>Rapsodyn</t>
  </si>
  <si>
    <t>INRA Brassica Experimental Ontology</t>
  </si>
  <si>
    <t>m2</t>
  </si>
  <si>
    <t>kg</t>
  </si>
  <si>
    <t>%</t>
  </si>
  <si>
    <t>SY</t>
  </si>
  <si>
    <t>TSW</t>
  </si>
  <si>
    <t>g</t>
  </si>
  <si>
    <t>SN</t>
  </si>
  <si>
    <t>O</t>
  </si>
  <si>
    <t>PrY</t>
  </si>
  <si>
    <t>OY</t>
  </si>
  <si>
    <t>Brassica napus L.</t>
  </si>
  <si>
    <t>Azote</t>
  </si>
  <si>
    <t>N1</t>
  </si>
  <si>
    <t>azote limitant</t>
  </si>
  <si>
    <t>N2</t>
  </si>
  <si>
    <t>azote optimal</t>
  </si>
  <si>
    <t>bloc</t>
  </si>
  <si>
    <t>plot</t>
  </si>
  <si>
    <t>parcelle</t>
  </si>
  <si>
    <t>Parcelle</t>
  </si>
  <si>
    <t>SY_value</t>
  </si>
  <si>
    <t>TSW_value</t>
  </si>
  <si>
    <t>TSW_date</t>
  </si>
  <si>
    <t>SN_value</t>
  </si>
  <si>
    <t>SN_date</t>
  </si>
  <si>
    <t>O_value</t>
  </si>
  <si>
    <t>O_date</t>
  </si>
  <si>
    <t>PrY_value</t>
  </si>
  <si>
    <t>PrY_date</t>
  </si>
  <si>
    <t>OY_value</t>
  </si>
  <si>
    <t>OY_date</t>
  </si>
  <si>
    <t>InstitutionName</t>
  </si>
  <si>
    <t>Acareosperma Gagnep.</t>
  </si>
  <si>
    <t>A &amp; I University</t>
  </si>
  <si>
    <t>Conservatoire Botanique National Méditerranéen de Porquerolles</t>
  </si>
  <si>
    <t>AF 1999 018</t>
  </si>
  <si>
    <t>Arvalis-Chalons</t>
  </si>
  <si>
    <t>Acareosperma spireanum Gagnep.</t>
  </si>
  <si>
    <t>Abed Plant Breeding Station</t>
  </si>
  <si>
    <t>Gautier Semences</t>
  </si>
  <si>
    <t>AF 1999 046</t>
  </si>
  <si>
    <t>Arvalis-Greoux</t>
  </si>
  <si>
    <t>Acyrthosiphon magnoliae</t>
  </si>
  <si>
    <t>Abteilung Biochemie</t>
  </si>
  <si>
    <t>Institut Jean-Pierre Bourgin</t>
  </si>
  <si>
    <t>AF 1999 064</t>
  </si>
  <si>
    <t>Bergheim</t>
  </si>
  <si>
    <t>Acyrthosiphon pisum</t>
  </si>
  <si>
    <t>Abteilung Traub</t>
  </si>
  <si>
    <t>Pépinière du Mas d'Auge</t>
  </si>
  <si>
    <t>AF 2001 001</t>
  </si>
  <si>
    <t>BGAMDV</t>
  </si>
  <si>
    <t>Aegilops</t>
  </si>
  <si>
    <t>ADIS DNA core facility at MPIZ</t>
  </si>
  <si>
    <t>Pépinières Rey</t>
  </si>
  <si>
    <t>AF 2001 009</t>
  </si>
  <si>
    <t>Aegilops aucheri Boiss.</t>
  </si>
  <si>
    <t>ADT</t>
  </si>
  <si>
    <t>UE Ressources Génétiques végétales en Conditions Océaniques, INRA-Rennes, Site de Ploudaniel</t>
  </si>
  <si>
    <t>AF 2001 019-031</t>
  </si>
  <si>
    <t>Clermont-Ferrand</t>
  </si>
  <si>
    <t>Aegilops bicornis</t>
  </si>
  <si>
    <t>Agricultural and Agri-Food Canada</t>
  </si>
  <si>
    <t>UMR Amélioration Génétique et Adaptation des Plantes, INRA-Montpellier</t>
  </si>
  <si>
    <t>AF 2001 024</t>
  </si>
  <si>
    <t>Colmar</t>
  </si>
  <si>
    <t>Aegilops bicornis (Forsk.) Jaub. &amp; Spach.</t>
  </si>
  <si>
    <t>Agricultural and Technological Research Centre</t>
  </si>
  <si>
    <t>UMR Développement et Amélioration des Plantes, INRA-Montpellier</t>
  </si>
  <si>
    <t>AF 2001 030</t>
  </si>
  <si>
    <t>Dijon</t>
  </si>
  <si>
    <t>Aegilops comosa</t>
  </si>
  <si>
    <t>Agricultural Biotechnology R&amp;D,  Life Technologies,  Inc.</t>
  </si>
  <si>
    <t>UMR Écophysiologie et Génomique Fonctionnelle de la Vigne, INRA-Bordeaux</t>
  </si>
  <si>
    <t>AF 2001 032</t>
  </si>
  <si>
    <t>Estrees-Mons</t>
  </si>
  <si>
    <t>Aegilops comosa Sibth. &amp; Sm.</t>
  </si>
  <si>
    <t>Agricultural Experiment Station University of the District of Columbia</t>
  </si>
  <si>
    <t>UMR Génétique, Diversité et Ecophysiologie des Céréales, INRA-Clermont</t>
  </si>
  <si>
    <t>AF 2001 047</t>
  </si>
  <si>
    <t>Estrées-Mons</t>
  </si>
  <si>
    <t>Aegilops crassa Boiss.</t>
  </si>
  <si>
    <t>Agricultural Genomics</t>
  </si>
  <si>
    <t>UMR Génétique et Écophysiologie des Légumineuses à Graines, INRA-Dijon</t>
  </si>
  <si>
    <t>AF 2001 051</t>
  </si>
  <si>
    <t>Fertreve - Foret de Vincence</t>
  </si>
  <si>
    <t>Aegilops crassa Boiss. subsp. vavilovi Zhuk.</t>
  </si>
  <si>
    <t>Agricultural Institute Krizevci</t>
  </si>
  <si>
    <t>UMR Institut de Génétique, Environnement et Protection des Plantes, INRA-Rennes, Site de Ploudaniel</t>
  </si>
  <si>
    <t>AF 2001 073</t>
  </si>
  <si>
    <t>FLORIMOND DESPREZ</t>
  </si>
  <si>
    <t>Aegilops crassa var. palaestina</t>
  </si>
  <si>
    <t>Agricultural Institute Osijek</t>
  </si>
  <si>
    <t>UMR Santé de la Vigne et Qualité du Vin, INRA-Colmar</t>
  </si>
  <si>
    <t>Ag_EST</t>
  </si>
  <si>
    <t>IPGPAS</t>
  </si>
  <si>
    <t>Aegilops crassa var. vavilovi</t>
  </si>
  <si>
    <t>Agricultural Research &amp; Advisory Station, Dept. of Agriculture</t>
  </si>
  <si>
    <t>Unité Expérimentale du Domaine de Vassal, INRA-Montpellier</t>
  </si>
  <si>
    <t>AIP_P00272</t>
  </si>
  <si>
    <t>Le Moulon</t>
  </si>
  <si>
    <t>Aegilops cylindrica Host</t>
  </si>
  <si>
    <t>Agricultural Research Centre - Mtwapa</t>
  </si>
  <si>
    <t>Unité Expérimentale Vigne et Vin, INRA-Montreuil Bellay</t>
  </si>
  <si>
    <t>ANR-06- GPLA-016</t>
  </si>
  <si>
    <t>LLC</t>
  </si>
  <si>
    <t>Aegilops juvenalis (Thell.) Eig</t>
  </si>
  <si>
    <t>Agricultural Research Institute for East Brazil</t>
  </si>
  <si>
    <t>UR AgroSystèmes TROpicaux, INRA Antilles-Guyane</t>
  </si>
  <si>
    <t>Ap_EST_Riken</t>
  </si>
  <si>
    <t>Lusignan</t>
  </si>
  <si>
    <t>Aegilops longissima</t>
  </si>
  <si>
    <t>Agricultural Research Institute Hungarian Academy of Sciences</t>
  </si>
  <si>
    <t>UR Espèces Fruitières, INRA-Bordeaux</t>
  </si>
  <si>
    <t>AS-2005</t>
  </si>
  <si>
    <t>Maule</t>
  </si>
  <si>
    <t>Aegilops longissima Schweinf. &amp; Muschli in Muschli</t>
  </si>
  <si>
    <t>Agricultural Research Institute Kromeriz, Co. Ltd.</t>
  </si>
  <si>
    <t>UR Génétique et Amélioration des Fruits et Légumes, INRA-Avignon</t>
  </si>
  <si>
    <t>ATH_AfNO1999032</t>
  </si>
  <si>
    <t>MOMONT</t>
  </si>
  <si>
    <t>Aegilops lorentii</t>
  </si>
  <si>
    <t>Agricultural Research Institute of Taihu Prefecture</t>
  </si>
  <si>
    <t>UR Génétique et Écophysiologie de la Qualité des Agrumes, INRA-Corse</t>
  </si>
  <si>
    <t>ATH_RI_NASC</t>
  </si>
  <si>
    <t>Orgeval</t>
  </si>
  <si>
    <t>Aegilops mutica Boiss.</t>
  </si>
  <si>
    <t>Agricultural Research Institute, Uyole</t>
  </si>
  <si>
    <t>URP Prairies et Plantes Fourragères, INRA-Lusignan</t>
  </si>
  <si>
    <t>AtPhy</t>
  </si>
  <si>
    <t>Reclainville</t>
  </si>
  <si>
    <t>Aegilops ovata L.</t>
  </si>
  <si>
    <t>Agricultural Research Organization Volcani Centre</t>
  </si>
  <si>
    <t>BcLTF1</t>
  </si>
  <si>
    <t>Rennes</t>
  </si>
  <si>
    <t>Aegilops ovata var. anatolica Eig</t>
  </si>
  <si>
    <t>Agricultural Research Station - Ghana</t>
  </si>
  <si>
    <t>BCVEL1</t>
  </si>
  <si>
    <t>Saint-Laurent - Foret domaniale de Vierzon</t>
  </si>
  <si>
    <t>Aegilops peregrina</t>
  </si>
  <si>
    <t>Agricultural Research Station - Greece</t>
  </si>
  <si>
    <t>BcYOH1</t>
  </si>
  <si>
    <t>Saint-Symphorien - Foret domaniale de la Petite Charnie</t>
  </si>
  <si>
    <t>Aegilops recta</t>
  </si>
  <si>
    <t>Agricultural Research Station Lovrin-Timis</t>
  </si>
  <si>
    <t>BerrySize</t>
  </si>
  <si>
    <t>Aegilops searsii Feldman &amp; Kislev</t>
  </si>
  <si>
    <t>Agriculture &amp; Animal Production State Research Farm</t>
  </si>
  <si>
    <t>BGI_EST_OS</t>
  </si>
  <si>
    <t>Aegilops sharonensis</t>
  </si>
  <si>
    <t>Agri-obtentions Clermont-Ferrand</t>
  </si>
  <si>
    <t>BIEP</t>
  </si>
  <si>
    <t>Aegilops speltoides</t>
  </si>
  <si>
    <t>Agri-Obtentions, Guyancourt</t>
  </si>
  <si>
    <t>BotPathoINRA</t>
  </si>
  <si>
    <t>Aegilops squarrosa auct., p. p., non. L.</t>
  </si>
  <si>
    <t>Agripro Seeds Inc.</t>
  </si>
  <si>
    <t>Botrytis_on_Sunflower_2008</t>
  </si>
  <si>
    <t>Aegilops squarrosa L.</t>
  </si>
  <si>
    <t>Agrogene</t>
  </si>
  <si>
    <t>B1</t>
  </si>
  <si>
    <t>Aegilops subulata Pomel</t>
  </si>
  <si>
    <t>Agrolit S.A.</t>
  </si>
  <si>
    <t>Cabomba_EST</t>
  </si>
  <si>
    <t>Aegilops tauschii</t>
  </si>
  <si>
    <t>Agronomy</t>
  </si>
  <si>
    <t>CANDIDATE_GENES_BIOGECO</t>
  </si>
  <si>
    <t>Aegilops tauschii subsp. tauschii x Triticum turgidum subsp.</t>
  </si>
  <si>
    <t>A.H. Whitmore Foundation Farm</t>
  </si>
  <si>
    <t>Chlorose</t>
  </si>
  <si>
    <t>Aegilops triuncialis L.</t>
  </si>
  <si>
    <t>Alata Horticultural Research Institute</t>
  </si>
  <si>
    <t>CI1999 076</t>
  </si>
  <si>
    <t>Aegilops turcomanica</t>
  </si>
  <si>
    <t>Alibert</t>
  </si>
  <si>
    <t>CI1999 088</t>
  </si>
  <si>
    <t>Aegilops variabilis Eig</t>
  </si>
  <si>
    <t>All-Union Institute for Vegetable Breeding and Seed Production</t>
  </si>
  <si>
    <t>CI2000 005</t>
  </si>
  <si>
    <t>Aegilops vavilovi</t>
  </si>
  <si>
    <t>Alternate Crops and  Systems Laboratory</t>
  </si>
  <si>
    <t>CI2001 002</t>
  </si>
  <si>
    <t>Aegilops ventricosa Tausch</t>
  </si>
  <si>
    <t>Amélioration des plantes et biotechnologies végétales</t>
  </si>
  <si>
    <t>CM2006-var4</t>
  </si>
  <si>
    <t>Allium cepa L.</t>
  </si>
  <si>
    <t>Amélioration des Semences Légumières</t>
  </si>
  <si>
    <t>CNVmaize</t>
  </si>
  <si>
    <t>Allium cepa L. groupe aggregatum</t>
  </si>
  <si>
    <t>Amelioration et Sante des Plantes</t>
  </si>
  <si>
    <t>CP1</t>
  </si>
  <si>
    <t>Allium L.</t>
  </si>
  <si>
    <t>AMIS/BIOTROP</t>
  </si>
  <si>
    <t>CP1P1</t>
  </si>
  <si>
    <t>Allium sativum L.</t>
  </si>
  <si>
    <t>André Pichot</t>
  </si>
  <si>
    <t>CP1p2</t>
  </si>
  <si>
    <t>Allium sativum longicuspis</t>
  </si>
  <si>
    <t>Applied Biotechnology Center,  CIMMYT</t>
  </si>
  <si>
    <t>CP1p3</t>
  </si>
  <si>
    <t>Allium sativum sativum</t>
  </si>
  <si>
    <t>ARC Interfruitec - Nietvoorbij, Stellenbosch - South Africa</t>
  </si>
  <si>
    <t>CP1p4</t>
  </si>
  <si>
    <t>Ampelopsis aconitifolia Bunge</t>
  </si>
  <si>
    <t>ARCHIVE</t>
  </si>
  <si>
    <t>CP1p5</t>
  </si>
  <si>
    <t>Ampelopsis aegirophylla Planch.</t>
  </si>
  <si>
    <t>Arizona Genomics Institute</t>
  </si>
  <si>
    <t>CP1p7</t>
  </si>
  <si>
    <t>Ampelopsis bipinnata Michx.</t>
  </si>
  <si>
    <t>Arkansas Agricultural Experiment Station, University of Arkansas</t>
  </si>
  <si>
    <t>CP2p1</t>
  </si>
  <si>
    <t>Ampelopsis bodinieri (H.Lév. &amp; Vaniot) Rehder</t>
  </si>
  <si>
    <t>Armenian Institute of Agriculture Armanskaja SSR</t>
  </si>
  <si>
    <t>CP3</t>
  </si>
  <si>
    <t>Ampelopsis brevipedunculata (Maxim.) Trautv.</t>
  </si>
  <si>
    <t>Arvalis-Institut du végétal</t>
  </si>
  <si>
    <t>CP4</t>
  </si>
  <si>
    <t>Ampelopsis chaffanjonii (H.Lév.) Rehder</t>
  </si>
  <si>
    <t>ASGROW</t>
  </si>
  <si>
    <t>CP4P2</t>
  </si>
  <si>
    <t>Ampelopsis citrulloïdes Lebas</t>
  </si>
  <si>
    <t>Asociacion de Nuevos Alquimistas</t>
  </si>
  <si>
    <t>CSIRO</t>
  </si>
  <si>
    <t>Ampelopsis cordata Michx.</t>
  </si>
  <si>
    <t>Association Cap Vert</t>
  </si>
  <si>
    <t>CSIRO-INRA_1</t>
  </si>
  <si>
    <t>Ampelopsis delavayana Planch.</t>
  </si>
  <si>
    <t>Association des Créateurs de Variétés Fourragères</t>
  </si>
  <si>
    <t>C2008-14-RGA</t>
  </si>
  <si>
    <t>Ampelopsis heterophylla Blume</t>
  </si>
  <si>
    <t>Association française interprofessionnelle de l'olive</t>
  </si>
  <si>
    <t>DayLength</t>
  </si>
  <si>
    <t>Ampelopsis megalophylla Diels &amp; Gilg</t>
  </si>
  <si>
    <t>Association Fruits Oubliés</t>
  </si>
  <si>
    <t>DBESTARABI</t>
  </si>
  <si>
    <t>Ampelopsis Michx.</t>
  </si>
  <si>
    <t>Association Les Croqueurs de Pommes du territoire du Jarez</t>
  </si>
  <si>
    <t>DBESTMAIZE</t>
  </si>
  <si>
    <t>Ampelopsis orientalis Planch.</t>
  </si>
  <si>
    <t>Association Les Croqueurs de Pommes du territoire du Jarez, Domaine de la Cantonnière</t>
  </si>
  <si>
    <t>DBESTPEA</t>
  </si>
  <si>
    <t>Ampelopsis serjaniifolia Bunge</t>
  </si>
  <si>
    <t>Association Les Croqueurs de Pommes du territoire du Jarez, Verger de Pleyne</t>
  </si>
  <si>
    <t>DBESTPOPLAR</t>
  </si>
  <si>
    <t>Ampelopsis vitifolia Planch.</t>
  </si>
  <si>
    <t>Association Technique Viticole de Bourgogne</t>
  </si>
  <si>
    <t>DBESTRAPE</t>
  </si>
  <si>
    <t>Aphis fabae</t>
  </si>
  <si>
    <t>ATAV Hérault</t>
  </si>
  <si>
    <t>DBESTRICE</t>
  </si>
  <si>
    <t>Aphis gossypii</t>
  </si>
  <si>
    <t>ATAV Val de Loire</t>
  </si>
  <si>
    <t>DBESTSUNFLOWER</t>
  </si>
  <si>
    <t>Aphis nerii</t>
  </si>
  <si>
    <t>Australian Medicago Genetic Resource Center</t>
  </si>
  <si>
    <t>DBESTWHEAT</t>
  </si>
  <si>
    <t>Apium graveolens</t>
  </si>
  <si>
    <t>Australian Winter Cereals Collection Agricultural Research Centre</t>
  </si>
  <si>
    <t>DBESTZINNIA</t>
  </si>
  <si>
    <t>Arabidopsis Heynh.</t>
  </si>
  <si>
    <t>Aventis CropScience</t>
  </si>
  <si>
    <t>D_noxia_KU</t>
  </si>
  <si>
    <t>Arabidopsis thaliana</t>
  </si>
  <si>
    <t>Ballard's Nurseries</t>
  </si>
  <si>
    <t>EGRAM</t>
  </si>
  <si>
    <t>Asteraceae</t>
  </si>
  <si>
    <t>Banco de Germoplasm de Trigo, Centro Internacional de Mejoramiento de Maíz y Trigo</t>
  </si>
  <si>
    <t>eIF4E</t>
  </si>
  <si>
    <t>Atalantia ceylanica (Arn.) Oliv.</t>
  </si>
  <si>
    <t>Banco de Germoplasma de El Encín</t>
  </si>
  <si>
    <t>ERECTA</t>
  </si>
  <si>
    <t>Atalantia Corrêa</t>
  </si>
  <si>
    <t>Banglasdesh Agricultural Research Institute</t>
  </si>
  <si>
    <t>EXEGESE-BLE</t>
  </si>
  <si>
    <t>Aurantioideae</t>
  </si>
  <si>
    <t>Barajev Kazakhstan Sciences Research Institute</t>
  </si>
  <si>
    <t>Fleshless</t>
  </si>
  <si>
    <t>Avena sativa</t>
  </si>
  <si>
    <t>Barani Agricultural Research Institute</t>
  </si>
  <si>
    <t>GABI-PLANT</t>
  </si>
  <si>
    <t>Botryotinia fuckeliana</t>
  </si>
  <si>
    <t>Bavaria Saat Muenchen BGB GmbH</t>
  </si>
  <si>
    <t>GCP 2006-02</t>
  </si>
  <si>
    <t>Brachypodium distachyon</t>
  </si>
  <si>
    <t>BAYER CROP SCIENCE</t>
  </si>
  <si>
    <t>Genoble</t>
  </si>
  <si>
    <t>Brassica carinata A. Braun</t>
  </si>
  <si>
    <t>Bayer CropScience</t>
  </si>
  <si>
    <t>GEN107_PTGS</t>
  </si>
  <si>
    <t>Brassica juncea (L.) Czern.</t>
  </si>
  <si>
    <t>Bayerische Pflanzenzuchtgesellschaft eG &amp; Co. KG</t>
  </si>
  <si>
    <t>GnpSeq</t>
  </si>
  <si>
    <t>Brassica L.</t>
  </si>
  <si>
    <t>Beatson RA, Nelson - New Zealand</t>
  </si>
  <si>
    <t>GNP05013C</t>
  </si>
  <si>
    <t>Beijing Academy of Agriculture and Forestry Sciences</t>
  </si>
  <si>
    <t>GNP3-B4</t>
  </si>
  <si>
    <t>Brassica napus var. napobrassica (L.) Rchb</t>
  </si>
  <si>
    <t>Beijing Agricultural University - Departement of Agriculture</t>
  </si>
  <si>
    <t>GOP A1</t>
  </si>
  <si>
    <t>Brassica napus var. napus L.</t>
  </si>
  <si>
    <t>Bejo</t>
  </si>
  <si>
    <t>GOP PEA-A</t>
  </si>
  <si>
    <t>Brassica nigra (L.) W. D. J. Koch</t>
  </si>
  <si>
    <t>Belloy et Compagnie</t>
  </si>
  <si>
    <t>GOP PEA-B</t>
  </si>
  <si>
    <t>Brassica oleracea L.</t>
  </si>
  <si>
    <t>Benito Poggiali, Faenza - Italy</t>
  </si>
  <si>
    <t>GOP PEA-C</t>
  </si>
  <si>
    <t>Brassica oleracea var. acephala DC.</t>
  </si>
  <si>
    <t>Bergeron Gabrielle, St-Cyr-au-Mont-d'Or Lyon - France</t>
  </si>
  <si>
    <t>GOP PEA-G</t>
  </si>
  <si>
    <t>Brassica oleracea var. botrytis L.</t>
  </si>
  <si>
    <t>BGI</t>
  </si>
  <si>
    <t>GOP Q5</t>
  </si>
  <si>
    <t>Brassica oleracea var. capitata f. capitata</t>
  </si>
  <si>
    <t>Biochemistry</t>
  </si>
  <si>
    <t>GOP T6</t>
  </si>
  <si>
    <t>Brassica oleracea var. capitata f. pyramidalis</t>
  </si>
  <si>
    <t>Biochemistry,  Department of Natural Sciences</t>
  </si>
  <si>
    <t>GPiDB</t>
  </si>
  <si>
    <t>Brassica oleracea var. capitata f. rubra</t>
  </si>
  <si>
    <t>Biochemistry and  Biophysics,  Department of Chemistry, Lundberg Laboratory</t>
  </si>
  <si>
    <t>GPLA06027C</t>
  </si>
  <si>
    <t>Brassica oleracea var. capitata L.</t>
  </si>
  <si>
    <t>Biochemistry Department</t>
  </si>
  <si>
    <t>GrainGenes</t>
  </si>
  <si>
    <t>Brassica oleracea var. costata DC.</t>
  </si>
  <si>
    <t>Biochimie et Physiologie Moleculaire des plantes</t>
  </si>
  <si>
    <t>GRAPEGEN06</t>
  </si>
  <si>
    <t>Brassica oleracea var. gemmifera (DC.) Zenker</t>
  </si>
  <si>
    <t>BIOGECO</t>
  </si>
  <si>
    <t>GrapeReSeq</t>
  </si>
  <si>
    <t>Brassica oleracea var. gongylodes L.</t>
  </si>
  <si>
    <t>BIOGEMMA</t>
  </si>
  <si>
    <t>GRAPESEQ</t>
  </si>
  <si>
    <t>Brassica oleracea var. italica Plenck</t>
  </si>
  <si>
    <t>Biogemma</t>
  </si>
  <si>
    <t>GRMap</t>
  </si>
  <si>
    <t>Brassica oleracea var. medullosa Thell.</t>
  </si>
  <si>
    <t>BIOGEMMA Mondonville</t>
  </si>
  <si>
    <t>GTPases</t>
  </si>
  <si>
    <t>Brassica oleracea var. oleracea L.</t>
  </si>
  <si>
    <t>BIOGEMMA SAS</t>
  </si>
  <si>
    <t>HA_HG1_EST</t>
  </si>
  <si>
    <t>Brassica oleracea var. ramosa DC.</t>
  </si>
  <si>
    <t>BIOGER</t>
  </si>
  <si>
    <t>Hcyl</t>
  </si>
  <si>
    <t>Brassica oleracea var. sabauda L.</t>
  </si>
  <si>
    <t>BIOGER - Equipe Analyse Fonctionnelle du genome de Botrytis cinerea</t>
  </si>
  <si>
    <t>HG1</t>
  </si>
  <si>
    <t>Brassica rapa L.</t>
  </si>
  <si>
    <t>BioInformatics</t>
  </si>
  <si>
    <t>Brassica rapa subsp. chinensis (L.) Hanelt</t>
  </si>
  <si>
    <t>Bioinformatics</t>
  </si>
  <si>
    <t>INRA_AFGBC</t>
  </si>
  <si>
    <t>Brassica rapa subsp. dichotoma (Roxb.) Hanelt</t>
  </si>
  <si>
    <t>Bioinformatics Department</t>
  </si>
  <si>
    <t>INRA_BBSRC_NUEtraits</t>
  </si>
  <si>
    <t>Brassica rapa subsp. oleifera (DC.) Metzg</t>
  </si>
  <si>
    <t>Bioinformatics Team</t>
  </si>
  <si>
    <t>INRA_CIS</t>
  </si>
  <si>
    <t>Brassica rapa subsp. pekinensis (Lour.) Hanelt</t>
  </si>
  <si>
    <t>Biological Resources Division</t>
  </si>
  <si>
    <t>INRA_EVOL</t>
  </si>
  <si>
    <t>Brassica rapa subsp. rapa L.</t>
  </si>
  <si>
    <t>Biological Sciences</t>
  </si>
  <si>
    <t>INRA_mapping</t>
  </si>
  <si>
    <t>Brassica rapa subsp. ruvo L. H. Bailey</t>
  </si>
  <si>
    <t>Biologie Cellulaire</t>
  </si>
  <si>
    <t>INRA_nitrate</t>
  </si>
  <si>
    <t>Brassica rapa subsp. trilocularis (Roxb.) Hanelt</t>
  </si>
  <si>
    <t>Biologie cellulaire</t>
  </si>
  <si>
    <t>INRA_PEA_GAP</t>
  </si>
  <si>
    <t>Bromus secalinus</t>
  </si>
  <si>
    <t>Biologie Vegetale</t>
  </si>
  <si>
    <t>INRA_POPYOMICS1</t>
  </si>
  <si>
    <t>Cabomba aquatica</t>
  </si>
  <si>
    <t>Biology</t>
  </si>
  <si>
    <t>INRA_split</t>
  </si>
  <si>
    <t>Canis lupus familiaris</t>
  </si>
  <si>
    <t>Biology Department and  Biotechnology Institute</t>
  </si>
  <si>
    <t>INRA_URLEG_IPK</t>
  </si>
  <si>
    <t>Capsicum annuum L.</t>
  </si>
  <si>
    <t>Biometrics and  Bioinformatics Unit</t>
  </si>
  <si>
    <t>INRA_Wheat_Breeding_Network</t>
  </si>
  <si>
    <t>Capsicum baccatum L.</t>
  </si>
  <si>
    <t>BioPia</t>
  </si>
  <si>
    <t>INRA_Zm</t>
  </si>
  <si>
    <t>Capsicum cardenasii L.</t>
  </si>
  <si>
    <t>Bioplante</t>
  </si>
  <si>
    <t>INRA01</t>
  </si>
  <si>
    <t>Capsicum chacoense Heiser &amp; Sm.</t>
  </si>
  <si>
    <t>Biotech Research Center</t>
  </si>
  <si>
    <t>INRA02</t>
  </si>
  <si>
    <t>Capsicum chinense</t>
  </si>
  <si>
    <t>Biotechnology</t>
  </si>
  <si>
    <t>INRA03</t>
  </si>
  <si>
    <t>Capsicum eximium Jacq.</t>
  </si>
  <si>
    <t>Biotechnology Division</t>
  </si>
  <si>
    <t>INRA04</t>
  </si>
  <si>
    <t>Capsicum frutescens Hunziker</t>
  </si>
  <si>
    <t>Biotechnology Institute</t>
  </si>
  <si>
    <t>INRA05</t>
  </si>
  <si>
    <t>Capsicum galapagoense L.</t>
  </si>
  <si>
    <t>Biotechnology Section,  Agricultural Experiment Station</t>
  </si>
  <si>
    <t>INRA06</t>
  </si>
  <si>
    <t>Capsicum L.</t>
  </si>
  <si>
    <t>Biotechnology Team</t>
  </si>
  <si>
    <t>INRA07</t>
  </si>
  <si>
    <t>Capsicum microcarpum</t>
  </si>
  <si>
    <t>Biotrop</t>
  </si>
  <si>
    <t>IN_SILICO_INFINIUM_OAK</t>
  </si>
  <si>
    <t>Capsicum praetermissum Cav.</t>
  </si>
  <si>
    <t>BiO3P</t>
  </si>
  <si>
    <t>Interop</t>
  </si>
  <si>
    <t>Capsicum pubescens</t>
  </si>
  <si>
    <t>Blanc Marie Thérèse et Jean-Claude Beaumont, Monteux - France</t>
  </si>
  <si>
    <t>IN_VITRO_INFINIUM_OAK</t>
  </si>
  <si>
    <t>Carica papaya</t>
  </si>
  <si>
    <t>BLONDEAU (ETS A)</t>
  </si>
  <si>
    <t>IN_VITRO_PETRAEA_SNP</t>
  </si>
  <si>
    <t>Castanea crenata</t>
  </si>
  <si>
    <t>BMAS</t>
  </si>
  <si>
    <t>ITEC</t>
  </si>
  <si>
    <t>Castanea crenata x dentata</t>
  </si>
  <si>
    <t>Bois Marie France, St Gilles - France</t>
  </si>
  <si>
    <t>IWGSC Wheat Survey</t>
  </si>
  <si>
    <t>Castanea crenata x henryi</t>
  </si>
  <si>
    <t>Bolivian Institute for Agricultural Technology - Chinoli Experiment Station</t>
  </si>
  <si>
    <t>Map4</t>
  </si>
  <si>
    <t>Castanea crenata x mollissima</t>
  </si>
  <si>
    <t>Bonté H. et Cie, S.A.</t>
  </si>
  <si>
    <t>Melon-GAFL</t>
  </si>
  <si>
    <t>Castanea crenata x pumila</t>
  </si>
  <si>
    <t>Boreal Plant Breeding Ltd</t>
  </si>
  <si>
    <t>Muscares</t>
  </si>
  <si>
    <t>Castanea crenata x sativa</t>
  </si>
  <si>
    <t>Boret-Godineau (bought by Vilmorin)</t>
  </si>
  <si>
    <t>NO 2001 027</t>
  </si>
  <si>
    <t>Castanea crenata x seguinii</t>
  </si>
  <si>
    <t>Botany</t>
  </si>
  <si>
    <t>NoBi2001029</t>
  </si>
  <si>
    <t>Castanea dentata</t>
  </si>
  <si>
    <t>Botany and  Plant Genetics</t>
  </si>
  <si>
    <t>NovelTree</t>
  </si>
  <si>
    <t>Castanea dentata pumila</t>
  </si>
  <si>
    <t>Boulet Luc-Pierre,  Meynes - France</t>
  </si>
  <si>
    <t>NSF</t>
  </si>
  <si>
    <t>Castanea dentata seguinii</t>
  </si>
  <si>
    <t>Boyce Thompson Institute for Plant Research</t>
  </si>
  <si>
    <t>NSF DBI Grant</t>
  </si>
  <si>
    <t>Castanea dentata x henryi</t>
  </si>
  <si>
    <t>Bretagne Plants</t>
  </si>
  <si>
    <t>Okayama University Project</t>
  </si>
  <si>
    <t>Castanea dentata x mollissima</t>
  </si>
  <si>
    <t>Bretagne Plants &amp; Syndicat des Producteur de Plants de Pontivy</t>
  </si>
  <si>
    <t>OsChip</t>
  </si>
  <si>
    <t>Castanea dentata x sativa</t>
  </si>
  <si>
    <t>Bundesversuchswirtschaft Wieselburg</t>
  </si>
  <si>
    <t>OSCRGF</t>
  </si>
  <si>
    <t>Castanea henryi</t>
  </si>
  <si>
    <t>Bureau National Interprofessionnel du Cognac</t>
  </si>
  <si>
    <t>OSCRR1</t>
  </si>
  <si>
    <t>Castanea henryi  x seguinii</t>
  </si>
  <si>
    <t>Buryat Republican State Agricultural Experiment Station</t>
  </si>
  <si>
    <t>OSEST</t>
  </si>
  <si>
    <t>Castanea henryi x mollissima</t>
  </si>
  <si>
    <t>Bvumbwe Agricultural Research Station</t>
  </si>
  <si>
    <t>OsIRD</t>
  </si>
  <si>
    <t>Castanea henryi x pumila</t>
  </si>
  <si>
    <t>Cabel Hall Citrus Ltd.</t>
  </si>
  <si>
    <t>OsMU1</t>
  </si>
  <si>
    <t>Castanea henryi x sativa</t>
  </si>
  <si>
    <t>CACBA Avenue Gaston Phoebus</t>
  </si>
  <si>
    <t>Pea Consensus</t>
  </si>
  <si>
    <t>Castanea mollissima</t>
  </si>
  <si>
    <t>Cadoux (F)</t>
  </si>
  <si>
    <t>Pea_Aphid_EST</t>
  </si>
  <si>
    <t>Castanea mollissima x pumila</t>
  </si>
  <si>
    <t>CAES Genome Facility</t>
  </si>
  <si>
    <t>PeaPql</t>
  </si>
  <si>
    <t>Castanea mollissima x sativa</t>
  </si>
  <si>
    <t>CAILLARD</t>
  </si>
  <si>
    <t>Phyto_EST_INRA</t>
  </si>
  <si>
    <t>Castanea mollissima x seguinii</t>
  </si>
  <si>
    <t>Caillard</t>
  </si>
  <si>
    <t>PlantaComp</t>
  </si>
  <si>
    <t>Castanea P. Mill.</t>
  </si>
  <si>
    <t>California Agricultural Experiment Station, University of California</t>
  </si>
  <si>
    <t>PN40024</t>
  </si>
  <si>
    <t>Castanea pumila</t>
  </si>
  <si>
    <t>California Citrus Exp. Sta.</t>
  </si>
  <si>
    <t>PoplarMap</t>
  </si>
  <si>
    <t>Castanea pumila x sativa</t>
  </si>
  <si>
    <t>California nursery</t>
  </si>
  <si>
    <t>POPSEC</t>
  </si>
  <si>
    <t>Castanea pumila x seguinii</t>
  </si>
  <si>
    <t>California State University</t>
  </si>
  <si>
    <t>private_mRNA</t>
  </si>
  <si>
    <t>Castanea sativa</t>
  </si>
  <si>
    <t>CAMBIER FRERES</t>
  </si>
  <si>
    <t>private_mRNA_WH</t>
  </si>
  <si>
    <t>Castanea sativa x seguinii</t>
  </si>
  <si>
    <t>Cambridge Science Park</t>
  </si>
  <si>
    <t>private_mRNA_ZE</t>
  </si>
  <si>
    <t>Castanea seguinii</t>
  </si>
  <si>
    <t>Canadian Clonal Genebank, Greenhouse and Processing Crops Research Centre, Agriculture and Agri-Food Canada</t>
  </si>
  <si>
    <t>priv_ATH_mRNA</t>
  </si>
  <si>
    <t>Cissus aralioides Planch.</t>
  </si>
  <si>
    <t>Canterbury Agriculture and Science Centre - DSIR - Crop Research Division</t>
  </si>
  <si>
    <t>Priv01</t>
  </si>
  <si>
    <t>Cissus cactiformis Gilg</t>
  </si>
  <si>
    <t>Caussade Semences</t>
  </si>
  <si>
    <t>pub_ATH_mRNA</t>
  </si>
  <si>
    <t>Cissus L.</t>
  </si>
  <si>
    <t>Caussade semences</t>
  </si>
  <si>
    <t>Pub_Frag_EST</t>
  </si>
  <si>
    <t>Cissus quadrangularis L.</t>
  </si>
  <si>
    <t>C.C. Benoist</t>
  </si>
  <si>
    <t>Pub_Frag_mRNA</t>
  </si>
  <si>
    <t>Cissus rotundifolia Blume</t>
  </si>
  <si>
    <t>Cebeco Hande lsraad (Commercial Section)</t>
  </si>
  <si>
    <t>Pub_Hargo_EST</t>
  </si>
  <si>
    <t>Cissus sicyoides L.</t>
  </si>
  <si>
    <t>Cebeco Seed Innovations Ltd</t>
  </si>
  <si>
    <t>Pub_Hpara_EST</t>
  </si>
  <si>
    <t>(Citrange x Citrus paradisi Macf.)</t>
  </si>
  <si>
    <t>CeBiTec</t>
  </si>
  <si>
    <t>Public</t>
  </si>
  <si>
    <t>(Citrange x (Citrus reticulata var. austera ? x Fortunella sp))</t>
  </si>
  <si>
    <t>CEFEL</t>
  </si>
  <si>
    <t>Public EST Hcy1</t>
  </si>
  <si>
    <t>(Citrange x Citrus sinensis (L.) Osb.)</t>
  </si>
  <si>
    <t>Celera AgGen</t>
  </si>
  <si>
    <t>Public mRNA Hcy</t>
  </si>
  <si>
    <t>(Citrange x Eremocitrus glauca (Lindl.) Swing.)</t>
  </si>
  <si>
    <t>Celera Aggen</t>
  </si>
  <si>
    <t>public_Est_Ap</t>
  </si>
  <si>
    <t>(Citrange x Fortunella sp.)</t>
  </si>
  <si>
    <t>Cell Biology</t>
  </si>
  <si>
    <t>public_Est_Vn</t>
  </si>
  <si>
    <t>(Citrange x Poncirus trifoliata (L.) Raf.)</t>
  </si>
  <si>
    <t>Cell Physiology</t>
  </si>
  <si>
    <t>public_mRNA</t>
  </si>
  <si>
    <t>Citreae</t>
  </si>
  <si>
    <t>Cell Technologies</t>
  </si>
  <si>
    <t>public_mRNA_Ap</t>
  </si>
  <si>
    <t>Citrinae</t>
  </si>
  <si>
    <t>Center for Biotechnology</t>
  </si>
  <si>
    <t>public_mRNA_BN</t>
  </si>
  <si>
    <t>Citropsis daweana Swingle &amp; M. Kellerm.</t>
  </si>
  <si>
    <t>Center For Genetic Resource Information</t>
  </si>
  <si>
    <t>public_mRNA_Bot</t>
  </si>
  <si>
    <t>Citropsis Swingle &amp; Kellerm.</t>
  </si>
  <si>
    <t>Center of Forest Research</t>
  </si>
  <si>
    <t>public_mRNA_OS</t>
  </si>
  <si>
    <t>Citrus alata Tan.</t>
  </si>
  <si>
    <t>Central Agricultural Research Institute</t>
  </si>
  <si>
    <t>public_mRNA_Vn</t>
  </si>
  <si>
    <t>Citrus amblycarpa (Hassk.) Ochse</t>
  </si>
  <si>
    <t>Central Res. Lab.,  Life Sci. Res. Cent.</t>
  </si>
  <si>
    <t>public_mRNA_WH</t>
  </si>
  <si>
    <t>Citrus ampullacea Hort. ex Tan.</t>
  </si>
  <si>
    <t>Centre de coopération Internationale en Recherche Agronomique pour le Développement</t>
  </si>
  <si>
    <t>public_mRNA_ZE</t>
  </si>
  <si>
    <t>Citrus anonyma Hort. ex Y. Tan.</t>
  </si>
  <si>
    <t>Centre de Genetique Moleculaire</t>
  </si>
  <si>
    <t>public_PS_mRNA</t>
  </si>
  <si>
    <t>Citrus asahikan Hort. ex Tan.</t>
  </si>
  <si>
    <t>Centre de Montpellier</t>
  </si>
  <si>
    <t>Public_Rose_EST</t>
  </si>
  <si>
    <t>Citrus assamensis Dutta &amp; Bhatt.</t>
  </si>
  <si>
    <t>centre de montpellier</t>
  </si>
  <si>
    <t>public_SB_mRNA</t>
  </si>
  <si>
    <t>Citrus aurantiaca Hort. ex Tan.</t>
  </si>
  <si>
    <t>Centre de Recherche Agronomique de l'Etat, Station d'Amelioration des Plantes</t>
  </si>
  <si>
    <t>pub_MT_EST</t>
  </si>
  <si>
    <t>Citrus aurantifolia (Christm.) Swing</t>
  </si>
  <si>
    <t>Centre de Recherches Agronomiques,  Departement deBiotechnologie</t>
  </si>
  <si>
    <t>pub_MT_mRNA</t>
  </si>
  <si>
    <t>(Citrus aurantifolia (Christm.) Swing. x Fortunella sp.)</t>
  </si>
  <si>
    <t>Centre de Recherches Agronomiques d'Alsace</t>
  </si>
  <si>
    <t>Pub_Rose_mRNA</t>
  </si>
  <si>
    <t>Citrus aurantium L.</t>
  </si>
  <si>
    <t>Centre de recherches sur les cultures abritées et industrielles</t>
  </si>
  <si>
    <t>pub_SB_EST</t>
  </si>
  <si>
    <t>(Citrus aurantium L. x Poncirus trifoliata (L.) Raf.)</t>
  </si>
  <si>
    <t>Centre d'Etudes Techniques Agricoles (CETA), Domaine de M. Genier</t>
  </si>
  <si>
    <t>pub_SUNF_mRNA</t>
  </si>
  <si>
    <t>Citrus aurata Risso</t>
  </si>
  <si>
    <t>Centre for Forest Biology and Department of Biology</t>
  </si>
  <si>
    <t>QTL_LR4_QLS</t>
  </si>
  <si>
    <t>Citrus aurea Hort. ex Tan.</t>
  </si>
  <si>
    <t>Centre for Genetic Resources, the Netherlands</t>
  </si>
  <si>
    <t>QualityLegSeed</t>
  </si>
  <si>
    <t>Citrus balincolong Tan.</t>
  </si>
  <si>
    <t>Centre for Plant Conservation Genetics</t>
  </si>
  <si>
    <t>Resequencing of  S15 mutant</t>
  </si>
  <si>
    <t>Citrus balotina Poit. &amp; Turpin</t>
  </si>
  <si>
    <t>Centre for Plant Conservation Genetics,  Southern CrossUniversity</t>
  </si>
  <si>
    <t>RIL2</t>
  </si>
  <si>
    <t>Citrus benikoji Hort. ex Tan.</t>
  </si>
  <si>
    <t>Centre for Plant Molecular Biology</t>
  </si>
  <si>
    <t>RIL345</t>
  </si>
  <si>
    <t>Citrus bergamia Risso &amp; Poit.</t>
  </si>
  <si>
    <t>Centre National de Contôle et de Certification des Semences et Plants</t>
  </si>
  <si>
    <t>RIL9</t>
  </si>
  <si>
    <t>Citrus boholensis Tan.</t>
  </si>
  <si>
    <t>Centre National de la Recherche Scientifique</t>
  </si>
  <si>
    <t>ROOTEST-SSR</t>
  </si>
  <si>
    <t>Citrus canaliculata Hort. ex Y. Tan</t>
  </si>
  <si>
    <t>Centre Régional de Ressources Génétiques du Nord-Pas-de-Calais</t>
  </si>
  <si>
    <t>Rosa_EST_INRA</t>
  </si>
  <si>
    <t>Citrus celebica Koord.</t>
  </si>
  <si>
    <t>Centre Technique de l'Olivier</t>
  </si>
  <si>
    <t>Rose_Flowering_Genes</t>
  </si>
  <si>
    <t>Citrus chuana Hort. ex Tseng</t>
  </si>
  <si>
    <t>Centro Agronomico Tropical de Investigación y Enseñanza</t>
  </si>
  <si>
    <t>Rp_EST</t>
  </si>
  <si>
    <t>Citrus clementina Hort. ex Tan.</t>
  </si>
  <si>
    <t>Centro de Edafologia y Biologia Aplicada del Segura</t>
  </si>
  <si>
    <t>Sclerotinia_on_Sunflower_2008</t>
  </si>
  <si>
    <t>(Citrus clementina Hort. ex Tan. x Poncirus trifoliata (L.) Raf.)</t>
  </si>
  <si>
    <t>Centro de Edafologia y Biologia Aplicada del Segura - Caballero Jose Egea</t>
  </si>
  <si>
    <t>SCU</t>
  </si>
  <si>
    <t>Citrus combara Raf.</t>
  </si>
  <si>
    <t>Centro de Edafologia y Biologia Aplicada del Segura - Martinez Gomez Pedro</t>
  </si>
  <si>
    <t>Seedlessness</t>
  </si>
  <si>
    <t>Citrus crenatifolia Lush.</t>
  </si>
  <si>
    <t>Centro de Investigacion Palmira Corp. Colombiana Invest. Agropec</t>
  </si>
  <si>
    <t>SNPGrapeMap</t>
  </si>
  <si>
    <t>Citrus daoxianensis S.W. He &amp; G.F. Liu</t>
  </si>
  <si>
    <t>Centro de Investigaciones Agricolas 'Alberto Boerger'</t>
  </si>
  <si>
    <t>SSRGrapeIntMap</t>
  </si>
  <si>
    <t>Citrus davaoensis Tan.</t>
  </si>
  <si>
    <t>Centro de Investigaciones Agrícolas del Pacifico-Norte, INIA</t>
  </si>
  <si>
    <t>TACP1P3</t>
  </si>
  <si>
    <t>Citrus deliciosa Ten.</t>
  </si>
  <si>
    <t>Centro di Studio per il Miglioramento Genetico degli Agrumi</t>
  </si>
  <si>
    <t>TG</t>
  </si>
  <si>
    <t>Citrus depressa Hay.</t>
  </si>
  <si>
    <t>Centro Internacional de Mejoram de Maiz y Trigo - Turkey</t>
  </si>
  <si>
    <t>TomatoDive</t>
  </si>
  <si>
    <t>Citrus duttae Tan.</t>
  </si>
  <si>
    <t>Centro Internacional de Mejoramiento de Maiz y Trigo</t>
  </si>
  <si>
    <t>TRILAT-027</t>
  </si>
  <si>
    <t>Citrus erythrosa Hort. ex Tan.</t>
  </si>
  <si>
    <t>Centro Nacional de Investigaciones Agropecuarias, FONAIAP</t>
  </si>
  <si>
    <t>Triticarte</t>
  </si>
  <si>
    <t>Citrus excelsa Wester</t>
  </si>
  <si>
    <t>Centro Nacional de Pesquisa de Mandioca e Fruticultura</t>
  </si>
  <si>
    <t>Tritipol</t>
  </si>
  <si>
    <t>Citrus flavicarpa Hort. ex Tan.</t>
  </si>
  <si>
    <t>Centro Nacional de Recursos Geneticos e Biotecnologia</t>
  </si>
  <si>
    <t>TRI017</t>
  </si>
  <si>
    <t>Citrus funadoko Hort. ex Y. Tan.</t>
  </si>
  <si>
    <t>Centro regional andino Mendoza Argentina (Centro Regional de Investigaciones Científicas y Tecnológicas)</t>
  </si>
  <si>
    <t>Udine_SSR</t>
  </si>
  <si>
    <t>Citrus genshokan Hort. ex Tan.</t>
  </si>
  <si>
    <t>Centro Regional de Investigacion INIA La Platina</t>
  </si>
  <si>
    <t>UMR5667-PREST03</t>
  </si>
  <si>
    <t>Citrus glaberrima Hort. ex Tan.</t>
  </si>
  <si>
    <t>Cereal Crops Unit</t>
  </si>
  <si>
    <t>unknown</t>
  </si>
  <si>
    <t>Citrus hainanensis Tan.</t>
  </si>
  <si>
    <t>Cereal Institute, National Agricultural Research Foundation</t>
  </si>
  <si>
    <t>USDA CSREES-NRI Grant</t>
  </si>
  <si>
    <t>Citrus halimii Stone</t>
  </si>
  <si>
    <t>Cereal Research Centre,  Agriculture &amp; Agri-Foods Canada</t>
  </si>
  <si>
    <t>VAST</t>
  </si>
  <si>
    <t>Citrus hanaju Siebold ex Shirai</t>
  </si>
  <si>
    <t>Cereal Research Centre,  Agriculture and  Agri-food Canada</t>
  </si>
  <si>
    <t>VITAROMA</t>
  </si>
  <si>
    <t>Citrus haniana Hort. ex Tseng</t>
  </si>
  <si>
    <t>Cereal Research Centre, Agriculture and Agri-Food Canada</t>
  </si>
  <si>
    <t>VMC</t>
  </si>
  <si>
    <t>Citrus hassaku Hort. ex Tan.</t>
  </si>
  <si>
    <t>Cereal Research Institute</t>
  </si>
  <si>
    <t>VO0271V</t>
  </si>
  <si>
    <t>Citrus himekitsu Hort. ex Y. Tan.</t>
  </si>
  <si>
    <t>Cereals Group,  John Innes Centre</t>
  </si>
  <si>
    <t>VTP</t>
  </si>
  <si>
    <t>Citrus hiroshimana Hort. ex Y. Tan.</t>
  </si>
  <si>
    <t>Chair of Genome Research</t>
  </si>
  <si>
    <t>VVBACLib</t>
  </si>
  <si>
    <t>Citrus honghoensis Y. M. Ye et al.</t>
  </si>
  <si>
    <t>Chambre d'Agriculture de Dordogne</t>
  </si>
  <si>
    <t>VVMD</t>
  </si>
  <si>
    <t>Citrus hyalopulpa Tan.</t>
  </si>
  <si>
    <t>Chambre d'Agriculture de la Drôme</t>
  </si>
  <si>
    <t>VVPM</t>
  </si>
  <si>
    <t>Citrus hystrix DC.</t>
  </si>
  <si>
    <t>Chambre d'Agriculture de la Gironde</t>
  </si>
  <si>
    <t>VVS</t>
  </si>
  <si>
    <t>Citrus ichangensis Swing.</t>
  </si>
  <si>
    <t>Chambre d'Agriculture de la Haute-Garonne</t>
  </si>
  <si>
    <t>Wheat_ISBP_Markers</t>
  </si>
  <si>
    <t>(Citrus ichangensis Swing. x Citrus unshiu (Mak.) Marc.)</t>
  </si>
  <si>
    <t>Chambre d'Agriculture de l'Ardèche</t>
  </si>
  <si>
    <t>Wheat_SSR_Markers</t>
  </si>
  <si>
    <t>Citrus indica Tan.</t>
  </si>
  <si>
    <t>Chambre d'Agriculture de l'Aude</t>
  </si>
  <si>
    <t>WH_EST_resist</t>
  </si>
  <si>
    <t>Citrus inflata Hort. ex Tan.</t>
  </si>
  <si>
    <t>Chambre d'Agriculture de l'Hérault</t>
  </si>
  <si>
    <t>WMC</t>
  </si>
  <si>
    <t>Citrus inflato-rugosa Hort. ex Tan.</t>
  </si>
  <si>
    <t>Chambre d'Agriculture de Loire-Atlantique</t>
  </si>
  <si>
    <t>ZM_cornsensus</t>
  </si>
  <si>
    <t>Citrus intermedia Hort. ex Tan.</t>
  </si>
  <si>
    <t>Chambre d'Agriculture de l'Yonne</t>
  </si>
  <si>
    <t>ZMS1P1_DGT</t>
  </si>
  <si>
    <t>Citrus iriomotensis Hort. ex Tan.</t>
  </si>
  <si>
    <t>Chambre d'Agriculture de Saône-et-Loire</t>
  </si>
  <si>
    <t>ZmS1P2</t>
  </si>
  <si>
    <t>Citrus iwaikan Hort. ex Y. Tan.</t>
  </si>
  <si>
    <t>Chambre d'Agriculture de Savoie</t>
  </si>
  <si>
    <t>ZMS1P8</t>
  </si>
  <si>
    <t>Citrus iyo Hort. ex Tan.</t>
  </si>
  <si>
    <t>Chambre d'Agriculture des Bouches-du-Rhône</t>
  </si>
  <si>
    <t>ZmS1P9</t>
  </si>
  <si>
    <t>Citrus jambhiri Lush.</t>
  </si>
  <si>
    <t>Chambre d'Agriculture des Landes</t>
  </si>
  <si>
    <t>ZmS2P1</t>
  </si>
  <si>
    <t>Citrus javanica Blume</t>
  </si>
  <si>
    <t>Chambre d'Agriculture des Pyrénées-Atlantiques</t>
  </si>
  <si>
    <t>ZmS2P2</t>
  </si>
  <si>
    <t>Citrus junos Siebold ex Tan.</t>
  </si>
  <si>
    <t>Chambre d'Agriculture des Pyrénées-Orientales</t>
  </si>
  <si>
    <t>ZmS2P3</t>
  </si>
  <si>
    <t>Citrus karna Raf.</t>
  </si>
  <si>
    <t>Chambre d'Agriculture d'Indre-et-Loire</t>
  </si>
  <si>
    <t>ZMS3P1</t>
  </si>
  <si>
    <t>Citrus keraji Hort. ex Tan.</t>
  </si>
  <si>
    <t>Chambre d'Agriculture du Gard</t>
  </si>
  <si>
    <t>ZMS3P2</t>
  </si>
  <si>
    <t>Citrus kerrii Tan.</t>
  </si>
  <si>
    <t>Chambre d'Agriculture du Gers</t>
  </si>
  <si>
    <t>ZMS3P2-ZmDIGEST</t>
  </si>
  <si>
    <t>Citrus kinokuni Hort. ex Tan.</t>
  </si>
  <si>
    <t>Chambre d'Agriculture du Jura</t>
  </si>
  <si>
    <t>Citrus kotokan Hayata</t>
  </si>
  <si>
    <t>Chambre d'Agriculture du Loir-et-Cher</t>
  </si>
  <si>
    <t>Citrus L.</t>
  </si>
  <si>
    <t>Chambre d'Agriculture du Lot</t>
  </si>
  <si>
    <t>Citrus latifolia Tan.</t>
  </si>
  <si>
    <t>Chambre d'Agriculture du Lot-et-Garonne</t>
  </si>
  <si>
    <t>Citrus latipes (Swing.) Tan.</t>
  </si>
  <si>
    <t>Chambre d'Agriculture du Maine-et-Loire</t>
  </si>
  <si>
    <t>Citrus leiocarpa Hort. ex Tan.</t>
  </si>
  <si>
    <t>Chambre d'Agriculture du Puy-de-Dôme</t>
  </si>
  <si>
    <t>Citrus limetta Risso</t>
  </si>
  <si>
    <t>Chambre d'Agriculture du Tarn</t>
  </si>
  <si>
    <t>Citrus limettioides Tan.</t>
  </si>
  <si>
    <t>Chambre d'Agriculture du Tarn-et-Garonne</t>
  </si>
  <si>
    <t>Citrus limon (L.) Burm.</t>
  </si>
  <si>
    <t>Chambre d'Agriculture du Var</t>
  </si>
  <si>
    <t>(Citrus limon (L.) Burm. x Citrus aurantifolia (Christm.) Swing.)</t>
  </si>
  <si>
    <t>Chambre d'Agriculture du Vaucluse</t>
  </si>
  <si>
    <t>(Citrus limon (L.) Burm. x Citrus reticulata Blanco)</t>
  </si>
  <si>
    <t>Chambre Régionale d'Agriculture d'Auvergne</t>
  </si>
  <si>
    <t>(Citrus limon (L.) Burm. x Citrus sinensis (L.) Osb.)</t>
  </si>
  <si>
    <t>Chaozhou Fruit Research Institute</t>
  </si>
  <si>
    <t>(Citrus limon (L.) Burm. x Fortunella sp.)</t>
  </si>
  <si>
    <t>Charlottetown Research Centre, Agriculture and Agri-Food Canada</t>
  </si>
  <si>
    <t>(Citrus limon (L.) Burm. x Poncirus trifoliata (L.) Raf.)</t>
  </si>
  <si>
    <t>Chiayi Agricultural Experiment Station</t>
  </si>
  <si>
    <t>Citrus limonia Osb.</t>
  </si>
  <si>
    <t>Chinese Academy of Agriculture Sciences</t>
  </si>
  <si>
    <t>Citrus limonimedica Lush.</t>
  </si>
  <si>
    <t>CIAT</t>
  </si>
  <si>
    <t>Citrus longilimon Tan.</t>
  </si>
  <si>
    <t>CIP</t>
  </si>
  <si>
    <t>Citrus longispina Wester</t>
  </si>
  <si>
    <t>CIRAD-FLHOR</t>
  </si>
  <si>
    <t>Citrus lumia Risso &amp; Poit.</t>
  </si>
  <si>
    <t>CIRAD-FLHOR - Guadeloupe</t>
  </si>
  <si>
    <t>Citrus luteo-turgida Hort. ex Tan.</t>
  </si>
  <si>
    <t>CIRAD-FLHOR - Réunion</t>
  </si>
  <si>
    <t>Citrus lycopersicaeformis (Lush.) Hort. ex Tan.</t>
  </si>
  <si>
    <t>CIRAD-FLHOR Martinique</t>
  </si>
  <si>
    <t>Citrus macrolimon Tan.</t>
  </si>
  <si>
    <t>Citrus &amp; Subtropical Fruit Research Institute</t>
  </si>
  <si>
    <t>Citrus macrophylla Wester</t>
  </si>
  <si>
    <t>Citrus &amp; Subtropical Hort. Research Station</t>
  </si>
  <si>
    <t>Citrus macroptera Montr.</t>
  </si>
  <si>
    <t>Citrus Budwood Registration Bureau</t>
  </si>
  <si>
    <t>Citrus maderaspatana Hort. ex Tan.</t>
  </si>
  <si>
    <t>Citrus Clonal Protection Program</t>
  </si>
  <si>
    <t>Citrus madurensis Lour.</t>
  </si>
  <si>
    <t>Citrus Experimental Station</t>
  </si>
  <si>
    <t>Citrus mangshanensis</t>
  </si>
  <si>
    <t>Citrus Research Center</t>
  </si>
  <si>
    <t>Citrus maxima (Burm.) Merr.</t>
  </si>
  <si>
    <t>Citrus Research Institute</t>
  </si>
  <si>
    <t>(Citrus maxima (Burm.) Merr. x Citrus ichangensis Swing.)</t>
  </si>
  <si>
    <t>Citrus Research Institute - Turquie</t>
  </si>
  <si>
    <t>Citrus medica L.</t>
  </si>
  <si>
    <t>CIVAM Région Corse</t>
  </si>
  <si>
    <t>Citrus medioglobosa Hort. ex Tan.</t>
  </si>
  <si>
    <t>Claeys-Luck</t>
  </si>
  <si>
    <t>Citrus megaloxycarpa Lush.</t>
  </si>
  <si>
    <t>Clause</t>
  </si>
  <si>
    <t>Citrus mellarosa Risso</t>
  </si>
  <si>
    <t>Clause semences</t>
  </si>
  <si>
    <t>Citrus meyeri Y. Tan.</t>
  </si>
  <si>
    <t>Clause Vegetable Seeds St Rémy</t>
  </si>
  <si>
    <t>Citrus miaray Wester</t>
  </si>
  <si>
    <t>Clause Vegetable Seeds Valence</t>
  </si>
  <si>
    <t>Citrus micrantha Wester</t>
  </si>
  <si>
    <t>Clemson University Genomics Institute</t>
  </si>
  <si>
    <t>Citrus mitsuharu Hort. ex Y. Tan.</t>
  </si>
  <si>
    <t>CNB</t>
  </si>
  <si>
    <t>Citrus montana Tan.</t>
  </si>
  <si>
    <t>CNB-CSIC</t>
  </si>
  <si>
    <t>Citrus myrtifolia Raf.</t>
  </si>
  <si>
    <t>CNRGV</t>
  </si>
  <si>
    <t>Citrus nana Tan.</t>
  </si>
  <si>
    <t>C.N.R.S.,  Institut des Sciences du Vegetal</t>
  </si>
  <si>
    <t>Citrus natsudaidai Hay.</t>
  </si>
  <si>
    <t>CNRS ALIMENTEC</t>
  </si>
  <si>
    <t>Citrus neo-aurantium Tan.</t>
  </si>
  <si>
    <t>CNRS ERS</t>
  </si>
  <si>
    <t>Citrus nippokoreana Tan.</t>
  </si>
  <si>
    <t>CNRS UMR 5096</t>
  </si>
  <si>
    <t>Citrus nobilis Lour.</t>
  </si>
  <si>
    <t>Coker's Pedigree Seed Co.</t>
  </si>
  <si>
    <t>Citrus oblonga Hort. ex Y. Tan.</t>
  </si>
  <si>
    <t>College of life science</t>
  </si>
  <si>
    <t>Citrus obovoidea Hort. ex Tak.</t>
  </si>
  <si>
    <t>Colorado Agricultural Experiment Station, Colorado State University</t>
  </si>
  <si>
    <t>Citrus obversa Hassk.</t>
  </si>
  <si>
    <t>Comité Interprofessionnel de Sélection de la Vigne de Savoie</t>
  </si>
  <si>
    <t>Citrus odorata Wester ex. Tan.</t>
  </si>
  <si>
    <t>Comité Interprofessionnel des Vins d'Alsace</t>
  </si>
  <si>
    <t>Citrus oleocarpa Hort. ex Tan.</t>
  </si>
  <si>
    <t>Comité Interprofessionnel des Vins de Champagne</t>
  </si>
  <si>
    <t>Citrus omikanto Hort. ex Y. Tan.</t>
  </si>
  <si>
    <t>Commonwealth Scientific and  Industrial Research OrganisationDivision of Plant Industry</t>
  </si>
  <si>
    <t>Citrus otachibana Hort. ex Y. Tan.</t>
  </si>
  <si>
    <t>Commonwealth Scientific and Industrial Research Organisation</t>
  </si>
  <si>
    <t>Citrus oto Hort. ex Y. Tan.</t>
  </si>
  <si>
    <t>Comparative Genetics Unit</t>
  </si>
  <si>
    <t>Citrus ovata Hassk.</t>
  </si>
  <si>
    <t>Complex Carbohydrate Research Center</t>
  </si>
  <si>
    <t>Citrus panuban (Wester) Tan.</t>
  </si>
  <si>
    <t>Consejo Superior de Investigaciones Científicas</t>
  </si>
  <si>
    <t>Citrus papaya Hassk.</t>
  </si>
  <si>
    <t>Conservatoire Botanique National de Bailleul</t>
  </si>
  <si>
    <t>Citrus papillaris Blanco</t>
  </si>
  <si>
    <t>Citrus paradisi Macf.</t>
  </si>
  <si>
    <t>Conservatoire Botanique National Méditerranéen de Porquerolles + INRA Montpellier</t>
  </si>
  <si>
    <t>(Citrus paradisi Macf. x Citrus sinensis (L.) Osb.)</t>
  </si>
  <si>
    <t>Conservatoire du Vignoble Charentais - IREO</t>
  </si>
  <si>
    <t>(Citrus paradisi Macf. x Poncirus trifoliata (L.) Raf.)</t>
  </si>
  <si>
    <t>Conservatoire Régional des Cépages de Midi-Pyrénées</t>
  </si>
  <si>
    <t>Citrus paratangerina Hort. ex Tan.</t>
  </si>
  <si>
    <t>Conservatoire Régional d'Espèces Fruitières Anciennes et de Vignes de Midi-Pyrénées</t>
  </si>
  <si>
    <t>Citrus pennivesiculata (Lush.) Tan.</t>
  </si>
  <si>
    <t>Conservatoire Végétal Régional d'Aquitaine</t>
  </si>
  <si>
    <t>Citrus peretta Risso</t>
  </si>
  <si>
    <t>Coopérative Agricole AGORA</t>
  </si>
  <si>
    <t>Citrus platymamma Hort. ex Tan.</t>
  </si>
  <si>
    <t>Coopérative Agricole Provence Languedoc</t>
  </si>
  <si>
    <t>Citrus ponki (Hayata) Hort. ex Tan.</t>
  </si>
  <si>
    <t>Coopérative de Lennon</t>
  </si>
  <si>
    <t>Citrus pseudo-aurantium Hort. ex Y. Tan.</t>
  </si>
  <si>
    <t>Coopérative Fleuron d'Anjou</t>
  </si>
  <si>
    <t>Citrus pseudograndis Hort. ex Shirai</t>
  </si>
  <si>
    <t>Cornell Agricultural Experiment Station, University of Cornell</t>
  </si>
  <si>
    <t>Citrus pseudogulgul Hort. ex Shirai</t>
  </si>
  <si>
    <t>Corporacion Colombiana de Investigacion Agropecuaria Tibaitata, CORPOICA</t>
  </si>
  <si>
    <t>Citrus pseudolimon Tan.</t>
  </si>
  <si>
    <t>Cowra Experiment Farm</t>
  </si>
  <si>
    <t>Citrus pseudolimonum Wester</t>
  </si>
  <si>
    <t>CRA-Unitá di Ricerca per la Maiscoltura</t>
  </si>
  <si>
    <t>Citrus pseudopapillaris Tan.</t>
  </si>
  <si>
    <t>CRA-Unitá di Ricerca per la Valorizzazione Qualitativa dei Cereali</t>
  </si>
  <si>
    <t>Citrus pseudoparadisi Hort. ex Y. Tan.</t>
  </si>
  <si>
    <t>Criadero Klein S.A.</t>
  </si>
  <si>
    <t>Citrus pseudosunki Hort. ex Tan.</t>
  </si>
  <si>
    <t>C.R.I.D.A.</t>
  </si>
  <si>
    <t>Citrus pyriformis Hassk.</t>
  </si>
  <si>
    <t>Crop &amp; Food Research</t>
  </si>
  <si>
    <t>Citrus reshni Hort. ex Tan.</t>
  </si>
  <si>
    <t>Crop Breeding Institute</t>
  </si>
  <si>
    <t>Citrus reticulata Blanco</t>
  </si>
  <si>
    <t>Crop Development Centre, University of Saskatchewan</t>
  </si>
  <si>
    <t>(Citrus reticulata Blanco x Citrus aurantium L.)</t>
  </si>
  <si>
    <t>Crop Experimental Station Rural Development Administration</t>
  </si>
  <si>
    <t>(Citrus reticulata Blanco x Citrus paradisi Macf.)</t>
  </si>
  <si>
    <t>Crop Genetics</t>
  </si>
  <si>
    <t>(Citrus reticulata Blanco x Citrus sinensis (L.) Osb.)</t>
  </si>
  <si>
    <t>Crop Performance and  Improvement Department</t>
  </si>
  <si>
    <t>(Citrus reticulata Blanco x Fortunella sp.)</t>
  </si>
  <si>
    <t>Crop Production &amp; Pest Control Research Unit</t>
  </si>
  <si>
    <t>(Citrus reticulata Blanco x Poncirus trifoliata (L.) Raf.)</t>
  </si>
  <si>
    <t>Crop Research Institute, Olomouc</t>
  </si>
  <si>
    <t>Citrus rissoi Risso</t>
  </si>
  <si>
    <t>Crop Research Institute Plant Genetic Resources Unit</t>
  </si>
  <si>
    <t>Citrus rokugatsu Hort. ex Y. Tan.</t>
  </si>
  <si>
    <t>Crop Science</t>
  </si>
  <si>
    <t>Citrus rugulosa Hort. ex Tan.</t>
  </si>
  <si>
    <t>Citrus sarbati Tan.</t>
  </si>
  <si>
    <t>CSIRO Plant Industry</t>
  </si>
  <si>
    <t>Citrus semperflorens Lush.</t>
  </si>
  <si>
    <t>CSIRO Production and Processing</t>
  </si>
  <si>
    <t>Citrus shunkokan Hort. ex Tan.</t>
  </si>
  <si>
    <t>CTIFL Centre Technique Interprofessionnel des Fruits et Légumes, Centre de Lanxade</t>
  </si>
  <si>
    <t>Citrus sinensis (L.) Osb.</t>
  </si>
  <si>
    <t>Danko Hodowla Ro'slin sp. z o.o.</t>
  </si>
  <si>
    <t>(Citrus sinensis (L.) Osb. x Poncirus trifoliata (L.) Raf.)</t>
  </si>
  <si>
    <t>Davao Experimental Station</t>
  </si>
  <si>
    <t>Citrus sinograndis Hort. ex Y. Tan.</t>
  </si>
  <si>
    <t>De Groot en Slot BV</t>
  </si>
  <si>
    <t>Citrus southwickii Wester</t>
  </si>
  <si>
    <t>De Regibus Christian,  Saxon - Suisse</t>
  </si>
  <si>
    <t>Citrus sp.</t>
  </si>
  <si>
    <t>De Voetakker BV</t>
  </si>
  <si>
    <t>Citrus sphaerocarpa Tan.</t>
  </si>
  <si>
    <t>DeKalb AgResearch Inc.</t>
  </si>
  <si>
    <t>Citrus suavissima Hort. ex Tan.</t>
  </si>
  <si>
    <t>Delaware Biotechnology Institute</t>
  </si>
  <si>
    <t>Citrus succosa Hort. ex Tan.</t>
  </si>
  <si>
    <t>Delley Samen und Pflanzen AG</t>
  </si>
  <si>
    <t>Citrus sudachi Hort. ex Shirai</t>
  </si>
  <si>
    <t>Denaiffe et Fils</t>
  </si>
  <si>
    <t>Citrus suhuiensis Hort. ex Tan.</t>
  </si>
  <si>
    <t>Dep. of Biological Science</t>
  </si>
  <si>
    <t>Citrus suizabon Tan.</t>
  </si>
  <si>
    <t>Departamento de Citricultura, Estação N. Fruticultura 'Vieira Natividade'</t>
  </si>
  <si>
    <t>Citrus sulcata Hort. ex Tak.</t>
  </si>
  <si>
    <t>Departamento Genetica Evolutiva</t>
  </si>
  <si>
    <t>Citrus sunki Hort. ex Tan.</t>
  </si>
  <si>
    <t>Departement de phytologie, Universite Laval</t>
  </si>
  <si>
    <t>Citrus tachibana (Mak.) Tan.</t>
  </si>
  <si>
    <t>Departement des Sciences biologiques</t>
  </si>
  <si>
    <t>Citrus taiwanica Tan. &amp; Shim.</t>
  </si>
  <si>
    <t>Department of Agricultural Botany</t>
  </si>
  <si>
    <t>Citrus takuma-sudachi Hort. ex Tan.</t>
  </si>
  <si>
    <t>Department of Agriculture</t>
  </si>
  <si>
    <t>Citrus tamurana Hort. ex Tan.</t>
  </si>
  <si>
    <t>Department of Agronomy</t>
  </si>
  <si>
    <t>Citrus tangerina Hort. ex Tan.</t>
  </si>
  <si>
    <t>Department of Agronomy and  Plant Genetics</t>
  </si>
  <si>
    <t>Citrus tankan Hay.</t>
  </si>
  <si>
    <t>Department of Agronomy and  Plant Genetics,  University ofMinnesota</t>
  </si>
  <si>
    <t>Citrus tardiferax Hort. ex Tan.</t>
  </si>
  <si>
    <t>Department of Agronomy and Range Science</t>
  </si>
  <si>
    <t>Citrus tardiva Hort. ex Shirai</t>
  </si>
  <si>
    <t>Department of Biochemistry</t>
  </si>
  <si>
    <t>Citrus tarogayo Hort. ex Y. Tan.</t>
  </si>
  <si>
    <t>Department of Biochemistry and  Biophysics</t>
  </si>
  <si>
    <t>Citrus temple Hort. ex Y. Tan.</t>
  </si>
  <si>
    <t>Department of Biological Sciences</t>
  </si>
  <si>
    <t>(Citrus temple Hort. ex Y. Tan. x Citrus paradisi Macf.)</t>
  </si>
  <si>
    <t>Department of Biological Sciences and  Howard Hughes MedicalInstitute</t>
  </si>
  <si>
    <t>Citrus tengu Hort. ex Tan.</t>
  </si>
  <si>
    <t>Department of Biology</t>
  </si>
  <si>
    <t>Citrus tosa-asahi Hort. ex Y. Tan.</t>
  </si>
  <si>
    <t>Department of Biology,  Faculty of Science</t>
  </si>
  <si>
    <t>Citrus truncata Hort. ex Tan.</t>
  </si>
  <si>
    <t>Department of Biology and Biocenter Oulu</t>
  </si>
  <si>
    <t>Citrus tumida Hort. ex Tan.</t>
  </si>
  <si>
    <t>Department of Biology/Plant Genetics Group</t>
  </si>
  <si>
    <t>Citrus ujukitsu Tan.</t>
  </si>
  <si>
    <t>Department of Biosciences, Plant Physiology</t>
  </si>
  <si>
    <t>Citrus unshiu (Mak.) Mar.</t>
  </si>
  <si>
    <t>Department of Biotechnology</t>
  </si>
  <si>
    <t>(Citrus unshiu (Mak.) Marc. x (F. japonica x F. margarita 'Meiwa'))</t>
  </si>
  <si>
    <t>Department of Biotechnology Graduate School of Engineering</t>
  </si>
  <si>
    <t>Citrus vitiensis Tan.</t>
  </si>
  <si>
    <t>Department of Botany and  Plant Pathology</t>
  </si>
  <si>
    <t>Citrus webberii Wester</t>
  </si>
  <si>
    <t>Department of Botany, Faculty of Science, Chulalongkorn University</t>
  </si>
  <si>
    <t>Citrus westeri Tan.</t>
  </si>
  <si>
    <t>Department of Cell biology</t>
  </si>
  <si>
    <t>Citrus wilsonii Tan.</t>
  </si>
  <si>
    <t>Department of Crop Science,  division of Biotechnology and Genetic Engineering</t>
  </si>
  <si>
    <t>Citrus yamabuki Hort. ex Y. Tan.</t>
  </si>
  <si>
    <t>Department of Crop Science Agricultural University of Norway</t>
  </si>
  <si>
    <t>Citrus yanbaruensis Hort. ex Tan.</t>
  </si>
  <si>
    <t>Department of Cytogenetics</t>
  </si>
  <si>
    <t>Citrus yatsushiro Hort. ex Tan.</t>
  </si>
  <si>
    <t>Department of Ecology &amp; Evolutionary Biology</t>
  </si>
  <si>
    <t>Citrus yuge-hyokan Hort. ex Y. Tan.</t>
  </si>
  <si>
    <t>Department of Ecology and  Evolutionary Biology</t>
  </si>
  <si>
    <t>Citrus yuko Hort. ex Tan.</t>
  </si>
  <si>
    <t>Department of Enthomology,  plant protection Institute</t>
  </si>
  <si>
    <t>Clausena Burm. f.</t>
  </si>
  <si>
    <t>Department of Entomology</t>
  </si>
  <si>
    <t>Clausena excavata Burm. f.</t>
  </si>
  <si>
    <t>Department of Forest Genetics and Plant Physiology</t>
  </si>
  <si>
    <t>Clausena lansium (Lour.) Skeels</t>
  </si>
  <si>
    <t>Department of Forestry</t>
  </si>
  <si>
    <t>Clauseneae</t>
  </si>
  <si>
    <t>Department of Genetics</t>
  </si>
  <si>
    <t>Clauseninae</t>
  </si>
  <si>
    <t>Department of Genetics and  Forestry and  AgriculturalBiotechnology Institute</t>
  </si>
  <si>
    <t>Clematicissus angustissima (F.Muell.) Planch.</t>
  </si>
  <si>
    <t>Department of Genetics and  Genomics - Trisaia ResearchCentre</t>
  </si>
  <si>
    <t>Clematicissus Planch.</t>
  </si>
  <si>
    <t>Department of Genetics and Plant Breeding, University of Agricultural Sciences</t>
  </si>
  <si>
    <t>Cucumis L.</t>
  </si>
  <si>
    <t>Department of Genomics,  evolution and  development</t>
  </si>
  <si>
    <t>Cucumis melo L.</t>
  </si>
  <si>
    <t>Department of Horticultural Sciences, Saga University</t>
  </si>
  <si>
    <t>Cucumis melo ssp. agrestis</t>
  </si>
  <si>
    <t>Department of Horticulture</t>
  </si>
  <si>
    <t>Cucumis melo ssp. agrestis f. Acidulus</t>
  </si>
  <si>
    <t>Department of Plant Biology</t>
  </si>
  <si>
    <t>Cucumis melo ssp. agrestis f. Chinensis</t>
  </si>
  <si>
    <t>Department of Plant Biotechnology</t>
  </si>
  <si>
    <t>Cucumis melo ssp. agrestis f. Conomon</t>
  </si>
  <si>
    <t>Department of Plant Genetics</t>
  </si>
  <si>
    <t>Cucumis melo ssp. agrestis f. Makuwa</t>
  </si>
  <si>
    <t>Department of Plant Molecular Biology</t>
  </si>
  <si>
    <t>Cucumis melo ssp. agrestis f. Momordica</t>
  </si>
  <si>
    <t>Department of Plant Pathology</t>
  </si>
  <si>
    <t>Cucumis melo ssp. agrestis f. Tibish</t>
  </si>
  <si>
    <t>Department of Plant Science</t>
  </si>
  <si>
    <t>Cucumis melo ssp. melo</t>
  </si>
  <si>
    <t>Department of Plant Sciences</t>
  </si>
  <si>
    <t>Cucumis melo ssp. melo f. Ameri</t>
  </si>
  <si>
    <t>Department of Plant Sciences,  School of Life Sciences</t>
  </si>
  <si>
    <t>Cucumis melo ssp. melo f. Cantalupensis</t>
  </si>
  <si>
    <t>Department of Primary Industries</t>
  </si>
  <si>
    <t>Cucumis melo ssp. melo f. Cantalupensis gr. Charentais</t>
  </si>
  <si>
    <t>Department of Scientific and Industrial Research</t>
  </si>
  <si>
    <t>Cucumis melo ssp. melo f. Chandalak</t>
  </si>
  <si>
    <t>Department of Soil&amp;Crops</t>
  </si>
  <si>
    <t>Cucumis melo ssp. melo f. Chate</t>
  </si>
  <si>
    <t>Department of Vegetable Crops,  R.W.Michelmore Lab</t>
  </si>
  <si>
    <t>Cucumis melo ssp. melo f. Dudaim</t>
  </si>
  <si>
    <t>Department of Viticulture and Enology</t>
  </si>
  <si>
    <t>Cucumis melo ssp. melo f. Flexuosus</t>
  </si>
  <si>
    <t>Dept. of Biochemistry &amp; Molecular Biology</t>
  </si>
  <si>
    <t>Cucumis melo ssp. melo f. Inodorus</t>
  </si>
  <si>
    <t>Dept. of Horticulture</t>
  </si>
  <si>
    <t>Cucumis melo ssp. melo f. Inodorus gr. Canari</t>
  </si>
  <si>
    <t>Dept of Molecular Biosciences</t>
  </si>
  <si>
    <t>Cucumis melo ssp. melo f. Inodorus gr. Honeydew</t>
  </si>
  <si>
    <t>Dept. of Plant and  Soil Science,  Montana State University</t>
  </si>
  <si>
    <t>Cucumis melo ssp. melo f. Inodorus gr. Piel de sapo</t>
  </si>
  <si>
    <t>Dept. of Plant Pathology</t>
  </si>
  <si>
    <t>Cucumis melo ssp. melo f. Inodorus gr. Rochet</t>
  </si>
  <si>
    <t>Dept Plant Breeding</t>
  </si>
  <si>
    <t>Cucumis melo ssp. melo f. Inodorus gr. Tendral</t>
  </si>
  <si>
    <t>Desprez</t>
  </si>
  <si>
    <t>Cucumis melo ssp. melo f. Reticulatus</t>
  </si>
  <si>
    <t>Deutsche Saatveredelung Lippstadt - France</t>
  </si>
  <si>
    <t>Cynara L.</t>
  </si>
  <si>
    <t>Deutsche Saatveredelung Lippstadt-Bremen GmbH</t>
  </si>
  <si>
    <t>Dactylis glomerata L.</t>
  </si>
  <si>
    <t>Deutsche Saatzucht-Gesellschaft Salzmuende (G. Riebesel)</t>
  </si>
  <si>
    <t>Dactylis glomerata subsp. castellata Stebbins &amp; Zohary</t>
  </si>
  <si>
    <t>DEVM</t>
  </si>
  <si>
    <t>Dactylis glomerata subsp. glomerata L.</t>
  </si>
  <si>
    <t>Devon Botanic Garden and Field Laboratory, Department of Botany, University of Alberta</t>
  </si>
  <si>
    <t>Dactylis glomerata subsp. hispanica (Roth) Nyman</t>
  </si>
  <si>
    <t>DiaPC</t>
  </si>
  <si>
    <t>Dactylis glomerata subsp. izcoi S.Ortiz &amp; J.Rodríguez_Oubina</t>
  </si>
  <si>
    <t>Dipartimento di Colture Arboree - C.M.V.F.- Università di Bologna (ITA)</t>
  </si>
  <si>
    <t>Dactylis glomerata subsp. lusitanica Stebbins &amp; Zohary</t>
  </si>
  <si>
    <t>Dipartimento di Colture Arboree - C.M.V.F.- Università di Bologna (ITA) - Bassi Daniele</t>
  </si>
  <si>
    <t>Dactylis glomerata subsp. mairei Zohary &amp; Stebbins</t>
  </si>
  <si>
    <t>Dipartimento di Scienze Agrarie e Ambientali</t>
  </si>
  <si>
    <t>Dactylis L.</t>
  </si>
  <si>
    <t>Dipartimento di Scienze Agrarie e Ambientali - Genetica</t>
  </si>
  <si>
    <t>Dioscorea</t>
  </si>
  <si>
    <t>Dipartimento Innovazione, Divisione Biotecnologie e Agricoltura, ENEA</t>
  </si>
  <si>
    <t>Dioscorea alata</t>
  </si>
  <si>
    <t>Direction Départementale de l'Agriculture, Service du Génie Rural des Eaux et des Forêts</t>
  </si>
  <si>
    <t>Dioscorea altissima</t>
  </si>
  <si>
    <t>Direction Scientifique des Productions Végétales, INRA</t>
  </si>
  <si>
    <t>Dioscorea bulbifera</t>
  </si>
  <si>
    <t>Div. of Plant Industry,  CSIRO</t>
  </si>
  <si>
    <t>Dioscorea burkiliana</t>
  </si>
  <si>
    <t>Diversity Arrays Technology P/L - Triticarte P/L</t>
  </si>
  <si>
    <t>Dioscorea cayenensis rotundata</t>
  </si>
  <si>
    <t>Division Agronomique-Génétique et Amélioration des Plantes</t>
  </si>
  <si>
    <t>Dioscorea cordata</t>
  </si>
  <si>
    <t>Division of Applied Bioscience,  Graduate School ofAgriculture</t>
  </si>
  <si>
    <t>Dioscorea esculenta</t>
  </si>
  <si>
    <t>Division of Biological Sciences</t>
  </si>
  <si>
    <t>Dioscorea hurtiflora</t>
  </si>
  <si>
    <t>Division of Biology</t>
  </si>
  <si>
    <t>Dioscorea minutiflora</t>
  </si>
  <si>
    <t>Division of Plant Industry</t>
  </si>
  <si>
    <t>Dioscorea numularia</t>
  </si>
  <si>
    <t>Domaine de Sainte-Marguerite</t>
  </si>
  <si>
    <t>Dioscorea pilosiuscula</t>
  </si>
  <si>
    <t>Domaines Agricoles</t>
  </si>
  <si>
    <t>Dioscorea polygonoïdes</t>
  </si>
  <si>
    <t>Domaines Royaux</t>
  </si>
  <si>
    <t>Dioscorea transversa</t>
  </si>
  <si>
    <t>Domaines Sunset</t>
  </si>
  <si>
    <t>Dioscorea trifida</t>
  </si>
  <si>
    <t>Doneczkij institut agropromyshlennogo proizvodstva NAAN, GP</t>
  </si>
  <si>
    <t>Diuraphis noxia</t>
  </si>
  <si>
    <t>Donneur inconnu à Escolives-Sainte-Camille</t>
  </si>
  <si>
    <t>Equus caballus</t>
  </si>
  <si>
    <t>Donneur inconnu à Remoulins</t>
  </si>
  <si>
    <t>Eremocitrus glauca (Lindl.) Swing.</t>
  </si>
  <si>
    <t>Dr. J. Ackermann &amp; Co Saatzucht Irlbach</t>
  </si>
  <si>
    <t>(Eremocitrus glauca (Lindl.) Swing. x Citrus aurantium L.)</t>
  </si>
  <si>
    <t>Dr. Joachim Messing s lab</t>
  </si>
  <si>
    <t>(Eremocitrus glauca (Lindl.) Swing. x Citrus limon (L.) Burm. ?)</t>
  </si>
  <si>
    <t>D.S.A. Vaucluse (84) - France</t>
  </si>
  <si>
    <t>(Eremocitrus glauca (Lindl.) Swing. x Citrus sinensis(L.) Osb.)</t>
  </si>
  <si>
    <t>DuPont Hybrinova</t>
  </si>
  <si>
    <t>Eremocitrus Swingle</t>
  </si>
  <si>
    <t>East Malling Research</t>
  </si>
  <si>
    <t>Fabaceae</t>
  </si>
  <si>
    <t>Eastern Cereal and  Oilseed Research Centre</t>
  </si>
  <si>
    <t>Festuca arundinacea  subsp. arundinacea var. letourneuxiana St.-Yves. (10x)</t>
  </si>
  <si>
    <t>École Nationale d'Ingénieurs de l'Horticulture et du Paysage de l'Institut National d'Horticulture</t>
  </si>
  <si>
    <t>Festuca arundinacea Schreb.</t>
  </si>
  <si>
    <t>Ecole Nationale Supérieure Agronomique de Montpellier</t>
  </si>
  <si>
    <t>Festuca arundinacea subsp. arundinacea Schreb.</t>
  </si>
  <si>
    <t>Ecole Nationale Supérieure Agronomique de Toulouse</t>
  </si>
  <si>
    <t>Festuca arundinacea subsp. arundinacea var. atlantigena sensu Markgr.Dann. (8x)</t>
  </si>
  <si>
    <t>Ecomusée de la Grande Lande (Marquèze)</t>
  </si>
  <si>
    <t>Festuca arundinacea subsp. arundinacea var. genuina Schreb. (6x)</t>
  </si>
  <si>
    <t>Ecophysiologie des Plantes sous Stress Environnementaux (LEPSE)</t>
  </si>
  <si>
    <t>Festuca arundinacea subsp. arundinacea var. glaucescens Boiss. (4x)</t>
  </si>
  <si>
    <t>Einsenhut Vivaio</t>
  </si>
  <si>
    <t>Festuca filiformis Pourret</t>
  </si>
  <si>
    <t>EMBRAPA Brazil</t>
  </si>
  <si>
    <t>Festuca L.</t>
  </si>
  <si>
    <t>Empresa Brasileira de Pesquisa Agropecuaria</t>
  </si>
  <si>
    <t>Festuca nigrescens Lam.</t>
  </si>
  <si>
    <t>Empresa Citricola Victoria</t>
  </si>
  <si>
    <t>Festuca nigrescens subsp. nigrescens Lam.</t>
  </si>
  <si>
    <t>ENSA - INRA Unité de Formation en Botanique et Pathologie Végétale, INRA-Montpellier</t>
  </si>
  <si>
    <t>Festuca ovina L. (2x)</t>
  </si>
  <si>
    <t>Environmental Biology Group/ Research School of Biological Sciences</t>
  </si>
  <si>
    <t>Festuca ovina L. (4x)</t>
  </si>
  <si>
    <t>Environmental Molecular Biology Laboratory</t>
  </si>
  <si>
    <t>Festuca ovina L. (6x)</t>
  </si>
  <si>
    <t>Environmental Sciences Division</t>
  </si>
  <si>
    <t>Festuca ovina L. (8x)</t>
  </si>
  <si>
    <t>Enza Zaden France</t>
  </si>
  <si>
    <t>Festuca ovina subsp. guestfalica (Reichenb.) K. Richter</t>
  </si>
  <si>
    <t>EPGV</t>
  </si>
  <si>
    <t>Festuca rubra L.</t>
  </si>
  <si>
    <t>EPLEFPA Poitiers-Venours, Etablissement d'enseignement général et technologique agricole</t>
  </si>
  <si>
    <t>Festuca rubra subsp. arenaria (Osbeck) Aresh</t>
  </si>
  <si>
    <t>Equipe Genetique Vigne UMR DiaPC</t>
  </si>
  <si>
    <t>Festuca rubra subsp. fallax (Thuill.) Nyman</t>
  </si>
  <si>
    <t>Equipe Genomique Ble et Mais</t>
  </si>
  <si>
    <t>Festuca rubra subsp. litoralis (G. Meyer) Auquier</t>
  </si>
  <si>
    <t>Equipe Ginomique de la vigne (URGV)</t>
  </si>
  <si>
    <t>Festuca rubra subsp. pruinosa (Hackel) Piper</t>
  </si>
  <si>
    <t>Escola Superior de Agricultura 'Luiz de Quiroz'</t>
  </si>
  <si>
    <t>Festuca rubra subsp. rubra L.</t>
  </si>
  <si>
    <t>Estaçao Experimental de Itajaí</t>
  </si>
  <si>
    <t>Festuca stricta Host.</t>
  </si>
  <si>
    <t>Estaçao Experimental Fitotécnica de Taquari</t>
  </si>
  <si>
    <t>Festuca stricta subsp. trachyphylla (hackel) Patzke</t>
  </si>
  <si>
    <t>Estacao Nacional Melhoramento</t>
  </si>
  <si>
    <t>Festuca trichophylla (Gaudin) K.Richter</t>
  </si>
  <si>
    <t>Estacion Exp. Fabio Baudrit Moreno</t>
  </si>
  <si>
    <t>Festuca trichophylla subsp. trichophylla Hackel</t>
  </si>
  <si>
    <t>Estacion Experimental</t>
  </si>
  <si>
    <t>Fortunella crassifolia Swing.</t>
  </si>
  <si>
    <t>Estacion Experimental Agroindustrial 'Obispo Colombres'</t>
  </si>
  <si>
    <t>Fortunella hindsii (Champ.) Swing.</t>
  </si>
  <si>
    <t>Estacion Experimental Agropecuaria Rafaela</t>
  </si>
  <si>
    <t>Fortunella japonica (Thunb.) Swing.</t>
  </si>
  <si>
    <t>Estacion Experimental 'Aula Dei' - Consejo Superior de Investigaciones Científicas</t>
  </si>
  <si>
    <t>Fortunella margarita (Lour.) Swing.</t>
  </si>
  <si>
    <t>Estación Experimental de la Facultad de Agronomia en Salto</t>
  </si>
  <si>
    <t>Fortunella obovata Hort. ex Tan.</t>
  </si>
  <si>
    <t>Estacion Experimental 'La Estanzuela'</t>
  </si>
  <si>
    <t>Fortunella polyandra (Ridl.) Tan.</t>
  </si>
  <si>
    <t>Estacion Experimental La Platina</t>
  </si>
  <si>
    <t>(Fortunella sp. x Poncirus trifoliata (L.) Raf.)</t>
  </si>
  <si>
    <t>Estacion Experimental Los Diamantes</t>
  </si>
  <si>
    <t>Fortunella Swingle</t>
  </si>
  <si>
    <t>Estacion Experimental Santa Catalina DENAREF, INIAP</t>
  </si>
  <si>
    <t>Fortunella swinglei Tan.</t>
  </si>
  <si>
    <t>Etablissements Leblond</t>
  </si>
  <si>
    <t>Fragaria grandiflora</t>
  </si>
  <si>
    <t>Etablissements Lemaire-Deffontaines</t>
  </si>
  <si>
    <t>Fragaria vesca</t>
  </si>
  <si>
    <t>Eteve Lambertin Marie-Laure, Bouillargues - France</t>
  </si>
  <si>
    <t>Fragaria vesca subsp. vesca</t>
  </si>
  <si>
    <t>Ets A Bataille</t>
  </si>
  <si>
    <t>Fragaria x ananassa</t>
  </si>
  <si>
    <t>Ets George Laurent</t>
  </si>
  <si>
    <t>Gallus gallus</t>
  </si>
  <si>
    <t>Ets Tharreau</t>
  </si>
  <si>
    <t>Glycine</t>
  </si>
  <si>
    <t>Etude du polymorphisme des genomes vegetaux</t>
  </si>
  <si>
    <t>Glycine max</t>
  </si>
  <si>
    <t>Euralis génétique</t>
  </si>
  <si>
    <t>Glycosmis Corrêa</t>
  </si>
  <si>
    <t>EURALIS SEMENCES</t>
  </si>
  <si>
    <t>Glycosmis pentaphylla (Retz.) Corrêa</t>
  </si>
  <si>
    <t>Eversole Associates</t>
  </si>
  <si>
    <t>Gossypium spp.</t>
  </si>
  <si>
    <t>Evolutionary Biology Centre</t>
  </si>
  <si>
    <t>Hebeloma cylindrosporum</t>
  </si>
  <si>
    <t>Experimental Breeding Station Choryn</t>
  </si>
  <si>
    <t>Helianthus annuus</t>
  </si>
  <si>
    <t>Experimental Institute of Cereal Research</t>
  </si>
  <si>
    <t>Helianthus argophyllus</t>
  </si>
  <si>
    <t>F. Levieil</t>
  </si>
  <si>
    <t>Helianthus L.</t>
  </si>
  <si>
    <t>F. Von Lochow-Petkus GmbH</t>
  </si>
  <si>
    <t>Helianthus paradoxus</t>
  </si>
  <si>
    <t>Fabre</t>
  </si>
  <si>
    <t>Hordeum</t>
  </si>
  <si>
    <t>Fac.of Agri.</t>
  </si>
  <si>
    <t>Hordeum agriocrithon Aberg</t>
  </si>
  <si>
    <t>Facoltà di Agraria</t>
  </si>
  <si>
    <t>Hordeum andicola Griseb.</t>
  </si>
  <si>
    <t>Faculdad de Agronomia</t>
  </si>
  <si>
    <t>Hordeum andinum Trin.</t>
  </si>
  <si>
    <t>Facultad de Ciencias Agropecuarias, Universidad de Panamá</t>
  </si>
  <si>
    <t>Hordeum bogdani</t>
  </si>
  <si>
    <t>Faculté d'Agronomie</t>
  </si>
  <si>
    <t>Hordeum bogdanii</t>
  </si>
  <si>
    <t>Faculty of Agriculture - Institute of Field Crops</t>
  </si>
  <si>
    <t>Hordeum brachyantherum Nevski s.l.</t>
  </si>
  <si>
    <t>Faculty of Agriculture,  Laboratory of Plant Breeding</t>
  </si>
  <si>
    <t>Hordeum brachyantherum ssp. brachyantherum Nevski</t>
  </si>
  <si>
    <t>Faculty of Agriculture, University of Manitoba</t>
  </si>
  <si>
    <t>Hordeum brevisubulatum ssp. brevisubulatum</t>
  </si>
  <si>
    <t>Faculty of Bioresources</t>
  </si>
  <si>
    <t>Hordeum brevisubulatum ssp. iranicum</t>
  </si>
  <si>
    <t>Fear CD, Cain DW, Mowrey BD, CA - USA</t>
  </si>
  <si>
    <t>Hordeum brevisubulatum ssp. nevskianum</t>
  </si>
  <si>
    <t>Fédération des Syndicats Bretons</t>
  </si>
  <si>
    <t>Hordeum brevisubulatum ssp. turkestani</t>
  </si>
  <si>
    <t>Fédération des Syndicats Bretons &amp; A. Person</t>
  </si>
  <si>
    <t>Hordeum brevisubulatum ssp. turkestanicum</t>
  </si>
  <si>
    <t>Fédération des Syndicats Bretons &amp; Bretagne Plants</t>
  </si>
  <si>
    <t>Hordeum brevisubulatum ssp. violaceum</t>
  </si>
  <si>
    <t>Fédération des Syndicats Bretons &amp; Coopérative de Pleyber-Christ</t>
  </si>
  <si>
    <t>Hordeum brevisubulatum (Trin.) Link ssp. brevisubulatum s.l.</t>
  </si>
  <si>
    <t>Fédération des Syndicats Bretons &amp; Coopérative des Agriculteurs de Bretagne</t>
  </si>
  <si>
    <t>Hordeum brevisubulatum (Trin.) Link ssp. iranicum Bothmer</t>
  </si>
  <si>
    <t>Fédération des Vins de Savoie</t>
  </si>
  <si>
    <t>Hordeum brevisubulatum (Trin.) Link ssp. nevskianum (Bowden) Tzvel.</t>
  </si>
  <si>
    <t>Fédération des Vins du Puy de Dôme</t>
  </si>
  <si>
    <t>Hordeum brevisubulatum (Trin.) Link ssp. turkestanicum (Nevski) Tzvel.</t>
  </si>
  <si>
    <t>Ferme de moulon</t>
  </si>
  <si>
    <t>Hordeum brevisubulatum (Trin.) Link ssp. violaceum (Boiss. &amp; Hohen.) Tzvel.</t>
  </si>
  <si>
    <t>Ferme d'Etat de Pucheng</t>
  </si>
  <si>
    <t>Hordeum bulbosum L.</t>
  </si>
  <si>
    <t>FERME ECOLE DE BESPLAS</t>
  </si>
  <si>
    <t>Hordeum caespitosum Scribn.</t>
  </si>
  <si>
    <t>Ferme Expérimentale de Grignon</t>
  </si>
  <si>
    <t>Hordeum californicum Covas &amp; Stebbins</t>
  </si>
  <si>
    <t>Firma H. O. Luebeck, Magdeburg</t>
  </si>
  <si>
    <t>Hordeum chilense Roem. &amp; Schult.</t>
  </si>
  <si>
    <t>Fleck Jacqueline / L626</t>
  </si>
  <si>
    <t>Hordeum comosum J. Presl</t>
  </si>
  <si>
    <t>Fleischmann Rudolph Agricultural Research Institute, University of Agricultural Sciences</t>
  </si>
  <si>
    <t>Hordeum compressum</t>
  </si>
  <si>
    <t>Florimond Desprez</t>
  </si>
  <si>
    <t>Hordeum compressum Griseb.</t>
  </si>
  <si>
    <t>Fontaine (bought by Jouffray-Drillaud)</t>
  </si>
  <si>
    <t>Hordeum cordobense Bothmer, N. Jacobsen &amp; Nicora</t>
  </si>
  <si>
    <t>Food Science Institute</t>
  </si>
  <si>
    <t>Hordeum deficiens</t>
  </si>
  <si>
    <t>Forschungsanstalt Agroscope Reckenholz-Tänikon</t>
  </si>
  <si>
    <t>Hordeum deficiens Steud.</t>
  </si>
  <si>
    <t>Fr. Strube Saatzucht KG Soellingen</t>
  </si>
  <si>
    <t>Hordeum depressum (Scribn. &amp; J.G. Sm.) Rydb.</t>
  </si>
  <si>
    <t>Fruit Tree Laboratory</t>
  </si>
  <si>
    <t>Hordeum europaeum</t>
  </si>
  <si>
    <t>Fruit Tree Research Station</t>
  </si>
  <si>
    <t>Hordeum flexuosum Steud.</t>
  </si>
  <si>
    <t>Fruit Trees Research Station, Kuchinotsu Branch</t>
  </si>
  <si>
    <t>Hordeum geniculatum</t>
  </si>
  <si>
    <t>FR2424, Station Biologique</t>
  </si>
  <si>
    <t>Hordeum gussoneanum</t>
  </si>
  <si>
    <t>Fudan University</t>
  </si>
  <si>
    <t>Hordeum gussoneanum Parl.</t>
  </si>
  <si>
    <t>Fungal Genomics Lab</t>
  </si>
  <si>
    <t>Hordeum hexaploidum</t>
  </si>
  <si>
    <t>G. Geertsema-Groningen B.V.</t>
  </si>
  <si>
    <t>Hordeum hexaploidum Covas</t>
  </si>
  <si>
    <t>GA</t>
  </si>
  <si>
    <t>Hordeum hexastichon L.</t>
  </si>
  <si>
    <t>Gautier</t>
  </si>
  <si>
    <t>Hordeum hrasdanicum Gandilyan</t>
  </si>
  <si>
    <t>Hordeum irregulare</t>
  </si>
  <si>
    <t>Genavenir</t>
  </si>
  <si>
    <t>Hordeum ithaburense Boiss.</t>
  </si>
  <si>
    <t>Gene Function and Maize Traits Group</t>
  </si>
  <si>
    <t>Hordeum jubatum</t>
  </si>
  <si>
    <t>Genebank, Leibniz Institute of Plant Genetics and Crop Plant Research</t>
  </si>
  <si>
    <t>Hordeum jubatum breviaristatum</t>
  </si>
  <si>
    <t>Genetic Resources and Mediterranean Medicago Plant Breeding Laboratory, INRA-Montpellier</t>
  </si>
  <si>
    <t>Hordeum jubatum jubatum</t>
  </si>
  <si>
    <t>Genetic Resources Department - Research Institute for Cereals and Industrial Crops</t>
  </si>
  <si>
    <t>Hordeum jubatum ssp. breviaristatum Bowden</t>
  </si>
  <si>
    <t>Genetics</t>
  </si>
  <si>
    <t>Hordeum jubatum ssp. intermedium Bowden</t>
  </si>
  <si>
    <t>Genetics of Environmental Stress Tolerance</t>
  </si>
  <si>
    <t>Hordeum kaufmannii Regel</t>
  </si>
  <si>
    <t>Genetique et Amelioration des Plantes</t>
  </si>
  <si>
    <t>Hordeum L.</t>
  </si>
  <si>
    <t>Genetique et amelioration des plantes</t>
  </si>
  <si>
    <t>Hordeum lechleri (Steud.) Schenck</t>
  </si>
  <si>
    <t>Genetique et ecophysiologie des legumineuses</t>
  </si>
  <si>
    <t>Hordeum leporinum var. simulans Bowden</t>
  </si>
  <si>
    <t>Genetique fonctionnelle des maladies des Epitheliums, U563, CPIP, CHU Purpan</t>
  </si>
  <si>
    <t>Hordeum macilentum Steud.</t>
  </si>
  <si>
    <t>Genetique Moleculaire d'Arabidopsis</t>
  </si>
  <si>
    <t>Hordeum marinum Huds. ssp. gussoneanum (Parl.) Thell.</t>
  </si>
  <si>
    <t>Genome BC Conifer Forest Health</t>
  </si>
  <si>
    <t>Hordeum marinum Huds. ssp. marinum</t>
  </si>
  <si>
    <t>Genome et developpement des plantes</t>
  </si>
  <si>
    <t>Hordeum marinum ssp. gussoneanum</t>
  </si>
  <si>
    <t>GENOME express</t>
  </si>
  <si>
    <t>Hordeum marinum ssp. gussoneanum (Parl.) Thell.</t>
  </si>
  <si>
    <t>Genome Express</t>
  </si>
  <si>
    <t>Hordeum marinum ssp. marinum</t>
  </si>
  <si>
    <t>Genome Science Laboratory</t>
  </si>
  <si>
    <t>Hordeum maritimum</t>
  </si>
  <si>
    <t>Genome Systems,  Inc.,  a wholly owned subsidiary of IncytePharmaceuticals,  Inc.</t>
  </si>
  <si>
    <t>Hordeum maritimum gussonianum</t>
  </si>
  <si>
    <t>Genomics and  Genetics Institute,  GreenGene Biotech Inc.;Division of Bioscience and  Bioinformatics,  MyongJiUniversity</t>
  </si>
  <si>
    <t>Hordeum murinum</t>
  </si>
  <si>
    <t>Genomique</t>
  </si>
  <si>
    <t>Hordeum murinum L. ssp. glaucum (Steud.) Tzvelev</t>
  </si>
  <si>
    <t>Genomique Ble et Mais</t>
  </si>
  <si>
    <t>Hordeum murinum L. ssp. leporinum (Link) Arcang.</t>
  </si>
  <si>
    <t>Genoplante-Info</t>
  </si>
  <si>
    <t>Hordeum murinum L. ssp. murinum</t>
  </si>
  <si>
    <t>GENOSCOPE</t>
  </si>
  <si>
    <t>Hordeum murinum murinum</t>
  </si>
  <si>
    <t>Genoscope</t>
  </si>
  <si>
    <t>Hordeum murinum ssp. glaucum</t>
  </si>
  <si>
    <t>Genoscope - Centre National de Sequencage</t>
  </si>
  <si>
    <t>Hordeum murinum ssp. glaucum (Steud.) Tzvelev</t>
  </si>
  <si>
    <t>Georgia State Agricultural Experiment Station</t>
  </si>
  <si>
    <t>Hordeum murinum ssp. leporinum</t>
  </si>
  <si>
    <t>Germicopa SA</t>
  </si>
  <si>
    <t>Hordeum murinum ssp. murinum</t>
  </si>
  <si>
    <t>Germicopa SAS</t>
  </si>
  <si>
    <t>Hordeum muticum J. Presl</t>
  </si>
  <si>
    <t>GGO</t>
  </si>
  <si>
    <t>Hordeum nevskianum Bowden</t>
  </si>
  <si>
    <t>GIE Ail Dromois</t>
  </si>
  <si>
    <t>Hordeum nodosum</t>
  </si>
  <si>
    <t>GIE Epi de France</t>
  </si>
  <si>
    <t>Hordeum nodosum L.</t>
  </si>
  <si>
    <t>GIE Legland</t>
  </si>
  <si>
    <t>Hordeum parodii Covas</t>
  </si>
  <si>
    <t>Gigot Claude / L512</t>
  </si>
  <si>
    <t>Hordeum patagonicum (Haum.) Covas s.l.</t>
  </si>
  <si>
    <t>Gilbert-Fayol</t>
  </si>
  <si>
    <t>Hordeum persicum</t>
  </si>
  <si>
    <t>Ginitique Diversiti Ecophysiologie des Ciriales</t>
  </si>
  <si>
    <t>Hordeum pratense Huds.</t>
  </si>
  <si>
    <t>Giza Agricultural Research Station</t>
  </si>
  <si>
    <t>Hordeum pubescens Guss.</t>
  </si>
  <si>
    <t>Glen Saint Mary Nursery Co.</t>
  </si>
  <si>
    <t>Hordeum pusillum Nutt.</t>
  </si>
  <si>
    <t>Glenellen Pty Ltd.</t>
  </si>
  <si>
    <t>Hordeum pussilum</t>
  </si>
  <si>
    <t>Gnts VNII Rastenievodstva Im.N.I.Vavilova</t>
  </si>
  <si>
    <t>Hordeum sativum</t>
  </si>
  <si>
    <t>Goggi</t>
  </si>
  <si>
    <t>Hordeum sibiricum Rosh.</t>
  </si>
  <si>
    <t>Grad. Sch. Agric. Life Sci.</t>
  </si>
  <si>
    <t>Hordeum spp</t>
  </si>
  <si>
    <t>Graduate School of Biological Sciences</t>
  </si>
  <si>
    <t>Hordeum strictum Desf.</t>
  </si>
  <si>
    <t>Grand Anse Experimental Centre, Ministry of Agriculture and Marine Resources</t>
  </si>
  <si>
    <t>Hordeum tetraploidum Covas</t>
  </si>
  <si>
    <t>Grand Island Nurseries, Inc.</t>
  </si>
  <si>
    <t>Hordeum tetrastichum</t>
  </si>
  <si>
    <t>Greenhouse for Trop. Crops, Inst. Prod/Nutr. Wordls Crops, Un. Kassel</t>
  </si>
  <si>
    <t>Hordeum vulgare</t>
  </si>
  <si>
    <t>Grocep</t>
  </si>
  <si>
    <t>Hordeum vulgare convar. distichon (L.) Alefeld</t>
  </si>
  <si>
    <t>Group 305</t>
  </si>
  <si>
    <t>Hordeum vulgare L.</t>
  </si>
  <si>
    <t>Groupe d'Etude et de Contrôle des Variétés et des Semences, Cavaillon</t>
  </si>
  <si>
    <t>Hordeum vulgare L. ssp. distichon (L.) Koernicke</t>
  </si>
  <si>
    <t>Groupement Agricole Essonnois</t>
  </si>
  <si>
    <t>Hordeum vulgare L. ssp. spontaneum (K. Koch) A. &amp; Gr.</t>
  </si>
  <si>
    <t>Groupement Interprofessionnel des Fleurs et Plantes A Parfun</t>
  </si>
  <si>
    <t>Hordeum vulgare L. ssp. vulgare</t>
  </si>
  <si>
    <t>Gruntzig Maria, Fuchs Egon Halle/Saale - Allemagne</t>
  </si>
  <si>
    <t>Hordeum vulgare spontaneum</t>
  </si>
  <si>
    <t>GTZ, German Fruit Tree Project</t>
  </si>
  <si>
    <t>Hordeum vulgare ssp. distichon var. spontaneum Kornicke</t>
  </si>
  <si>
    <t>Guangxi Citrus Research Institute</t>
  </si>
  <si>
    <t>Hordeum vulgare var. distichon</t>
  </si>
  <si>
    <t>Gyumri Breeding Station</t>
  </si>
  <si>
    <t>Hordeum vulgare vulgare</t>
  </si>
  <si>
    <t>H Blas JM Malmonté</t>
  </si>
  <si>
    <t>Juglans L.</t>
  </si>
  <si>
    <t>H. Demesmay</t>
  </si>
  <si>
    <t>Lactuca L.</t>
  </si>
  <si>
    <t>H. L. Hall &amp; Sons, Ltd.</t>
  </si>
  <si>
    <t>Lactuca sativa f. Laitue à couper</t>
  </si>
  <si>
    <t>Hankkija Plant Breeding Institute</t>
  </si>
  <si>
    <t>Lactuca sativa f. Laitue à couper gr. Feuille de chêne</t>
  </si>
  <si>
    <t>Harpool Seed Inc.</t>
  </si>
  <si>
    <t>Lactuca sativa f. Laitue à couper gr. Laitue multi-feuilles</t>
  </si>
  <si>
    <t>Head of Genomic Information</t>
  </si>
  <si>
    <t>Lactuca sativa f. Laitue à couper gr. Lollo</t>
  </si>
  <si>
    <t>Hebei Germplasm Resources Genebank Cereal &amp; Oil Crops Research Institute</t>
  </si>
  <si>
    <t>Lactuca sativa f. Laitue pommée</t>
  </si>
  <si>
    <t>Heine Peragis Getreidezucht GmbH</t>
  </si>
  <si>
    <t>Lactuca sativa f. Laitue pommée gr. Batavia</t>
  </si>
  <si>
    <t>Hirla Henri, Toulouges - France</t>
  </si>
  <si>
    <t>Lactuca sativa f. Laitue pommée gr. Batavia sgr. Batavia européenne</t>
  </si>
  <si>
    <t>Hodowla Roslin Polniczych 'Nasiona Kobierzyc'</t>
  </si>
  <si>
    <t>Lactuca sativa f. Laitue pommée gr. Batavia sgr. Iceberg</t>
  </si>
  <si>
    <t>Hodowla Roslin Pustkow</t>
  </si>
  <si>
    <t>Lactuca sativa f. Laitue pommée gr. Laitue beurre</t>
  </si>
  <si>
    <t>Hodowla Roslin Strzelce Sp. z o.o. Grupa IHAR</t>
  </si>
  <si>
    <t>Lactuca sativa f. Laitue pommée gr. Romaine/grasse</t>
  </si>
  <si>
    <t>Hort Research</t>
  </si>
  <si>
    <t>Lactuca sativa f. Laitue pommée gr. Romaine/grasse sgr. Grasse</t>
  </si>
  <si>
    <t>Horticultural Research &amp; Advisory Station, Dept. of Agriculture</t>
  </si>
  <si>
    <t>Lactuca sativa f. Laitue pommée gr. Romaine/grasse sgr. Romaine</t>
  </si>
  <si>
    <t>Horticultural Research Section Agricultural Research Corporation</t>
  </si>
  <si>
    <t>Lactuca sativa f. Laitue tige</t>
  </si>
  <si>
    <t>Horticultural Research Station</t>
  </si>
  <si>
    <t>Lactuca sativa L.</t>
  </si>
  <si>
    <t>Horticultural Sciences Department,  Plant Molecular and Cellular Biology Program</t>
  </si>
  <si>
    <t>Lepidium L.</t>
  </si>
  <si>
    <t>Horticulture Department</t>
  </si>
  <si>
    <t>Lepidium sativum L.</t>
  </si>
  <si>
    <t>HortResearch, Havelock North Research Centre - Malone M. Havelock North and  Davidson J. Tuamarina Blenheim - New Zealand</t>
  </si>
  <si>
    <t>(Limequat x Fortunella hindsii(Champ.) Swing.)</t>
  </si>
  <si>
    <t>HortResearch, Mt. Albert Research Centre</t>
  </si>
  <si>
    <t>Linum usitatissinum</t>
  </si>
  <si>
    <t>HybriTech Seed</t>
  </si>
  <si>
    <t>Lolium L.</t>
  </si>
  <si>
    <t>HYBRO Saatzucht GmbH &amp; Co. KG c/o Saaten-Union GmbH</t>
  </si>
  <si>
    <t>Lolium multiflorum Lam.</t>
  </si>
  <si>
    <t>IBP</t>
  </si>
  <si>
    <t>Lolium perenne</t>
  </si>
  <si>
    <t>IBVB</t>
  </si>
  <si>
    <t>Lolium perenne L.</t>
  </si>
  <si>
    <t>ICARDA</t>
  </si>
  <si>
    <t>Lolium xhybridum Hausskn.</t>
  </si>
  <si>
    <t>ICRISAT</t>
  </si>
  <si>
    <t>Lotus alpinus</t>
  </si>
  <si>
    <t>Idaho Agricultural Experiment Station, University of Idaho</t>
  </si>
  <si>
    <t>Lupinus L.</t>
  </si>
  <si>
    <t>Illinois Agricultural Experiment Station, University of Illinois</t>
  </si>
  <si>
    <t>Malus domestica</t>
  </si>
  <si>
    <t>Indian Agricultural Research Institute</t>
  </si>
  <si>
    <t>Malus P. Mill.</t>
  </si>
  <si>
    <t>Indian Institute of Horticultural Research</t>
  </si>
  <si>
    <t>Manihot esculenta</t>
  </si>
  <si>
    <t>Indiana Agricultural Experiment Station, Purdue University</t>
  </si>
  <si>
    <t>Medicago aculeata</t>
  </si>
  <si>
    <t>Indo-American Hybrid Seeds</t>
  </si>
  <si>
    <t>Medicago aculeata aculeata</t>
  </si>
  <si>
    <t>Medicago aculeata inermis</t>
  </si>
  <si>
    <t>INRA - Mauguio</t>
  </si>
  <si>
    <t>Medicago arabica (L.) Huds.</t>
  </si>
  <si>
    <t>INRA - Tours</t>
  </si>
  <si>
    <t>Medicago arborea L.</t>
  </si>
  <si>
    <t>INRA - UMR BIOGECO</t>
  </si>
  <si>
    <t>Medicago asiatica</t>
  </si>
  <si>
    <t>INRA, Cirad/Amis</t>
  </si>
  <si>
    <t>Medicago blancheana Boiss.</t>
  </si>
  <si>
    <t>INRA de Crouel</t>
  </si>
  <si>
    <t>Medicago bonarotiana</t>
  </si>
  <si>
    <t>INRA, Domaine de Vassal (T. Lacombe) + IFV Institut Français de la Vigne et du Vin (L. Audeguin)</t>
  </si>
  <si>
    <t>Medicago cancellata Bieb.</t>
  </si>
  <si>
    <t>INRA GAFL Avignon + SICA Centrex</t>
  </si>
  <si>
    <t>Medicago carstiensis Jacq.</t>
  </si>
  <si>
    <t>INRA Guadeloupe</t>
  </si>
  <si>
    <t>Medicago constricta</t>
  </si>
  <si>
    <t>INRA Montpellier</t>
  </si>
  <si>
    <t>Medicago coronata</t>
  </si>
  <si>
    <t>INRA Rennes</t>
  </si>
  <si>
    <t>Medicago cretacea</t>
  </si>
  <si>
    <t>INRA Versailles</t>
  </si>
  <si>
    <t>Medicago daghestanica</t>
  </si>
  <si>
    <t>INRA-MycSA, UPR-1264</t>
  </si>
  <si>
    <t>Medicago disciformis</t>
  </si>
  <si>
    <t>INRAT, Tunisie + UR Génétique et Amélioration des Fruits et Légumes, INRA-Avignon</t>
  </si>
  <si>
    <t>Medicago dzhawakhetica</t>
  </si>
  <si>
    <t>Insect Biocontrol Lab</t>
  </si>
  <si>
    <t>Medicago eusativa</t>
  </si>
  <si>
    <t>INSIBIO</t>
  </si>
  <si>
    <t>Medicago glutinosa Bieb.</t>
  </si>
  <si>
    <t>Inst. Biologia Molecular y Celular de Plantas</t>
  </si>
  <si>
    <t>Medicago granadensis Willd.</t>
  </si>
  <si>
    <t>Institut Amélioration Plantes Cultivées Berlin</t>
  </si>
  <si>
    <t>Medicago heyniana</t>
  </si>
  <si>
    <t>Institut de Biologie Moleculair des Plantes du CNRS (IBMP)</t>
  </si>
  <si>
    <t>Medicago hybrida (Pourr.) Trautv.</t>
  </si>
  <si>
    <t>Institut de Biologie Moleculaire des Plantes</t>
  </si>
  <si>
    <t>Medicago intertexta ciliaris</t>
  </si>
  <si>
    <t>Institut de biologie moleculaire des plantes</t>
  </si>
  <si>
    <t>Medicago intertexta intertexta</t>
  </si>
  <si>
    <t>Institut de biotechnologie des plantes</t>
  </si>
  <si>
    <t>Medicago intertexta (L.) Mill.</t>
  </si>
  <si>
    <t>Institut de Recherche pour le Développement</t>
  </si>
  <si>
    <t>Medicago L.</t>
  </si>
  <si>
    <t>Institut de Recherches Agronomique</t>
  </si>
  <si>
    <t>Medicago laciniata (L.) Mill.</t>
  </si>
  <si>
    <t>Institut de Recherches Agronomiques et Forestières</t>
  </si>
  <si>
    <t>Medicago lanigera</t>
  </si>
  <si>
    <t>Institut de Recherches Agronomiques Tropicales et des cultures vivrières</t>
  </si>
  <si>
    <t>Medicago littoralis</t>
  </si>
  <si>
    <t>Institut de Recherches de Beibei</t>
  </si>
  <si>
    <t>Medicago lupulina L.</t>
  </si>
  <si>
    <t>Institut des forêts-Département Fruits et Agrumes</t>
  </si>
  <si>
    <t>Medicago marina L.</t>
  </si>
  <si>
    <t>Institut des Sciences du Vegetal (ISV)</t>
  </si>
  <si>
    <t>Medicago minima brevispina</t>
  </si>
  <si>
    <t>Institut des Sciences Vegetales</t>
  </si>
  <si>
    <t>Medicago minima (L.) L. ex Bartal.</t>
  </si>
  <si>
    <t>Institut for bioteknologi</t>
  </si>
  <si>
    <t>Medicago minima minima</t>
  </si>
  <si>
    <t>Institut Français de la Vigne et du Vin</t>
  </si>
  <si>
    <t>Medicago monantha (C.A. Mey.) Trautv.</t>
  </si>
  <si>
    <t>Institut Francais de Recherches Fruitières</t>
  </si>
  <si>
    <t>Medicago monspeliaca (L.) Trautv.</t>
  </si>
  <si>
    <t>Institut Francais de Recherches Fruitières - Martinique</t>
  </si>
  <si>
    <t>Medicago murex lesinsii</t>
  </si>
  <si>
    <t>Institut Francais de Recherches Fruitières - Réunion</t>
  </si>
  <si>
    <t>Medicago murex sphaerocarpos</t>
  </si>
  <si>
    <t>Institut fuer Entwicklungsbiologie und Molekularbiologie derPflanzen</t>
  </si>
  <si>
    <t>Medicago murex Willd.</t>
  </si>
  <si>
    <t>Institut für Biologie und Biotechnologie der Pflanzen (IBBP)</t>
  </si>
  <si>
    <t>Medicago muricoleptis</t>
  </si>
  <si>
    <t>Institut fur Pflanzengenetik und Kulturpflanzenforschung</t>
  </si>
  <si>
    <t>Medicago noeana Boiss.</t>
  </si>
  <si>
    <t>Institut für Pflanzengenetik und Kulturpflanzenforschung</t>
  </si>
  <si>
    <t>Medicago orbicularis biancae</t>
  </si>
  <si>
    <t>Medicago orbicularis (L.) Bartal.</t>
  </si>
  <si>
    <t>Institut National Agronomique Paris-Grignon</t>
  </si>
  <si>
    <t>Medicago orbicularis marginata</t>
  </si>
  <si>
    <t>Institut National de la Recherche Agronomique</t>
  </si>
  <si>
    <t>Medicago orthoceras</t>
  </si>
  <si>
    <t>Institut National de la Recherche Agronomique - Centre de Clermont-Ferrand</t>
  </si>
  <si>
    <t>Medicago papillosa Boiss.</t>
  </si>
  <si>
    <t>Institut National de la Recherche Agronomique - Centre de Montpellier</t>
  </si>
  <si>
    <t>Medicago pironae</t>
  </si>
  <si>
    <t>Institut National de la Recherche Agronomique d'Algerie</t>
  </si>
  <si>
    <t>Medicago platycarpa</t>
  </si>
  <si>
    <t>Institut National de la Recherche Agronomique de Tunisie</t>
  </si>
  <si>
    <t>Medicago polychroa Grossh.</t>
  </si>
  <si>
    <t>Institut National de la Recherche Agronomique du Maroc</t>
  </si>
  <si>
    <t>Medicago polymorpha brevispina</t>
  </si>
  <si>
    <t>Institut of Corn</t>
  </si>
  <si>
    <t>Medicago polymorpha L.</t>
  </si>
  <si>
    <t>Institut of Crop Germplasm Resources, Chinese Academy of Agricultural Sciences</t>
  </si>
  <si>
    <t>Medicago polymorpha polymorpha</t>
  </si>
  <si>
    <t>Institut of Subtropical Plants</t>
  </si>
  <si>
    <t>Medicago polymorpha vulgaris</t>
  </si>
  <si>
    <t>Institut ZA Povrtarstvo</t>
  </si>
  <si>
    <t>Medicago praecox DC.</t>
  </si>
  <si>
    <t>Institute Crop and Food Research Ltd. East Coast Technology Centre</t>
  </si>
  <si>
    <t>Medicago prostrata Jacq.</t>
  </si>
  <si>
    <t>Institute for Agrobotany</t>
  </si>
  <si>
    <t>Medicago quasifalcata</t>
  </si>
  <si>
    <t>Institute for Breeding and Production of Field Crops</t>
  </si>
  <si>
    <t>Medicago radiata</t>
  </si>
  <si>
    <t>Institute for Field and Vegetable Crops Novi Sad</t>
  </si>
  <si>
    <t>Medicago rhodopea Velen.</t>
  </si>
  <si>
    <t>Institute for Genome Research and Systems Biology / CeBiTec</t>
  </si>
  <si>
    <t>Medicago rigidula agrestis</t>
  </si>
  <si>
    <t>Institute for Grapevine Breeding</t>
  </si>
  <si>
    <t>Medicago rigidula cinerascens</t>
  </si>
  <si>
    <t>Institute for Plant Genetic Resources 'K. Malkov'</t>
  </si>
  <si>
    <t>Medicago rigidula (L.) All.</t>
  </si>
  <si>
    <t>Institute for Tropical ans Subtropical Crops</t>
  </si>
  <si>
    <t>Medicago rigidula rigidula</t>
  </si>
  <si>
    <t>Institute of Agriculture of the NAAS</t>
  </si>
  <si>
    <t>Medicago rigidula submitis</t>
  </si>
  <si>
    <t>Institute of Arable Crop Research</t>
  </si>
  <si>
    <t>Medicago rigiduloides</t>
  </si>
  <si>
    <t>Institute of Botany</t>
  </si>
  <si>
    <t>Medicago rotata Boiss.</t>
  </si>
  <si>
    <t>Institute of Citrus Research Chinese Academy of Agric. Sciences</t>
  </si>
  <si>
    <t>Medicago rugosa Desr.</t>
  </si>
  <si>
    <t>Institute of Crop Breeding and Cultivation, Chinese Academy of Agricultural Sciences</t>
  </si>
  <si>
    <t>Medicago rupestris</t>
  </si>
  <si>
    <t>Institute of Crop Research, Jilin Academy of Agricultural Sciences</t>
  </si>
  <si>
    <t>Medicago ruthenica (L.) Trautv.</t>
  </si>
  <si>
    <t>Institute of Crop Science, Federal Research Center for Agricult.(FAL)</t>
  </si>
  <si>
    <t>Medicago sativa caelurea</t>
  </si>
  <si>
    <t>Institute of Experimental Botany</t>
  </si>
  <si>
    <t>Medicago sativa falcata (L.) Arcang.</t>
  </si>
  <si>
    <t>Institute of Field Crops and Viticulture</t>
  </si>
  <si>
    <t>Medicago sativa gaetula</t>
  </si>
  <si>
    <t>Institute of forest genetics</t>
  </si>
  <si>
    <t>Medicago sativa glomerata (Balb.) Rouy</t>
  </si>
  <si>
    <t>Institute of Genetics,  Fudan University</t>
  </si>
  <si>
    <t>Medicago sativa L.</t>
  </si>
  <si>
    <t>Institute of Husbandry and Breeding of the National Academy of Sciences of Belarus</t>
  </si>
  <si>
    <t>Medicago sativa type mielga L.</t>
  </si>
  <si>
    <t>Institute of Mol. &amp; Cell. Bioscience,  Department of CellularFunction</t>
  </si>
  <si>
    <t>Medicago sauvagei</t>
  </si>
  <si>
    <t>Institute of Plant Breeding and Agricultural Research 'Nazareno Strampelli'</t>
  </si>
  <si>
    <t>Medicago saxatilis</t>
  </si>
  <si>
    <t>Institute of Plant Breeding, College of Agriculture, University of the Philippines, Los Baños College</t>
  </si>
  <si>
    <t>Medicago scutellata (L.) Mill.</t>
  </si>
  <si>
    <t>Institute of Plant Production n.a. V.Y. Yurjev of UAAS</t>
  </si>
  <si>
    <t>Medicago secundiflora</t>
  </si>
  <si>
    <t>Institute of Pomology, Jiangxi Academy of Agricultural Sciences</t>
  </si>
  <si>
    <t>Medicago shepardii Post ex Boiss.</t>
  </si>
  <si>
    <t>Institute of Wheat and Sunflower Dobroudja</t>
  </si>
  <si>
    <t>Medicago soleirolii Duby</t>
  </si>
  <si>
    <t>Institute Plant Biotechnology</t>
  </si>
  <si>
    <t>Medicago suffruticosa leiocarpa (Benth.) Urb</t>
  </si>
  <si>
    <t>InstitutionX</t>
  </si>
  <si>
    <t>Medicago suffruticosa Ramond ex DC.</t>
  </si>
  <si>
    <t>Instituto Agronomico de Campinas</t>
  </si>
  <si>
    <t>Medicago suffruticosa suffruticosa</t>
  </si>
  <si>
    <t>Instituto Agronomico de Parana</t>
  </si>
  <si>
    <t>Medicago tenoreana</t>
  </si>
  <si>
    <t>Instituto Canario de Investigaciones Agrarias</t>
  </si>
  <si>
    <t>Medicago tornata</t>
  </si>
  <si>
    <t>Instituto Colombiano Agropecuario</t>
  </si>
  <si>
    <t>Medicago tornata rugolosa</t>
  </si>
  <si>
    <t>Instituto de Biologia y Biotecnologia Vegetal</t>
  </si>
  <si>
    <t>Medicago tornata spinulosa</t>
  </si>
  <si>
    <t>Instituto de Biotecnologia,  CICVyA-CNIA</t>
  </si>
  <si>
    <t>Medicago tornata tornata</t>
  </si>
  <si>
    <t>Instituto de Investigacao Agronomica</t>
  </si>
  <si>
    <t>Medicago truncatula</t>
  </si>
  <si>
    <t>Instituto de Investigaciones de Citricos y otros Frutales</t>
  </si>
  <si>
    <t>Medicago truncatula longispina</t>
  </si>
  <si>
    <t>Instituto de Investigaciones Fundamentales en Agr. Tropical</t>
  </si>
  <si>
    <t>Medicago truncatula tricycla</t>
  </si>
  <si>
    <t>Instituto de Protecçao da Produçao Agro-Alimentar</t>
  </si>
  <si>
    <t>Medicago truncatula truncatula</t>
  </si>
  <si>
    <t>Instituto Fitogenetico 'Santa Catalina'</t>
  </si>
  <si>
    <t>Medicago turbinata (L.) All.</t>
  </si>
  <si>
    <t>Instituto Nacional de Ciencas Agr.</t>
  </si>
  <si>
    <t>Medicago varia Martyn</t>
  </si>
  <si>
    <t>Instituto Nacional de Investigação Agronomica</t>
  </si>
  <si>
    <t>Microcitrus australasica (F. Muell.) Swingle</t>
  </si>
  <si>
    <t>Instituto Nacional de Investigacion Agropecuaria</t>
  </si>
  <si>
    <t>(Microcitrus australasica (F. Muell.) Swingle x (Fortunella sp. x Citrus mitis))</t>
  </si>
  <si>
    <t>Instituto nacional de Investigaciones Agricolas Celaya Mexique</t>
  </si>
  <si>
    <t>(Microcitrus australasica (F. Muell.) Swingle x Microcitrus australis (Planch.) Swing.)</t>
  </si>
  <si>
    <t>Instituto Nacional de Investigaciones Forestales, Agrícolas y Pecuarias</t>
  </si>
  <si>
    <t>Microcitrus australis (A. Cunn. ex Mudie) Swingle</t>
  </si>
  <si>
    <t>Instituto Nacional de Tecnología Agropecuaria</t>
  </si>
  <si>
    <t>Microcitrus Swingle</t>
  </si>
  <si>
    <t>Instituto Nacional de Tecnología Agropecuaria Estacion Experimental Marcos Juárez</t>
  </si>
  <si>
    <t>Monodelphis domestica</t>
  </si>
  <si>
    <t>Instituto Nacional de Tecnología Agropecuaria Estacion Experimental Pergamino</t>
  </si>
  <si>
    <t>Murraya J. Koenig ex L.</t>
  </si>
  <si>
    <t>Instituto Valenciano de Investigaciones Agrarias</t>
  </si>
  <si>
    <t>Murraya paniculata (L.) Jack</t>
  </si>
  <si>
    <t>INTA</t>
  </si>
  <si>
    <t>Mus musculus</t>
  </si>
  <si>
    <t>INTA Estacion Experimental</t>
  </si>
  <si>
    <t>Muscadinia munsoniana Small</t>
  </si>
  <si>
    <t>Interactions Arbres/Microorganismes</t>
  </si>
  <si>
    <t>Muscadinia popenoei Fennell</t>
  </si>
  <si>
    <t>International Centre for Agricultural Research in Dry Areas</t>
  </si>
  <si>
    <t>Muscadinia rotundifolia cv. Carlos</t>
  </si>
  <si>
    <t>International Institute of Tropical Agriculture</t>
  </si>
  <si>
    <t>Muscadinia rotundifolia cv. Dulcet</t>
  </si>
  <si>
    <t>IPK</t>
  </si>
  <si>
    <t>Muscadinia rotundifolia cv. Fry</t>
  </si>
  <si>
    <t>IPMSV</t>
  </si>
  <si>
    <t>Muscadinia rotundifolia cv. Regale</t>
  </si>
  <si>
    <t>IRD</t>
  </si>
  <si>
    <t>Muscadinia rotundifolia cv. Trayshed</t>
  </si>
  <si>
    <t>IRISA</t>
  </si>
  <si>
    <t>Muscadinia rotundifolia cv. Yuga x Carlos</t>
  </si>
  <si>
    <t>IRRI</t>
  </si>
  <si>
    <t>Muscadinia rotundifolia Mchx.</t>
  </si>
  <si>
    <t>Istituto di Agronomia e Coltivazioni - Universita di Bologna</t>
  </si>
  <si>
    <t>Muscadinia Small</t>
  </si>
  <si>
    <t>Istituto di Genetica Vegetale, Consiglio Nazionale delle Richerche</t>
  </si>
  <si>
    <t>Myzus persicae</t>
  </si>
  <si>
    <t>Istituto di Scienze Biochimiche</t>
  </si>
  <si>
    <t>Olea europaea L.</t>
  </si>
  <si>
    <t>Istituto Sperimentale per lAgrumicoltura</t>
  </si>
  <si>
    <t>Onobrychis Hill.</t>
  </si>
  <si>
    <t>ISV-CNRS</t>
  </si>
  <si>
    <t>Onobrychis viciifolia Scop.</t>
  </si>
  <si>
    <t>J. Berthélémé</t>
  </si>
  <si>
    <t>Oryza barthii</t>
  </si>
  <si>
    <t>Jardin Botanico, Wilson Popenoe de Lancetilla</t>
  </si>
  <si>
    <t>Oryza glaberrima</t>
  </si>
  <si>
    <t>Jardin botanique de Bordeaux</t>
  </si>
  <si>
    <t>Oryza longistaminata</t>
  </si>
  <si>
    <t>Jiangsu Academy of Agricultural Sciences</t>
  </si>
  <si>
    <t>Oryza nivara</t>
  </si>
  <si>
    <t>JKI Julius Kühn-Institut</t>
  </si>
  <si>
    <t>Oryza rufipogon</t>
  </si>
  <si>
    <t>John Innes CentreNorwich Research Park</t>
  </si>
  <si>
    <t>Oryza sativa</t>
  </si>
  <si>
    <t>Jorion</t>
  </si>
  <si>
    <t>Oryzias latipes</t>
  </si>
  <si>
    <t>Jose Buck S.A.</t>
  </si>
  <si>
    <t>Pan troglodytes</t>
  </si>
  <si>
    <t>Joseph Nickerson Research Centre</t>
  </si>
  <si>
    <t>Parthenocissus henryana Graebn. ex Diels</t>
  </si>
  <si>
    <t>Jourdan Pierre,  Tain - France</t>
  </si>
  <si>
    <t>Parthenocissus Planch.</t>
  </si>
  <si>
    <t>Julius Kühn-Institut</t>
  </si>
  <si>
    <t>Parthenocissus quinquefolia (L.) Planch.</t>
  </si>
  <si>
    <t>Kaerntner Saatbaugenossenschaft/Carinthian Agricultural Company</t>
  </si>
  <si>
    <t>Parthenocissus tricuspidata Planch.</t>
  </si>
  <si>
    <t>Kagoshima University, Faculty of Agriculture, Laboratory of Horticultural Science</t>
  </si>
  <si>
    <t>Parthenocissus voineriana</t>
  </si>
  <si>
    <t>Kansas Agricultural Experiment Station, Kansas State University</t>
  </si>
  <si>
    <t>Phaseolus vulgaris</t>
  </si>
  <si>
    <t>Kansas State University</t>
  </si>
  <si>
    <t>Phleum L.</t>
  </si>
  <si>
    <t>Karaganda State Agricultural Experiment Station</t>
  </si>
  <si>
    <t>Phleum pratense L.</t>
  </si>
  <si>
    <t>Kazakh Research Institute of Agriculture</t>
  </si>
  <si>
    <t>Phytophthora parasitica</t>
  </si>
  <si>
    <t>Key Lab. of Crop Germplasm &amp; Biotechnology</t>
  </si>
  <si>
    <t>Picea abies</t>
  </si>
  <si>
    <t>Key Laboratory of Crop Germplasm &amp; Biotechnology</t>
  </si>
  <si>
    <t>Pinus pinaster</t>
  </si>
  <si>
    <t>Key Laboratory of Ministry of Education for PlantDevelopmental Biology</t>
  </si>
  <si>
    <t>Pinus sylvestris</t>
  </si>
  <si>
    <t>Key Laboratory Tree Genetic Engineering of Nanjing Forestry</t>
  </si>
  <si>
    <t>Pisum fulvum</t>
  </si>
  <si>
    <t>Kihara Institute for Biological Research,  Yokohama CityUniversity</t>
  </si>
  <si>
    <t>Pisum L.</t>
  </si>
  <si>
    <t>Kihara Institute for Biological Research, Yokohama City University</t>
  </si>
  <si>
    <t>Pisum sativum L.</t>
  </si>
  <si>
    <t>Kleinwanzlebener Saatzucht AG</t>
  </si>
  <si>
    <t>Pisum sativum subsp. abyssinicum</t>
  </si>
  <si>
    <t>Krasnyy Kut breeding station</t>
  </si>
  <si>
    <t>Pisum sativum subsp. elatius</t>
  </si>
  <si>
    <t>Kumho Life &amp; Environmental Science Laboratory (KLESL)</t>
  </si>
  <si>
    <t>Pisum sativum subsp. sativum</t>
  </si>
  <si>
    <t>KWS France</t>
  </si>
  <si>
    <t>Pisum sativum var. arvense</t>
  </si>
  <si>
    <t>KWS UK Ltd</t>
  </si>
  <si>
    <t>Pisum sativum var. choresmicum</t>
  </si>
  <si>
    <t>La. Agr. Exp. Sta.</t>
  </si>
  <si>
    <t>Pisum sativum var. pumilio</t>
  </si>
  <si>
    <t>Lab. Biol. Developpement des Plantes</t>
  </si>
  <si>
    <t>Pisum sativum var. tibetanicum</t>
  </si>
  <si>
    <t>Lab. Biotech. et Amelior. Plantes - Pole de Biotechnologie Vegetale</t>
  </si>
  <si>
    <t>Poncirus polyandra S. Q. Ding et al.</t>
  </si>
  <si>
    <t>Lab de Biochimie</t>
  </si>
  <si>
    <t>Poncirus Raf.</t>
  </si>
  <si>
    <t>Lab of Biotechnology</t>
  </si>
  <si>
    <t>Poncirus trifoliata (L.) Raf.</t>
  </si>
  <si>
    <t>Lab of Molecular Biology</t>
  </si>
  <si>
    <t>Populus alba</t>
  </si>
  <si>
    <t>Lab. of Plant Development Physiology and  Molecular Biology</t>
  </si>
  <si>
    <t>Populus alba x populus tremula var. glandulosa</t>
  </si>
  <si>
    <t>Lab of Plant Molecular Physiology</t>
  </si>
  <si>
    <t>Populus deltoides</t>
  </si>
  <si>
    <t>Laboratoire BAP</t>
  </si>
  <si>
    <t>Populus deltoides x Populus nigra</t>
  </si>
  <si>
    <t>Laboratoire de Biologie du Developpement des Plantes</t>
  </si>
  <si>
    <t>Populus deltoides x populus trichocarpa</t>
  </si>
  <si>
    <t>Laboratoire de Biologie du developpement des plantes</t>
  </si>
  <si>
    <t>Populus euphratica</t>
  </si>
  <si>
    <t>Laboratoire de Biologie Moleculaire</t>
  </si>
  <si>
    <t>Populus fremontii</t>
  </si>
  <si>
    <t>Laboratoire de Biotechnologie et Amelioration des Plantes</t>
  </si>
  <si>
    <t>Populus fremontii x populus angustifolia</t>
  </si>
  <si>
    <t>Laboratoire de Biotechnologie et d'amélioration des plantes</t>
  </si>
  <si>
    <t>Populus nigra</t>
  </si>
  <si>
    <t>Laboratoire de Génétique et Amélioration des Plantes, INRA-Lille</t>
  </si>
  <si>
    <t>Populus tomentiglandulosa</t>
  </si>
  <si>
    <t>Laboratoire de Genetique Moleculaire</t>
  </si>
  <si>
    <t>Populus tremula</t>
  </si>
  <si>
    <t>Laboratoire de Genomique et Bioinformatique</t>
  </si>
  <si>
    <t>Populus tremula x populus alba</t>
  </si>
  <si>
    <t>Laboratoire de Génomique et Bioinformatique</t>
  </si>
  <si>
    <t>Populus tremula x populus tremuloides</t>
  </si>
  <si>
    <t>Laboratoire de Mondonville</t>
  </si>
  <si>
    <t>Populus tremuloides</t>
  </si>
  <si>
    <t>Laboratoire de Nutrition Azotee des Plantes</t>
  </si>
  <si>
    <t>Populus trichocarpa</t>
  </si>
  <si>
    <t>Laboratoire de Pathologie Vegetale</t>
  </si>
  <si>
    <t>Populus trichocarpa x populus deltoides</t>
  </si>
  <si>
    <t>Laboratoire de Physiologie et Biologie MoleculairesVegetales,  URA CNRS 565</t>
  </si>
  <si>
    <t>Populus trichocarpa x Populus nigra</t>
  </si>
  <si>
    <t>Laboratoire de Phytoparasitologie</t>
  </si>
  <si>
    <t>Populus x canadensis</t>
  </si>
  <si>
    <t>Laboratoire de Phytopathologie Moleculaire ; SainsburyLaboratory</t>
  </si>
  <si>
    <t>Prunus armeniaca L.</t>
  </si>
  <si>
    <t>Laboratoire de Phytopathologie Moleculaire (LPPM)</t>
  </si>
  <si>
    <t>Prunus avium L.</t>
  </si>
  <si>
    <t>Laboratoire d'Organogenese Moleculaire Vegetale</t>
  </si>
  <si>
    <t>Prunus cerasus L.</t>
  </si>
  <si>
    <t>Laboratoire genome et developpement des plantes LGDP</t>
  </si>
  <si>
    <t>Prunus domestica L.</t>
  </si>
  <si>
    <t>Laboratoire Ginome et Diveloppement des Plantes</t>
  </si>
  <si>
    <t>Prunus dulcis (P. Mill.) D.A. Webber</t>
  </si>
  <si>
    <t>Laboratorio di Genetica Molecolare</t>
  </si>
  <si>
    <t>Prunus insititia L.</t>
  </si>
  <si>
    <t>Laboratory for Genomics and  Bioinformatics</t>
  </si>
  <si>
    <t>Prunus L.</t>
  </si>
  <si>
    <t>Laboratory of Biochemistry,  Department of Molecular Geneticsand</t>
  </si>
  <si>
    <t>Prunus semperflorens Ehrh.</t>
  </si>
  <si>
    <t>Laboratory of Functional Genetics</t>
  </si>
  <si>
    <t>Prunus x gondouinii (Poit. &amp; Turpin.) Schneid.</t>
  </si>
  <si>
    <t>Laboratory of Molecular Biology</t>
  </si>
  <si>
    <t>Pterocissus mirabilis Urb. &amp; Ekman</t>
  </si>
  <si>
    <t>Laboratory of Plant Biotechnology</t>
  </si>
  <si>
    <t>Pterocissus Urb. &amp; Ekman</t>
  </si>
  <si>
    <t>Laboratory of Plant Molecular Biology</t>
  </si>
  <si>
    <t>Pyrus L.</t>
  </si>
  <si>
    <t>Laboratory of Plant Molecular Breeding</t>
  </si>
  <si>
    <t>Quercus petraea</t>
  </si>
  <si>
    <t>Laboratory of Tropical Crop Improvement, Katholieke Universiteit Leuven</t>
  </si>
  <si>
    <t>Quercus robur</t>
  </si>
  <si>
    <t>Lacombe Research Centre Agriculture and Agri-Food Canada</t>
  </si>
  <si>
    <t>Rhopalosiphum padi</t>
  </si>
  <si>
    <t>Lafite, Ferme des Anglais</t>
  </si>
  <si>
    <t>Rosa chinensis</t>
  </si>
  <si>
    <t>Landbrugets Kornforaedling Sejet</t>
  </si>
  <si>
    <t>Rosa hybrida</t>
  </si>
  <si>
    <t>Landwirtschaftliche Lehranstalten Triesdorf</t>
  </si>
  <si>
    <t>Rosa wichuraiana</t>
  </si>
  <si>
    <t>Landwirtschaftsbetrieb Neuhof Rohrau, Pflanzenzucht</t>
  </si>
  <si>
    <t>Rutaceae</t>
  </si>
  <si>
    <t>Layne David - Summerland BC - Canada</t>
  </si>
  <si>
    <t>Saccharum officinarum</t>
  </si>
  <si>
    <t>LCB</t>
  </si>
  <si>
    <t>Saccharum spontaneum</t>
  </si>
  <si>
    <t>Lehrstuhl fuer Genetik</t>
  </si>
  <si>
    <t>Sclerotinia sclerotorium</t>
  </si>
  <si>
    <t>Leshan Citrus Association</t>
  </si>
  <si>
    <t>Secale cereale</t>
  </si>
  <si>
    <t>Lethbridge Research Station, Agriculture Canada</t>
  </si>
  <si>
    <t>Severinia buxifolia (Poir.) Ten.</t>
  </si>
  <si>
    <t>Letianxi Special Produce Station</t>
  </si>
  <si>
    <t>Severinia Ten. ex Endl.</t>
  </si>
  <si>
    <t>LG Molekulargenetik</t>
  </si>
  <si>
    <t>Solanum alandiae Cardenas</t>
  </si>
  <si>
    <t>Limagrain</t>
  </si>
  <si>
    <t>Solanum albicans Ochoa</t>
  </si>
  <si>
    <t>Limagrain Europe Riom</t>
  </si>
  <si>
    <t>Solanum andreanum Baker</t>
  </si>
  <si>
    <t>Limagrain Genetics</t>
  </si>
  <si>
    <t>Solanum avilesii Hawkes &amp; Hjert.</t>
  </si>
  <si>
    <t>Limagrain Iberica</t>
  </si>
  <si>
    <t>Solanum berthaultii Hawkes</t>
  </si>
  <si>
    <t>Limagrain UK Ltd</t>
  </si>
  <si>
    <t>Solanum brachistotrichum Rydb.</t>
  </si>
  <si>
    <t>Limagrain Verneuil Holding</t>
  </si>
  <si>
    <t>Solanum brevidens Phil.</t>
  </si>
  <si>
    <t>Limagrain-Nickerson GmbH</t>
  </si>
  <si>
    <t>Solanum bulbocastanum Dunal</t>
  </si>
  <si>
    <t>Lincoln University</t>
  </si>
  <si>
    <t>Solanum cardiophyllum Lindl.</t>
  </si>
  <si>
    <t>LIPM,  CNRS/INRA</t>
  </si>
  <si>
    <t>Solanum chacoense Bitter</t>
  </si>
  <si>
    <t>Lita Annenberg Hazen Genome Sequencing Center</t>
  </si>
  <si>
    <t>Solanum cheesmaniae</t>
  </si>
  <si>
    <t>Lithuanian Institute of Agriculture</t>
  </si>
  <si>
    <t>Solanum chmielewskii</t>
  </si>
  <si>
    <t>London Horticultural Society</t>
  </si>
  <si>
    <t>Solanum comersonii Poir.</t>
  </si>
  <si>
    <t>Louisiana State University USA</t>
  </si>
  <si>
    <t>Solanum demissum Lindl.</t>
  </si>
  <si>
    <t>Luigi Samoggia</t>
  </si>
  <si>
    <t>Solanum etuberosum Lindl.</t>
  </si>
  <si>
    <t>Luk'janenko Krasnodar Agricultural Research Institute</t>
  </si>
  <si>
    <t>Solanum fendleri A. Gray</t>
  </si>
  <si>
    <t>M. Alain Marcel</t>
  </si>
  <si>
    <t>Solanum gourlayi Hawkes</t>
  </si>
  <si>
    <t>M. Anderson Fred, CA - USA</t>
  </si>
  <si>
    <t>Solanum habrochaites</t>
  </si>
  <si>
    <t>M. Ballot</t>
  </si>
  <si>
    <t>Solanum hougasii Correll</t>
  </si>
  <si>
    <t>M. Bordes, Rivesaltes Pyrénées Orientales - France</t>
  </si>
  <si>
    <t>Solanum kurtzianum Bitter &amp; Wittm.</t>
  </si>
  <si>
    <t>M. Bouchot</t>
  </si>
  <si>
    <t>Solanum L.</t>
  </si>
  <si>
    <t>M. Boyat</t>
  </si>
  <si>
    <t>Solanum lycopersicum</t>
  </si>
  <si>
    <t>M. Briot</t>
  </si>
  <si>
    <t>Solanum lycopersicum var. cerasiforme</t>
  </si>
  <si>
    <t>M. Brun</t>
  </si>
  <si>
    <t>Solanum oplocense Hawkes</t>
  </si>
  <si>
    <t>M. Canino, Spain</t>
  </si>
  <si>
    <t>Solanum pennellii</t>
  </si>
  <si>
    <t>M. Carraut</t>
  </si>
  <si>
    <t>Solanum phureja Juz. &amp; Bukasov</t>
  </si>
  <si>
    <t>M. Chazotier</t>
  </si>
  <si>
    <t>Solanum pimpinellifolium</t>
  </si>
  <si>
    <t>M. Chorozé, pépiniériste</t>
  </si>
  <si>
    <t>Solanum polyadenium Greenm.</t>
  </si>
  <si>
    <t>M. Clanet</t>
  </si>
  <si>
    <t>Solanum polytrichon Rydb.</t>
  </si>
  <si>
    <t>M. Coste, Pyrénées Orientales - France</t>
  </si>
  <si>
    <t>Solanum schenckii Bitter</t>
  </si>
  <si>
    <t>M. Cunty</t>
  </si>
  <si>
    <t>Solanum sparsipilum Juz. &amp; Bukasov</t>
  </si>
  <si>
    <t>M. Duquesne</t>
  </si>
  <si>
    <t>Solanum spegazzinii Bitter</t>
  </si>
  <si>
    <t>M. Escudier, Aramon, Gard - France</t>
  </si>
  <si>
    <t>Solanum stenotonum Juz. &amp; Bukasov</t>
  </si>
  <si>
    <t>M. Flandin, pépiniériste</t>
  </si>
  <si>
    <t>Solanum stoloniferum Schltdl. &amp; Bouché</t>
  </si>
  <si>
    <t>M. Gidouin</t>
  </si>
  <si>
    <t>Solanum sucrense Hawkes</t>
  </si>
  <si>
    <t>M. Goepfert</t>
  </si>
  <si>
    <t>Solanum tarijense Hawkes</t>
  </si>
  <si>
    <t>M. Grassely</t>
  </si>
  <si>
    <t>Solanum trifidum Correll</t>
  </si>
  <si>
    <t>M. Guillaume</t>
  </si>
  <si>
    <t>Solanum tuberosum andigenum Juz. &amp; Bukasov</t>
  </si>
  <si>
    <t>M. Jaboulay</t>
  </si>
  <si>
    <t>Solanum tuberosum L.</t>
  </si>
  <si>
    <t>M. Kupper, arboriculteur</t>
  </si>
  <si>
    <t>Solanum tuberosum tuberosum L.</t>
  </si>
  <si>
    <t>M. Laboulfié</t>
  </si>
  <si>
    <t>Solanum vernei Bitter &amp; Wittm.</t>
  </si>
  <si>
    <t>M. Lerouzic</t>
  </si>
  <si>
    <t>Sorghum bicolor</t>
  </si>
  <si>
    <t>M. Luizet, Ecully, Rhone - France</t>
  </si>
  <si>
    <t>(Tangelo x Citrus paradisi Macf.)</t>
  </si>
  <si>
    <t>M. Malauzat, rue Château Trompette</t>
  </si>
  <si>
    <t>(Tangor x Citrus temple Hort. ex Y. Tan.)</t>
  </si>
  <si>
    <t>M. Maray-Meuilley</t>
  </si>
  <si>
    <t>Tetrastigma K.Schum.</t>
  </si>
  <si>
    <t>M. Merrand, St Etienne de Valoux, Ardeche - France</t>
  </si>
  <si>
    <t>Tetrastigma lanceolarium Planch.</t>
  </si>
  <si>
    <t>M. Moll</t>
  </si>
  <si>
    <t>Tetrastigma voinearium Pierre ex Gagnep.</t>
  </si>
  <si>
    <t>M. Murat</t>
  </si>
  <si>
    <t>Theobroma cacao</t>
  </si>
  <si>
    <t>M. Pejouan, Toulouges, Pyrénées Orientales  - France</t>
  </si>
  <si>
    <t>Thinopyrum ponticum (Podp.) Barkworth &amp; D.R. Dewey</t>
  </si>
  <si>
    <t>M. Pérès</t>
  </si>
  <si>
    <t>Toxoptera citricida</t>
  </si>
  <si>
    <t>M. Pierre Renoux</t>
  </si>
  <si>
    <t>Trifolium L.</t>
  </si>
  <si>
    <t>M. Poncet</t>
  </si>
  <si>
    <t>Trifolium pratense L.</t>
  </si>
  <si>
    <t>M. Popon</t>
  </si>
  <si>
    <t>Trifolium repens L.</t>
  </si>
  <si>
    <t>M. Ribelaygue, Pyrénées Orientales - France</t>
  </si>
  <si>
    <t>Trifolium resupinatum L.</t>
  </si>
  <si>
    <t>M. Riou Pierre, Francia</t>
  </si>
  <si>
    <t>Trifolium subterraneum</t>
  </si>
  <si>
    <t>M. Rohn</t>
  </si>
  <si>
    <t>Trifolium subterraneum brachicalycinum</t>
  </si>
  <si>
    <t>M. Roth</t>
  </si>
  <si>
    <t>Trifolium subterraneum subterraneum</t>
  </si>
  <si>
    <t>M. Roudier, Larnage - France</t>
  </si>
  <si>
    <t>Trifolium subterraneum yanninicum</t>
  </si>
  <si>
    <t>M. Rouget, Sernhac - France</t>
  </si>
  <si>
    <t>Triticeae</t>
  </si>
  <si>
    <t>M. Royère à 'Le Bicout'</t>
  </si>
  <si>
    <t>Triticum</t>
  </si>
  <si>
    <t>M. Saint-Germain</t>
  </si>
  <si>
    <t>Triticum aaronshii</t>
  </si>
  <si>
    <t>M. Schmidt</t>
  </si>
  <si>
    <t>Triticum aaronshii aaronshii</t>
  </si>
  <si>
    <t>M. Sigalas Antoine, Bordes-Hautes</t>
  </si>
  <si>
    <t>Triticum abyssinicum</t>
  </si>
  <si>
    <t>M. Soupa</t>
  </si>
  <si>
    <t>Triticum aegilopoides (Link) Bal.</t>
  </si>
  <si>
    <t>M. Stentzel</t>
  </si>
  <si>
    <t>M. Thomas</t>
  </si>
  <si>
    <t>Triticum aestivum aestivum</t>
  </si>
  <si>
    <t>M. Tisseyre, St Hyppolite Pyrénées Orientales - France</t>
  </si>
  <si>
    <t>Triticum aestivum compactum</t>
  </si>
  <si>
    <t>M. Wouters - Argentine</t>
  </si>
  <si>
    <t>Triticum aestivum fongicidum</t>
  </si>
  <si>
    <t>M. Zimandl</t>
  </si>
  <si>
    <t>Triticum aestivum group aestivum Bowden</t>
  </si>
  <si>
    <t>Maillard Arsène et Laurence, Elne - France</t>
  </si>
  <si>
    <t>Triticum aestivum group macha</t>
  </si>
  <si>
    <t>Maïsadour semences</t>
  </si>
  <si>
    <t>Triticum aestivum hisbis</t>
  </si>
  <si>
    <t>Maison Fernand Le Peuple</t>
  </si>
  <si>
    <t>Triticum aestivum L.</t>
  </si>
  <si>
    <t>Maize Group of National Key Labortory of Crop GeneticImprovement</t>
  </si>
  <si>
    <t>Triticum aestivum L. em. Thell.</t>
  </si>
  <si>
    <t>Maize Research Institute 'Zemin Polje'</t>
  </si>
  <si>
    <t>Triticum aestivum L. em. Thell. group aestivum</t>
  </si>
  <si>
    <t>Malang Research Institute for Food Crops, BALITAN</t>
  </si>
  <si>
    <t>Triticum aestivum L. em. Thell. group compactum (Host) Thell.</t>
  </si>
  <si>
    <t>Maliani Genetica di Maliani Cesare</t>
  </si>
  <si>
    <t>Triticum aestivum L. em. Thell. group spelta (L.) Thell.</t>
  </si>
  <si>
    <t>MAP</t>
  </si>
  <si>
    <t>Triticum aestivum L. em. Thell. group sphaerococcum (Perc.) Mac Key</t>
  </si>
  <si>
    <t>Marc CREPIN</t>
  </si>
  <si>
    <t>Triticum aestivum L. em. Thell. group vavilovii (Jakubz.) A. Love, stat. &amp; comb. nov</t>
  </si>
  <si>
    <t>Maryland Agricultural Experiment Station, University of Maryland</t>
  </si>
  <si>
    <t>Triticum aestivum L. em. Thell. subsp. compactum (Host.) MK.</t>
  </si>
  <si>
    <t>McNair Seed Company</t>
  </si>
  <si>
    <t>Triticum aestivum L. em. Thell. subsp. spelta (L.) Thell.</t>
  </si>
  <si>
    <t>Merckling</t>
  </si>
  <si>
    <t>Triticum aestivum L. em. Thell. subsp. sphaerococcum (Perc.) MK.</t>
  </si>
  <si>
    <t>Michigan Agricultural Experiment Station, Michigan State University</t>
  </si>
  <si>
    <t>Triticum aestivum L. em. Thell. subsp. vavilovi (Tuman.) Sears</t>
  </si>
  <si>
    <t>Microbiology and  Cell Biology</t>
  </si>
  <si>
    <t>Triticum aestivum L. group macha Bowden</t>
  </si>
  <si>
    <t>Microbiology and  Plant Phisiology</t>
  </si>
  <si>
    <t>Triticum aestivum L. ssp. hadropyrum (Flaksb.) Tzvelev</t>
  </si>
  <si>
    <t>Miln Masters Group Ltd</t>
  </si>
  <si>
    <t>Triticum aestivum L. ssp. macha (Dekapr. &amp; Menabde) Mac Key</t>
  </si>
  <si>
    <t>Minnesota Agricultural Experiment Station, University of Minnesota</t>
  </si>
  <si>
    <t>Triticum aestivum macha</t>
  </si>
  <si>
    <t>Minstry of Agriculture</t>
  </si>
  <si>
    <t>Triticum aestivum oasiculum</t>
  </si>
  <si>
    <t>Missouri Agricultural Experiment Station, University of Missouri</t>
  </si>
  <si>
    <t>Triticum aestivum petropavlovskyi</t>
  </si>
  <si>
    <t>Molecular and  Developmental Genetics</t>
  </si>
  <si>
    <t>Triticum aestivum spelta</t>
  </si>
  <si>
    <t>Molecular and Cell Biology</t>
  </si>
  <si>
    <t>Triticum aestivum sphaerococcum</t>
  </si>
  <si>
    <t>Molecular Biology</t>
  </si>
  <si>
    <t>Triticum aestivum ssp. aestivum</t>
  </si>
  <si>
    <t>Molecular Genetics</t>
  </si>
  <si>
    <t>Triticum aestivum ssp. hadropyrum</t>
  </si>
  <si>
    <t>Molecular Host plant resistance lab-Dr. C. Mike Smith</t>
  </si>
  <si>
    <t>Triticum aestivum var. compactum</t>
  </si>
  <si>
    <t>Molecular Plant Genetics</t>
  </si>
  <si>
    <t>Triticum aestivum var. compactum Bowden</t>
  </si>
  <si>
    <t>Triticum aestivum var. spelta</t>
  </si>
  <si>
    <t>Mons</t>
  </si>
  <si>
    <t>Triticum aestivum var. spelta Bowden</t>
  </si>
  <si>
    <t>Monsanto Company</t>
  </si>
  <si>
    <t>Triticum aestivum var. sphaerococcum</t>
  </si>
  <si>
    <t>Monsanto (Nîmes)</t>
  </si>
  <si>
    <t>Triticum aestivum var. sphaerococcum Bowden</t>
  </si>
  <si>
    <t>Monsanto semences</t>
  </si>
  <si>
    <t>Triticum aestivum var. vavilovii Bowden</t>
  </si>
  <si>
    <t>Monsanto (St Andiol)</t>
  </si>
  <si>
    <t>Triticum aestivum vavilovi</t>
  </si>
  <si>
    <t>Montana Agricultural Experiment Station, Montana State University</t>
  </si>
  <si>
    <t>Triticum amyleum</t>
  </si>
  <si>
    <t>Montanari Domenico, Faenza - Italy</t>
  </si>
  <si>
    <t>Triticum araraticum</t>
  </si>
  <si>
    <t>Monteux Caillet René, Mouries - France</t>
  </si>
  <si>
    <t>Triticum araraticum Jakubz.</t>
  </si>
  <si>
    <t>Montpellier SupAgro</t>
  </si>
  <si>
    <t>Triticum armeniacum (Jakubz.) A. Loeve &amp; D. Loeve</t>
  </si>
  <si>
    <t>Morphogenesis Research Group</t>
  </si>
  <si>
    <t>Triticum asiaticum Kudr.</t>
  </si>
  <si>
    <t>Morstar a.s., Breeding Station</t>
  </si>
  <si>
    <t>Triticum baeoticum</t>
  </si>
  <si>
    <t>Mr. Mazéas</t>
  </si>
  <si>
    <t>Triticum boeoticum ssp. boeoticum</t>
  </si>
  <si>
    <t>MSU-DOE Plant Research Laboratory</t>
  </si>
  <si>
    <t>Triticum boeoticum ssp. thaoudar</t>
  </si>
  <si>
    <t>MUCL Culture Collection</t>
  </si>
  <si>
    <t>Triticum cereale Schrank</t>
  </si>
  <si>
    <t>Murdoch University</t>
  </si>
  <si>
    <t>Triticum columnare</t>
  </si>
  <si>
    <t>Muséum d'histoire naturelle de Grenoble</t>
  </si>
  <si>
    <t>Triticum comosum</t>
  </si>
  <si>
    <t>Museum National d'Histoire Naturelle de Paris</t>
  </si>
  <si>
    <t>Triticum compositum</t>
  </si>
  <si>
    <t>Mutation breeding</t>
  </si>
  <si>
    <t>Triticum compositum L.</t>
  </si>
  <si>
    <t>NARO Hokkaido Agricultural Research Center</t>
  </si>
  <si>
    <t>Triticum crassum</t>
  </si>
  <si>
    <t>NARO Tohoku Agricultural Research Center</t>
  </si>
  <si>
    <t>Triticum cylindricum</t>
  </si>
  <si>
    <t>NASC</t>
  </si>
  <si>
    <t>Triticum dichasians</t>
  </si>
  <si>
    <t>National Biological Institute</t>
  </si>
  <si>
    <t>Triticum dicoccoides (Korn. ex Aschers. &amp; Graebn.) Aarons</t>
  </si>
  <si>
    <t>National Bureau of Plant Genetic Resources</t>
  </si>
  <si>
    <t>Triticum dicoccoides (Korn. ex Aschers. et Graebn.) Schweinf.</t>
  </si>
  <si>
    <t>National Center for Agricultural research and Technology Transfer</t>
  </si>
  <si>
    <t>Triticum dicoccoides Korn. ex Schweinf.</t>
  </si>
  <si>
    <t>National Center for Gene Research</t>
  </si>
  <si>
    <t>Triticum dicoccoides Korn. in litt. in Schweinf.</t>
  </si>
  <si>
    <t>National Citrus Research Programme</t>
  </si>
  <si>
    <t>Triticum dicoccoides race orientale Percival</t>
  </si>
  <si>
    <t>National Clonal Germplasm Repository - Orlando, USDA-ARS</t>
  </si>
  <si>
    <t>Triticum dicoccoides var. nudiglumis</t>
  </si>
  <si>
    <t>National Crop Experiment Station Seodundong</t>
  </si>
  <si>
    <t>Triticum dicoccoides var. nudiglumis Nabalek</t>
  </si>
  <si>
    <t>National Genebank of Kenya, Crop Plant Genetic Resources Centre - Muguga</t>
  </si>
  <si>
    <t>Triticum dicoccoides var. pyramidale Percival</t>
  </si>
  <si>
    <t>National Horticultural Research Institute</t>
  </si>
  <si>
    <t>Triticum dicoccoides var. timopheevii Zhuk.</t>
  </si>
  <si>
    <t>National Institute of Agrobiological Resources</t>
  </si>
  <si>
    <t>Triticum dicoccon</t>
  </si>
  <si>
    <t>National Institute of Agrobiological Sciences</t>
  </si>
  <si>
    <t>Triticum dicoccon Schrank</t>
  </si>
  <si>
    <t>National Institute of Agro-Environmental Sciences</t>
  </si>
  <si>
    <t>Triticum dicoccon (Schrank) A. Love, comb. nov.</t>
  </si>
  <si>
    <t>National Institute of Fruit Tree Science</t>
  </si>
  <si>
    <t>Triticum dicoccum Schrank</t>
  </si>
  <si>
    <t>National Key Laboratory of Crop Genetic Improvement</t>
  </si>
  <si>
    <t>Triticum dimococcum</t>
  </si>
  <si>
    <t>National Plant Breeding Research Station</t>
  </si>
  <si>
    <t>Triticum durum (Desf.) A. Love, comb. nov.</t>
  </si>
  <si>
    <t>National Plant Genetic Resources Centre</t>
  </si>
  <si>
    <t>Triticum farrum Bayle-Bar.</t>
  </si>
  <si>
    <t>National Plant Germplasm Quarantine Laboratory, USDA-ARS</t>
  </si>
  <si>
    <t>Triticum fungicidum</t>
  </si>
  <si>
    <t>National Research Centre for Citrus</t>
  </si>
  <si>
    <t>Triticum fungicidum subsp. nigrum</t>
  </si>
  <si>
    <t>National Research Centre on Plant Biotechnology</t>
  </si>
  <si>
    <t>Triticum georgicum</t>
  </si>
  <si>
    <t>National White Clover Impr. Prog. Agricultural Research &amp; Adv. Stat.</t>
  </si>
  <si>
    <t>Triticum hybernum L.</t>
  </si>
  <si>
    <t>Natural Resource Sciences and Landscape Architecture</t>
  </si>
  <si>
    <t>Triticum ibericum Menabde</t>
  </si>
  <si>
    <t>Nebraska Agricultural Experiment Station, University of Nebraska</t>
  </si>
  <si>
    <t>Triticum jakubzineri</t>
  </si>
  <si>
    <t>NEIKER-Tecnalia</t>
  </si>
  <si>
    <t>Triticum junceum L.</t>
  </si>
  <si>
    <t>New Mexico State University USA</t>
  </si>
  <si>
    <t>Triticum juvenale</t>
  </si>
  <si>
    <t>New South Wales Agriculture</t>
  </si>
  <si>
    <t>Triticum juvenale Thell.</t>
  </si>
  <si>
    <t>New York State Agricultural Experiment Station, Cornell University</t>
  </si>
  <si>
    <t>Triticum karamyschevii Nevski</t>
  </si>
  <si>
    <t>New Zealand Institute for Crop and Food Research, Ltd.</t>
  </si>
  <si>
    <t>Triticum kiharae</t>
  </si>
  <si>
    <t>Newhall Land and Water Compagny</t>
  </si>
  <si>
    <t>Triticum kotschyi</t>
  </si>
  <si>
    <t>N.I. Vavilov All-Russian Scientific Research Institute of Plant Industry</t>
  </si>
  <si>
    <t>Triticum L.</t>
  </si>
  <si>
    <t>N.I. Vavilov Research Instituteof Plant Industry</t>
  </si>
  <si>
    <t>Triticum macrochaetum</t>
  </si>
  <si>
    <t>Nickerson</t>
  </si>
  <si>
    <t>Triticum monococcum</t>
  </si>
  <si>
    <t>Nimblegen Systems Inc</t>
  </si>
  <si>
    <t>Triticum monococcum boeoticum</t>
  </si>
  <si>
    <t>nite de Genetique et d'Amelioration des Fruits et Legumes</t>
  </si>
  <si>
    <t>Triticum monococcum L. subsp. boeoticum (Boiss.) MK.</t>
  </si>
  <si>
    <t>Njala University College</t>
  </si>
  <si>
    <t>Triticum monococcum monococcum</t>
  </si>
  <si>
    <t>Noiton Dominique, Hamilton - New Zealand</t>
  </si>
  <si>
    <t>Triticum monococcum ssp. boeoticum</t>
  </si>
  <si>
    <t>Nordic Genetic Resource Center</t>
  </si>
  <si>
    <t>Triticum monococcum urartu</t>
  </si>
  <si>
    <t>Nordostbayerischer Saatbauverband</t>
  </si>
  <si>
    <t>Triticum muticum</t>
  </si>
  <si>
    <t>North American Plant Breeders, Inc.</t>
  </si>
  <si>
    <t>Triticum neglectum</t>
  </si>
  <si>
    <t>North Carolina Agricultural Experiment Station, North Carolina State University</t>
  </si>
  <si>
    <t>Triticum orientale</t>
  </si>
  <si>
    <t>North Dakota Agricultural Experiment Station, North Dakota State University</t>
  </si>
  <si>
    <t>Triticum orientale Percival</t>
  </si>
  <si>
    <t>Northrup King &amp; Co.</t>
  </si>
  <si>
    <t>Triticum ovatum</t>
  </si>
  <si>
    <t>Northwest A&amp;F University</t>
  </si>
  <si>
    <t>Triticum palaeocolchicum Menabde</t>
  </si>
  <si>
    <t>Norwegian University for Life Sciences</t>
  </si>
  <si>
    <t>Triticum peregrinum</t>
  </si>
  <si>
    <t>Novodonskaya - Donetsk State Agricultural Experiment Station</t>
  </si>
  <si>
    <t>Triticum peregrinum Hackel</t>
  </si>
  <si>
    <t>Nunhems Spain (El Ejido)</t>
  </si>
  <si>
    <t>Triticum persicum</t>
  </si>
  <si>
    <t>Nunhems Spain (La Palma)</t>
  </si>
  <si>
    <t>Triticum persicum (Percival) Vavilov ex Zhukovsky</t>
  </si>
  <si>
    <t>Nutrition azote des plantes</t>
  </si>
  <si>
    <t>Triticum persicum Vav.</t>
  </si>
  <si>
    <t>N.V. Clovis Matton Plant Breeding Station, Kerkhove</t>
  </si>
  <si>
    <t>Triticum pyramidale Perc.</t>
  </si>
  <si>
    <t>N.V. Clovis Matton Plant Breeding Station, Tiegem</t>
  </si>
  <si>
    <t>Triticum rectum</t>
  </si>
  <si>
    <t>Occitane des Semences</t>
  </si>
  <si>
    <t>Triticum repens L.</t>
  </si>
  <si>
    <t>Odesa State Regional Agricultural Experimental Station</t>
  </si>
  <si>
    <t>Triticum sativum Lam.</t>
  </si>
  <si>
    <t>Ohio Agricultural Reasearch and Development Center, Ohio State University</t>
  </si>
  <si>
    <t>Triticum searsii</t>
  </si>
  <si>
    <t>Oklahoma Agricultural Experiment Station, Division of Agricultural Sciences &amp; Natural Resources</t>
  </si>
  <si>
    <t>Triticum secale Link</t>
  </si>
  <si>
    <t>Ontario Agricultural College, University of Guelph</t>
  </si>
  <si>
    <t>Triticum spelta</t>
  </si>
  <si>
    <t>Oregon Agricultural Experimental Sation, Oregon State University</t>
  </si>
  <si>
    <t>Triticum speltiforme</t>
  </si>
  <si>
    <t>Organisation Bretonne de Sélection</t>
  </si>
  <si>
    <t>Triticum speltoides</t>
  </si>
  <si>
    <t>Orsem S.A.</t>
  </si>
  <si>
    <t>Triticum speltoides (Tausch) Gre. ex Richter var. aucheri</t>
  </si>
  <si>
    <t>Osmab Tosum Gene Bank - Ankara University</t>
  </si>
  <si>
    <t>Triticum speltoides (Tausch) Gre. ex Richter var. ligustica</t>
  </si>
  <si>
    <t>Pajbjergfonden</t>
  </si>
  <si>
    <t>Triticum speltoides (Tausch) Gren. ex Richter var. aucheri</t>
  </si>
  <si>
    <t>Palais Carnolés</t>
  </si>
  <si>
    <t>Triticum speltoides (Tausch) Gren. ex Richter var. ligustica</t>
  </si>
  <si>
    <t>Parc Naturel Régional du Haut-Languedoc</t>
  </si>
  <si>
    <t>Triticum sphaerococcum Perc.</t>
  </si>
  <si>
    <t>Parc Naturel Régional du Luberon</t>
  </si>
  <si>
    <t>Triticum syriacum</t>
  </si>
  <si>
    <t>Parc Naturel Régional du Queyras</t>
  </si>
  <si>
    <t>Triticum syriacum Bowden</t>
  </si>
  <si>
    <t>PARTNERCHIP</t>
  </si>
  <si>
    <t>Triticum tauschii</t>
  </si>
  <si>
    <t>Peltier Graines (don't exist anymore)</t>
  </si>
  <si>
    <t>Triticum thaoudar</t>
  </si>
  <si>
    <t>Pennsylvania Agricultural Experiment Station, Pennsylvania State University</t>
  </si>
  <si>
    <t>Triticum timococcum</t>
  </si>
  <si>
    <t>Pépinière A. Pays</t>
  </si>
  <si>
    <t>Triticum timonovum</t>
  </si>
  <si>
    <t>Pépinière Burlat</t>
  </si>
  <si>
    <t>Triticum timopheevii</t>
  </si>
  <si>
    <t>Pépinière Cadoux</t>
  </si>
  <si>
    <t>Triticum timopheevii araraticum</t>
  </si>
  <si>
    <t>Pépinière Delbard</t>
  </si>
  <si>
    <t>Triticum timopheevii armeniacum</t>
  </si>
  <si>
    <t>Pépinière Dieudonné</t>
  </si>
  <si>
    <t>Triticum timopheevii L. var. zhukovskyi</t>
  </si>
  <si>
    <t>Pépinière Domingo Orero</t>
  </si>
  <si>
    <t>Triticum timopheevii ssp. araraticum</t>
  </si>
  <si>
    <t>Triticum timopheevii ssp. armeniacum</t>
  </si>
  <si>
    <t>Pépinière ESAT LEnvol</t>
  </si>
  <si>
    <t>Triticum timopheevii ssp. armeniacum (Jakubz.) van Slageren</t>
  </si>
  <si>
    <t>Pépinière Escande Benoit, Saint Vite - France</t>
  </si>
  <si>
    <t>Triticum timopheevii ssp. timopheevii</t>
  </si>
  <si>
    <t>Pépinière Fabre, Villeneuve s/Lot - France</t>
  </si>
  <si>
    <t>Triticum timopheevii timopheevii</t>
  </si>
  <si>
    <t>Pépinière Jouve-Racamond</t>
  </si>
  <si>
    <t>Triticum timopheevii var. zhukovskyi</t>
  </si>
  <si>
    <t>Pépinière Lambertin</t>
  </si>
  <si>
    <t>Triticum timopheevii Zhuk.</t>
  </si>
  <si>
    <t>Pépinière Lambertin - Nîmes - France</t>
  </si>
  <si>
    <t>Triticum timopheevii (Zhuk.) Zhuk.</t>
  </si>
  <si>
    <t>Pépinière Leroy</t>
  </si>
  <si>
    <t>Triticum timopheevii (Zhuk.) Zhuk. var. timopheevii</t>
  </si>
  <si>
    <t>Pépinière Martre</t>
  </si>
  <si>
    <t>Triticum timopheevii (Zhuk.) Zhuk. var. zhukovskii (Men. &amp; Er.) Morris &amp; Sears</t>
  </si>
  <si>
    <t>Pépinière Moreau</t>
  </si>
  <si>
    <t>Triticum timopheevii (Zhuk.) Zhuk. var. zhukovskii (Men. &amp; Er.) Morris &amp; Sears comb. nov.</t>
  </si>
  <si>
    <t>Pépinière Pinguet-Guindon</t>
  </si>
  <si>
    <t>Triticum timopheevii zhukovskyi</t>
  </si>
  <si>
    <t>Pépinière Taliani,  Garons - France</t>
  </si>
  <si>
    <t>Triticum triaristatum</t>
  </si>
  <si>
    <t>Pépinière Thuilleaux</t>
  </si>
  <si>
    <t>Triticum tripsacoides</t>
  </si>
  <si>
    <t>Pépinière Valla Georges SCEA, Valence - France</t>
  </si>
  <si>
    <t>Triticum turgidum</t>
  </si>
  <si>
    <t>Pépinière Veauvy</t>
  </si>
  <si>
    <t>Triticum turgidum aethiopicum</t>
  </si>
  <si>
    <t>Pépinières Bachelet-Charvot</t>
  </si>
  <si>
    <t>Triticum turgidum carthlicum</t>
  </si>
  <si>
    <t>Pépinières Baltet</t>
  </si>
  <si>
    <t>Triticum turgidum dicoccoïdes</t>
  </si>
  <si>
    <t>Pépinières Croux</t>
  </si>
  <si>
    <t>Triticum turgidum dicoccum</t>
  </si>
  <si>
    <t>Pépinières de La Tronche</t>
  </si>
  <si>
    <t>Triticum turgidum durum</t>
  </si>
  <si>
    <t>Pépinières Fabre</t>
  </si>
  <si>
    <t>Triticum turgidum group aethiopicum</t>
  </si>
  <si>
    <t>Pépinières Garbaye et Gravier</t>
  </si>
  <si>
    <t>Triticum turgidum group palaeocolchicum</t>
  </si>
  <si>
    <t>Pépinières L. Pin</t>
  </si>
  <si>
    <t>Triticum turgidum group turgidum</t>
  </si>
  <si>
    <t>Pépinières Lafitte</t>
  </si>
  <si>
    <t>Triticum turgidum ispahanicum</t>
  </si>
  <si>
    <t>Pépinières Levavasseur</t>
  </si>
  <si>
    <t>Triticum turgidum L. em. Bowden var. timopheevii (Zhuk.) Bowden f. timopheevii Bowden</t>
  </si>
  <si>
    <t>Pépinières Nomblot</t>
  </si>
  <si>
    <t>Triticum turgidum L. em. Bowden var. timopheevii (Zhuk.) Bowden f. zhukovskyi (Mem. &amp; Er.) Bowden</t>
  </si>
  <si>
    <t>Triticum turgidum L. em. Bowden var. tumanianii (Jakubz.) Bowden</t>
  </si>
  <si>
    <t>Pépinières Rolland Crosse</t>
  </si>
  <si>
    <t>Triticum turgidum L. em. Thell.</t>
  </si>
  <si>
    <t>Pépinières Simon</t>
  </si>
  <si>
    <t>Triticum turgidum L. group aethiopicum Bowden</t>
  </si>
  <si>
    <t>Petal Genomics</t>
  </si>
  <si>
    <t>Triticum turgidum L. group dicoccon (Schrank) Thell.</t>
  </si>
  <si>
    <t>Peter Henderson &amp; Co</t>
  </si>
  <si>
    <t>Triticum turgidum L. group durum (Desf.) Husnot</t>
  </si>
  <si>
    <t>Petoseed</t>
  </si>
  <si>
    <t>Triticum turgidum L. group palaeocolchicum Bowden</t>
  </si>
  <si>
    <t>Pflanzenzucht Dr. h.c. Carsten Inh. Erhardt Eger KG</t>
  </si>
  <si>
    <t>Triticum turgidum L. group polonicum Bowden</t>
  </si>
  <si>
    <t>Phu Guy Fruit Research Centre</t>
  </si>
  <si>
    <t>Triticum turgidum L. group turgidum Bowden</t>
  </si>
  <si>
    <t>Phu Ho Fruit Crops Research Centre</t>
  </si>
  <si>
    <t>Triticum turgidum L. (Nevski) group carthlicum Bowden</t>
  </si>
  <si>
    <t>Phytopathologie und Pflanzenschutz</t>
  </si>
  <si>
    <t>Triticum turgidum L. ssp. dicoccoides (Korn. ex Schweinf.) A. Love, comb. nov.</t>
  </si>
  <si>
    <t>Piast Hodowla Roslin Lagiewniki Sp. z o.o.</t>
  </si>
  <si>
    <t>Triticum turgidum L. ssp. dicoccoides (Korn.) Thell.</t>
  </si>
  <si>
    <t>Pioneer génétique</t>
  </si>
  <si>
    <t>Triticum turgidum L. ssp. palaeocolchicum (A. Love &amp; D. Love) A. Love, comb. nov.</t>
  </si>
  <si>
    <t>Pioneer Seed Co. Ltd.</t>
  </si>
  <si>
    <t>Triticum turgidum L. ssp. timopheevii (Zhuk.) A. Love &amp; D. Love</t>
  </si>
  <si>
    <t>Plant Biochemistry and  Molecular Biology Group,  Division ofBiochemical Sciences</t>
  </si>
  <si>
    <t>Triticum turgidum L. ssp. turanicum (Jakubz.) A. Love &amp; D. Love</t>
  </si>
  <si>
    <t>Plant Biology Division</t>
  </si>
  <si>
    <t>Triticum turgidum L. ssp. turanicum (Jakubz.) A. Love, comb. nov.</t>
  </si>
  <si>
    <t>Plant Biotech Research Center</t>
  </si>
  <si>
    <t>Triticum turgidum L. ssp. turgidum (L.) A. Love, comb. nov.</t>
  </si>
  <si>
    <t>Plant Biotechnology Institute,  National Research Council ofCanada</t>
  </si>
  <si>
    <t>Triticum turgidum (L.) Thell.</t>
  </si>
  <si>
    <t>Plant Biotechnology Institute,  National Research CouncilCanada</t>
  </si>
  <si>
    <t>Triticum turgidum (L.) Thell. subsp. carthlicum (Nevski) MK.</t>
  </si>
  <si>
    <t>Plant Biotechnology Key Laboratory</t>
  </si>
  <si>
    <t>Triticum turgidum (L.) Thell. subsp. dicoccoides (Korn.) Thell.</t>
  </si>
  <si>
    <t>Plant Breeding and Acclimatization Institute at Radzikow</t>
  </si>
  <si>
    <t>Triticum turgidum L. Thell. subsp. dicoccon (Schrank) Thell.</t>
  </si>
  <si>
    <t>Plant Breeding and Genetics Institute</t>
  </si>
  <si>
    <t>Triticum turgidum (L.) Thell. subsp. paleocolchicum Men.</t>
  </si>
  <si>
    <t>Plant Breeding Institute,  University of Sydney</t>
  </si>
  <si>
    <t>Triticum turgidum (L.) Thell. subsp. turgidum convar aethiopicum Jakubz.</t>
  </si>
  <si>
    <t>Plant Breeding International</t>
  </si>
  <si>
    <t>Triticum turgidum L. Thell. subsp. turgidum convar durum (Desf.) MK.</t>
  </si>
  <si>
    <t>Plant Breeding Station Laski</t>
  </si>
  <si>
    <t>Triticum turgidum L. Thell. subsp. turgidum convar polonicum (L.) MK.</t>
  </si>
  <si>
    <t>plant cellular biology laboratory/ Dr. STEINMETZ</t>
  </si>
  <si>
    <t>Triticum turgidum (L.) Thell. subsp. turgidum convar turanicum (Jakubz.) MK.</t>
  </si>
  <si>
    <t>Plant culture institute - Tammisto</t>
  </si>
  <si>
    <t>Triticum turgidum L. var. carthlicum (Nevski) A. Love &amp; D. Love</t>
  </si>
  <si>
    <t>Plant Development Biology</t>
  </si>
  <si>
    <t>Triticum turgidum L. var. dicoccoides (Korn. in litt. in Schweinf.) Bowden</t>
  </si>
  <si>
    <t>Plant Development Molecular Biology Lab</t>
  </si>
  <si>
    <t>Triticum turgidum L. var. polonicum (L.) A. Love &amp; D. Love</t>
  </si>
  <si>
    <t>Plant development molecular biology lab</t>
  </si>
  <si>
    <t>Triticum turgidum L. var. timopheevii</t>
  </si>
  <si>
    <t>Plant Developmental Genetics</t>
  </si>
  <si>
    <t>Triticum turgidum L. var. tumanianii</t>
  </si>
  <si>
    <t>Plant Functional Genomics Research Group</t>
  </si>
  <si>
    <t>Triticum turgidum paleocolchicum</t>
  </si>
  <si>
    <t>Plant Gene Expression Center</t>
  </si>
  <si>
    <t>Triticum turgidum polonicum</t>
  </si>
  <si>
    <t>Plant Gene Resources of Canada Central Exper. Farm, Agri. Canada</t>
  </si>
  <si>
    <t>Triticum turgidum ssp. carthlicum</t>
  </si>
  <si>
    <t>Plant Gene Resources of Canada, Saskatoon Research Centre, Agriculture and Agri-Food Canada</t>
  </si>
  <si>
    <t>Triticum turgidum ssp. dicoccoides</t>
  </si>
  <si>
    <t>Plant Genetic Resources Department</t>
  </si>
  <si>
    <t>Triticum turgidum ssp. dicoccon</t>
  </si>
  <si>
    <t>Plant Genetic Resources Unit</t>
  </si>
  <si>
    <t>Triticum turgidum ssp. durum</t>
  </si>
  <si>
    <t>Plant Genetics</t>
  </si>
  <si>
    <t>Triticum turgidum ssp. palaeocolchicum A. Love &amp; D. Love</t>
  </si>
  <si>
    <t>Plant Genetics and  Breeding</t>
  </si>
  <si>
    <t>Triticum turgidum ssp. paleocolchicum</t>
  </si>
  <si>
    <t>Plant Genome Center Co.,  Ltd</t>
  </si>
  <si>
    <t>Triticum turgidum ssp. polonicum</t>
  </si>
  <si>
    <t>Plant Genome Mapping Laboratory</t>
  </si>
  <si>
    <t>Triticum turgidum ssp. turanicum</t>
  </si>
  <si>
    <t>Plant Genomics Lab.,  Department of Crop,  Soil and Environmental Sciences</t>
  </si>
  <si>
    <t>Triticum turgidum ssp. turgidum</t>
  </si>
  <si>
    <t>Plant Molecular and Cellular Biology Program</t>
  </si>
  <si>
    <t>Triticum turgidum subsp. carthlicum x Secale strictum subsp.</t>
  </si>
  <si>
    <t>Plant Molecular Biology</t>
  </si>
  <si>
    <t>Triticum turgidum turanicum</t>
  </si>
  <si>
    <t>Plant Molecular Genetic Laboratory</t>
  </si>
  <si>
    <t>Triticum turgidum turgidum</t>
  </si>
  <si>
    <t>Plant Molecular Genetics</t>
  </si>
  <si>
    <t>Triticum turgidum var. carthlicum</t>
  </si>
  <si>
    <t>Plant Molecular Genetics Laboratory</t>
  </si>
  <si>
    <t>Triticum turgidum var. dicoccon</t>
  </si>
  <si>
    <t>Plant Molecular Physiology and  Functional Genomics</t>
  </si>
  <si>
    <t>Triticum turgidum var. dicoccon Bowden</t>
  </si>
  <si>
    <t>Plant Natural Products</t>
  </si>
  <si>
    <t>Triticum turgidum var. durum</t>
  </si>
  <si>
    <t>Plant Nematode Genetics Group</t>
  </si>
  <si>
    <t>Triticum turgidum var. durum Bowden</t>
  </si>
  <si>
    <t>Plant Pathology</t>
  </si>
  <si>
    <t>Triticum turgidum var. polonicum</t>
  </si>
  <si>
    <t>Plant Pathology Department</t>
  </si>
  <si>
    <t>Triticum umbellulatum</t>
  </si>
  <si>
    <t>Plant Protection Division I.C.I.</t>
  </si>
  <si>
    <t>Triticum uniaristatum</t>
  </si>
  <si>
    <t>Plant Research Institute</t>
  </si>
  <si>
    <t>Triticum urartu</t>
  </si>
  <si>
    <t>Plant Research International</t>
  </si>
  <si>
    <t>Triticum urartu Thumanian ex Gandilyan</t>
  </si>
  <si>
    <t>Plant Sciences</t>
  </si>
  <si>
    <t>Triticum vaillantianum</t>
  </si>
  <si>
    <t>PLANT SELECT, Ltd.</t>
  </si>
  <si>
    <t>Triticum vavilovii Jakubz.</t>
  </si>
  <si>
    <t>Plant Systems Biology</t>
  </si>
  <si>
    <t>Triticum vulgare ssp. hadropyrum Flaksb.</t>
  </si>
  <si>
    <t>plantechno srl</t>
  </si>
  <si>
    <t>Triticum vulgare ssp. irano-asiaticum Flaksb.</t>
  </si>
  <si>
    <t>Plantes legumineuses, DGAP</t>
  </si>
  <si>
    <t>Triticum vulgare var. dicoccon (Schrank) Korn</t>
  </si>
  <si>
    <t>PlantTec Biotechnologie</t>
  </si>
  <si>
    <t>Triticum vulgare Villars</t>
  </si>
  <si>
    <t>Plate-Forme de cytogÃ©nÃ©tique MolÃ©culaire</t>
  </si>
  <si>
    <t>Triticum zhukovskyi Menabde &amp; Ericzjan</t>
  </si>
  <si>
    <t>Plew Horticultural Experimental Station</t>
  </si>
  <si>
    <t>Vicia faba L.</t>
  </si>
  <si>
    <t>PMDV - Equipe Analyse fonctionnelle du genome de Botrytis cinerea</t>
  </si>
  <si>
    <t>Vicia faba subsp. equina</t>
  </si>
  <si>
    <t>Pole de biotechnologie vegetales UMR5546</t>
  </si>
  <si>
    <t>Vicia faba subsp. major</t>
  </si>
  <si>
    <t>Povolzhskii NII Selektsii i Semenovodstva Im. P.N. Konstantinova Ran</t>
  </si>
  <si>
    <t>Vicia faba subsp. minor</t>
  </si>
  <si>
    <t>Practical Scientific Institute of Plant Growing 'SELECTIA'</t>
  </si>
  <si>
    <t>Vicia faba subsp. paucijuga</t>
  </si>
  <si>
    <t>Probsdorfer Plant Breeding</t>
  </si>
  <si>
    <t>Vicia L.</t>
  </si>
  <si>
    <t>Programa de Recursos Genéticos Nicaragüenses  (REGEN)</t>
  </si>
  <si>
    <t>Vicia sativa L.</t>
  </si>
  <si>
    <t>Projet Arborea, Centre d'Etude de la Foret</t>
  </si>
  <si>
    <t>Vitaceae</t>
  </si>
  <si>
    <t>Propriété Saint Jean</t>
  </si>
  <si>
    <t>Vitis</t>
  </si>
  <si>
    <t>PROSEA Headquarters, Wageningen Agricultural University</t>
  </si>
  <si>
    <t>Vitis aestivalis Mchx.</t>
  </si>
  <si>
    <t>proteomique</t>
  </si>
  <si>
    <t>Vitis affinis Gagnep. ex Osmaston</t>
  </si>
  <si>
    <t>PSB Produccion Vegetal, Murcia - Spain</t>
  </si>
  <si>
    <t>Vitis amurensis Ruprecht</t>
  </si>
  <si>
    <t>Punjab Agricultural University</t>
  </si>
  <si>
    <t>Vitis apliniana Collett &amp; Hemsl.</t>
  </si>
  <si>
    <t>Queensland Wheat Research Institut Department of Primary Industries</t>
  </si>
  <si>
    <t>Vitis arizonica Engelm.</t>
  </si>
  <si>
    <t>RAGT</t>
  </si>
  <si>
    <t>Vitis armata Diels &amp; Gilg</t>
  </si>
  <si>
    <t>R.A.G.T. 2N</t>
  </si>
  <si>
    <t>Vitis aubertiana Gage</t>
  </si>
  <si>
    <t>Rapillard Charly, Conthey - Suisse</t>
  </si>
  <si>
    <t>Vitis austrokoreana Hatus.</t>
  </si>
  <si>
    <t>RDP (UMR5667 INRA/CNRS/ENSL/UCBL)</t>
  </si>
  <si>
    <t>Vitis baileyana Munson</t>
  </si>
  <si>
    <t>Redblush Nursery</t>
  </si>
  <si>
    <t>Vitis balansaeana Planch.</t>
  </si>
  <si>
    <t>Regional Fruit Research Station, PAU</t>
  </si>
  <si>
    <t>Vitis berlandieri Planch.</t>
  </si>
  <si>
    <t>Regional Station Shillong, NBPGR</t>
  </si>
  <si>
    <t>Vitis betulifolia Diels &amp; Gilg</t>
  </si>
  <si>
    <t>Reproduction et Developpement des Plantes</t>
  </si>
  <si>
    <t>Vitis bicolor Le Conte</t>
  </si>
  <si>
    <t>Research and Development Division</t>
  </si>
  <si>
    <t>Vitis blancoii Munson</t>
  </si>
  <si>
    <t>Research Branch Agriculture Canada</t>
  </si>
  <si>
    <t>Vitis bourgeana Planch.</t>
  </si>
  <si>
    <t>Research Institute for Bioresources</t>
  </si>
  <si>
    <t>Vitis bourquina Munson</t>
  </si>
  <si>
    <t>Research Institute for Cereals and Technical Plants Fundulea</t>
  </si>
  <si>
    <t>Vitis bryoniifolia Bunge</t>
  </si>
  <si>
    <t>Research Institute for Olive and Citrus Trees</t>
  </si>
  <si>
    <t>Vitis burmanica Collett &amp; Hemsl.</t>
  </si>
  <si>
    <t>Research Institute of Agricultural for South-East Region</t>
  </si>
  <si>
    <t>Vitis californica Bentham</t>
  </si>
  <si>
    <t>Research Institute of Crop Production</t>
  </si>
  <si>
    <t>Vitis candicans Engelm.</t>
  </si>
  <si>
    <t>Research Institute of Village Services</t>
  </si>
  <si>
    <t>Vitis caribaea D.C.</t>
  </si>
  <si>
    <t>Resistance des Plantes aux Bioagresseurs (RPB)</t>
  </si>
  <si>
    <t>Vitis champinii Planch.</t>
  </si>
  <si>
    <t>Resources Botany Research Center</t>
  </si>
  <si>
    <t>Vitis choii Hatus.</t>
  </si>
  <si>
    <t>Revol Jean-Pierre, Larnage - France</t>
  </si>
  <si>
    <t>Vitis chrysobotrys H.Lév. &amp; Vaniot</t>
  </si>
  <si>
    <t>RhoBio</t>
  </si>
  <si>
    <t>Vitis chunganensis Hu</t>
  </si>
  <si>
    <t>Rice Research Institute</t>
  </si>
  <si>
    <t>Vitis chungii F.P.Metcalf</t>
  </si>
  <si>
    <t>RICP Praha-Ruzyne Agricultural Research Station</t>
  </si>
  <si>
    <t>Vitis cinerea Engelm.</t>
  </si>
  <si>
    <t>Rijk Zwaan</t>
  </si>
  <si>
    <t>Vitis coignetiae cv. Ishikari</t>
  </si>
  <si>
    <t>Ringot</t>
  </si>
  <si>
    <t>Vitis coignetiae Pulliat</t>
  </si>
  <si>
    <t>Roberts WL, Grandview Washington - USA</t>
  </si>
  <si>
    <t>Vitis cordifolia cv. n°9 Couderc</t>
  </si>
  <si>
    <t>Roseworthy Agricultural College</t>
  </si>
  <si>
    <t>Vitis cordifolia Mchx.</t>
  </si>
  <si>
    <t>Royal Palm Nurseries</t>
  </si>
  <si>
    <t>Vitis coriacea Shuttl.</t>
  </si>
  <si>
    <t>Rubidoux laboratory</t>
  </si>
  <si>
    <t>Vitis davidii Romanet du Caillaud</t>
  </si>
  <si>
    <t>Rustica Prograin Genetique</t>
  </si>
  <si>
    <t>Vitis del rioi Galet</t>
  </si>
  <si>
    <t>Rutgers University - NJ - USA</t>
  </si>
  <si>
    <t>Vitis doaniana Munson</t>
  </si>
  <si>
    <t>Rutgers University - NJ - USA - M. Vinson P</t>
  </si>
  <si>
    <t>Vitis embergeri Galet</t>
  </si>
  <si>
    <t>Saatbau Linz / Oberoesterreichische Landessaatbaugenossenschaft</t>
  </si>
  <si>
    <t>Vitis ficifolioides Wang</t>
  </si>
  <si>
    <t>Saaten-Union France s.a.r.l - Saaten-Union Recherche s.a.s</t>
  </si>
  <si>
    <t>Vitis flexuosa Thunb.</t>
  </si>
  <si>
    <t>Saatzucht Bauer GmbH &amp; Co KG</t>
  </si>
  <si>
    <t>Vitis gigas Fennell</t>
  </si>
  <si>
    <t>Saatzucht Donau GesmbH. &amp; CoKG</t>
  </si>
  <si>
    <t>Vitis girdiana Munson</t>
  </si>
  <si>
    <t>Saatzucht Engelen Büchling Ohg</t>
  </si>
  <si>
    <t>Vitis glabrescens Fritsch</t>
  </si>
  <si>
    <t>Saatzucht Hans Schweiger &amp; Co. Ohg</t>
  </si>
  <si>
    <t>Vitis hancockii Hance</t>
  </si>
  <si>
    <t>Saatzucht Josef Breun GdbR</t>
  </si>
  <si>
    <t>Vitis helleri Small</t>
  </si>
  <si>
    <t>Saatzucht Piatti</t>
  </si>
  <si>
    <t>Vitis hexamera Gagnep.</t>
  </si>
  <si>
    <t>Saatzucht Streng GmbH &amp; Co. KG</t>
  </si>
  <si>
    <t>Vitis hissarica Vassilcz.</t>
  </si>
  <si>
    <t>Saatzuchtgesellschaft Nordsaat GmbH</t>
  </si>
  <si>
    <t>Vitis illex Bailey</t>
  </si>
  <si>
    <t>Saatzuchtwirtschaft Johann Firlbeck KG</t>
  </si>
  <si>
    <t>Vitis kelemgensis Momiyama</t>
  </si>
  <si>
    <t>Saatzuchtwirtschaft Lang-Doerfler</t>
  </si>
  <si>
    <t>Vitis kiusiama Momiyama</t>
  </si>
  <si>
    <t>Saatzuchtwirtschaft Otto Breustedt GmbH</t>
  </si>
  <si>
    <t>Vitis L.</t>
  </si>
  <si>
    <t>Sakata Seed France</t>
  </si>
  <si>
    <t>Vitis labrusca cv. Cambridge</t>
  </si>
  <si>
    <t>Samarskij Niish Im.N.M. Tulajkova</t>
  </si>
  <si>
    <t>Vitis labrusca cv. Caroline</t>
  </si>
  <si>
    <t>SantÃ© de la Vigne et QualitÃ© du Vin</t>
  </si>
  <si>
    <t>Vitis labrusca cv. Caywood</t>
  </si>
  <si>
    <t>Santé de la Vigne et Qualité du Vin</t>
  </si>
  <si>
    <t>Vitis labrusca cv. Concord</t>
  </si>
  <si>
    <t>S.A.S. Florimond Desprez</t>
  </si>
  <si>
    <t>Vitis labrusca cv. Creveling</t>
  </si>
  <si>
    <t>Satten-Ring Pfeuffer - Von Ruemker oHG</t>
  </si>
  <si>
    <t>Vitis labrusca cv. Early Victor</t>
  </si>
  <si>
    <t>SBAT El Ariana, Tunisie</t>
  </si>
  <si>
    <t>Vitis labrusca cv. Isabelle</t>
  </si>
  <si>
    <t>SCA - Agricultural Research Station Turda-Cluj</t>
  </si>
  <si>
    <t>Vitis labrusca cv. Israella</t>
  </si>
  <si>
    <t>SCA Adrien Momont et fils, S.A.</t>
  </si>
  <si>
    <t>Vitis labrusca cv. Ive's seedling</t>
  </si>
  <si>
    <t>Schnable Laboratory</t>
  </si>
  <si>
    <t>Vitis labrusca cv. Miles</t>
  </si>
  <si>
    <t>Schnable laboratory</t>
  </si>
  <si>
    <t>Vitis labrusca cv. Muncy</t>
  </si>
  <si>
    <t>School of Biological Sciences</t>
  </si>
  <si>
    <t>Vitis labrusca cv. North America</t>
  </si>
  <si>
    <t>Science de l'Horticulture, Rabat, Maroc</t>
  </si>
  <si>
    <t>Vitis labrusca cv. North Carolina</t>
  </si>
  <si>
    <t>Scott Research Farm</t>
  </si>
  <si>
    <t>Vitis labrusca cv. Pierce = California Concord</t>
  </si>
  <si>
    <t>SDR Fruit LLC, Boulder- CO - USA</t>
  </si>
  <si>
    <t>Vitis labrusca cv. Rentz</t>
  </si>
  <si>
    <t>Seagaga Research Station</t>
  </si>
  <si>
    <t>Vitis labrusca cv. Scarlett</t>
  </si>
  <si>
    <t>Seager Wheeler</t>
  </si>
  <si>
    <t>Vitis labrusca L.</t>
  </si>
  <si>
    <t>Secobra Saatzucht GmbH</t>
  </si>
  <si>
    <t>Vitis lanata Roxburgh</t>
  </si>
  <si>
    <t>Seed and Plant Improvement Institute</t>
  </si>
  <si>
    <t>Vitis lanceolata Roxb.</t>
  </si>
  <si>
    <t>Selekt Research and Breeding Institute</t>
  </si>
  <si>
    <t>Vitis leucocarpa Hayata</t>
  </si>
  <si>
    <t>SELGEN, Breeding Station Chlumec</t>
  </si>
  <si>
    <t>Vitis lincecumii Buckley</t>
  </si>
  <si>
    <t>SELGEN, Breeding Station Stupice</t>
  </si>
  <si>
    <t>Vitis longii Prince</t>
  </si>
  <si>
    <t>SELGEN, Breeding Station Uhretice</t>
  </si>
  <si>
    <t>Vitis monticola Buckley</t>
  </si>
  <si>
    <t>Semences Cargill, Centre de Recherches Céréales à Pailles et Colza</t>
  </si>
  <si>
    <t>Vitis novisinensis Vassilcz.</t>
  </si>
  <si>
    <t>Semences de Provence</t>
  </si>
  <si>
    <t>Vitis pedicellata M.A.Lawson</t>
  </si>
  <si>
    <t>Semiarid Prairie Agricultural Research Centre, Agriculture and Agri-Food Canada</t>
  </si>
  <si>
    <t>Vitis pentagona Diels &amp; Gilg</t>
  </si>
  <si>
    <t>Semillas Falco</t>
  </si>
  <si>
    <t>Vitis piasezkii cv. pagnuccii</t>
  </si>
  <si>
    <t>Seminis</t>
  </si>
  <si>
    <t>Vitis piasezkii Maximowicz</t>
  </si>
  <si>
    <t>Seoul National University</t>
  </si>
  <si>
    <t>Vitis piloso-nerva F.P.Metcalf</t>
  </si>
  <si>
    <t>SERASEM</t>
  </si>
  <si>
    <t>Vitis potanini Maxim.</t>
  </si>
  <si>
    <t>Servien Norbert et Pierre-Gilles - Granges lès Beaumont - France</t>
  </si>
  <si>
    <t>Vitis pseudoreticulata W.T.Wang</t>
  </si>
  <si>
    <t>Settore Biotecnologie e Agricoltura, Dipartimento Innovazione, ENEA</t>
  </si>
  <si>
    <t>Vitis punctata Raf.</t>
  </si>
  <si>
    <t>Seva Flora SRO, Valtice - République Tchèque</t>
  </si>
  <si>
    <t>Vitis reticulata Pamp.</t>
  </si>
  <si>
    <t>Shanghai Institute of Plant Physiology and  Ecology</t>
  </si>
  <si>
    <t>Vitis retordii Romanet du Caill. ex Planch.</t>
  </si>
  <si>
    <t>Shanxi Academy of Agricultural Sciences</t>
  </si>
  <si>
    <t>Vitis riparia cv. Riparia Gloire de Montpellier</t>
  </si>
  <si>
    <t>Shulaev's Lab</t>
  </si>
  <si>
    <t>Vitis riparia cv. Riparia grand glabre</t>
  </si>
  <si>
    <t>Siberian Research Institute of Agriculture</t>
  </si>
  <si>
    <t>Vitis riparia Mchx.</t>
  </si>
  <si>
    <t>SICA Centrex, Torreilles, France</t>
  </si>
  <si>
    <t>Vitis romanetii Romanet du Caillaud</t>
  </si>
  <si>
    <t>Sica La Tapy</t>
  </si>
  <si>
    <t>Vitis rubra cv. palmata</t>
  </si>
  <si>
    <t>Sica SE.CO.CE. Semences Dromigny et Hamel</t>
  </si>
  <si>
    <t>Vitis rubra Mchx.</t>
  </si>
  <si>
    <t>Sicarex Beaujolais</t>
  </si>
  <si>
    <t>Vitis rufotomentosa Small</t>
  </si>
  <si>
    <t>Sicarex du Sud-Ouest</t>
  </si>
  <si>
    <t>Vitis rupestris cv. Rupestris du Lot</t>
  </si>
  <si>
    <t>Signaling and  Plant Metabolism</t>
  </si>
  <si>
    <t>Vitis rupestris Sheele</t>
  </si>
  <si>
    <t>Signaux et messages cellulaires chez les vegetaux</t>
  </si>
  <si>
    <t>Vitis schumanniana Kuntze</t>
  </si>
  <si>
    <t>SIS - Societa Italiana Sementi</t>
  </si>
  <si>
    <t>Vitis seguinii H.Lév.</t>
  </si>
  <si>
    <t>Sladkovicovo Plant Breeding Station</t>
  </si>
  <si>
    <t>Vitis serroniana Glaz.</t>
  </si>
  <si>
    <t>Small Grains Research Centre, Agricultural Research Institute 'Serbia'</t>
  </si>
  <si>
    <t>Vitis shiragai Makino</t>
  </si>
  <si>
    <t>Societa Produttori Sementi</t>
  </si>
  <si>
    <t>Vitis silvestrii Pamp.</t>
  </si>
  <si>
    <t>Société de Viticulture du Jura</t>
  </si>
  <si>
    <t>Vitis simpsonii Munson</t>
  </si>
  <si>
    <t>Société Pomologique du Berry</t>
  </si>
  <si>
    <t>Vitis thunbergii Siebold &amp; Zucc.</t>
  </si>
  <si>
    <t>Société pour l'Encouragement de l'Orge de Brasserie</t>
  </si>
  <si>
    <t>Vitis treleasei Munson</t>
  </si>
  <si>
    <t>SOGROUP</t>
  </si>
  <si>
    <t>Vitis tsoii Merr.</t>
  </si>
  <si>
    <t>Solanum</t>
  </si>
  <si>
    <t>Vitis vicaryana Kurz</t>
  </si>
  <si>
    <t>Solanum Tourneur</t>
  </si>
  <si>
    <t>Vitis vinifera L.</t>
  </si>
  <si>
    <t>Solary Plant Breeding Station</t>
  </si>
  <si>
    <t>Vitis vinifera subsp sylvestris cv. Lambrusque métisse</t>
  </si>
  <si>
    <t>Sorghum genetics and  molecular biology lab</t>
  </si>
  <si>
    <t>Vitis vinifera subsp sylvestris cv. Lambrusque vraie</t>
  </si>
  <si>
    <t>South Dakota Agricultural Experiment Station, South Dakota State University</t>
  </si>
  <si>
    <t>Vitis vinifera subsp sylvestris L.</t>
  </si>
  <si>
    <t>Southwick Steve, El Macero, CA - USA</t>
  </si>
  <si>
    <t>Vitis vinifera subsp vinifera cv. A Kalatchel</t>
  </si>
  <si>
    <t>Special Research Centre,  Basic and  Applied Plant MolecularBiology</t>
  </si>
  <si>
    <t>Vitis vinifera subsp vinifera cv. A 406 SRLH</t>
  </si>
  <si>
    <t>SRA  INRA-CIRAD</t>
  </si>
  <si>
    <t>Vitis vinifera subsp vinifera cv. Abbuoto</t>
  </si>
  <si>
    <t>Star Fruit</t>
  </si>
  <si>
    <t>Vitis vinifera subsp vinifera cv. Abdjouch</t>
  </si>
  <si>
    <t>State Key Lab of Genetics</t>
  </si>
  <si>
    <t>Vitis vinifera subsp vinifera cv. Abondance</t>
  </si>
  <si>
    <t>State Lab of Plant Physiology and  Biochemistry</t>
  </si>
  <si>
    <t>Vitis vinifera subsp vinifera cv. Abondant</t>
  </si>
  <si>
    <t>State Lab of plant physiology and  biochemistry</t>
  </si>
  <si>
    <t>Vitis vinifera subsp vinifera cv. Abouhou</t>
  </si>
  <si>
    <t>Station Agrumicole de Lipa</t>
  </si>
  <si>
    <t>Vitis vinifera subsp vinifera cv. Abouriou</t>
  </si>
  <si>
    <t>Station Agrumicole de Nan</t>
  </si>
  <si>
    <t>Vitis vinifera subsp vinifera cv. Achlamiche</t>
  </si>
  <si>
    <t>Station Centrale de la Recherche sur les Agrumes, Institut National de la Recherche Agronomique du Maroc</t>
  </si>
  <si>
    <t>Vitis vinifera subsp vinifera cv. Adissi</t>
  </si>
  <si>
    <t>Station d'amelioration des arbres forestiers</t>
  </si>
  <si>
    <t>Vitis vinifera subsp vinifera cv. Admirable de Courtiller</t>
  </si>
  <si>
    <t>Station d'amelioration des plantes</t>
  </si>
  <si>
    <t>Vitis vinifera subsp vinifera cv. Aetoniki</t>
  </si>
  <si>
    <t>Station d'arboriculture de Poros - Trizinias (Grèce)</t>
  </si>
  <si>
    <t>Vitis vinifera subsp vinifera cv. Aetonychi kokkino</t>
  </si>
  <si>
    <t>Station de Betanimena</t>
  </si>
  <si>
    <t>Vitis vinifera subsp vinifera cv. Aetonychi mavro</t>
  </si>
  <si>
    <t>Station de cultures fruitières de Foulaya</t>
  </si>
  <si>
    <t>Vitis vinifera subsp vinifera cv. Aetonyki</t>
  </si>
  <si>
    <t>Station de Génétique et Amélioration des Plantes, INRA-Versailles</t>
  </si>
  <si>
    <t>Vitis vinifera subsp vinifera cv. Afarta pobres</t>
  </si>
  <si>
    <t>Station de Genetique et d'Amelioration des Plantes</t>
  </si>
  <si>
    <t>Vitis vinifera subsp vinifera cv. Affenthaler</t>
  </si>
  <si>
    <t>Station de Genetique et d'Amelioration des plantes</t>
  </si>
  <si>
    <t>Vitis vinifera subsp vinifera cv. Ag isioum</t>
  </si>
  <si>
    <t>Station de Génétique et d'Amélioration des Plantes, INRA-Dijon</t>
  </si>
  <si>
    <t>Vitis vinifera subsp vinifera cv. Ag Kiourdach</t>
  </si>
  <si>
    <t>Station de Genetique et dÕAmelioration des Plantes</t>
  </si>
  <si>
    <t>Vitis vinifera subsp vinifera cv. Agadaï</t>
  </si>
  <si>
    <t>Station de Genetique et dUAmelioration des Plantes</t>
  </si>
  <si>
    <t>Vitis vinifera subsp vinifera cv. Agapanthe</t>
  </si>
  <si>
    <t>Station de Genetique Vegetale</t>
  </si>
  <si>
    <t>Vitis vinifera subsp vinifera cv. Aghianniotico</t>
  </si>
  <si>
    <t>Station de Genetique Vegetale du Moulon</t>
  </si>
  <si>
    <t>Vitis vinifera subsp vinifera cv. Aghiorgitiko</t>
  </si>
  <si>
    <t>Station de Pathologie Vegetale</t>
  </si>
  <si>
    <t>Vitis vinifera subsp vinifera cv. Aglianico</t>
  </si>
  <si>
    <t>Station de Pathologie Végétale, INRA-Avignon</t>
  </si>
  <si>
    <t>Vitis vinifera subsp vinifera cv. Agostenga noir</t>
  </si>
  <si>
    <t>Station de recherche Agroscope Changins-Wädenswil</t>
  </si>
  <si>
    <t>Vitis vinifera subsp vinifera cv. Agourane</t>
  </si>
  <si>
    <t>Station de recherche Agroscope Changins-WÃ¤denswil</t>
  </si>
  <si>
    <t>Vitis vinifera subsp vinifera cv. Agrio mavro</t>
  </si>
  <si>
    <t>Station de Recherche du Comité Nord</t>
  </si>
  <si>
    <t>Vitis vinifera subsp vinifera cv. Aguyar</t>
  </si>
  <si>
    <t>Station de Recherche du Comité Nord &amp; GIPT</t>
  </si>
  <si>
    <t>Vitis vinifera subsp vinifera cv. Ahmar</t>
  </si>
  <si>
    <t>Station de Recherchedu Comité Nord &amp; GNIPTIT</t>
  </si>
  <si>
    <t>Vitis vinifera subsp vinifera cv. Ahmed</t>
  </si>
  <si>
    <t>Station Expérimentale Agronomique de Boufarik</t>
  </si>
  <si>
    <t>Vitis vinifera subsp vinifera cv. Ahmeh sal apyrène</t>
  </si>
  <si>
    <t>Station expérimentale de Oeiras Portugal</t>
  </si>
  <si>
    <t>Vitis vinifera subsp vinifera cv. Ahmeh Sal 9</t>
  </si>
  <si>
    <t>Station Régionale Horticole de Sefrou</t>
  </si>
  <si>
    <t>Vitis vinifera subsp vinifera cv. Ahmeur bou Ahmeur</t>
  </si>
  <si>
    <t>Statistique &amp; Genome</t>
  </si>
  <si>
    <t>Vitis vinifera subsp vinifera cv. Ahumat</t>
  </si>
  <si>
    <t>Statistique &amp; Génome</t>
  </si>
  <si>
    <t>Vitis vinifera subsp vinifera cv. Aïbatly</t>
  </si>
  <si>
    <t>Statiunea de Cercetare Dezvoltare Agricola Albota</t>
  </si>
  <si>
    <t>Vitis vinifera subsp vinifera cv. Aïda = Pirovano 233</t>
  </si>
  <si>
    <t>Ste Coopérative Agricole du Nord-Est de la Brie</t>
  </si>
  <si>
    <t>Vitis vinifera subsp vinifera cv. Aïdani mavro</t>
  </si>
  <si>
    <t>Stellenbosch University</t>
  </si>
  <si>
    <t>Vitis vinifera subsp vinifera cv. Aïn Begra</t>
  </si>
  <si>
    <t>Structure et Metabolisme des Plantes</t>
  </si>
  <si>
    <t>Vitis vinifera subsp vinifera cv. Aïn el Bouma</t>
  </si>
  <si>
    <t>Subtropical Horticultural Research Unit, National Germplasm Repository - Miami, USDA</t>
  </si>
  <si>
    <t>Vitis vinifera subsp vinifera cv. Aïn Kelba</t>
  </si>
  <si>
    <t>Suceava Genebank</t>
  </si>
  <si>
    <t>Vitis vinifera subsp vinifera cv. Airen</t>
  </si>
  <si>
    <t>Summerfield Nursery Co.</t>
  </si>
  <si>
    <t>Vitis vinifera subsp vinifera cv. Ak chekerek</t>
  </si>
  <si>
    <t>Sun World International - Bakersfield, CA - USA</t>
  </si>
  <si>
    <t>Vitis vinifera subsp vinifera cv. Ak ouzioum tagapskii</t>
  </si>
  <si>
    <t>Sunshine Nurseries</t>
  </si>
  <si>
    <t>Vitis vinifera subsp vinifera cv. Akiki</t>
  </si>
  <si>
    <t>Svalof Weibull AB Cereal Breeding Department</t>
  </si>
  <si>
    <t>Vitis vinifera subsp vinifera cv. Aklyk jaune</t>
  </si>
  <si>
    <t>SW Seed Hadmersleben GmbH</t>
  </si>
  <si>
    <t>Vitis vinifera subsp vinifera cv. Akominato</t>
  </si>
  <si>
    <t>Swedish University of Agricultural Sciences - Department of Plant Breeding Research</t>
  </si>
  <si>
    <t>Vitis vinifera subsp vinifera cv. Alabar noir</t>
  </si>
  <si>
    <t>Swiss Institute of Bioinformatics</t>
  </si>
  <si>
    <t>Vitis vinifera subsp vinifera cv. Alanttermö</t>
  </si>
  <si>
    <t>Syndicat de Producteurs de Marron de Charentes</t>
  </si>
  <si>
    <t>Vitis vinifera subsp vinifera cv. Alb rominesc</t>
  </si>
  <si>
    <t>Syndicat Général des Vignerons Réunis des Côtes-du-Rhône</t>
  </si>
  <si>
    <t>Vitis vinifera subsp vinifera cv. Alba aganin isioum</t>
  </si>
  <si>
    <t>Syngenta</t>
  </si>
  <si>
    <t>Vitis vinifera subsp vinifera cv. Alba imputotato</t>
  </si>
  <si>
    <t>Syngenta Seeds Ltd</t>
  </si>
  <si>
    <t>Vitis vinifera subsp vinifera cv. Alba magna = Pirovano 283</t>
  </si>
  <si>
    <t>Syngenta Seeds S.A.</t>
  </si>
  <si>
    <t>Vitis vinifera subsp vinifera cv. Albalonga = Würzburg B 51-2-1</t>
  </si>
  <si>
    <t>Syngenta Seeds S.A.S.</t>
  </si>
  <si>
    <t>Vitis vinifera subsp vinifera cv. Albana</t>
  </si>
  <si>
    <t>Takii recherche France</t>
  </si>
  <si>
    <t>Vitis vinifera subsp vinifera cv. Albanello</t>
  </si>
  <si>
    <t>Technisem</t>
  </si>
  <si>
    <t>Vitis vinifera subsp vinifera cv. Albaranzeuli bianco</t>
  </si>
  <si>
    <t>Technology Department</t>
  </si>
  <si>
    <t>Vitis vinifera subsp vinifera cv. Albarola</t>
  </si>
  <si>
    <t>Terr'Loire</t>
  </si>
  <si>
    <t>Vitis vinifera subsp vinifera cv. Albert Dientz</t>
  </si>
  <si>
    <t>Texas Agricultural Experiment Station, Texas A &amp; M University</t>
  </si>
  <si>
    <t>Vitis vinifera subsp vinifera cv. Albillo</t>
  </si>
  <si>
    <t>TEZIER S.A.</t>
  </si>
  <si>
    <t>Vitis vinifera subsp vinifera cv. Albino de Sousa</t>
  </si>
  <si>
    <t>The Agricultural Research Council - Grain Crops Institute</t>
  </si>
  <si>
    <t>Vitis vinifera subsp vinifera cv. Albourlah</t>
  </si>
  <si>
    <t>The Arabidopsis Information Resource</t>
  </si>
  <si>
    <t>Vitis vinifera subsp vinifera cv. Aléatico</t>
  </si>
  <si>
    <t>The Biotechnology Center</t>
  </si>
  <si>
    <t>Vitis vinifera subsp vinifera cv. Aledo</t>
  </si>
  <si>
    <t>The Citrus Nursery</t>
  </si>
  <si>
    <t>Vitis vinifera subsp vinifera cv. Alenky</t>
  </si>
  <si>
    <t>The First Laboratory for Plant Gene Research</t>
  </si>
  <si>
    <t>Vitis vinifera subsp vinifera cv. Alepou</t>
  </si>
  <si>
    <t>The Genome Analysis Centre</t>
  </si>
  <si>
    <t>Vitis vinifera subsp vinifera cv. Alexandroouli</t>
  </si>
  <si>
    <t>The Key Laboratory of Gene Engineering of Ministry ofEducation</t>
  </si>
  <si>
    <t>Vitis vinifera subsp vinifera cv. Alfrocheiro preto</t>
  </si>
  <si>
    <t>The Molecular Breeding Lab of Wheat Research Center - Henan Academy of Agricultural Sciences</t>
  </si>
  <si>
    <t>Vitis vinifera subsp vinifera cv. Algara</t>
  </si>
  <si>
    <t>The Rockefeller Foundation</t>
  </si>
  <si>
    <t>Vitis vinifera subsp vinifera cv. Alia boka</t>
  </si>
  <si>
    <t>The V.M. Remeslo Myronivka Institute for Wheat</t>
  </si>
  <si>
    <t>Vitis vinifera subsp vinifera cv. Alicante anglais blanc</t>
  </si>
  <si>
    <t>Tintori Nursery</t>
  </si>
  <si>
    <t>Vitis vinifera subsp vinifera cv. Alicante Bouschet érigé</t>
  </si>
  <si>
    <t>Top Semence</t>
  </si>
  <si>
    <t>Vitis vinifera subsp vinifera cv. Alicante Bouschet extra fertile</t>
  </si>
  <si>
    <t>Torbert Rocheford</t>
  </si>
  <si>
    <t>Vitis vinifera subsp vinifera cv. Alicante Bouschet n°1</t>
  </si>
  <si>
    <t>Toumelin (don't exist anymore)</t>
  </si>
  <si>
    <t>Vitis vinifera subsp vinifera cv. Alicante Bouschet n°2</t>
  </si>
  <si>
    <t>Tourneur Grandes Cultures Obtentions</t>
  </si>
  <si>
    <t>Vitis vinifera subsp vinifera cv. Alicante Bouschet n°7</t>
  </si>
  <si>
    <t>Trait and  Technology Development,  Agronomic Traits</t>
  </si>
  <si>
    <t>Vitis vinifera subsp vinifera cv. Alicante Bouschet n°8</t>
  </si>
  <si>
    <t>Trait and  Technology Development,  Food and  Feed Research</t>
  </si>
  <si>
    <t>Vitis vinifera subsp vinifera cv. Alicante Bouschet précoce (ou n°5)</t>
  </si>
  <si>
    <t>Transition Zone Agricultural Research Institute</t>
  </si>
  <si>
    <t>Vitis vinifera subsp vinifera cv. Alicante Bouschet tardif (ou n°6)</t>
  </si>
  <si>
    <t>TRANSPORT DES ASSIMILATS</t>
  </si>
  <si>
    <t>Vitis vinifera subsp vinifera cv. Alicante Bouschet x Piquepoul gris</t>
  </si>
  <si>
    <t>Trégor Sélection</t>
  </si>
  <si>
    <t>Vitis vinifera subsp vinifera cv. Alicante Bouschet x Piquepoul n°12</t>
  </si>
  <si>
    <t>Tribhuvan University</t>
  </si>
  <si>
    <t>Vitis vinifera subsp vinifera cv. Alicante Henri Bouschet</t>
  </si>
  <si>
    <t>Tropical Agricultural Research Station, Clonal Repository USDA/ARS</t>
  </si>
  <si>
    <t>Vitis vinifera subsp vinifera cv. Alicante rosa</t>
  </si>
  <si>
    <t>Tropical Crops Experimental Station</t>
  </si>
  <si>
    <t>Vitis vinifera subsp vinifera cv. Aligoté</t>
  </si>
  <si>
    <t>Truffaut</t>
  </si>
  <si>
    <t>Vitis vinifera subsp vinifera cv. Alii tierskii</t>
  </si>
  <si>
    <t>Tsukuba Life Science Center</t>
  </si>
  <si>
    <t>Vitis vinifera subsp vinifera cv. Alimchak</t>
  </si>
  <si>
    <t>T&amp;TD,  Agronomic Traits,  Yield Stability</t>
  </si>
  <si>
    <t>Vitis vinifera subsp vinifera cv. Almafre</t>
  </si>
  <si>
    <t>Tulun State Plant Breeding Station</t>
  </si>
  <si>
    <t>Vitis vinifera subsp vinifera cv. Alnwick seedling</t>
  </si>
  <si>
    <t>Turkmen Academy of Agricultural Sciences</t>
  </si>
  <si>
    <t>Vitis vinifera subsp vinifera cv. Alphonse Lavallée</t>
  </si>
  <si>
    <t>Twyford Plant Laborences (NPBGR), North Carolina State University</t>
  </si>
  <si>
    <t>Vitis vinifera subsp vinifera cv. Altesse</t>
  </si>
  <si>
    <t>Tystofte-Forsoggstation</t>
  </si>
  <si>
    <t>Vitis vinifera subsp vinifera cv. Alva</t>
  </si>
  <si>
    <t>UAGPF</t>
  </si>
  <si>
    <t>Vitis vinifera subsp vinifera cv. Alval = INRA 1552-24</t>
  </si>
  <si>
    <t>UCOPAC - Verneuil - Recherches</t>
  </si>
  <si>
    <t>Vitis vinifera subsp vinifera cv. Alvarelhao</t>
  </si>
  <si>
    <t>UE arboricole, INRA-Toulenne et INRA-Bourran</t>
  </si>
  <si>
    <t>Vitis vinifera subsp vinifera cv. Alvarinho</t>
  </si>
  <si>
    <t>UE Diascope, INRA-Montpellier</t>
  </si>
  <si>
    <t>Vitis vinifera subsp vinifera cv. Alvina = INRA 2121-61</t>
  </si>
  <si>
    <t>UE Maïs, INRA-Saint-Martin-de-Hinx</t>
  </si>
  <si>
    <t>Vitis vinifera subsp vinifera cv. Alwan</t>
  </si>
  <si>
    <t>Vitis vinifera subsp vinifera cv. Amaral</t>
  </si>
  <si>
    <t>UIPMSV</t>
  </si>
  <si>
    <t>Vitis vinifera subsp vinifera cv. Amaral branco</t>
  </si>
  <si>
    <t>ULICE</t>
  </si>
  <si>
    <t>Vitis vinifera subsp vinifera cv. Ambary</t>
  </si>
  <si>
    <t>Umea Plant Science Center</t>
  </si>
  <si>
    <t>Vitis vinifera subsp vinifera cv. Amellal</t>
  </si>
  <si>
    <t>Umea Plant Science Center, Department of Plant Physiology</t>
  </si>
  <si>
    <t>Vitis vinifera subsp vinifera cv. Amessasse</t>
  </si>
  <si>
    <t>UMR AGAP Amélioration Génétique et Adaptation des Plantes méditerranéennes et Tropicales</t>
  </si>
  <si>
    <t>Vitis vinifera subsp vinifera cv. Amfioni</t>
  </si>
  <si>
    <t>UMR Amélioration des Plantes et Biotechnologies Végétales, INRA-Rennes</t>
  </si>
  <si>
    <t>Vitis vinifera subsp vinifera cv. Amigne</t>
  </si>
  <si>
    <t>Vitis vinifera subsp vinifera cv. Amokrane</t>
  </si>
  <si>
    <t>UMR APBV</t>
  </si>
  <si>
    <t>Vitis vinifera subsp vinifera cv. Ampelakiotico galano</t>
  </si>
  <si>
    <t>UMR ASP 1095</t>
  </si>
  <si>
    <t>Vitis vinifera subsp vinifera cv. Ancellota</t>
  </si>
  <si>
    <t>UMR ASP 1095 (Amelioration et Sante des Plantes)</t>
  </si>
  <si>
    <t>Vitis vinifera subsp vinifera cv. Ancorat</t>
  </si>
  <si>
    <t>UMR BiO3P</t>
  </si>
  <si>
    <t>Vitis vinifera subsp vinifera cv. Aneb ben Koreli</t>
  </si>
  <si>
    <t>UMR CNRS/INRA 215</t>
  </si>
  <si>
    <t>Vitis vinifera subsp vinifera cv. Aneb bou Bezzoul</t>
  </si>
  <si>
    <t>UMR DAP 1098</t>
  </si>
  <si>
    <t>Vitis vinifera subsp vinifera cv. Aneb el Amar</t>
  </si>
  <si>
    <t>UMR de Genetique vegetale</t>
  </si>
  <si>
    <t>Vitis vinifera subsp vinifera cv. Angelo Longo = Pirovano 101</t>
  </si>
  <si>
    <t>UMR de Genetique Vegetale du Moulon</t>
  </si>
  <si>
    <t>Vitis vinifera subsp vinifera cv. Angelo Pirovano = Pirovano 2</t>
  </si>
  <si>
    <t>UMR de Ginitique Vigitale</t>
  </si>
  <si>
    <t>Vitis vinifera subsp vinifera cv. Angiola</t>
  </si>
  <si>
    <t>Vitis vinifera subsp vinifera cv. Angulato</t>
  </si>
  <si>
    <t>UMR DiaPC</t>
  </si>
  <si>
    <t>Vitis vinifera subsp vinifera cv. Annamaria</t>
  </si>
  <si>
    <t>UMR Diversité et Adaptation des Plantes Cultivées, INRA-Montpellier</t>
  </si>
  <si>
    <t>Vitis vinifera subsp vinifera cv. Antão vaz</t>
  </si>
  <si>
    <t>UMR Diversite et Genomes des Plantes Cultivees</t>
  </si>
  <si>
    <t>Vitis vinifera subsp vinifera cv. Aouillat</t>
  </si>
  <si>
    <t>Vitis vinifera subsp vinifera cv. Appley Towers</t>
  </si>
  <si>
    <t>Vitis vinifera subsp vinifera cv. Aprofeher</t>
  </si>
  <si>
    <t>Vitis vinifera subsp vinifera cv. Aptiche aga</t>
  </si>
  <si>
    <t>UMR Génétique et Horticulture GenHort, INRA-Angers</t>
  </si>
  <si>
    <t>Vitis vinifera subsp vinifera cv. Apyrène de Roussé</t>
  </si>
  <si>
    <t>UMR Génétique Végétale, INRA-Moulon</t>
  </si>
  <si>
    <t>Vitis vinifera subsp vinifera cv. Aragatzi</t>
  </si>
  <si>
    <t>UMR Génomique Végétale, INRA-Evry</t>
  </si>
  <si>
    <t>Vitis vinifera subsp vinifera cv. Araklinos</t>
  </si>
  <si>
    <t>UMR IaM - 1136</t>
  </si>
  <si>
    <t>Vitis vinifera subsp vinifera cv. Aramon</t>
  </si>
  <si>
    <t>UMR INRA 1088 Plante-Microbe-Environment</t>
  </si>
  <si>
    <t>Vitis vinifera subsp vinifera cv. Aramon blanc</t>
  </si>
  <si>
    <t>UMR INRA 1088/CNRS 5184/U. Bourgogne PME,  Inra</t>
  </si>
  <si>
    <t>Vitis vinifera subsp vinifera cv. Aramon blanc de la Calmette</t>
  </si>
  <si>
    <t>UMR INRA 1165 - CNRS 8114 - UEVE</t>
  </si>
  <si>
    <t>Vitis vinifera subsp vinifera cv. Aramon Bouschet n°1</t>
  </si>
  <si>
    <t>UMR INRA 1165 CNRS 8114 - UEVE</t>
  </si>
  <si>
    <t>Vitis vinifera subsp vinifera cv. Aramon Bouschet n°3</t>
  </si>
  <si>
    <t>UMR INRA-Agrocampus</t>
  </si>
  <si>
    <t>Vitis vinifera subsp vinifera cv. Aramon Bouschet n°5</t>
  </si>
  <si>
    <t>UMR INRA-ENSAR</t>
  </si>
  <si>
    <t>Vitis vinifera subsp vinifera cv. Aramon gris</t>
  </si>
  <si>
    <t>UMR INRA-INSA BF2I</t>
  </si>
  <si>
    <t>Vitis vinifera subsp vinifera cv. Aramon teinturier Bouschet</t>
  </si>
  <si>
    <t>UMR INRA-UBP Amilioration &amp; Santi des Plantes</t>
  </si>
  <si>
    <t>Vitis vinifera subsp vinifera cv. Aranel = INRA 1816-106</t>
  </si>
  <si>
    <t>UMR INRA-UHP 1137</t>
  </si>
  <si>
    <t>Vitis vinifera subsp vinifera cv. Aranyka sarga</t>
  </si>
  <si>
    <t>UMR Institut de Génétique, Environnement et Protection des Plantes, INRA-Rennes</t>
  </si>
  <si>
    <t>Vitis vinifera subsp vinifera cv. Ararati</t>
  </si>
  <si>
    <t>Vitis vinifera subsp vinifera cv. Araxeni tchernii</t>
  </si>
  <si>
    <t>UMR Institut de Génétique, Environnement et Protection des Plantes, INRA-Rennes, Site de Plougoulm</t>
  </si>
  <si>
    <t>Vitis vinifera subsp vinifera cv. Arbane</t>
  </si>
  <si>
    <t>UMR Peuplement Végétaux et Bioagresseurs en Milieu Tropical, CIRAD-Réunion</t>
  </si>
  <si>
    <t>Vitis vinifera subsp vinifera cv. Arbia</t>
  </si>
  <si>
    <t>Vitis vinifera subsp vinifera cv. Arbois rose</t>
  </si>
  <si>
    <t>UMR SPO</t>
  </si>
  <si>
    <t>Vitis vinifera subsp vinifera cv. Ardona = INRA 605-8</t>
  </si>
  <si>
    <t>UMR Stress Abiotiques et Différenciation des Végétaux Cultivés</t>
  </si>
  <si>
    <t>Vitis vinifera subsp vinifera cv. Ardonnet</t>
  </si>
  <si>
    <t>UMR UMR INRA 1165 - CNRS 8114 - UEVE</t>
  </si>
  <si>
    <t>Vitis vinifera subsp vinifera cv. Ardounet noir</t>
  </si>
  <si>
    <t>UMR UP-IRD-CNRS 5096</t>
  </si>
  <si>
    <t>Vitis vinifera subsp vinifera cv. Areni tchernii</t>
  </si>
  <si>
    <t>UMR USTL-INRA 1281 - Stress abiotique et difirenciation des vigitaux cultivis (SADV)</t>
  </si>
  <si>
    <t>Vitis vinifera subsp vinifera cv. Argant</t>
  </si>
  <si>
    <t>UMR 1095 INRA-UBP Amélioration &amp; Santé des Plantes</t>
  </si>
  <si>
    <t>Vitis vinifera subsp vinifera cv. Arinarnoa</t>
  </si>
  <si>
    <t>UMR 1095 INRA/UBP GDEC</t>
  </si>
  <si>
    <t>Vitis vinifera subsp vinifera cv. Ariño</t>
  </si>
  <si>
    <t>UMR 1095 INRA-UBP Génétique, Diversité et Ecophysiologie des Céréales</t>
  </si>
  <si>
    <t>Vitis vinifera subsp vinifera cv. Arinto de Bucelas</t>
  </si>
  <si>
    <t>UMR 1095 INRA-UBP Ginitique, Diversiti et Ecophysiologie des Ciriales</t>
  </si>
  <si>
    <t>Vitis vinifera subsp vinifera cv. Arinto du Dâo</t>
  </si>
  <si>
    <t>UMR 1096 / PIA</t>
  </si>
  <si>
    <t>Vitis vinifera subsp vinifera cv. Arizul</t>
  </si>
  <si>
    <t>UMR 1096 /PIA</t>
  </si>
  <si>
    <t>Vitis vinifera subsp vinifera cv. Armas</t>
  </si>
  <si>
    <t>UMR 1097 Vigne</t>
  </si>
  <si>
    <t>Vitis vinifera subsp vinifera cv. Armenia</t>
  </si>
  <si>
    <t>UMR 1136</t>
  </si>
  <si>
    <t>Vitis vinifera subsp vinifera cv. Arna guirna</t>
  </si>
  <si>
    <t>UMR 118 INRA-AgroCampus Rennes</t>
  </si>
  <si>
    <t>Vitis vinifera subsp vinifera cv. Arneis</t>
  </si>
  <si>
    <t>UMR 12 87 EGFV</t>
  </si>
  <si>
    <t>Vitis vinifera subsp vinifera cv. Aromatica = Pirovano 393</t>
  </si>
  <si>
    <t>UMR 320 Genetique Vegetale</t>
  </si>
  <si>
    <t>Vitis vinifera subsp vinifera cv. Aromriesling</t>
  </si>
  <si>
    <t>UMR 5004 laboratoire de physiologie et biologie moleculaire des plantes</t>
  </si>
  <si>
    <t>Vitis vinifera subsp vinifera cv. Arpad = Evêque Prohaszka</t>
  </si>
  <si>
    <t>UMR 5546 Pole de biotechnologies vegetales</t>
  </si>
  <si>
    <t>Vitis vinifera subsp vinifera cv. Arriloba</t>
  </si>
  <si>
    <t>UMR 619 - Equipe Biologie de la Vigne</t>
  </si>
  <si>
    <t>Vitis vinifera subsp vinifera cv. Arrouya</t>
  </si>
  <si>
    <t>UMR 8618 - Laboratoire Structure et Metabolisme des Plantes</t>
  </si>
  <si>
    <t>Vitis vinifera subsp vinifera cv. Arrufiac</t>
  </si>
  <si>
    <t>UMR-DAP</t>
  </si>
  <si>
    <t>Vitis vinifera subsp vinifera cv. Arturo Marescalchi = Pirovano 318</t>
  </si>
  <si>
    <t>UMR05 CNRS/INRA</t>
  </si>
  <si>
    <t>Vitis vinifera subsp vinifera cv. Arvesiniadu</t>
  </si>
  <si>
    <t>UMR1097 Vigne</t>
  </si>
  <si>
    <t>Vitis vinifera subsp vinifera cv. Arvignon</t>
  </si>
  <si>
    <t>UMR118 Amelioration des plantes</t>
  </si>
  <si>
    <t>Vitis vinifera subsp vinifera cv. Arvine</t>
  </si>
  <si>
    <t>UMR518 AgroParisTech/INRA</t>
  </si>
  <si>
    <t>Vitis vinifera subsp vinifera cv. Ascott Citronelle</t>
  </si>
  <si>
    <t>UMR759 Ecophysiologie des plantes sous stress environnementaux</t>
  </si>
  <si>
    <t>Vitis vinifera subsp vinifera cv. Askari</t>
  </si>
  <si>
    <t>UMR8576 CNRS/UST Lille</t>
  </si>
  <si>
    <t>Vitis vinifera subsp vinifera cv. Askeri</t>
  </si>
  <si>
    <t>UNCAC Cooperative Agricole Cereales</t>
  </si>
  <si>
    <t>Vitis vinifera subsp vinifera cv. Askudi</t>
  </si>
  <si>
    <t>UNCAC La Brosse Montceaux</t>
  </si>
  <si>
    <t>Vitis vinifera subsp vinifera cv. Asma</t>
  </si>
  <si>
    <t>Unicopa Clause</t>
  </si>
  <si>
    <t>Vitis vinifera subsp vinifera cv. Asmi assouad</t>
  </si>
  <si>
    <t>Unidad de Recursos Geneticos Universidad Autonoma de Chapingo</t>
  </si>
  <si>
    <t>Vitis vinifera subsp vinifera cv. Asmi blanc</t>
  </si>
  <si>
    <t>Union des Producteurs de Plaimont</t>
  </si>
  <si>
    <t>Vitis vinifera subsp vinifera cv. Aspiran Bouschet</t>
  </si>
  <si>
    <t>Unisigma Gie de Recherche et de Selection</t>
  </si>
  <si>
    <t>Vitis vinifera subsp vinifera cv. Aspiran rouge foncé</t>
  </si>
  <si>
    <t>Unit of Forest improvement, Genetics and Physiology</t>
  </si>
  <si>
    <t>Vitis vinifera subsp vinifera cv. Asprinio</t>
  </si>
  <si>
    <t>UnitÃ© AmÃ©lioration, GÃ©nÃ©tique et Physiologie ForestiÃ?res</t>
  </si>
  <si>
    <t>Vitis vinifera subsp vinifera cv. Asprouda de Santorini</t>
  </si>
  <si>
    <t>UnitC) de Nutrition AzotC)e des Plantes</t>
  </si>
  <si>
    <t>Vitis vinifera subsp vinifera cv. Asprouda Zakinthou</t>
  </si>
  <si>
    <t>Unite Centrale de la Miniere, GEVES</t>
  </si>
  <si>
    <t>Vitis vinifera subsp vinifera cv. Assali al arous</t>
  </si>
  <si>
    <t>Unite d'amelioration des plantes</t>
  </si>
  <si>
    <t>Vitis vinifera subsp vinifera cv. Assario roxo</t>
  </si>
  <si>
    <t>Unite de Biochime et Biologie Moleculaire des Cereales</t>
  </si>
  <si>
    <t>Vitis vinifera subsp vinifera cv. Assario Tinto</t>
  </si>
  <si>
    <t>Unite de Biochimie et Biologie Moleculaire des Cereales</t>
  </si>
  <si>
    <t>Vitis vinifera subsp vinifera cv. Assario (1)</t>
  </si>
  <si>
    <t>Unite de Genetique dt d amelioration des plantes fourrageres</t>
  </si>
  <si>
    <t>Vitis vinifera subsp vinifera cv. Assario (2)</t>
  </si>
  <si>
    <t>Unite de Genetique et d'Amelioration des Fruits et Legumes</t>
  </si>
  <si>
    <t>Vitis vinifera subsp vinifera cv. Asseli</t>
  </si>
  <si>
    <t>Unite de Genetique et d'Amelioration des Plantes Fourrageres (UGAPF)</t>
  </si>
  <si>
    <t>Vitis vinifera subsp vinifera cv. Asserghin</t>
  </si>
  <si>
    <t>Unite de Recherche des Produits de la Vigne</t>
  </si>
  <si>
    <t>Vitis vinifera subsp vinifera cv. Assouad Abou khislé</t>
  </si>
  <si>
    <t>Unite de Recherche en Genetique et Amelioration des plantes</t>
  </si>
  <si>
    <t>Vitis vinifera subsp vinifera cv. Assouad afranji</t>
  </si>
  <si>
    <t>Unite de Recherche en Genomique vegetale</t>
  </si>
  <si>
    <t>Vitis vinifera subsp vinifera cv. Assouad anouni</t>
  </si>
  <si>
    <t>Unite de Recherche Genomique-Info</t>
  </si>
  <si>
    <t>Vitis vinifera subsp vinifera cv. Assouad karech</t>
  </si>
  <si>
    <t>Unite de recherche sur les legumineuses (URLEG)</t>
  </si>
  <si>
    <t>Vitis vinifera subsp vinifera cv. Assoued kere</t>
  </si>
  <si>
    <t>Unite de Recherches en Sante Vegetale</t>
  </si>
  <si>
    <t>Vitis vinifera subsp vinifera cv. Assoued zeme</t>
  </si>
  <si>
    <t>Unite de recherches Interactions Plantes Microorganismes et Sante Vegetale</t>
  </si>
  <si>
    <t>Vitis vinifera subsp vinifera cv. Assul kara</t>
  </si>
  <si>
    <t>Unité Expérimentale du Domaine de Pech Rouge, INRA-Montpellier - UMR-SPO</t>
  </si>
  <si>
    <t>Vitis vinifera subsp vinifera cv. Assyrtico</t>
  </si>
  <si>
    <t>Vitis vinifera subsp vinifera cv. Athiri</t>
  </si>
  <si>
    <t>Unite experimentale du Magneraud, GEVES</t>
  </si>
  <si>
    <t>Vitis vinifera subsp vinifera cv. Athiri lefko</t>
  </si>
  <si>
    <t>Vitis vinifera subsp vinifera cv. Atomic</t>
  </si>
  <si>
    <t>Unite Genetique et amelioration des plantes</t>
  </si>
  <si>
    <t>Vitis vinifera subsp vinifera cv. Atomic apyrène</t>
  </si>
  <si>
    <t>Unite Interactions Plantes-Microorganismes et Sante Vegetale</t>
  </si>
  <si>
    <t>Vitis vinifera subsp vinifera cv. Attiki</t>
  </si>
  <si>
    <t>Unité mixte de recherche Génétique et ecophysiologie des légumineuses (UMRLEG)</t>
  </si>
  <si>
    <t>Vitis vinifera subsp vinifera cv. Attila</t>
  </si>
  <si>
    <t>Unité mixte de recherche Génétique et écophysiologie des légumineuses (UMRLEG)</t>
  </si>
  <si>
    <t>Vitis vinifera subsp vinifera cv. Attilio Ragioneri = Pirovano 150</t>
  </si>
  <si>
    <t>Unité mixte de recherche Physiologie Moléculaire des Semences (UMR PMS)</t>
  </si>
  <si>
    <t>Vitis vinifera subsp vinifera cv. Aubin</t>
  </si>
  <si>
    <t>United State Department of Agriculture by Agricultural Research Service, Washington - USA - Fogle H.</t>
  </si>
  <si>
    <t>Vitis vinifera subsp vinifera cv. Aubin vert</t>
  </si>
  <si>
    <t>United States Department of Agriculture Georgie USA</t>
  </si>
  <si>
    <t>Vitis vinifera subsp vinifera cv. Aubun</t>
  </si>
  <si>
    <t>Univ. Calif. Citrus Exp. Sta.</t>
  </si>
  <si>
    <t>Vitis vinifera subsp vinifera cv. Audibert</t>
  </si>
  <si>
    <t>Universidad de la Republica Oriental del Uruguay</t>
  </si>
  <si>
    <t>Vitis vinifera subsp vinifera cv. Augster blau</t>
  </si>
  <si>
    <t>Universidad Nacional Autonoma de Honduras</t>
  </si>
  <si>
    <t>Vitis vinifera subsp vinifera cv. Augster weisser</t>
  </si>
  <si>
    <t>Universidad Nacional Hermilio Abad del Cusco, Centro K'Ayra</t>
  </si>
  <si>
    <t>Vitis vinifera subsp vinifera cv. Aurata = Pirovano 110</t>
  </si>
  <si>
    <t>Universidade Federal do Rio Grande do Rio Grande</t>
  </si>
  <si>
    <t>Vitis vinifera subsp vinifera cv. Aurora = Pirovano 100</t>
  </si>
  <si>
    <t>Universita di Catania</t>
  </si>
  <si>
    <t>Vitis vinifera subsp vinifera cv. Autumn black</t>
  </si>
  <si>
    <t>Universitaet Hohenheim</t>
  </si>
  <si>
    <t>Vitis vinifera subsp vinifera cv. Autumn seedless</t>
  </si>
  <si>
    <t>Universite Grenoble Biologie moleculaire et vegetale</t>
  </si>
  <si>
    <t>Vitis vinifera subsp vinifera cv. Auxerrois</t>
  </si>
  <si>
    <t>University California USA</t>
  </si>
  <si>
    <t>Vitis vinifera subsp vinifera cv. Avana</t>
  </si>
  <si>
    <t>University Florida USA</t>
  </si>
  <si>
    <t>Vitis vinifera subsp vinifera cv. Avarengo</t>
  </si>
  <si>
    <t>University of Arizona</t>
  </si>
  <si>
    <t>Vitis vinifera subsp vinifera cv. Avassirkhva</t>
  </si>
  <si>
    <t>University of California</t>
  </si>
  <si>
    <t>Vitis vinifera subsp vinifera cv. Avesso</t>
  </si>
  <si>
    <t>University of Illinois,  Urbana-Champaign</t>
  </si>
  <si>
    <t>Vitis vinifera subsp vinifera cv. Avgoulato</t>
  </si>
  <si>
    <t>University of Pretoria</t>
  </si>
  <si>
    <t>Vitis vinifera subsp vinifera cv. Azal branco</t>
  </si>
  <si>
    <t>University of Puerto Rico</t>
  </si>
  <si>
    <t>Vitis vinifera subsp vinifera cv. Azal tinto</t>
  </si>
  <si>
    <t>University of Saskatchewan</t>
  </si>
  <si>
    <t>Vitis vinifera subsp vinifera cv. Azizi el Jaïa</t>
  </si>
  <si>
    <t>University of Sydney Plant Breeding Institute</t>
  </si>
  <si>
    <t>Vitis vinifera subsp vinifera cv. Azougah</t>
  </si>
  <si>
    <t>University of Udayana</t>
  </si>
  <si>
    <t>Vitis vinifera subsp vinifera cv. B 3-1</t>
  </si>
  <si>
    <t>University of Wuhan, Hubei</t>
  </si>
  <si>
    <t>Vitis vinifera subsp vinifera cv. B 5-6</t>
  </si>
  <si>
    <t>UNKNOWN</t>
  </si>
  <si>
    <t>Vitis vinifera subsp vinifera cv. Babeasca gris</t>
  </si>
  <si>
    <t>Vitis vinifera subsp vinifera cv. Babeasca neagra</t>
  </si>
  <si>
    <t>UPS Pole de Biotechnologie Vegetale</t>
  </si>
  <si>
    <t>Vitis vinifera subsp vinifera cv. Babic</t>
  </si>
  <si>
    <t>Vitis vinifera subsp vinifera cv. Bacchus = Geilweilerhof 33-29-133</t>
  </si>
  <si>
    <t>UR EFV</t>
  </si>
  <si>
    <t>Vitis vinifera subsp vinifera cv. Bacchus Bidault</t>
  </si>
  <si>
    <t>Vitis vinifera subsp vinifera cv. Bachet</t>
  </si>
  <si>
    <t>UR GAFL</t>
  </si>
  <si>
    <t>Vitis vinifera subsp vinifera cv. Badacsonyi Somzölö</t>
  </si>
  <si>
    <t>Vitis vinifera subsp vinifera cv. Baga</t>
  </si>
  <si>
    <t>Vitis vinifera subsp vinifera cv. Baïan Schirei</t>
  </si>
  <si>
    <t>Vitis vinifera subsp vinifera cv. Bakarka</t>
  </si>
  <si>
    <t>URGV</t>
  </si>
  <si>
    <t>Vitis vinifera subsp vinifera cv. Bakator kek</t>
  </si>
  <si>
    <t>URGV,  CNRS / INRA</t>
  </si>
  <si>
    <t>Vitis vinifera subsp vinifera cv. Bakator piros</t>
  </si>
  <si>
    <t>URGV - Plant Genomics Research Unit</t>
  </si>
  <si>
    <t>Vitis vinifera subsp vinifera cv. Bakator tüdöszinu</t>
  </si>
  <si>
    <t>Vitis vinifera subsp vinifera cv. Bakouri</t>
  </si>
  <si>
    <t>URP3F</t>
  </si>
  <si>
    <t>Vitis vinifera subsp vinifera cv. Balafant</t>
  </si>
  <si>
    <t>UR121 RIZ</t>
  </si>
  <si>
    <t>Vitis vinifera subsp vinifera cv. Balaton kincse</t>
  </si>
  <si>
    <t>UR254 Genetique et amelioration des plantes</t>
  </si>
  <si>
    <t>Vitis vinifera subsp vinifera cv. Balbut bijeli</t>
  </si>
  <si>
    <t>U.S. Date and Citrus Station</t>
  </si>
  <si>
    <t>Vitis vinifera subsp vinifera cv. Balint</t>
  </si>
  <si>
    <t>US Department of Agriculture,  Agriculture Research Service, Pacific West Area,  Western Regional Research Center</t>
  </si>
  <si>
    <t>Vitis vinifera subsp vinifera cv. Balouti</t>
  </si>
  <si>
    <t>US Department of Agriculture,  Agriculture Research Service, Plant Science and  Entomology Unit</t>
  </si>
  <si>
    <t>Vitis vinifera subsp vinifera cv. Balouzme</t>
  </si>
  <si>
    <t>U.S. Horticultural Field Station</t>
  </si>
  <si>
    <t>Vitis vinifera subsp vinifera cv. Balsamina nera</t>
  </si>
  <si>
    <t>U.S Horticultural Research</t>
  </si>
  <si>
    <t>Vitis vinifera subsp vinifera cv. Balsamino blanc</t>
  </si>
  <si>
    <t>US. Horticultural Research Lab,  Ft. Pierce,  FL</t>
  </si>
  <si>
    <t>Vitis vinifera subsp vinifera cv. Balzac blanc</t>
  </si>
  <si>
    <t>US Horticultural Research Laboratory</t>
  </si>
  <si>
    <t>Vitis vinifera subsp vinifera cv. Banati Rizling</t>
  </si>
  <si>
    <t>US Horticulture Research Laboratory, USDA/ARS</t>
  </si>
  <si>
    <t>Vitis vinifera subsp vinifera cv. Baratcsuha kek</t>
  </si>
  <si>
    <t>USDA, ARS Agricultural Research Service</t>
  </si>
  <si>
    <t>Vitis vinifera subsp vinifera cv. Baratcsuha szürke</t>
  </si>
  <si>
    <t>USDA, ARS, National Small Grains Collection</t>
  </si>
  <si>
    <t>Vitis vinifera subsp vinifera cv. Barbableu = Pirovano 81</t>
  </si>
  <si>
    <t>USDA, ARS, Plant Genetic Resources Unit, Cornell University, New York State Agricultural Experiment Station</t>
  </si>
  <si>
    <t>Vitis vinifera subsp vinifera cv. Barbaroux</t>
  </si>
  <si>
    <t>USDA, ARS, Washington State University, Irrigation Agricultural Research and Extension Center</t>
  </si>
  <si>
    <t>Vitis vinifera subsp vinifera cv. Barbera</t>
  </si>
  <si>
    <t>USDA, ARS, Western Regional Plant Introduction Station, Washington State University</t>
  </si>
  <si>
    <t>Vitis vinifera subsp vinifera cv. Barbera bianca</t>
  </si>
  <si>
    <t>USDA ARS WRRC</t>
  </si>
  <si>
    <t>Vitis vinifera subsp vinifera cv. Barcello</t>
  </si>
  <si>
    <t>USDA Beltsville Agricultural research Centre</t>
  </si>
  <si>
    <t>Vitis vinifera subsp vinifera cv. Barducis</t>
  </si>
  <si>
    <t>USDA/ARS Children's Nutrition Research Center</t>
  </si>
  <si>
    <t>Vitis vinifera subsp vinifera cv. Baresana</t>
  </si>
  <si>
    <t>USDA-ARS-JWDSRC</t>
  </si>
  <si>
    <t>Vitis vinifera subsp vinifera cv. Barlinka</t>
  </si>
  <si>
    <t>U.S.Department of Agriculture</t>
  </si>
  <si>
    <t>Vitis vinifera subsp vinifera cv. Barone dell Aterno = Pirovano 184</t>
  </si>
  <si>
    <t>U.S.Department of Agriculture - Agricultural Research Service</t>
  </si>
  <si>
    <t>Vitis vinifera subsp vinifera cv. Baroque</t>
  </si>
  <si>
    <t>Ustimovskaya Experimental Station for Plant Cultivation</t>
  </si>
  <si>
    <t>Vitis vinifera subsp vinifera cv. Baroque rose</t>
  </si>
  <si>
    <t>Utah Agricultural Experiment Station, Utah State University</t>
  </si>
  <si>
    <t>Vitis vinifera subsp vinifera cv. Barraquou</t>
  </si>
  <si>
    <t>Van borren, Tchécoslovaquie</t>
  </si>
  <si>
    <t>Vitis vinifera subsp vinifera cv. Barsaglina</t>
  </si>
  <si>
    <t>Van der Have GmbH</t>
  </si>
  <si>
    <t>Vitis vinifera subsp vinifera cv. Baserri</t>
  </si>
  <si>
    <t>Veg Saatzucht Hadmersleben</t>
  </si>
  <si>
    <t>Vitis vinifera subsp vinifera cv. Basicata</t>
  </si>
  <si>
    <t>Vegetable breeding station PEKIN</t>
  </si>
  <si>
    <t>Vitis vinifera subsp vinifera cv. Basicata faux</t>
  </si>
  <si>
    <t>Verger expérimental de l'Yonne (89) - France</t>
  </si>
  <si>
    <t>Vitis vinifera subsp vinifera cv. Basile Logothetis = Pirovano 77</t>
  </si>
  <si>
    <t>Villa Thuret</t>
  </si>
  <si>
    <t>Vitis vinifera subsp vinifera cv. Basilicumtraube</t>
  </si>
  <si>
    <t>Ville de Menton</t>
  </si>
  <si>
    <t>Vitis vinifera subsp vinifera cv. Bastardinho</t>
  </si>
  <si>
    <t>Vilmorin</t>
  </si>
  <si>
    <t>Vitis vinifera subsp vinifera cv. Bastardo Magaratchskii</t>
  </si>
  <si>
    <t>Vilmorin S.A.</t>
  </si>
  <si>
    <t>Vitis vinifera subsp vinifera cv. Batiki</t>
  </si>
  <si>
    <t>Vilmorin-Andrieux</t>
  </si>
  <si>
    <t>Vitis vinifera subsp vinifera cv. Batoca blanc</t>
  </si>
  <si>
    <t>Virginia Agricultural Experiment Station, Virginia Tech</t>
  </si>
  <si>
    <t>Vitis vinifera subsp vinifera cv. Battraube</t>
  </si>
  <si>
    <t>Vnii Sorgo I Drugih Zernovyh Kul'tur</t>
  </si>
  <si>
    <t>Vitis vinifera subsp vinifera cv. Batuta neagra</t>
  </si>
  <si>
    <t>Volcani Research Center</t>
  </si>
  <si>
    <t>Vitis vinifera subsp vinifera cv. Baude</t>
  </si>
  <si>
    <t>Waite Agricultural Research Institute University of Adelaide</t>
  </si>
  <si>
    <t>Vitis vinifera subsp vinifera cv. Baxtiori</t>
  </si>
  <si>
    <t>Wakayama Fruit Tree Experiment Station</t>
  </si>
  <si>
    <t>Vitis vinifera subsp vinifera cv. Bayad</t>
  </si>
  <si>
    <t>Washington State University Research Foundation - Pullman, WA - USA - Toyama TK</t>
  </si>
  <si>
    <t>Vitis vinifera subsp vinifera cv. Bayadi</t>
  </si>
  <si>
    <t>Washington State University Research Foundation, Pullman, WA - USA + Cot International, Generac - France</t>
  </si>
  <si>
    <t>Vitis vinifera subsp vinifera cv. Bayadi de Syrie</t>
  </si>
  <si>
    <t>Weizman Institute of Science</t>
  </si>
  <si>
    <t>Vitis vinifera subsp vinifera cv. Bayadi du Liban</t>
  </si>
  <si>
    <t>Western Australian Department of Agriculture</t>
  </si>
  <si>
    <t>Vitis vinifera subsp vinifera cv. BB 575-49 SRLH</t>
  </si>
  <si>
    <t>Wet-lowlands Islands Research Programme, Keravat</t>
  </si>
  <si>
    <t>Vitis vinifera subsp vinifera cv. Beala debela</t>
  </si>
  <si>
    <t>Wheat National Research Center</t>
  </si>
  <si>
    <t>Vitis vinifera subsp vinifera cv. Beaunoir</t>
  </si>
  <si>
    <t>Wheat Research Institute Ilam Research Centre</t>
  </si>
  <si>
    <t>Vitis vinifera subsp vinifera cv. Beauty seedless</t>
  </si>
  <si>
    <t>Wiersum Plant Breeding Station</t>
  </si>
  <si>
    <t>Vitis vinifera subsp vinifera cv. Béclan</t>
  </si>
  <si>
    <t>William James Farrer - Breeder</t>
  </si>
  <si>
    <t>Vitis vinifera subsp vinifera cv. Beid el Hamman</t>
  </si>
  <si>
    <t>Willits &amp; Newcomb Nurseries Co. Inc</t>
  </si>
  <si>
    <t>Vitis vinifera subsp vinifera cv. Beitamouni</t>
  </si>
  <si>
    <t>Winnipeg Research Station Agriculture Canada</t>
  </si>
  <si>
    <t>Vitis vinifera subsp vinifera cv. Belair</t>
  </si>
  <si>
    <t>Wisconsin Agricultural Experiment Station, University of Wisconsin</t>
  </si>
  <si>
    <t>Vitis vinifera subsp vinifera cv. Beldi x Ugni blanc</t>
  </si>
  <si>
    <t>World Seeds Inc.</t>
  </si>
  <si>
    <t>Vitis vinifera subsp vinifera cv. Beldi x Ugni blanc 36 L 4</t>
  </si>
  <si>
    <t>Yossef Ben-dor, Perot Oemashtalot Ltd. - Hama'ala - Israel</t>
  </si>
  <si>
    <t>Vitis vinifera subsp vinifera cv. Belle de Cegled</t>
  </si>
  <si>
    <t>Zaiger Floid, Modesto - CA - USA</t>
  </si>
  <si>
    <t>Vitis vinifera subsp vinifera cv. Bellevue</t>
  </si>
  <si>
    <t>Zelder B.V.</t>
  </si>
  <si>
    <t>Vitis vinifera subsp vinifera cv. Bellino</t>
  </si>
  <si>
    <t>Zeneca Seeds UK Limited - Plant Breeding and Research Centre</t>
  </si>
  <si>
    <t>Vitis vinifera subsp vinifera cv. Bellone</t>
  </si>
  <si>
    <t>Zeneca Wheat Improvement Centre,  Norwich Research Park</t>
  </si>
  <si>
    <t>Vitis vinifera subsp vinifera cv. Belz el Ansa</t>
  </si>
  <si>
    <t>Zhejiang University</t>
  </si>
  <si>
    <t>Vitis vinifera subsp vinifera cv. Bem tabornok = Général Bem</t>
  </si>
  <si>
    <t>Zjednocz. Hodowli Roslin i Nasiennictwa</t>
  </si>
  <si>
    <t>Vitis vinifera subsp vinifera cv. Ben Suilah</t>
  </si>
  <si>
    <t>ZMBP - Center for Molecular Biology of Plants</t>
  </si>
  <si>
    <t>Vitis vinifera subsp vinifera cv. Beneti noir</t>
  </si>
  <si>
    <t>Vitis vinifera subsp vinifera cv. Benicarlo</t>
  </si>
  <si>
    <t>Vitis vinifera subsp vinifera cv. Beogradska rana</t>
  </si>
  <si>
    <t>Vitis vinifera subsp vinifera cv. Béquignol</t>
  </si>
  <si>
    <t>Vitis vinifera subsp vinifera cv. Béquignol blanc</t>
  </si>
  <si>
    <t>Vitis vinifera subsp vinifera cv. Béquignol gris</t>
  </si>
  <si>
    <t>Vitis vinifera subsp vinifera cv. Beran</t>
  </si>
  <si>
    <t>Vitis vinifera subsp vinifera cv. Berbecel</t>
  </si>
  <si>
    <t>Vitis vinifera subsp vinifera cv. Berdomenel</t>
  </si>
  <si>
    <t>Vitis vinifera subsp vinifera cv. Beregi rozsas</t>
  </si>
  <si>
    <t>Vitis vinifera subsp vinifera cv. Beregi rozsas faux</t>
  </si>
  <si>
    <t>Vitis vinifera subsp vinifera cv. Bermestia bianca</t>
  </si>
  <si>
    <t>Vitis vinifera subsp vinifera cv. Bervedino</t>
  </si>
  <si>
    <t>Vitis vinifera subsp vinifera cv. Besgano nero</t>
  </si>
  <si>
    <t>Vitis vinifera subsp vinifera cv. Best's 22</t>
  </si>
  <si>
    <t>Vitis vinifera subsp vinifera cv. Bettlertraube</t>
  </si>
  <si>
    <t>Vitis vinifera subsp vinifera cv. Beylerce</t>
  </si>
  <si>
    <t>Vitis vinifera subsp vinifera cv. Bezoul el Aouda</t>
  </si>
  <si>
    <t>Vitis vinifera subsp vinifera cv. Bezoul el Kedima</t>
  </si>
  <si>
    <t>Vitis vinifera subsp vinifera cv. Bezoul el Kelba</t>
  </si>
  <si>
    <t>Vitis vinifera subsp vinifera cv. Bezoul el Khadem</t>
  </si>
  <si>
    <t>Vitis vinifera subsp vinifera cv. Bia blanc</t>
  </si>
  <si>
    <t>Vitis vinifera subsp vinifera cv. Biancame</t>
  </si>
  <si>
    <t>Vitis vinifera subsp vinifera cv. Biancazza</t>
  </si>
  <si>
    <t>Vitis vinifera subsp vinifera cv. Bianchetta genovese</t>
  </si>
  <si>
    <t>Vitis vinifera subsp vinifera cv. Bianchetta trevigiana</t>
  </si>
  <si>
    <t>Vitis vinifera subsp vinifera cv. Bianco d'Alessano</t>
  </si>
  <si>
    <t>Vitis vinifera subsp vinifera cv. Biancolella</t>
  </si>
  <si>
    <t>Vitis vinifera subsp vinifera cv. Biancone</t>
  </si>
  <si>
    <t>Vitis vinifera subsp vinifera cv. Biancu Gentile</t>
  </si>
  <si>
    <t>Vitis vinifera subsp vinifera cv. Bicane</t>
  </si>
  <si>
    <t>Vitis vinifera subsp vinifera cv. Bichtii</t>
  </si>
  <si>
    <t>Vitis vinifera subsp vinifera cv. Biczo balint emleke</t>
  </si>
  <si>
    <t>Vitis vinifera subsp vinifera cv. Biczö egon</t>
  </si>
  <si>
    <t>Vitis vinifera subsp vinifera cv. Bidaneh ghelmez</t>
  </si>
  <si>
    <t>Vitis vinifera subsp vinifera cv. Bien donné</t>
  </si>
  <si>
    <t>Vitis vinifera subsp vinifera cv. Big Perlon</t>
  </si>
  <si>
    <t>Vitis vinifera subsp vinifera cv. Bigasse</t>
  </si>
  <si>
    <t>Vitis vinifera subsp vinifera cv. Binisalem</t>
  </si>
  <si>
    <t>Vitis vinifera subsp vinifera cv. Black Alicante</t>
  </si>
  <si>
    <t>Vitis vinifera subsp vinifera cv. Black monukka</t>
  </si>
  <si>
    <t>Vitis vinifera subsp vinifera cv. Black Morocco</t>
  </si>
  <si>
    <t>Vitis vinifera subsp vinifera cv. Black Pearl Corrin</t>
  </si>
  <si>
    <t>Vitis vinifera subsp vinifera cv. Black Prince</t>
  </si>
  <si>
    <t>Vitis vinifera subsp vinifera cv. Black Rose = H 3-47</t>
  </si>
  <si>
    <t>Vitis vinifera subsp vinifera cv. Blanc Auba</t>
  </si>
  <si>
    <t>Vitis vinifera subsp vinifera cv. Blanc Cardon</t>
  </si>
  <si>
    <t>Vitis vinifera subsp vinifera cv. Blanc d'ambre</t>
  </si>
  <si>
    <t>Vitis vinifera subsp vinifera cv. Blanc Dame</t>
  </si>
  <si>
    <t>Vitis vinifera subsp vinifera cv. Blanc d'Automne</t>
  </si>
  <si>
    <t>Vitis vinifera subsp vinifera cv. Blanc de Creüe</t>
  </si>
  <si>
    <t>Vitis vinifera subsp vinifera cv. Blanc de Dellys</t>
  </si>
  <si>
    <t>Vitis vinifera subsp vinifera cv. Blanc de Dellys x Rhodites</t>
  </si>
  <si>
    <t>Vitis vinifera subsp vinifera cv. Blanc de Morgex</t>
  </si>
  <si>
    <t>Vitis vinifera subsp vinifera cv. Blanc de Rhafsaï</t>
  </si>
  <si>
    <t>Vitis vinifera subsp vinifera cv. Blanc Marquis</t>
  </si>
  <si>
    <t>Vitis vinifera subsp vinifera cv. Blanc Neyroud</t>
  </si>
  <si>
    <t>Vitis vinifera subsp vinifera cv. Blanc vert</t>
  </si>
  <si>
    <t>Vitis vinifera subsp vinifera cv. Blanca Gordal</t>
  </si>
  <si>
    <t>Vitis vinifera subsp vinifera cv. Blanca Superior para parral</t>
  </si>
  <si>
    <t>Vitis vinifera subsp vinifera cv. Blanca temprana Almeria</t>
  </si>
  <si>
    <t>Vitis vinifera subsp vinifera cv. Blancard</t>
  </si>
  <si>
    <t>Vitis vinifera subsp vinifera cv. Blanchier</t>
  </si>
  <si>
    <t>Vitis vinifera subsp vinifera cv. Blancorna</t>
  </si>
  <si>
    <t>Vitis vinifera subsp vinifera cv. Blank blauer</t>
  </si>
  <si>
    <t>Vitis vinifera subsp vinifera cv. Blanqueiron</t>
  </si>
  <si>
    <t>Vitis vinifera subsp vinifera cv. Blatina crna</t>
  </si>
  <si>
    <t>Vitis vinifera subsp vinifera cv. Blauburger</t>
  </si>
  <si>
    <t>Vitis vinifera subsp vinifera cv. Blauer Muskateller</t>
  </si>
  <si>
    <t>Vitis vinifera subsp vinifera cv. Blush seedless</t>
  </si>
  <si>
    <t>Vitis vinifera subsp vinifera cv. Boal cachudo</t>
  </si>
  <si>
    <t>Vitis vinifera subsp vinifera cv. Boal de Alicante Moscatel</t>
  </si>
  <si>
    <t>Vitis vinifera subsp vinifera cv. Boal de Madère</t>
  </si>
  <si>
    <t>Vitis vinifera subsp vinifera cv. Boal de Natura</t>
  </si>
  <si>
    <t>Vitis vinifera subsp vinifera cv. Boal molle</t>
  </si>
  <si>
    <t>Vitis vinifera subsp vinifera cv. Boal rosado</t>
  </si>
  <si>
    <t>Vitis vinifera subsp vinifera cv. Bobal</t>
  </si>
  <si>
    <t>Vitis vinifera subsp vinifera cv. Bocalilla</t>
  </si>
  <si>
    <t>Vitis vinifera subsp vinifera cv. Bogaz kere</t>
  </si>
  <si>
    <t>Vitis vinifera subsp vinifera cv. Bogdanusa</t>
  </si>
  <si>
    <t>Vitis vinifera subsp vinifera cv. Bogdanyi dinka</t>
  </si>
  <si>
    <t>Vitis vinifera subsp vinifera cv. Bogni 17 B</t>
  </si>
  <si>
    <t>Vitis vinifera subsp vinifera cv. Bogni 8</t>
  </si>
  <si>
    <t>Vitis vinifera subsp vinifera cv. Bombino bianco</t>
  </si>
  <si>
    <t>Vitis vinifera subsp vinifera cv. Bombino nero</t>
  </si>
  <si>
    <t>Vitis vinifera subsp vinifera cv. Bon blanc de Frangy</t>
  </si>
  <si>
    <t>Vitis vinifera subsp vinifera cv. Bonamico</t>
  </si>
  <si>
    <t>Vitis vinifera subsp vinifera cv. Bonarda piemontese</t>
  </si>
  <si>
    <t>Vitis vinifera subsp vinifera cv. Bonheur</t>
  </si>
  <si>
    <t>Vitis vinifera subsp vinifera cv. Bonne Vituaigne</t>
  </si>
  <si>
    <t>Vitis vinifera subsp vinifera cv. Bonnet de retord</t>
  </si>
  <si>
    <t>Vitis vinifera subsp vinifera cv. Bonnita</t>
  </si>
  <si>
    <t>Vitis vinifera subsp vinifera cv. Borba blanca</t>
  </si>
  <si>
    <t>Vitis vinifera subsp vinifera cv. Boriska</t>
  </si>
  <si>
    <t>Vitis vinifera subsp vinifera cv. Borraçal</t>
  </si>
  <si>
    <t>Vitis vinifera subsp vinifera cv. Borrado das moscas</t>
  </si>
  <si>
    <t>Vitis vinifera subsp vinifera cv. Bosco</t>
  </si>
  <si>
    <t>Vitis vinifera subsp vinifera cv. Boskokwi</t>
  </si>
  <si>
    <t>Vitis vinifera subsp vinifera cv. Botun</t>
  </si>
  <si>
    <t>Vitis vinifera subsp vinifera cv. Bou Khanzir blanc</t>
  </si>
  <si>
    <t>Vitis vinifera subsp vinifera cv. Bou Khanzir noir</t>
  </si>
  <si>
    <t>Vitis vinifera subsp vinifera cv. Bou Qsob faux</t>
  </si>
  <si>
    <t>Vitis vinifera subsp vinifera cv. Bou Rouguia</t>
  </si>
  <si>
    <t>Vitis vinifera subsp vinifera cv. Bouaki nor</t>
  </si>
  <si>
    <t>Vitis vinifera subsp vinifera cv. Bouaki tach</t>
  </si>
  <si>
    <t>Vitis vinifera subsp vinifera cv. Bouchalès</t>
  </si>
  <si>
    <t>Vitis vinifera subsp vinifera cv. Bouchereau</t>
  </si>
  <si>
    <t>Vitis vinifera subsp vinifera cv. Bouchouka</t>
  </si>
  <si>
    <t>Vitis vinifera subsp vinifera cv. Boudechouri tcherny</t>
  </si>
  <si>
    <t>Vitis vinifera subsp vinifera cv. Bouillan</t>
  </si>
  <si>
    <t>Vitis vinifera subsp vinifera cv. Bouillenc noir</t>
  </si>
  <si>
    <t>Vitis vinifera subsp vinifera cv. Bouillet</t>
  </si>
  <si>
    <t>Vitis vinifera subsp vinifera cv. Boulanoui</t>
  </si>
  <si>
    <t>Vitis vinifera subsp vinifera cv. Bouquet riesling</t>
  </si>
  <si>
    <t>Vitis vinifera subsp vinifera cv. Bouquet Sylvaner</t>
  </si>
  <si>
    <t>Vitis vinifera subsp vinifera cv. Bouquettraube</t>
  </si>
  <si>
    <t>Vitis vinifera subsp vinifera cv. Bourboulenc</t>
  </si>
  <si>
    <t>Vitis vinifera subsp vinifera cv. Bourdier 2-04-58</t>
  </si>
  <si>
    <t>Vitis vinifera subsp vinifera cv. Bourrisquou</t>
  </si>
  <si>
    <t>Vitis vinifera subsp vinifera cv. Bouteillan noir</t>
  </si>
  <si>
    <t>Vitis vinifera subsp vinifera cv. Bouvierrebe</t>
  </si>
  <si>
    <t>Vitis vinifera subsp vinifera cv. Bouzouga</t>
  </si>
  <si>
    <t>Vitis vinifera subsp vinifera cv. Bovale grande = Bovale di Spagna</t>
  </si>
  <si>
    <t>Vitis vinifera subsp vinifera cv. Bracciola nera</t>
  </si>
  <si>
    <t>Vitis vinifera subsp vinifera cv. Brachet</t>
  </si>
  <si>
    <t>Vitis vinifera subsp vinifera cv. Brachet 2</t>
  </si>
  <si>
    <t>Vitis vinifera subsp vinifera cv. Brachetto</t>
  </si>
  <si>
    <t>Vitis vinifera subsp vinifera cv. Braghina</t>
  </si>
  <si>
    <t>Vitis vinifera subsp vinifera cv. Bratkovina</t>
  </si>
  <si>
    <t>Vitis vinifera subsp vinifera cv. Bronnerstraube</t>
  </si>
  <si>
    <t>Vitis vinifera subsp vinifera cv. Broumest</t>
  </si>
  <si>
    <t>Vitis vinifera subsp vinifera cv. Brun argenté</t>
  </si>
  <si>
    <t>Vitis vinifera subsp vinifera cv. Brun Fourca</t>
  </si>
  <si>
    <t>Vitis vinifera subsp vinifera cv. Bruni 1 Sélection clonale</t>
  </si>
  <si>
    <t>Vitis vinifera subsp vinifera cv. Bruni 100</t>
  </si>
  <si>
    <t>Vitis vinifera subsp vinifera cv. Bruni 102</t>
  </si>
  <si>
    <t>Vitis vinifera subsp vinifera cv. Bruni 116</t>
  </si>
  <si>
    <t>Vitis vinifera subsp vinifera cv. Bruni 12</t>
  </si>
  <si>
    <t>Vitis vinifera subsp vinifera cv. Bruni 125</t>
  </si>
  <si>
    <t>Vitis vinifera subsp vinifera cv. Bruni 14</t>
  </si>
  <si>
    <t>Vitis vinifera subsp vinifera cv. Bruni 147</t>
  </si>
  <si>
    <t>Vitis vinifera subsp vinifera cv. Bruni 15</t>
  </si>
  <si>
    <t>Vitis vinifera subsp vinifera cv. Bruni 154</t>
  </si>
  <si>
    <t>Vitis vinifera subsp vinifera cv. Bruni 18 (hybride)</t>
  </si>
  <si>
    <t>Vitis vinifera subsp vinifera cv. Bruni 317</t>
  </si>
  <si>
    <t>Vitis vinifera subsp vinifera cv. Bruni 33</t>
  </si>
  <si>
    <t>Vitis vinifera subsp vinifera cv. Bruni 36</t>
  </si>
  <si>
    <t>Vitis vinifera subsp vinifera cv. Bruni 360</t>
  </si>
  <si>
    <t>Vitis vinifera subsp vinifera cv. Bruni 381</t>
  </si>
  <si>
    <t>Vitis vinifera subsp vinifera cv. Bruni 4</t>
  </si>
  <si>
    <t>Vitis vinifera subsp vinifera cv. Bruni 41</t>
  </si>
  <si>
    <t>Vitis vinifera subsp vinifera cv. Bruni 415</t>
  </si>
  <si>
    <t>Vitis vinifera subsp vinifera cv. Bruni 429</t>
  </si>
  <si>
    <t>Vitis vinifera subsp vinifera cv. Bruni 45</t>
  </si>
  <si>
    <t>Vitis vinifera subsp vinifera cv. Bruni 54</t>
  </si>
  <si>
    <t>Vitis vinifera subsp vinifera cv. Bruni 65</t>
  </si>
  <si>
    <t>Vitis vinifera subsp vinifera cv. Bruni 74</t>
  </si>
  <si>
    <t>Vitis vinifera subsp vinifera cv. Bruni 75</t>
  </si>
  <si>
    <t>Vitis vinifera subsp vinifera cv. Bruni 90</t>
  </si>
  <si>
    <t>Vitis vinifera subsp vinifera cv. Brunq noir</t>
  </si>
  <si>
    <t>Vitis vinifera subsp vinifera cv. Brustiano</t>
  </si>
  <si>
    <t>Vitis vinifera subsp vinifera cv. Brustiano faux</t>
  </si>
  <si>
    <t>Vitis vinifera subsp vinifera cv. Buckland sweet water</t>
  </si>
  <si>
    <t>Vitis vinifera subsp vinifera cv. Budai Szagos</t>
  </si>
  <si>
    <t>Vitis vinifera subsp vinifera cv. Budai zöld</t>
  </si>
  <si>
    <t>Vitis vinifera subsp vinifera cv. Burgrave de Hongrie</t>
  </si>
  <si>
    <t>Vitis vinifera subsp vinifera cv. Cabasma alba</t>
  </si>
  <si>
    <t>Vitis vinifera subsp vinifera cv. Cabernet franc</t>
  </si>
  <si>
    <t>Vitis vinifera subsp vinifera cv. Cabernet Lion</t>
  </si>
  <si>
    <t>Vitis vinifera subsp vinifera cv. Cabernet-Malbec n°1</t>
  </si>
  <si>
    <t>Vitis vinifera subsp vinifera cv. Cabernet-Malbec n°2</t>
  </si>
  <si>
    <t>Vitis vinifera subsp vinifera cv. Cabernet-Malbec n°4</t>
  </si>
  <si>
    <t>Vitis vinifera subsp vinifera cv. Cabernet-Sauvignon</t>
  </si>
  <si>
    <t>Vitis vinifera subsp vinifera cv. Cacaboué</t>
  </si>
  <si>
    <t>Vitis vinifera subsp vinifera cv. Caddiu</t>
  </si>
  <si>
    <t>Vitis vinifera subsp vinifera cv. Cainho branco</t>
  </si>
  <si>
    <t>Vitis vinifera subsp vinifera cv. Caiño longo</t>
  </si>
  <si>
    <t>Vitis vinifera subsp vinifera cv. Calabre</t>
  </si>
  <si>
    <t>Vitis vinifera subsp vinifera cv. Calabrese</t>
  </si>
  <si>
    <t>Vitis vinifera subsp vinifera cv. Caladoc = INRA 1510-104</t>
  </si>
  <si>
    <t>Vitis vinifera subsp vinifera cv. Calitor</t>
  </si>
  <si>
    <t>Vitis vinifera subsp vinifera cv. Calitor blanc</t>
  </si>
  <si>
    <t>Vitis vinifera subsp vinifera cv. Calitor gris</t>
  </si>
  <si>
    <t>Vitis vinifera subsp vinifera cv. Callet</t>
  </si>
  <si>
    <t>Vitis vinifera subsp vinifera cv. Calmeria = C11-31-5</t>
  </si>
  <si>
    <t>Vitis vinifera subsp vinifera cv. Caloria</t>
  </si>
  <si>
    <t>Vitis vinifera subsp vinifera cv. Calzin</t>
  </si>
  <si>
    <t>Vitis vinifera subsp vinifera cv. Camaralet de Lasseube</t>
  </si>
  <si>
    <t>Vitis vinifera subsp vinifera cv. Camaraou blanc</t>
  </si>
  <si>
    <t>Vitis vinifera subsp vinifera cv. Camaraou noir</t>
  </si>
  <si>
    <t>Vitis vinifera subsp vinifera cv. Canaiolo</t>
  </si>
  <si>
    <t>Vitis vinifera subsp vinifera cv. Canari</t>
  </si>
  <si>
    <t>Vitis vinifera subsp vinifera cv. Canina nera</t>
  </si>
  <si>
    <t>Vitis vinifera subsp vinifera cv. Canner seedless</t>
  </si>
  <si>
    <t>Vitis vinifera subsp vinifera cv. Cannon Hall</t>
  </si>
  <si>
    <t>Vitis vinifera subsp vinifera cv. Cannon Hall faux</t>
  </si>
  <si>
    <t>Vitis vinifera subsp vinifera cv. Cañocazo</t>
  </si>
  <si>
    <t>Vitis vinifera subsp vinifera cv. Cañorroyo</t>
  </si>
  <si>
    <t>Vitis vinifera subsp vinifera cv. Cape currant</t>
  </si>
  <si>
    <t>Vitis vinifera subsp vinifera cv. Caralicante</t>
  </si>
  <si>
    <t>Vitis vinifera subsp vinifera cv. Carcaces</t>
  </si>
  <si>
    <t>Vitis vinifera subsp vinifera cv. Carcajolo</t>
  </si>
  <si>
    <t>Vitis vinifera subsp vinifera cv. Carcajolo blanc</t>
  </si>
  <si>
    <t>Vitis vinifera subsp vinifera cv. Cardinal = G 10-30</t>
  </si>
  <si>
    <t>Vitis vinifera subsp vinifera cv. Carignan</t>
  </si>
  <si>
    <t>Vitis vinifera subsp vinifera cv. Carignan blanc</t>
  </si>
  <si>
    <t>Vitis vinifera subsp vinifera cv. Carignan Bouschet</t>
  </si>
  <si>
    <t>Vitis vinifera subsp vinifera cv. Carignan gris</t>
  </si>
  <si>
    <t>Vitis vinifera subsp vinifera cv. Carla = INRA 1650-10</t>
  </si>
  <si>
    <t>Vitis vinifera subsp vinifera cv. Carmenère</t>
  </si>
  <si>
    <t>Vitis vinifera subsp vinifera cv. Carminoir</t>
  </si>
  <si>
    <t>Vitis vinifera subsp vinifera cv. Carnelian</t>
  </si>
  <si>
    <t>Vitis vinifera subsp vinifera cv. Carrega somera</t>
  </si>
  <si>
    <t>Vitis vinifera subsp vinifera cv. Carricante</t>
  </si>
  <si>
    <t>Vitis vinifera subsp vinifera cv. Cartuja blanca</t>
  </si>
  <si>
    <t>Vitis vinifera subsp vinifera cv. Castellano morado</t>
  </si>
  <si>
    <t>Vitis vinifera subsp vinifera cv. Castets</t>
  </si>
  <si>
    <t>Vitis vinifera subsp vinifera cv. Castiglione</t>
  </si>
  <si>
    <t>Vitis vinifera subsp vinifera cv. Catalanesca</t>
  </si>
  <si>
    <t>Vitis vinifera subsp vinifera cv. Catanese nero</t>
  </si>
  <si>
    <t>Vitis vinifera subsp vinifera cv. Catarratto bianco comune</t>
  </si>
  <si>
    <t>Vitis vinifera subsp vinifera cv. Catarratto bianco lucido</t>
  </si>
  <si>
    <t>Vitis vinifera subsp vinifera cv. Catarratto nero</t>
  </si>
  <si>
    <t>Vitis vinifera subsp vinifera cv. Centennial seedless</t>
  </si>
  <si>
    <t>Vitis vinifera subsp vinifera cv. Centorotolli</t>
  </si>
  <si>
    <t>Vitis vinifera subsp vinifera cv. Cep rouge</t>
  </si>
  <si>
    <t>Vitis vinifera subsp vinifera cv. Cercial du Dão</t>
  </si>
  <si>
    <t>Vitis vinifera subsp vinifera cv. Cereza</t>
  </si>
  <si>
    <t>Vitis vinifera subsp vinifera cv. Cesanese comune</t>
  </si>
  <si>
    <t>Vitis vinifera subsp vinifera cv. César</t>
  </si>
  <si>
    <t>Vitis vinifera subsp vinifera cv. Chaani biely</t>
  </si>
  <si>
    <t>Vitis vinifera subsp vinifera cv. Chaani tchernii</t>
  </si>
  <si>
    <t>Vitis vinifera subsp vinifera cv. Chahnani</t>
  </si>
  <si>
    <t>Vitis vinifera subsp vinifera cv. Chaillaud</t>
  </si>
  <si>
    <t>Vitis vinifera subsp vinifera cv. Chakar angour de Tachkent</t>
  </si>
  <si>
    <t>Vitis vinifera subsp vinifera cv. Chalosse noire</t>
  </si>
  <si>
    <t>Vitis vinifera subsp vinifera cv. Chalosse noire = Négret castrais</t>
  </si>
  <si>
    <t>Vitis vinifera subsp vinifera cv. Chami</t>
  </si>
  <si>
    <t>Vitis vinifera subsp vinifera cv. Chany gris</t>
  </si>
  <si>
    <t>Vitis vinifera subsp vinifera cv. Chaouch blanc</t>
  </si>
  <si>
    <t>Vitis vinifera subsp vinifera cv. Chaouch rose</t>
  </si>
  <si>
    <t>Vitis vinifera subsp vinifera cv. Chaptal</t>
  </si>
  <si>
    <t>Vitis vinifera subsp vinifera cv. Chardonnay</t>
  </si>
  <si>
    <t>Vitis vinifera subsp vinifera cv. Chardonnay musqué</t>
  </si>
  <si>
    <t>Vitis vinifera subsp vinifera cv. Chardonnay rose</t>
  </si>
  <si>
    <t>Vitis vinifera subsp vinifera cv. Charmont</t>
  </si>
  <si>
    <t>Vitis vinifera subsp vinifera cv. Chasan = INRA 1527-78</t>
  </si>
  <si>
    <t>Vitis vinifera subsp vinifera cv. Chasselas</t>
  </si>
  <si>
    <t>Vitis vinifera subsp vinifera cv. Chasselas apyrène</t>
  </si>
  <si>
    <t>Vitis vinifera subsp vinifera cv. Chasselas des Bouches du Rhône</t>
  </si>
  <si>
    <t>Vitis vinifera subsp vinifera cv. Chasselas Duhamel</t>
  </si>
  <si>
    <t>Vitis vinifera subsp vinifera cv. Chasselas Impérial Oberlin</t>
  </si>
  <si>
    <t>Vitis vinifera subsp vinifera cv. Chasselas lacinifolié</t>
  </si>
  <si>
    <t>Vitis vinifera subsp vinifera cv. Chasselas Michel Tompa</t>
  </si>
  <si>
    <t>Vitis vinifera subsp vinifera cv. Chasselas musqué</t>
  </si>
  <si>
    <t>Vitis vinifera subsp vinifera cv. Chasselas noir</t>
  </si>
  <si>
    <t>Vitis vinifera subsp vinifera cv. Chasselas rose</t>
  </si>
  <si>
    <t>Vitis vinifera subsp vinifera cv. Chasselas rose royal</t>
  </si>
  <si>
    <t>Vitis vinifera subsp vinifera cv. Chasselas rouge</t>
  </si>
  <si>
    <t>Vitis vinifera subsp vinifera cv. Chasselas tétraploïde</t>
  </si>
  <si>
    <t>Vitis vinifera subsp vinifera cv. Chasselas violet</t>
  </si>
  <si>
    <t>Vitis vinifera subsp vinifera cv. Chatus</t>
  </si>
  <si>
    <t>Vitis vinifera subsp vinifera cv. Chenanson = INRA 1509-149</t>
  </si>
  <si>
    <t>Vitis vinifera subsp vinifera cv. Chenin</t>
  </si>
  <si>
    <t>Vitis vinifera subsp vinifera cv. Chichaud</t>
  </si>
  <si>
    <t>Vitis vinifera subsp vinifera cv. Chikki</t>
  </si>
  <si>
    <t>Vitis vinifera subsp vinifera cv. Chirai</t>
  </si>
  <si>
    <t>Vitis vinifera subsp vinifera cv. Chiroka Melnichka = Melnik</t>
  </si>
  <si>
    <t>Vitis vinifera subsp vinifera cv. Chirvan chakhi</t>
  </si>
  <si>
    <t>Vitis vinifera subsp vinifera cv. Chouchillon</t>
  </si>
  <si>
    <t>Vitis vinifera subsp vinifera cv. Christmas rose</t>
  </si>
  <si>
    <t>Vitis vinifera subsp vinifera cv. Chtour angour</t>
  </si>
  <si>
    <t>Vitis vinifera subsp vinifera cv. Ciclopica = Pirovano 60</t>
  </si>
  <si>
    <t>Vitis vinifera subsp vinifera cv. Ciganyszölö</t>
  </si>
  <si>
    <t>Vitis vinifera subsp vinifera cv. Ciliegiolo</t>
  </si>
  <si>
    <t>Vitis vinifera subsp vinifera cv. Cinsaut</t>
  </si>
  <si>
    <t>Vitis vinifera subsp vinifera cv. Cinsaut Bouschet</t>
  </si>
  <si>
    <t>Vitis vinifera subsp vinifera cv. Cioinic</t>
  </si>
  <si>
    <t>Vitis vinifera subsp vinifera cv. Circé</t>
  </si>
  <si>
    <t>Vitis vinifera subsp vinifera cv. Citana</t>
  </si>
  <si>
    <t>Vitis vinifera subsp vinifera cv. Citronelle</t>
  </si>
  <si>
    <t>Vitis vinifera subsp vinifera cv. Citronelle x Aramon</t>
  </si>
  <si>
    <t>Vitis vinifera subsp vinifera cv. Clairette</t>
  </si>
  <si>
    <t>Vitis vinifera subsp vinifera cv. Clairette Mazel</t>
  </si>
  <si>
    <t>Vitis vinifera subsp vinifera cv. Clairette rose</t>
  </si>
  <si>
    <t>Vitis vinifera subsp vinifera cv. Clairette x Beldi 36 L 2</t>
  </si>
  <si>
    <t>Vitis vinifera subsp vinifera cv. Clarin = INRA 573-11</t>
  </si>
  <si>
    <t>Vitis vinifera subsp vinifera cv. Claverie</t>
  </si>
  <si>
    <t>Vitis vinifera subsp vinifera cv. Claverie coulard</t>
  </si>
  <si>
    <t>Vitis vinifera subsp vinifera cv. Clotilde Prosperi = Prosperi 190</t>
  </si>
  <si>
    <t>Vitis vinifera subsp vinifera cv. Coada vulpii</t>
  </si>
  <si>
    <t>Vitis vinifera subsp vinifera cv. Coarna alba</t>
  </si>
  <si>
    <t>Vitis vinifera subsp vinifera cv. Coarna neagra</t>
  </si>
  <si>
    <t>Vitis vinifera subsp vinifera cv. Coarna rosie</t>
  </si>
  <si>
    <t>Vitis vinifera subsp vinifera cv. Cococciola</t>
  </si>
  <si>
    <t>Vitis vinifera subsp vinifera cv. Coda di volpe bianca</t>
  </si>
  <si>
    <t>Vitis vinifera subsp vinifera cv. Codega</t>
  </si>
  <si>
    <t>Vitis vinifera subsp vinifera cv. Codivarta</t>
  </si>
  <si>
    <t>Vitis vinifera subsp vinifera cv. Colman blanc</t>
  </si>
  <si>
    <t>Vitis vinifera subsp vinifera cv. Colombana nera</t>
  </si>
  <si>
    <t>Vitis vinifera subsp vinifera cv. Colombard</t>
  </si>
  <si>
    <t>Vitis vinifera subsp vinifera cv. Colombaud = Bouteillan blanc</t>
  </si>
  <si>
    <t>Vitis vinifera subsp vinifera cv. Colorino</t>
  </si>
  <si>
    <t>Vitis vinifera subsp vinifera cv. Completer</t>
  </si>
  <si>
    <t>Vitis vinifera subsp vinifera cv. Conca d'ora = Paulsen 152</t>
  </si>
  <si>
    <t>Vitis vinifera subsp vinifera cv. Conegliano 120</t>
  </si>
  <si>
    <t>Vitis vinifera subsp vinifera cv. Conegliano 199</t>
  </si>
  <si>
    <t>Vitis vinifera subsp vinifera cv. Conegliano 213</t>
  </si>
  <si>
    <t>Vitis vinifera subsp vinifera cv. Conegliano 218</t>
  </si>
  <si>
    <t>Vitis vinifera subsp vinifera cv. Constantinescu-Negreanu 2/13/8 (Victoria)</t>
  </si>
  <si>
    <t>Vitis vinifera subsp vinifera cv. Conte rosso = Pirovano 73</t>
  </si>
  <si>
    <t>Vitis vinifera subsp vinifera cv. Corbeau</t>
  </si>
  <si>
    <t>Vitis vinifera subsp vinifera cv. Corbina vicentina</t>
  </si>
  <si>
    <t>Vitis vinifera subsp vinifera cv. Corfiatis</t>
  </si>
  <si>
    <t>Vitis vinifera subsp vinifera cv. Corinthe blanc</t>
  </si>
  <si>
    <t>Vitis vinifera subsp vinifera cv. Corinthe noir</t>
  </si>
  <si>
    <t>Vitis vinifera subsp vinifera cv. Corinto bianco</t>
  </si>
  <si>
    <t>Vitis vinifera subsp vinifera cv. Corneille</t>
  </si>
  <si>
    <t>Vitis vinifera subsp vinifera cv. Cornet</t>
  </si>
  <si>
    <t>Vitis vinifera subsp vinifera cv. Cornichon violet</t>
  </si>
  <si>
    <t>Vitis vinifera subsp vinifera cv. Cornichon violet = Rosa menna di vacca</t>
  </si>
  <si>
    <t>Vitis vinifera subsp vinifera cv. Cornifesto</t>
  </si>
  <si>
    <t>Vitis vinifera subsp vinifera cv. Corniola bianca di Milazzo</t>
  </si>
  <si>
    <t>Vitis vinifera subsp vinifera cv. Corniola nera</t>
  </si>
  <si>
    <t>Vitis vinifera subsp vinifera cv. Corrin Seedless</t>
  </si>
  <si>
    <t>Vitis vinifera subsp vinifera cv. Cortese</t>
  </si>
  <si>
    <t>Vitis vinifera subsp vinifera cv. Corvina veronese</t>
  </si>
  <si>
    <t>Vitis vinifera subsp vinifera cv. Cot</t>
  </si>
  <si>
    <t>Vitis vinifera subsp vinifera cv. Cot de Chéragas</t>
  </si>
  <si>
    <t>Vitis vinifera subsp vinifera cv. Counoise</t>
  </si>
  <si>
    <t>Vitis vinifera subsp vinifera cv. Courbès</t>
  </si>
  <si>
    <t>Vitis vinifera subsp vinifera cv. Courbu</t>
  </si>
  <si>
    <t>Vitis vinifera subsp vinifera cv. Courbu noir</t>
  </si>
  <si>
    <t>Vitis vinifera subsp vinifera cv. Courtoisie</t>
  </si>
  <si>
    <t>Vitis vinifera subsp vinifera cv. Coutinho 6</t>
  </si>
  <si>
    <t>Vitis vinifera subsp vinifera cv. Crassostaphyllo</t>
  </si>
  <si>
    <t>Vitis vinifera subsp vinifera cv. Crimposie</t>
  </si>
  <si>
    <t>Vitis vinifera subsp vinifera cv. Crimson seedless</t>
  </si>
  <si>
    <t>Vitis vinifera subsp vinifera cv. Criolla chica 2</t>
  </si>
  <si>
    <t>Vitis vinifera subsp vinifera cv. Criolla mediana 2</t>
  </si>
  <si>
    <t>Vitis vinifera subsp vinifera cv. Criolla San Juanina</t>
  </si>
  <si>
    <t>Vitis vinifera subsp vinifera cv. Crista couleur d'ambre</t>
  </si>
  <si>
    <t>Vitis vinifera subsp vinifera cv. Croatina</t>
  </si>
  <si>
    <t>Vitis vinifera subsp vinifera cv. Croetto</t>
  </si>
  <si>
    <t>Vitis vinifera subsp vinifera cv. Crouchen</t>
  </si>
  <si>
    <t>Vitis vinifera subsp vinifera cv. Cruciulita</t>
  </si>
  <si>
    <t>Vitis vinifera subsp vinifera cv. Crujidera</t>
  </si>
  <si>
    <t>Vitis vinifera subsp vinifera cv. Crujillon</t>
  </si>
  <si>
    <t>Vitis vinifera subsp vinifera cv. Crvena slaubanic</t>
  </si>
  <si>
    <t>Vitis vinifera subsp vinifera cv. Crystal (Afrique du Sud)</t>
  </si>
  <si>
    <t>Vitis vinifera subsp vinifera cv. Crystal (Etats-Unis)</t>
  </si>
  <si>
    <t>Vitis vinifera subsp vinifera cv. Csoka szöllö</t>
  </si>
  <si>
    <t>Vitis vinifera subsp vinifera cv. Csomorika</t>
  </si>
  <si>
    <t>Vitis vinifera subsp vinifera cv. Cualtaccio</t>
  </si>
  <si>
    <t>Vitis vinifera subsp vinifera cv. Curisti</t>
  </si>
  <si>
    <t>Vitis vinifera subsp vinifera cv. Cyperntraube</t>
  </si>
  <si>
    <t>Vitis vinifera subsp vinifera cv. Dabouki</t>
  </si>
  <si>
    <t>Vitis vinifera subsp vinifera cv. Dalmasso III-33</t>
  </si>
  <si>
    <t>Vitis vinifera subsp vinifera cv. Dalmasso IX-1</t>
  </si>
  <si>
    <t>Vitis vinifera subsp vinifera cv. Dalmasso VIII-5</t>
  </si>
  <si>
    <t>Vitis vinifera subsp vinifera cv. Dalmasso VII-9</t>
  </si>
  <si>
    <t>Vitis vinifera subsp vinifera cv. Dalmasso VI-17</t>
  </si>
  <si>
    <t>Vitis vinifera subsp vinifera cv. Dalmasso VI-24</t>
  </si>
  <si>
    <t>Vitis vinifera subsp vinifera cv. Dalmasso VI-6</t>
  </si>
  <si>
    <t>Vitis vinifera subsp vinifera cv. Dalmasso XI-20</t>
  </si>
  <si>
    <t>Vitis vinifera subsp vinifera cv. Dalmasso XI-8</t>
  </si>
  <si>
    <t>Vitis vinifera subsp vinifera cv. Dalmasso XVIII-1</t>
  </si>
  <si>
    <t>Vitis vinifera subsp vinifera cv. Damas rouge</t>
  </si>
  <si>
    <t>Vitis vinifera subsp vinifera cv. Dameret</t>
  </si>
  <si>
    <t>Vitis vinifera subsp vinifera cv. Dameron</t>
  </si>
  <si>
    <t>Vitis vinifera subsp vinifera cv. Danam = INRA 1551-6</t>
  </si>
  <si>
    <t>Vitis vinifera subsp vinifera cv. Danlas = INRA 1548-20</t>
  </si>
  <si>
    <t>Vitis vinifera subsp vinifera cv. Danugue</t>
  </si>
  <si>
    <t>Vitis vinifera subsp vinifera cv. Danuta = INRA 1992-3</t>
  </si>
  <si>
    <t>Vitis vinifera subsp vinifera cv. Daphni</t>
  </si>
  <si>
    <t>Vitis vinifera subsp vinifera cv. Daranyi Ignac</t>
  </si>
  <si>
    <t>Vitis vinifera subsp vinifera cv. Darkaïa</t>
  </si>
  <si>
    <t>Vitis vinifera subsp vinifera cv. Dastatchine</t>
  </si>
  <si>
    <t>Vitis vinifera subsp vinifera cv. Datal = INRA 753-54</t>
  </si>
  <si>
    <t>Vitis vinifera subsp vinifera cv. Dattier de Beyrouth</t>
  </si>
  <si>
    <t>Vitis vinifera subsp vinifera cv. Dattier noir</t>
  </si>
  <si>
    <t>Vitis vinifera subsp vinifera cv. Dauphine</t>
  </si>
  <si>
    <t>Vitis vinifera subsp vinifera cv. David = Pirovano 109</t>
  </si>
  <si>
    <t>Vitis vinifera subsp vinifera cv. Dawn seedless</t>
  </si>
  <si>
    <t>Vitis vinifera subsp vinifera cv. De Hengril</t>
  </si>
  <si>
    <t>Vitis vinifera subsp vinifera cv. Debina</t>
  </si>
  <si>
    <t>Vitis vinifera subsp vinifera cv. Dedo de dama</t>
  </si>
  <si>
    <t>Vitis vinifera subsp vinifera cv. Delhro = JA148-59 SRLH</t>
  </si>
  <si>
    <t>Vitis vinifera subsp vinifera cv. Delight</t>
  </si>
  <si>
    <t>Vitis vinifera subsp vinifera cv. Delizia di Vaprio = Pirovano 46 a</t>
  </si>
  <si>
    <t>Vitis vinifera subsp vinifera cv. Delizia gialla = Pirovano 266</t>
  </si>
  <si>
    <t>Vitis vinifera subsp vinifera cv. Demir kara</t>
  </si>
  <si>
    <t>Vitis vinifera subsp vinifera cv. Derani</t>
  </si>
  <si>
    <t>Vitis vinifera subsp vinifera cv. Dermatas</t>
  </si>
  <si>
    <t>Vitis vinifera subsp vinifera cv. Diagalves</t>
  </si>
  <si>
    <t>Vitis vinifera subsp vinifera cv. Diamante nero = Pirovano 87</t>
  </si>
  <si>
    <t>Vitis vinifera subsp vinifera cv. Diamanttraube</t>
  </si>
  <si>
    <t>Vitis vinifera subsp vinifera cv. Diana</t>
  </si>
  <si>
    <t>Vitis vinifera subsp vinifera cv. Dimiat</t>
  </si>
  <si>
    <t>Vitis vinifera subsp vinifera cv. Diminitis</t>
  </si>
  <si>
    <t>Vitis vinifera subsp vinifera cv. Dimrit</t>
  </si>
  <si>
    <t>Vitis vinifera subsp vinifera cv. Dinka feher</t>
  </si>
  <si>
    <t>Vitis vinifera subsp vinifera cv. Dinka vörös</t>
  </si>
  <si>
    <t>Vitis vinifera subsp vinifera cv. Dinka zöld</t>
  </si>
  <si>
    <t>Vitis vinifera subsp vinifera cv. Diolinoir</t>
  </si>
  <si>
    <t>Vitis vinifera subsp vinifera cv. Directeur Tisserand</t>
  </si>
  <si>
    <t>Vitis vinifera subsp vinifera cv. Divromo</t>
  </si>
  <si>
    <t>Vitis vinifera subsp vinifera cv. Djandjal kara</t>
  </si>
  <si>
    <t>Vitis vinifera subsp vinifera cv. Djoura ousum</t>
  </si>
  <si>
    <t>Vitis vinifera subsp vinifera cv. Dlinnokhvosty</t>
  </si>
  <si>
    <t>Vitis vinifera subsp vinifera cv. Dobricic</t>
  </si>
  <si>
    <t>Vitis vinifera subsp vinifera cv. Doçal grande</t>
  </si>
  <si>
    <t>Vitis vinifera subsp vinifera cv. Dokay</t>
  </si>
  <si>
    <t>Vitis vinifera subsp vinifera cv. Dolcetto</t>
  </si>
  <si>
    <t>Vitis vinifera subsp vinifera cv. Dolosata</t>
  </si>
  <si>
    <t>Vitis vinifera subsp vinifera cv. Dominga</t>
  </si>
  <si>
    <t>Vitis vinifera subsp vinifera cv. Domvrena aspri</t>
  </si>
  <si>
    <t>Vitis vinifera subsp vinifera cv. Domvrena mavri</t>
  </si>
  <si>
    <t>Vitis vinifera subsp vinifera cv. Don Bueno</t>
  </si>
  <si>
    <t>Vitis vinifera subsp vinifera cv. Don Mariano</t>
  </si>
  <si>
    <t>Vitis vinifera subsp vinifera cv. Dona branca</t>
  </si>
  <si>
    <t>Vitis vinifera subsp vinifera cv. Dona Maria = Leao Ferreira da Almeida 31-54-41</t>
  </si>
  <si>
    <t>Vitis vinifera subsp vinifera cv. Dongine</t>
  </si>
  <si>
    <t>Vitis vinifera subsp vinifera cv. Donzelinho</t>
  </si>
  <si>
    <t>Vitis vinifera subsp vinifera cv. Donzelinho do Castelo</t>
  </si>
  <si>
    <t>Vitis vinifera subsp vinifera cv. Doradilla</t>
  </si>
  <si>
    <t>Vitis vinifera subsp vinifera cv. Doral</t>
  </si>
  <si>
    <t>Vitis vinifera subsp vinifera cv. Dorona di Venezia</t>
  </si>
  <si>
    <t>Vitis vinifera subsp vinifera cv. Douradinha</t>
  </si>
  <si>
    <t>Vitis vinifera subsp vinifera cv. Doux d'Henry</t>
  </si>
  <si>
    <t>Vitis vinifera subsp vinifera cv. Dronkane</t>
  </si>
  <si>
    <t>Vitis vinifera subsp vinifera cv. Duc d'Anjou</t>
  </si>
  <si>
    <t>Vitis vinifera subsp vinifera cv. Duc de Magenta</t>
  </si>
  <si>
    <t>Vitis vinifera subsp vinifera cv. Duchess of Buccleugh</t>
  </si>
  <si>
    <t>Vitis vinifera subsp vinifera cv. Duras</t>
  </si>
  <si>
    <t>Vitis vinifera subsp vinifera cv. Durella</t>
  </si>
  <si>
    <t>Vitis vinifera subsp vinifera cv. Dureza</t>
  </si>
  <si>
    <t>Vitis vinifera subsp vinifera cv. Durif</t>
  </si>
  <si>
    <t>Vitis vinifera subsp vinifera cv. Early Cardinal</t>
  </si>
  <si>
    <t>Vitis vinifera subsp vinifera cv. Early Muscat</t>
  </si>
  <si>
    <t>Vitis vinifera subsp vinifera cv. Ederena</t>
  </si>
  <si>
    <t>Vitis vinifera subsp vinifera cv. Egiodola</t>
  </si>
  <si>
    <t>Vitis vinifera subsp vinifera cv. Ehrenfelser = Gm 9-93</t>
  </si>
  <si>
    <t>Vitis vinifera subsp vinifera cv. Einuni</t>
  </si>
  <si>
    <t>Vitis vinifera subsp vinifera cv. Ekigaïna</t>
  </si>
  <si>
    <t>Vitis vinifera subsp vinifera cv. Ekim kara</t>
  </si>
  <si>
    <t>Vitis vinifera subsp vinifera cv. El Biod</t>
  </si>
  <si>
    <t>Vitis vinifera subsp vinifera cv. El Farryali</t>
  </si>
  <si>
    <t>Vitis vinifera subsp vinifera cv. El Gouz</t>
  </si>
  <si>
    <t>Vitis vinifera subsp vinifera cv. Elbling</t>
  </si>
  <si>
    <t>Vitis vinifera subsp vinifera cv. Elbling blau</t>
  </si>
  <si>
    <t>Vitis vinifera subsp vinifera cv. Elbling rose</t>
  </si>
  <si>
    <t>Vitis vinifera subsp vinifera cv. Elbling rot</t>
  </si>
  <si>
    <t>Vitis vinifera subsp vinifera cv. Elizabeth Krasnay</t>
  </si>
  <si>
    <t>Vitis vinifera subsp vinifera cv. Emerald Riesling</t>
  </si>
  <si>
    <t>Vitis vinifera subsp vinifera cv. Emerald seedless</t>
  </si>
  <si>
    <t>Vitis vinifera subsp vinifera cv. Emilia = Dalmasso VI-3</t>
  </si>
  <si>
    <t>Vitis vinifera subsp vinifera cv. Emperor</t>
  </si>
  <si>
    <t>Vitis vinifera subsp vinifera cv. Emperor seedless</t>
  </si>
  <si>
    <t>Vitis vinifera subsp vinifera cv. Empibotte</t>
  </si>
  <si>
    <t>Vitis vinifera subsp vinifera cv. En Kövidinkam</t>
  </si>
  <si>
    <t>Vitis vinifera subsp vinifera cv. Encruzado</t>
  </si>
  <si>
    <t>Vitis vinifera subsp vinifera cv. Enfariné</t>
  </si>
  <si>
    <t>Vitis vinifera subsp vinifera cv. Enfariné gris</t>
  </si>
  <si>
    <t>Vitis vinifera subsp vinifera cv. Epero de Gall</t>
  </si>
  <si>
    <t>Vitis vinifera subsp vinifera cv. Epinou</t>
  </si>
  <si>
    <t>Vitis vinifera subsp vinifera cv. Erbaluce</t>
  </si>
  <si>
    <t>Vitis vinifera subsp vinifera cv. Erdeifeher</t>
  </si>
  <si>
    <t>Vitis vinifera subsp vinifera cv. Espadeiro branco</t>
  </si>
  <si>
    <t>Vitis vinifera subsp vinifera cv. Espadeiro tinto</t>
  </si>
  <si>
    <t>Vitis vinifera subsp vinifera cv. Estaca saoumo</t>
  </si>
  <si>
    <t>Vitis vinifera subsp vinifera cv. Etraire de la Dui</t>
  </si>
  <si>
    <t>Vitis vinifera subsp vinifera cv. Exalta</t>
  </si>
  <si>
    <t>Vitis vinifera subsp vinifera cv. Exbrayat</t>
  </si>
  <si>
    <t>Vitis vinifera subsp vinifera cv. Exotic</t>
  </si>
  <si>
    <t>Vitis vinifera subsp vinifera cv. Ezereves Magyarorszag Emleke</t>
  </si>
  <si>
    <t>Vitis vinifera subsp vinifera cv. Ezerjo</t>
  </si>
  <si>
    <t>Vitis vinifera subsp vinifera cv. F. Lantini = Pirovano 263</t>
  </si>
  <si>
    <t>Vitis vinifera subsp vinifera cv. F 10-79</t>
  </si>
  <si>
    <t>Vitis vinifera subsp vinifera cv. Faberrebe = Alzey 10375</t>
  </si>
  <si>
    <t>Vitis vinifera subsp vinifera cv. Faddy zsiga dinka</t>
  </si>
  <si>
    <t>Vitis vinifera subsp vinifera cv. Fakhri</t>
  </si>
  <si>
    <t>Vitis vinifera subsp vinifera cv. Falanghina</t>
  </si>
  <si>
    <t>Vitis vinifera subsp vinifera cv. Fantasy seedless</t>
  </si>
  <si>
    <t>Vitis vinifera subsp vinifera cv. Farana noir</t>
  </si>
  <si>
    <t>Vitis vinifera subsp vinifera cv. Farbfränkisch</t>
  </si>
  <si>
    <t>Vitis vinifera subsp vinifera cv. Fatima</t>
  </si>
  <si>
    <t>Vitis vinifera subsp vinifera cv. Fatma</t>
  </si>
  <si>
    <t>Vitis vinifera subsp vinifera cv. Faux Courbu noir</t>
  </si>
  <si>
    <t>Vitis vinifera subsp vinifera cv. Faux Mauzac blanc</t>
  </si>
  <si>
    <t>Vitis vinifera subsp vinifera cv. Fayoumi</t>
  </si>
  <si>
    <t>Vitis vinifera subsp vinifera cv. Feher Kövidinka</t>
  </si>
  <si>
    <t>Vitis vinifera subsp vinifera cv. Feinriesling</t>
  </si>
  <si>
    <t>Vitis vinifera subsp vinifera cv. Fer</t>
  </si>
  <si>
    <t>Vitis vinifera subsp vinifera cv. Ferlé de Pegões = Leao Ferreira da Almeida 17-48-1</t>
  </si>
  <si>
    <t>Vitis vinifera subsp vinifera cv. Ferlé 76 = Leao Ferreira da Almeida 34-49-76</t>
  </si>
  <si>
    <t>Vitis vinifera subsp vinifera cv. Fernand rose</t>
  </si>
  <si>
    <t>Vitis vinifera subsp vinifera cv. Fernao Pires</t>
  </si>
  <si>
    <t>Vitis vinifera subsp vinifera cv. Ferral</t>
  </si>
  <si>
    <t>Vitis vinifera subsp vinifera cv. Ferral tamara</t>
  </si>
  <si>
    <t>Vitis vinifera subsp vinifera cv. Feteasca neagra</t>
  </si>
  <si>
    <t>Vitis vinifera subsp vinifera cv. Feteasca regala</t>
  </si>
  <si>
    <t>Vitis vinifera subsp vinifera cv. Feunate</t>
  </si>
  <si>
    <t>Vitis vinifera subsp vinifera cv. Fiano</t>
  </si>
  <si>
    <t>Vitis vinifera subsp vinifera cv. Fiesta</t>
  </si>
  <si>
    <t>Vitis vinifera subsp vinifera cv. Findling = Kimmig KP 1</t>
  </si>
  <si>
    <t>Vitis vinifera subsp vinifera cv. Fintendo</t>
  </si>
  <si>
    <t>Vitis vinifera subsp vinifera cv. Firnriesling</t>
  </si>
  <si>
    <t>Vitis vinifera subsp vinifera cv. Fitzrebe</t>
  </si>
  <si>
    <t>Vitis vinifera subsp vinifera cv. Flame seedless</t>
  </si>
  <si>
    <t>Vitis vinifera subsp vinifera cv. Flaming rose</t>
  </si>
  <si>
    <t>Vitis vinifera subsp vinifera cv. Fleur de Kecskemet</t>
  </si>
  <si>
    <t>Vitis vinifera subsp vinifera cv. Flora</t>
  </si>
  <si>
    <t>Vitis vinifera subsp vinifera cv. Focca</t>
  </si>
  <si>
    <t>Vitis vinifera subsp vinifera cv. Fogarina</t>
  </si>
  <si>
    <t>Vitis vinifera subsp vinifera cv. Foglia tonda</t>
  </si>
  <si>
    <t>Vitis vinifera subsp vinifera cv. Fogoneu</t>
  </si>
  <si>
    <t>Vitis vinifera subsp vinifera cv. Folignan</t>
  </si>
  <si>
    <t>Vitis vinifera subsp vinifera cv. Folle blanche</t>
  </si>
  <si>
    <t>Vitis vinifera subsp vinifera cv. Folle blanche du Minervois</t>
  </si>
  <si>
    <t>Vitis vinifera subsp vinifera cv. Fondo de Orza</t>
  </si>
  <si>
    <t>Vitis vinifera subsp vinifera cv. Forastera</t>
  </si>
  <si>
    <t>Vitis vinifera subsp vinifera cv. Forastera (Iles Canaries)</t>
  </si>
  <si>
    <t>Vitis vinifera subsp vinifera cv. Forcalla</t>
  </si>
  <si>
    <t>Vitis vinifera subsp vinifera cv. Forcellina</t>
  </si>
  <si>
    <t>Vitis vinifera subsp vinifera cv. Formosa = Pirovano 245</t>
  </si>
  <si>
    <t>Vitis vinifera subsp vinifera cv. Fortana</t>
  </si>
  <si>
    <t>Vitis vinifera subsp vinifera cv. Foster's white seedling</t>
  </si>
  <si>
    <t>Vitis vinifera subsp vinifera cv. Fotcha</t>
  </si>
  <si>
    <t>Vitis vinifera subsp vinifera cv. Franc noir de la Haute-Saône</t>
  </si>
  <si>
    <t>Vitis vinifera subsp vinifera cv. Francavidda</t>
  </si>
  <si>
    <t>Vitis vinifera subsp vinifera cv. François Ier</t>
  </si>
  <si>
    <t>Vitis vinifera subsp vinifera cv. François noir</t>
  </si>
  <si>
    <t>Vitis vinifera subsp vinifera cv. Francuse</t>
  </si>
  <si>
    <t>Vitis vinifera subsp vinifera cv. Frankamon</t>
  </si>
  <si>
    <t>Vitis vinifera subsp vinifera cv. Frankenthal</t>
  </si>
  <si>
    <t>Vitis vinifera subsp vinifera cv. Frankenthal rose foncé</t>
  </si>
  <si>
    <t>Vitis vinifera subsp vinifera cv. Frankenthal rouge foncé</t>
  </si>
  <si>
    <t>Vitis vinifera subsp vinifera cv. Frappato di Vittoria</t>
  </si>
  <si>
    <t>Vitis vinifera subsp vinifera cv. Fredericton</t>
  </si>
  <si>
    <t>Vitis vinifera subsp vinifera cv. Freisa</t>
  </si>
  <si>
    <t>Vitis vinifera subsp vinifera cv. Freisamer</t>
  </si>
  <si>
    <t>Vitis vinifera subsp vinifera cv. Frühgipfler I</t>
  </si>
  <si>
    <t>Vitis vinifera subsp vinifera cv. Frühmuscat Oberlin</t>
  </si>
  <si>
    <t>Vitis vinifera subsp vinifera cv. Frühriesling</t>
  </si>
  <si>
    <t>Vitis vinifera subsp vinifera cv. Fruttuosa = Pirovano 27</t>
  </si>
  <si>
    <t>Vitis vinifera subsp vinifera cv. Fuella nera</t>
  </si>
  <si>
    <t>Vitis vinifera subsp vinifera cv. Fulgens = Pirovano 347</t>
  </si>
  <si>
    <t>Vitis vinifera subsp vinifera cv. Fumin</t>
  </si>
  <si>
    <t>Vitis vinifera subsp vinifera cv. Furjmony feher</t>
  </si>
  <si>
    <t>Vitis vinifera subsp vinifera cv. Furmint</t>
  </si>
  <si>
    <t>Vitis vinifera subsp vinifera cv. Furmint piros</t>
  </si>
  <si>
    <t>Vitis vinifera subsp vinifera cv. Furmint valtözö</t>
  </si>
  <si>
    <t>Vitis vinifera subsp vinifera cv. Fürstentraube</t>
  </si>
  <si>
    <t>Vitis vinifera subsp vinifera cv. Fusca = Pirovano 142</t>
  </si>
  <si>
    <t>Vitis vinifera subsp vinifera cv. G. Molon = Pirovano 102</t>
  </si>
  <si>
    <t>Vitis vinifera subsp vinifera cv. G 367-49 SRLH</t>
  </si>
  <si>
    <t>Vitis vinifera subsp vinifera cv. Gaglioppo</t>
  </si>
  <si>
    <t>Vitis vinifera subsp vinifera cv. Gaïdouria</t>
  </si>
  <si>
    <t>Vitis vinifera subsp vinifera cv. Galbena de Odobesti</t>
  </si>
  <si>
    <t>Vitis vinifera subsp vinifera cv. Galbena uriasa</t>
  </si>
  <si>
    <t>Vitis vinifera subsp vinifera cv. Galbena verde</t>
  </si>
  <si>
    <t>Vitis vinifera subsp vinifera cv. Galego de Montemor</t>
  </si>
  <si>
    <t>Vitis vinifera subsp vinifera cv. Galego dourado</t>
  </si>
  <si>
    <t>Vitis vinifera subsp vinifera cv. Galotta</t>
  </si>
  <si>
    <t>Vitis vinifera subsp vinifera cv. Galvani = Pirovano 86</t>
  </si>
  <si>
    <t>Vitis vinifera subsp vinifera cv. Gamarelha branca</t>
  </si>
  <si>
    <t>Vitis vinifera subsp vinifera cv. Gamaret</t>
  </si>
  <si>
    <t>Vitis vinifera subsp vinifera cv. Gamay</t>
  </si>
  <si>
    <t>Vitis vinifera subsp vinifera cv. Gamay à fleurs doubles</t>
  </si>
  <si>
    <t>Vitis vinifera subsp vinifera cv. Gamay blanc Gloriod</t>
  </si>
  <si>
    <t>Vitis vinifera subsp vinifera cv. Gamay Castille</t>
  </si>
  <si>
    <t>Vitis vinifera subsp vinifera cv. Gamay Castille mutation blanche</t>
  </si>
  <si>
    <t>Vitis vinifera subsp vinifera cv. Gamay de Bouze</t>
  </si>
  <si>
    <t>Vitis vinifera subsp vinifera cv. Gamay de Chaudenay</t>
  </si>
  <si>
    <t>Vitis vinifera subsp vinifera cv. Gamay Fréaux</t>
  </si>
  <si>
    <t>Vitis vinifera subsp vinifera cv. Gamay gris</t>
  </si>
  <si>
    <t>Vitis vinifera subsp vinifera cv. Gamay mourot</t>
  </si>
  <si>
    <t>Vitis vinifera subsp vinifera cv. Gamay précoce noir</t>
  </si>
  <si>
    <t>Vitis vinifera subsp vinifera cv. Gamza de Varna</t>
  </si>
  <si>
    <t>Vitis vinifera subsp vinifera cv. Ganson = INRA 1509-73</t>
  </si>
  <si>
    <t>Vitis vinifera subsp vinifera cv. Gantziandan</t>
  </si>
  <si>
    <t>Vitis vinifera subsp vinifera cv. Garandmak</t>
  </si>
  <si>
    <t>Vitis vinifera subsp vinifera cv. Garganega</t>
  </si>
  <si>
    <t>Vitis vinifera subsp vinifera cv. Garrido fino</t>
  </si>
  <si>
    <t>Vitis vinifera subsp vinifera cv. Garrido macho</t>
  </si>
  <si>
    <t>Vitis vinifera subsp vinifera cv. Gascon</t>
  </si>
  <si>
    <t>Vitis vinifera subsp vinifera cv. Gateta</t>
  </si>
  <si>
    <t>Vitis vinifera subsp vinifera cv. Gegic</t>
  </si>
  <si>
    <t>Vitis vinifera subsp vinifera cv. Gelbholzer blau</t>
  </si>
  <si>
    <t>Vitis vinifera subsp vinifera cv. Gemre</t>
  </si>
  <si>
    <t>Vitis vinifera subsp vinifera cv. Général de la Marmora</t>
  </si>
  <si>
    <t>Vitis vinifera subsp vinifera cv. Général de la Marmora faux</t>
  </si>
  <si>
    <t>Vitis vinifera subsp vinifera cv. Genk Uzum</t>
  </si>
  <si>
    <t>Vitis vinifera subsp vinifera cv. Genouillet</t>
  </si>
  <si>
    <t>Vitis vinifera subsp vinifera cv. Genovèse</t>
  </si>
  <si>
    <t>Vitis vinifera subsp vinifera cv. Gewürztraminer</t>
  </si>
  <si>
    <t>Vitis vinifera subsp vinifera cv. Gheméra</t>
  </si>
  <si>
    <t>Vitis vinifera subsp vinifera cv. Ghiouroukiko</t>
  </si>
  <si>
    <t>Vitis vinifera subsp vinifera cv. Gholadon</t>
  </si>
  <si>
    <t>Vitis vinifera subsp vinifera cv. Gibert</t>
  </si>
  <si>
    <t>Vitis vinifera subsp vinifera cv. Gibi</t>
  </si>
  <si>
    <t>Vitis vinifera subsp vinifera cv. Gierniolat</t>
  </si>
  <si>
    <t>Vitis vinifera subsp vinifera cv. Gildé</t>
  </si>
  <si>
    <t>Vitis vinifera subsp vinifera cv. Giro</t>
  </si>
  <si>
    <t>Vitis vinifera subsp vinifera cv. Giro (Iles Baléares)</t>
  </si>
  <si>
    <t>Vitis vinifera subsp vinifera cv. Glacière</t>
  </si>
  <si>
    <t>Vitis vinifera subsp vinifera cv. Gloria Hungariae</t>
  </si>
  <si>
    <t>Vitis vinifera subsp vinifera cv. Glycostaphyllo</t>
  </si>
  <si>
    <t>Vitis vinifera subsp vinifera cv. Goher</t>
  </si>
  <si>
    <t>Vitis vinifera subsp vinifera cv. Goher Piros</t>
  </si>
  <si>
    <t>Vitis vinifera subsp vinifera cv. Goher valtözö</t>
  </si>
  <si>
    <t>Vitis vinifera subsp vinifera cv. Gold</t>
  </si>
  <si>
    <t>Vitis vinifera subsp vinifera cv. Golden champion = Mill Hill Hamburg</t>
  </si>
  <si>
    <t>Vitis vinifera subsp vinifera cv. Golden Queen</t>
  </si>
  <si>
    <t>Vitis vinifera subsp vinifera cv. Goldriesling B</t>
  </si>
  <si>
    <t>Vitis vinifera subsp vinifera cv. Gora Chirine</t>
  </si>
  <si>
    <t>Vitis vinifera subsp vinifera cv. Gora Chirine rose</t>
  </si>
  <si>
    <t>Vitis vinifera subsp vinifera cv. Gordan</t>
  </si>
  <si>
    <t>Vitis vinifera subsp vinifera cv. Gordin</t>
  </si>
  <si>
    <t>Vitis vinifera subsp vinifera cv. Gordin gurguiat</t>
  </si>
  <si>
    <t>Vitis vinifera subsp vinifera cv. Gorgollosa</t>
  </si>
  <si>
    <t>Vitis vinifera subsp vinifera cv. Goron</t>
  </si>
  <si>
    <t>Vitis vinifera subsp vinifera cv. Gouais blanc</t>
  </si>
  <si>
    <t>Vitis vinifera subsp vinifera cv. Gouget</t>
  </si>
  <si>
    <t>Vitis vinifera subsp vinifera cv. Gounaïa</t>
  </si>
  <si>
    <t>Vitis vinifera subsp vinifera cv. Goustoulidi</t>
  </si>
  <si>
    <t>Vitis vinifera subsp vinifera cv. Goyura</t>
  </si>
  <si>
    <t>Vitis vinifera subsp vinifera cv. Gradiska</t>
  </si>
  <si>
    <t>Vitis vinifera subsp vinifera cv. Graisse</t>
  </si>
  <si>
    <t>Vitis vinifera subsp vinifera cv. Gramon = INRA 1740-774</t>
  </si>
  <si>
    <t>Vitis vinifera subsp vinifera cv. Grand Noir de la Calmette</t>
  </si>
  <si>
    <t>Vitis vinifera subsp vinifera cv. Granoir</t>
  </si>
  <si>
    <t>Vitis vinifera subsp vinifera cv. Grappenoux</t>
  </si>
  <si>
    <t>Vitis vinifera subsp vinifera cv. Grasa de Cotnari</t>
  </si>
  <si>
    <t>Vitis vinifera subsp vinifera cv. Grassen</t>
  </si>
  <si>
    <t>Vitis vinifera subsp vinifera cv. Grec blanc</t>
  </si>
  <si>
    <t>Vitis vinifera subsp vinifera cv. Grec rouge</t>
  </si>
  <si>
    <t>Vitis vinifera subsp vinifera cv. Grecanico</t>
  </si>
  <si>
    <t>Vitis vinifera subsp vinifera cv. Grechetto</t>
  </si>
  <si>
    <t>Vitis vinifera subsp vinifera cv. Greco bianco</t>
  </si>
  <si>
    <t>Vitis vinifera subsp vinifera cv. Greco bianco di tufo</t>
  </si>
  <si>
    <t>Vitis vinifera subsp vinifera cv. Greco nero</t>
  </si>
  <si>
    <t>Vitis vinifera subsp vinifera cv. Grenache</t>
  </si>
  <si>
    <t>Vitis vinifera subsp vinifera cv. Grenache blanc</t>
  </si>
  <si>
    <t>Vitis vinifera subsp vinifera cv. Grenache gris</t>
  </si>
  <si>
    <t>Vitis vinifera subsp vinifera cv. Grenache noir femelle</t>
  </si>
  <si>
    <t>Vitis vinifera subsp vinifera cv. Grignolino</t>
  </si>
  <si>
    <t>Vitis vinifera subsp vinifera cv. Grillo</t>
  </si>
  <si>
    <t>Vitis vinifera subsp vinifera cv. Gringet</t>
  </si>
  <si>
    <t>Vitis vinifera subsp vinifera cv. Grk</t>
  </si>
  <si>
    <t>Vitis vinifera subsp vinifera cv. Grolleau</t>
  </si>
  <si>
    <t>Vitis vinifera subsp vinifera cv. Grolleau blanc</t>
  </si>
  <si>
    <t>Vitis vinifera subsp vinifera cv. Grolleau gris</t>
  </si>
  <si>
    <t>Vitis vinifera subsp vinifera cv. Gropello di San Stefano</t>
  </si>
  <si>
    <t>Vitis vinifera subsp vinifera cv. Gropello gentile</t>
  </si>
  <si>
    <t>Vitis vinifera subsp vinifera cv. Gros Bec</t>
  </si>
  <si>
    <t>Vitis vinifera subsp vinifera cv. Gros Blanc</t>
  </si>
  <si>
    <t>Vitis vinifera subsp vinifera cv. Gros Bourgogne</t>
  </si>
  <si>
    <t>Vitis vinifera subsp vinifera cv. Gros Bouschet</t>
  </si>
  <si>
    <t>Vitis vinifera subsp vinifera cv. Gros Cabernet</t>
  </si>
  <si>
    <t>Vitis vinifera subsp vinifera cv. Gros Colman</t>
  </si>
  <si>
    <t>Vitis vinifera subsp vinifera cv. Gros Manseng</t>
  </si>
  <si>
    <t>Vitis vinifera subsp vinifera cv. Gros Manseng de Lucq</t>
  </si>
  <si>
    <t>Vitis vinifera subsp vinifera cv. Gros Manseng Meunier</t>
  </si>
  <si>
    <t>Vitis vinifera subsp vinifera cv. Gros Mansois</t>
  </si>
  <si>
    <t>Vitis vinifera subsp vinifera cv. Gros Maroc</t>
  </si>
  <si>
    <t>Vitis vinifera subsp vinifera cv. Gros noir des Beni Abès</t>
  </si>
  <si>
    <t>Vitis vinifera subsp vinifera cv. Gros Péjac</t>
  </si>
  <si>
    <t>Vitis vinifera subsp vinifera cv. Gros Verdot</t>
  </si>
  <si>
    <t>Vitis vinifera subsp vinifera cv. Gros Vert</t>
  </si>
  <si>
    <t>Vitis vinifera subsp vinifera cv. Gros Vert noir</t>
  </si>
  <si>
    <t>Vitis vinifera subsp vinifera cv. Grosse Jacquère</t>
  </si>
  <si>
    <t>Vitis vinifera subsp vinifera cv. Grosse Roussette</t>
  </si>
  <si>
    <t>Vitis vinifera subsp vinifera cv. Guadurea</t>
  </si>
  <si>
    <t>Vitis vinifera subsp vinifera cv. Gualarido</t>
  </si>
  <si>
    <t>Vitis vinifera subsp vinifera cv. Guarnaccia</t>
  </si>
  <si>
    <t>Vitis vinifera subsp vinifera cv. Gueuche blanc</t>
  </si>
  <si>
    <t>Vitis vinifera subsp vinifera cv. Gueuche noir</t>
  </si>
  <si>
    <t>Vitis vinifera subsp vinifera cv. Guignard de Saintours</t>
  </si>
  <si>
    <t>Vitis vinifera subsp vinifera cv. Guillany Imre</t>
  </si>
  <si>
    <t>Vitis vinifera subsp vinifera cv. Guillemot</t>
  </si>
  <si>
    <t>Vitis vinifera subsp vinifera cv. Guiouliabi dagestanskii</t>
  </si>
  <si>
    <t>Vitis vinifera subsp vinifera cv. Gustavne Szauter</t>
  </si>
  <si>
    <t>Vitis vinifera subsp vinifera cv. Gyöngy feher</t>
  </si>
  <si>
    <t>Vitis vinifera subsp vinifera cv. Gyöngy szölö</t>
  </si>
  <si>
    <t>Vitis vinifera subsp vinifera cv. Hadari</t>
  </si>
  <si>
    <t>Vitis vinifera subsp vinifera cv. Hagi ali negru</t>
  </si>
  <si>
    <t>Vitis vinifera subsp vinifera cv. Halholyag</t>
  </si>
  <si>
    <t>Vitis vinifera subsp vinifera cv. Hammami</t>
  </si>
  <si>
    <t>Vitis vinifera subsp vinifera cv. Hamvas</t>
  </si>
  <si>
    <t>Vitis vinifera subsp vinifera cv. Hängling blau</t>
  </si>
  <si>
    <t>Vitis vinifera subsp vinifera cv. Hansen rot</t>
  </si>
  <si>
    <t>Vitis vinifera subsp vinifera cv. Harslevelu</t>
  </si>
  <si>
    <t>Vitis vinifera subsp vinifera cv. Hasan dede</t>
  </si>
  <si>
    <t>Vitis vinifera subsp vinifera cv. Hebron blanc</t>
  </si>
  <si>
    <t>Vitis vinifera subsp vinifera cv. Hegedüs Sandor</t>
  </si>
  <si>
    <t>Vitis vinifera subsp vinifera cv. Hegoa</t>
  </si>
  <si>
    <t>Vitis vinifera subsp vinifera cv. Helfensteiner = We S 5332</t>
  </si>
  <si>
    <t>Vitis vinifera subsp vinifera cv. Henab</t>
  </si>
  <si>
    <t>Vitis vinifera subsp vinifera cv. Henab turki faux</t>
  </si>
  <si>
    <t>Vitis vinifera subsp vinifera cv. Heptakilo</t>
  </si>
  <si>
    <t>Vitis vinifera subsp vinifera cv. Heroldrebe = We S 130</t>
  </si>
  <si>
    <t>Vitis vinifera subsp vinifera cv. Heunisch blanc</t>
  </si>
  <si>
    <t>Vitis vinifera subsp vinifera cv. Heunisch noir</t>
  </si>
  <si>
    <t>Vitis vinifera subsp vinifera cv. Heunisch rose</t>
  </si>
  <si>
    <t>Vitis vinifera subsp vinifera cv. Hibou blanc</t>
  </si>
  <si>
    <t>Vitis vinifera subsp vinifera cv. Hibou noir</t>
  </si>
  <si>
    <t>Vitis vinifera subsp vinifera cv. Himoniatiko</t>
  </si>
  <si>
    <t>Vitis vinifera subsp vinifera cv. Honigler</t>
  </si>
  <si>
    <t>Vitis vinifera subsp vinifera cv. Horoz karasi</t>
  </si>
  <si>
    <t>Vitis vinifera subsp vinifera cv. Hosszunyelu</t>
  </si>
  <si>
    <t>Vitis vinifera subsp vinifera cv. Humagne blanche</t>
  </si>
  <si>
    <t>Vitis vinifera subsp vinifera cv. Humagne rouge</t>
  </si>
  <si>
    <t>Vitis vinifera subsp vinifera cv. Hunisa</t>
  </si>
  <si>
    <t>Vitis vinifera subsp vinifera cv. Hunyadi = Horty Miklosné</t>
  </si>
  <si>
    <t>Vitis vinifera subsp vinifera cv. Husseini (Afghanistan)</t>
  </si>
  <si>
    <t>Vitis vinifera subsp vinifera cv. Husseini (Etats-Unis)</t>
  </si>
  <si>
    <t>Vitis vinifera subsp vinifera cv. Huxelrebe = Alzey 3962</t>
  </si>
  <si>
    <t>Vitis vinifera subsp vinifera cv. Icod de los Vinos</t>
  </si>
  <si>
    <t>Vitis vinifera subsp vinifera cv. Ida</t>
  </si>
  <si>
    <t>Vitis vinifera subsp vinifera cv. Igherziz</t>
  </si>
  <si>
    <t>Vitis vinifera subsp vinifera cv. Ignea = Pirovano 185</t>
  </si>
  <si>
    <t>Vitis vinifera subsp vinifera cv. ¿illade du 1er Août</t>
  </si>
  <si>
    <t>Vitis vinifera subsp vinifera cv. Imperatriz</t>
  </si>
  <si>
    <t>Vitis vinifera subsp vinifera cv. Impero = Pirovano 264</t>
  </si>
  <si>
    <t>Vitis vinifera subsp vinifera cv. Impigno</t>
  </si>
  <si>
    <t>Vitis vinifera subsp vinifera cv. Inab el Mir</t>
  </si>
  <si>
    <t>Vitis vinifera subsp vinifera cv. Inconnu blanc</t>
  </si>
  <si>
    <t>Vitis vinifera subsp vinifera cv. Inconnu blanc de Jongieux</t>
  </si>
  <si>
    <t>Vitis vinifera subsp vinifera cv. Inconnu noir</t>
  </si>
  <si>
    <t>Vitis vinifera subsp vinifera cv. Ingram's Hardy Prolific</t>
  </si>
  <si>
    <t>Vitis vinifera subsp vinifera cv. Inzolia</t>
  </si>
  <si>
    <t>Vitis vinifera subsp vinifera cv. Irki</t>
  </si>
  <si>
    <t>Vitis vinifera subsp vinifera cv. Irsay Oliver</t>
  </si>
  <si>
    <t>Vitis vinifera subsp vinifera cv. Isa = INRA 2012-55</t>
  </si>
  <si>
    <t>Vitis vinifera subsp vinifera cv. Ispisari</t>
  </si>
  <si>
    <t>Vitis vinifera subsp vinifera cv. Italia = Pirovano 65</t>
  </si>
  <si>
    <t>Vitis vinifera subsp vinifera cv. Italia rubi</t>
  </si>
  <si>
    <t>Vitis vinifera subsp vinifera cv. Itchkimar biely</t>
  </si>
  <si>
    <t>Vitis vinifera subsp vinifera cv. Ithaki</t>
  </si>
  <si>
    <t>Vitis vinifera subsp vinifera cv. Itshkimar</t>
  </si>
  <si>
    <t>Vitis vinifera subsp vinifera cv. Ivan</t>
  </si>
  <si>
    <t>Vitis vinifera subsp vinifera cv. Izsaki sarfeher</t>
  </si>
  <si>
    <t>Vitis vinifera subsp vinifera cv. Jacquère</t>
  </si>
  <si>
    <t>Vitis vinifera subsp vinifera cv. Jacquère noire faux</t>
  </si>
  <si>
    <t>Vitis vinifera subsp vinifera cv. Jaen</t>
  </si>
  <si>
    <t>Vitis vinifera subsp vinifera cv. Jaen negro</t>
  </si>
  <si>
    <t>Vitis vinifera subsp vinifera cv. Jaen noir</t>
  </si>
  <si>
    <t>Vitis vinifera subsp vinifera cv. Jahafi</t>
  </si>
  <si>
    <t>Vitis vinifera subsp vinifera cv. Jampal</t>
  </si>
  <si>
    <t>Vitis vinifera subsp vinifera cv. Jaoumet</t>
  </si>
  <si>
    <t>Vitis vinifera subsp vinifera cv. Jardovany</t>
  </si>
  <si>
    <t>Vitis vinifera subsp vinifera cv. Jardovany fekete</t>
  </si>
  <si>
    <t>Vitis vinifera subsp vinifera cv. Jaumin</t>
  </si>
  <si>
    <t>Vitis vinifera subsp vinifera cv. Javor gross</t>
  </si>
  <si>
    <t>Vitis vinifera subsp vinifera cv. Jean Bernath</t>
  </si>
  <si>
    <t>Vitis vinifera subsp vinifera cv. Jean Macé</t>
  </si>
  <si>
    <t>Vitis vinifera subsp vinifera cv. Jeludovii</t>
  </si>
  <si>
    <t>Vitis vinifera subsp vinifera cv. Jerez fina</t>
  </si>
  <si>
    <t>Vitis vinifera subsp vinifera cv. Jérusalem bleu</t>
  </si>
  <si>
    <t>Vitis vinifera subsp vinifera cv. Jijona</t>
  </si>
  <si>
    <t>Vitis vinifera subsp vinifera cv. Jo rizling</t>
  </si>
  <si>
    <t>Vitis vinifera subsp vinifera cv. Joamenco</t>
  </si>
  <si>
    <t>Vitis vinifera subsp vinifera cv. João Domingos</t>
  </si>
  <si>
    <t>Vitis vinifera subsp vinifera cv. Joubertin</t>
  </si>
  <si>
    <t>Vitis vinifera subsp vinifera cv. Joumalak biely</t>
  </si>
  <si>
    <t>Vitis vinifera subsp vinifera cv. Jubilé (Bulgarie)</t>
  </si>
  <si>
    <t>Vitis vinifera subsp vinifera cv. Juhfark</t>
  </si>
  <si>
    <t>Vitis vinifera subsp vinifera cv. Julius Caesar</t>
  </si>
  <si>
    <t>Vitis vinifera subsp vinifera cv. July Muscat</t>
  </si>
  <si>
    <t>Vitis vinifera subsp vinifera cv. Jurançon blanc</t>
  </si>
  <si>
    <t>Vitis vinifera subsp vinifera cv. Jurançon noir</t>
  </si>
  <si>
    <t>Vitis vinifera subsp vinifera cv. Kabyle noir</t>
  </si>
  <si>
    <t>Vitis vinifera subsp vinifera cv. Kadarka</t>
  </si>
  <si>
    <t>Vitis vinifera subsp vinifera cv. Kadarka Szürke</t>
  </si>
  <si>
    <t>Vitis vinifera subsp vinifera cv. Kadarka Török</t>
  </si>
  <si>
    <t>Vitis vinifera subsp vinifera cv. Kadarun</t>
  </si>
  <si>
    <t>Vitis vinifera subsp vinifera cv. Kaisermuskat</t>
  </si>
  <si>
    <t>Vitis vinifera subsp vinifera cv. Kakkete</t>
  </si>
  <si>
    <t>Vitis vinifera subsp vinifera cv. Kakourdess blanc</t>
  </si>
  <si>
    <t>Vitis vinifera subsp vinifera cv. Kalecik siyahi</t>
  </si>
  <si>
    <t>Vitis vinifera subsp vinifera cv. Kalili</t>
  </si>
  <si>
    <t>Vitis vinifera subsp vinifera cv. Kalina</t>
  </si>
  <si>
    <t>Vitis vinifera subsp vinifera cv. Kandahar</t>
  </si>
  <si>
    <t>Vitis vinifera subsp vinifera cv. Kandari</t>
  </si>
  <si>
    <t>Vitis vinifera subsp vinifera cv. Kanigl grün</t>
  </si>
  <si>
    <t>Vitis vinifera subsp vinifera cv. Kanzler = Alzey 3983</t>
  </si>
  <si>
    <t>Vitis vinifera subsp vinifera cv. Kaouchansky</t>
  </si>
  <si>
    <t>Vitis vinifera subsp vinifera cv. Kara kaltak</t>
  </si>
  <si>
    <t>Vitis vinifera subsp vinifera cv. Kara ouzume Aschkhabadsky</t>
  </si>
  <si>
    <t>Vitis vinifera subsp vinifera cv. Kara Palvan</t>
  </si>
  <si>
    <t>Vitis vinifera subsp vinifera cv. Kara papigi</t>
  </si>
  <si>
    <t>Vitis vinifera subsp vinifera cv. Karabraimis</t>
  </si>
  <si>
    <t>Vitis vinifera subsp vinifera cv. Karasakiz</t>
  </si>
  <si>
    <t>Vitis vinifera subsp vinifera cv. Karitsiotis</t>
  </si>
  <si>
    <t>Vitis vinifera subsp vinifera cv. Karmir Kakhani</t>
  </si>
  <si>
    <t>Vitis vinifera subsp vinifera cv. Karolowska</t>
  </si>
  <si>
    <t>Vitis vinifera subsp vinifera cv. Karroo belle</t>
  </si>
  <si>
    <t>Vitis vinifera subsp vinifera cv. Karydato</t>
  </si>
  <si>
    <t>Vitis vinifera subsp vinifera cv. Karystino</t>
  </si>
  <si>
    <t>Vitis vinifera subsp vinifera cv. Kasoufi de la Bekaa</t>
  </si>
  <si>
    <t>Vitis vinifera subsp vinifera cv. Kasoufi enta</t>
  </si>
  <si>
    <t>Vitis vinifera subsp vinifera cv. Kassoufi</t>
  </si>
  <si>
    <t>Vitis vinifera subsp vinifera cv. Kata</t>
  </si>
  <si>
    <t>Vitis vinifera subsp vinifera cv. Katsacoulias</t>
  </si>
  <si>
    <t>Vitis vinifera subsp vinifera cv. Katta kourgan</t>
  </si>
  <si>
    <t>Vitis vinifera subsp vinifera cv. Kauka blau</t>
  </si>
  <si>
    <t>Vitis vinifera subsp vinifera cv. Kaytagi rose</t>
  </si>
  <si>
    <t>Vitis vinifera subsp vinifera cv. Kechmisch aly violet</t>
  </si>
  <si>
    <t>Vitis vinifera subsp vinifera cv. Kecskecsecsu kek</t>
  </si>
  <si>
    <t>Vitis vinifera subsp vinifera cv. Kecskecsecsu roszas piros</t>
  </si>
  <si>
    <t>Vitis vinifera subsp vinifera cv. Kecskemet kincse</t>
  </si>
  <si>
    <t>Vitis vinifera subsp vinifera cv. Kecskemet Szepe</t>
  </si>
  <si>
    <t>Vitis vinifera subsp vinifera cv. Kecskemeti izes</t>
  </si>
  <si>
    <t>Vitis vinifera subsp vinifera cv. Kecskemeti rizling</t>
  </si>
  <si>
    <t>Vitis vinifera subsp vinifera cv. Kefessia</t>
  </si>
  <si>
    <t>Vitis vinifera subsp vinifera cv. Kekhlibar</t>
  </si>
  <si>
    <t>Vitis vinifera subsp vinifera cv. Keknyelü</t>
  </si>
  <si>
    <t>Vitis vinifera subsp vinifera cv. Kerner = We S 25-30</t>
  </si>
  <si>
    <t>Vitis vinifera subsp vinifera cv. Keropodia</t>
  </si>
  <si>
    <t>Vitis vinifera subsp vinifera cv. Khalili Piskakes</t>
  </si>
  <si>
    <t>Vitis vinifera subsp vinifera cv. Khalili tcherni</t>
  </si>
  <si>
    <t>Vitis vinifera subsp vinifera cv. Khalt</t>
  </si>
  <si>
    <t>Vitis vinifera subsp vinifera cv. Khatmi</t>
  </si>
  <si>
    <t>Vitis vinifera subsp vinifera cv. Khikhvi</t>
  </si>
  <si>
    <t>Vitis vinifera subsp vinifera cv. Khindogny</t>
  </si>
  <si>
    <t>Vitis vinifera subsp vinifera cv. Khoussaïné blanc</t>
  </si>
  <si>
    <t>Vitis vinifera subsp vinifera cv. Kibraiski</t>
  </si>
  <si>
    <t>Vitis vinifera subsp vinifera cv. Kichmich chichraou</t>
  </si>
  <si>
    <t>Vitis vinifera subsp vinifera cv. Kichmich rond</t>
  </si>
  <si>
    <t>Vitis vinifera subsp vinifera cv. Kincsem</t>
  </si>
  <si>
    <t>Vitis vinifera subsp vinifera cv. Kizil</t>
  </si>
  <si>
    <t>Vitis vinifera subsp vinifera cv. Kizil sapak</t>
  </si>
  <si>
    <t>Vitis vinifera subsp vinifera cv. Knipperlé</t>
  </si>
  <si>
    <t>Vitis vinifera subsp vinifera cv. Kocsis Irma</t>
  </si>
  <si>
    <t>Vitis vinifera subsp vinifera cv. Kocsis Pal szilvanija</t>
  </si>
  <si>
    <t>Vitis vinifera subsp vinifera cv. Kocsis Sandor</t>
  </si>
  <si>
    <t>Vitis vinifera subsp vinifera cv. Kokkinellia</t>
  </si>
  <si>
    <t>Vitis vinifera subsp vinifera cv. Kokkinostaphylo</t>
  </si>
  <si>
    <t>Vitis vinifera subsp vinifera cv. Kokour bely</t>
  </si>
  <si>
    <t>Vitis vinifera subsp vinifera cv. Kolliniatico</t>
  </si>
  <si>
    <t>Vitis vinifera subsp vinifera cv. Kölner blau</t>
  </si>
  <si>
    <t>Vitis vinifera subsp vinifera cv. Kolokythas avgoulatos</t>
  </si>
  <si>
    <t>Vitis vinifera subsp vinifera cv. Kolontar</t>
  </si>
  <si>
    <t>Vitis vinifera subsp vinifera cv. Königstraube</t>
  </si>
  <si>
    <t>Vitis vinifera subsp vinifera cv. Kontocladi</t>
  </si>
  <si>
    <t>Vitis vinifera subsp vinifera cv. Korai Olasz</t>
  </si>
  <si>
    <t>Vitis vinifera subsp vinifera cv. Korithi à gros grains</t>
  </si>
  <si>
    <t>Vitis vinifera subsp vinifera cv. Korithi aspro</t>
  </si>
  <si>
    <t>Vitis vinifera subsp vinifera cv. Korithi mavro</t>
  </si>
  <si>
    <t>Vitis vinifera subsp vinifera cv. Koritsanos rouge</t>
  </si>
  <si>
    <t>Vitis vinifera subsp vinifera cv. Koshu noir faux</t>
  </si>
  <si>
    <t>Vitis vinifera subsp vinifera cv. Kossorotovsky</t>
  </si>
  <si>
    <t>Vitis vinifera subsp vinifera cv. Kotselina</t>
  </si>
  <si>
    <t>Vitis vinifera subsp vinifera cv. Kotsiphali</t>
  </si>
  <si>
    <t>Vitis vinifera subsp vinifera cv. Koudsi</t>
  </si>
  <si>
    <t>Vitis vinifera subsp vinifera cv. Kouldjinsky</t>
  </si>
  <si>
    <t>Vitis vinifera subsp vinifera cv. Koumari</t>
  </si>
  <si>
    <t>Vitis vinifera subsp vinifera cv. Kouroupitsa</t>
  </si>
  <si>
    <t>Vitis vinifera subsp vinifera cv. Koussan</t>
  </si>
  <si>
    <t>Vitis vinifera subsp vinifera cv. Kovacsi feher</t>
  </si>
  <si>
    <t>Vitis vinifera subsp vinifera cv. Kovalevka</t>
  </si>
  <si>
    <t>Vitis vinifera subsp vinifera cv. Kövidinka</t>
  </si>
  <si>
    <t>Vitis vinifera subsp vinifera cv. Koytsoumbeli aspro</t>
  </si>
  <si>
    <t>Vitis vinifera subsp vinifera cv. Koz ouzioum</t>
  </si>
  <si>
    <t>Vitis vinifera subsp vinifera cv. Kozanitis</t>
  </si>
  <si>
    <t>Vitis vinifera subsp vinifera cv. Kozma</t>
  </si>
  <si>
    <t>Vitis vinifera subsp vinifera cv. Kracher gelber</t>
  </si>
  <si>
    <t>Vitis vinifera subsp vinifera cv. Krakhouna</t>
  </si>
  <si>
    <t>Vitis vinifera subsp vinifera cv. Krasnostop zolotowskii</t>
  </si>
  <si>
    <t>Vitis vinifera subsp vinifera cv. Kravi tzitzi</t>
  </si>
  <si>
    <t>Vitis vinifera subsp vinifera cv. Krestovsky</t>
  </si>
  <si>
    <t>Vitis vinifera subsp vinifera cv. Kroustalli</t>
  </si>
  <si>
    <t>Vitis vinifera subsp vinifera cv. Kujundzusa</t>
  </si>
  <si>
    <t>Vitis vinifera subsp vinifera cv. Kurtelaska</t>
  </si>
  <si>
    <t>Vitis vinifera subsp vinifera cv. Kypreiko</t>
  </si>
  <si>
    <t>Vitis vinifera subsp vinifera cv. La Guitte</t>
  </si>
  <si>
    <t>Vitis vinifera subsp vinifera cv. La Rochelle</t>
  </si>
  <si>
    <t>Vitis vinifera subsp vinifera cv. Laadari</t>
  </si>
  <si>
    <t>Vitis vinifera subsp vinifera cv. Labrusco</t>
  </si>
  <si>
    <t>Vitis vinifera subsp vinifera cv. Lacrima di Maria</t>
  </si>
  <si>
    <t>Vitis vinifera subsp vinifera cv. Lacryma Christi</t>
  </si>
  <si>
    <t>Vitis vinifera subsp vinifera cv. Ladikino</t>
  </si>
  <si>
    <t>Vitis vinifera subsp vinifera cv. Lady Downe's seedling</t>
  </si>
  <si>
    <t>Vitis vinifera subsp vinifera cv. Lady Hastings</t>
  </si>
  <si>
    <t>Vitis vinifera subsp vinifera cv. Lafayette</t>
  </si>
  <si>
    <t>Vitis vinifera subsp vinifera cv. Lagauzère A</t>
  </si>
  <si>
    <t>Vitis vinifera subsp vinifera cv. Lagauzère B</t>
  </si>
  <si>
    <t>Vitis vinifera subsp vinifera cv. Lagauzère C</t>
  </si>
  <si>
    <t>Vitis vinifera subsp vinifera cv. Lagauzère E</t>
  </si>
  <si>
    <t>Vitis vinifera subsp vinifera cv. Lagauzère 19</t>
  </si>
  <si>
    <t>Vitis vinifera subsp vinifera cv. Lagauzère 20</t>
  </si>
  <si>
    <t>Vitis vinifera subsp vinifera cv. Lagauzère 21</t>
  </si>
  <si>
    <t>Vitis vinifera subsp vinifera cv. Lagorthi</t>
  </si>
  <si>
    <t>Vitis vinifera subsp vinifera cv. Lagrein</t>
  </si>
  <si>
    <t>Vitis vinifera subsp vinifera cv. Lahntraube</t>
  </si>
  <si>
    <t>Vitis vinifera subsp vinifera cv. Lahntraube (Institut Oberlin)</t>
  </si>
  <si>
    <t>Vitis vinifera subsp vinifera cv. Lallée</t>
  </si>
  <si>
    <t>Vitis vinifera subsp vinifera cv. Lambrusco à foglia frastigliata</t>
  </si>
  <si>
    <t>Vitis vinifera subsp vinifera cv. Lambrusco di Sorbara</t>
  </si>
  <si>
    <t>Vitis vinifera subsp vinifera cv. Lambrusco grasparossa</t>
  </si>
  <si>
    <t>Vitis vinifera subsp vinifera cv. Lambrusco Maestri</t>
  </si>
  <si>
    <t>Vitis vinifera subsp vinifera cv. Lambrusco Marani</t>
  </si>
  <si>
    <t>Vitis vinifera subsp vinifera cv. Lambrusco Monterico</t>
  </si>
  <si>
    <t>Vitis vinifera subsp vinifera cv. Lambrusco oliva</t>
  </si>
  <si>
    <t>Vitis vinifera subsp vinifera cv. Lambrusco salamino</t>
  </si>
  <si>
    <t>Vitis vinifera subsp vinifera cv. Lambrusco Viadanese</t>
  </si>
  <si>
    <t>Vitis vinifera subsp vinifera cv. Lambruscone</t>
  </si>
  <si>
    <t>Vitis vinifera subsp vinifera cv. Lambrusque A</t>
  </si>
  <si>
    <t>Vitis vinifera subsp vinifera cv. lambrusque C</t>
  </si>
  <si>
    <t>Vitis vinifera subsp vinifera cv. Lambrusque D</t>
  </si>
  <si>
    <t>Vitis vinifera subsp vinifera cv. Lambrusque E</t>
  </si>
  <si>
    <t>Vitis vinifera subsp vinifera cv. Lambrusque F</t>
  </si>
  <si>
    <t>Vitis vinifera subsp vinifera cv. Lambrusque I</t>
  </si>
  <si>
    <t>Vitis vinifera subsp vinifera cv. Lambrusque J</t>
  </si>
  <si>
    <t>Vitis vinifera subsp vinifera cv. Lambrusque spontanée coloniale</t>
  </si>
  <si>
    <t>Vitis vinifera subsp vinifera cv. Lambrusque subspontanée</t>
  </si>
  <si>
    <t>Vitis vinifera subsp vinifera cv. Lamparfahr de Vany</t>
  </si>
  <si>
    <t>Vitis vinifera subsp vinifera cv. Landroter</t>
  </si>
  <si>
    <t>Vitis vinifera subsp vinifera cv. Lanjaron claro</t>
  </si>
  <si>
    <t>Vitis vinifera subsp vinifera cv. Larião</t>
  </si>
  <si>
    <t>Vitis vinifera subsp vinifera cv. Lasina</t>
  </si>
  <si>
    <t>Vitis vinifera subsp vinifera cv. Laska</t>
  </si>
  <si>
    <t>Vitis vinifera subsp vinifera cv. Latina = Pirovano 711</t>
  </si>
  <si>
    <t>Vitis vinifera subsp vinifera cv. Lattuario nero</t>
  </si>
  <si>
    <t>Vitis vinifera subsp vinifera cv. Lauzet</t>
  </si>
  <si>
    <t>Vitis vinifera subsp vinifera cv. Leanyka</t>
  </si>
  <si>
    <t>Vitis vinifera subsp vinifera cv. Leao Ferreira da Almeida 10-48-24</t>
  </si>
  <si>
    <t>Vitis vinifera subsp vinifera cv. Leao Ferreira da Almeida 29-54-30</t>
  </si>
  <si>
    <t>Vitis vinifera subsp vinifera cv. Leao Ferreira da Almeida 29-54-7</t>
  </si>
  <si>
    <t>Vitis vinifera subsp vinifera cv. Leao Ferreira da Almeida 34-49-48</t>
  </si>
  <si>
    <t>Vitis vinifera subsp vinifera cv. Leao Ferreira da Almeida 34-49-50</t>
  </si>
  <si>
    <t>Vitis vinifera subsp vinifera cv. Leao Ferreira da Almeida 37-50-8</t>
  </si>
  <si>
    <t>Vitis vinifera subsp vinifera cv. Leao Ferreira da Almeida 4-49-44</t>
  </si>
  <si>
    <t>Vitis vinifera subsp vinifera cv. Leao Ferreira da Almeida 7-49-35</t>
  </si>
  <si>
    <t>Vitis vinifera subsp vinifera cv. Lefcas</t>
  </si>
  <si>
    <t>Vitis vinifera subsp vinifera cv. Len de l'El</t>
  </si>
  <si>
    <t>Vitis vinifera subsp vinifera cv. L'Enfant trouvé</t>
  </si>
  <si>
    <t>Vitis vinifera subsp vinifera cv. Léopold III</t>
  </si>
  <si>
    <t>Vitis vinifera subsp vinifera cv. Lercat</t>
  </si>
  <si>
    <t>Vitis vinifera subsp vinifera cv. Lesz meg hazam</t>
  </si>
  <si>
    <t>Vitis vinifera subsp vinifera cv. Lialmigui</t>
  </si>
  <si>
    <t>Vitis vinifera subsp vinifera cv. Liatico</t>
  </si>
  <si>
    <t>Vitis vinifera subsp vinifera cv. Lignage</t>
  </si>
  <si>
    <t>Vitis vinifera subsp vinifera cv. Lignan</t>
  </si>
  <si>
    <t>Vitis vinifera subsp vinifera cv. Liliorila</t>
  </si>
  <si>
    <t>Vitis vinifera subsp vinifera cv. Limberger</t>
  </si>
  <si>
    <t>Vitis vinifera subsp vinifera cv. Limniona</t>
  </si>
  <si>
    <t>Vitis vinifera subsp vinifera cv. Linné</t>
  </si>
  <si>
    <t>Vitis vinifera subsp vinifera cv. Listan</t>
  </si>
  <si>
    <t>Vitis vinifera subsp vinifera cv. Lisztes feher feketefaju</t>
  </si>
  <si>
    <t>Vitis vinifera subsp vinifera cv. Lisztes piros</t>
  </si>
  <si>
    <t>Vitis vinifera subsp vinifera cv. Littorio = Pirovano 90</t>
  </si>
  <si>
    <t>Vitis vinifera subsp vinifera cv. Lival = INRA 696-11</t>
  </si>
  <si>
    <t>Vitis vinifera subsp vinifera cv. Lkeny noir</t>
  </si>
  <si>
    <t>Vitis vinifera subsp vinifera cv. Lledoner pelut</t>
  </si>
  <si>
    <t>Vitis vinifera subsp vinifera cv. Lombardia = Pirovano 353</t>
  </si>
  <si>
    <t>Vitis vinifera subsp vinifera cv. Louali</t>
  </si>
  <si>
    <t>Vitis vinifera subsp vinifera cv. Loureiro</t>
  </si>
  <si>
    <t>Vitis vinifera subsp vinifera cv. Lucien Baltet</t>
  </si>
  <si>
    <t>Vitis vinifera subsp vinifera cv. Luigi Razza = Pirovano 365</t>
  </si>
  <si>
    <t>Vitis vinifera subsp vinifera cv. Luisa blanca</t>
  </si>
  <si>
    <t>Vitis vinifera subsp vinifera cv. Lumassina</t>
  </si>
  <si>
    <t>Vitis vinifera subsp vinifera cv. Luparello</t>
  </si>
  <si>
    <t>Vitis vinifera subsp vinifera cv. Lutea = Pirovano 167</t>
  </si>
  <si>
    <t>Vitis vinifera subsp vinifera cv. Maabouri</t>
  </si>
  <si>
    <t>Vitis vinifera subsp vinifera cv. Maça</t>
  </si>
  <si>
    <t>Vitis vinifera subsp vinifera cv. Macabeu</t>
  </si>
  <si>
    <t>Vitis vinifera subsp vinifera cv. Maceratino</t>
  </si>
  <si>
    <t>Vitis vinifera subsp vinifera cv. Mackensen</t>
  </si>
  <si>
    <t>Vitis vinifera subsp vinifera cv. Madeleine angevine</t>
  </si>
  <si>
    <t>Vitis vinifera subsp vinifera cv. Madeleine angevine Oberlin</t>
  </si>
  <si>
    <t>Vitis vinifera subsp vinifera cv. Madeleine Céline</t>
  </si>
  <si>
    <t>Vitis vinifera subsp vinifera cv. Madeleine de Clermont</t>
  </si>
  <si>
    <t>Vitis vinifera subsp vinifera cv. Madeleine royale</t>
  </si>
  <si>
    <t>Vitis vinifera subsp vinifera cv. Madeleine Salomon</t>
  </si>
  <si>
    <t>Vitis vinifera subsp vinifera cv. Madeleine Sämling 18</t>
  </si>
  <si>
    <t>Vitis vinifera subsp vinifera cv. Madeleine Sämling 22</t>
  </si>
  <si>
    <t>Vitis vinifera subsp vinifera cv. Madina = INRA 2004-9</t>
  </si>
  <si>
    <t>Vitis vinifera subsp vinifera cv. Magliocco</t>
  </si>
  <si>
    <t>Vitis vinifera subsp vinifera cv. Magyartraube</t>
  </si>
  <si>
    <t>Vitis vinifera subsp vinifera cv. Maingonat 50 L 2</t>
  </si>
  <si>
    <t>Vitis vinifera subsp vinifera cv. Maingonnat 11 L 13</t>
  </si>
  <si>
    <t>Vitis vinifera subsp vinifera cv. Maingonnat 12 L 11</t>
  </si>
  <si>
    <t>Vitis vinifera subsp vinifera cv. Maingonnat 14 L 23</t>
  </si>
  <si>
    <t>Vitis vinifera subsp vinifera cv. Maingonnat 16 L 4</t>
  </si>
  <si>
    <t>Vitis vinifera subsp vinifera cv. Maingonnat 17 L 24</t>
  </si>
  <si>
    <t>Vitis vinifera subsp vinifera cv. Maingonnat 19 L 25</t>
  </si>
  <si>
    <t>Vitis vinifera subsp vinifera cv. Maingonnat 20 L 12</t>
  </si>
  <si>
    <t>Vitis vinifera subsp vinifera cv. Maingonnat 20 L 22</t>
  </si>
  <si>
    <t>Vitis vinifera subsp vinifera cv. Maingonnat 25 L 5</t>
  </si>
  <si>
    <t>Vitis vinifera subsp vinifera cv. Maingonnat 27 L1</t>
  </si>
  <si>
    <t>Vitis vinifera subsp vinifera cv. Maingonnat 3 L 1</t>
  </si>
  <si>
    <t>Vitis vinifera subsp vinifera cv. Maingonnat 3 L 22</t>
  </si>
  <si>
    <t>Vitis vinifera subsp vinifera cv. Maingonnat 30 L 22</t>
  </si>
  <si>
    <t>Vitis vinifera subsp vinifera cv. Maingonnat 31 L 10</t>
  </si>
  <si>
    <t>Vitis vinifera subsp vinifera cv. Maingonnat 31 L 11</t>
  </si>
  <si>
    <t>Vitis vinifera subsp vinifera cv. Maingonnat 34 L 5</t>
  </si>
  <si>
    <t>Vitis vinifera subsp vinifera cv. Maingonnat 4 L 22</t>
  </si>
  <si>
    <t>Vitis vinifera subsp vinifera cv. Maingonnat 42 L 10</t>
  </si>
  <si>
    <t>Vitis vinifera subsp vinifera cv. Maingonnat 48 L 2</t>
  </si>
  <si>
    <t>Vitis vinifera subsp vinifera cv. Maingonnat 48 L 4</t>
  </si>
  <si>
    <t>Vitis vinifera subsp vinifera cv. Maingonnat 50 L 4</t>
  </si>
  <si>
    <t>Vitis vinifera subsp vinifera cv. Maingonnat 7 L 1</t>
  </si>
  <si>
    <t>Vitis vinifera subsp vinifera cv. Maingonnat 9 L 24</t>
  </si>
  <si>
    <t>Vitis vinifera subsp vinifera cv. Malaga II</t>
  </si>
  <si>
    <t>Vitis vinifera subsp vinifera cv. Malaga noir</t>
  </si>
  <si>
    <t>Vitis vinifera subsp vinifera cv. Maloukato</t>
  </si>
  <si>
    <t>Vitis vinifera subsp vinifera cv. Malpé (1)</t>
  </si>
  <si>
    <t>Vitis vinifera subsp vinifera cv. Malpé (2)</t>
  </si>
  <si>
    <t>Vitis vinifera subsp vinifera cv. Malvar</t>
  </si>
  <si>
    <t>Vitis vinifera subsp vinifera cv. Malvarisco</t>
  </si>
  <si>
    <t>Vitis vinifera subsp vinifera cv. Malvasia</t>
  </si>
  <si>
    <t>Vitis vinifera subsp vinifera cv. Malvasia del Chianti</t>
  </si>
  <si>
    <t>Vitis vinifera subsp vinifera cv. Malvasia del Lazio</t>
  </si>
  <si>
    <t>Vitis vinifera subsp vinifera cv. Malvasia di Candia</t>
  </si>
  <si>
    <t>Vitis vinifera subsp vinifera cv. Malvasia di Candia aromatica</t>
  </si>
  <si>
    <t>Vitis vinifera subsp vinifera cv. Malvasia di Casorzo</t>
  </si>
  <si>
    <t>Vitis vinifera subsp vinifera cv. Malvasia di Sardegna</t>
  </si>
  <si>
    <t>Vitis vinifera subsp vinifera cv. Malvasia di Schierano</t>
  </si>
  <si>
    <t>Vitis vinifera subsp vinifera cv. Malvasia fina</t>
  </si>
  <si>
    <t>Vitis vinifera subsp vinifera cv. Malvasia istriana</t>
  </si>
  <si>
    <t>Vitis vinifera subsp vinifera cv. Malvasia Moscatel Fonte grande</t>
  </si>
  <si>
    <t>Vitis vinifera subsp vinifera cv. Malvasia nera di Brindisi</t>
  </si>
  <si>
    <t>Vitis vinifera subsp vinifera cv. Malvasia nera di Lecce</t>
  </si>
  <si>
    <t>Vitis vinifera subsp vinifera cv. Malvasia rei</t>
  </si>
  <si>
    <t>Vitis vinifera subsp vinifera cv. Malvina</t>
  </si>
  <si>
    <t>Vitis vinifera subsp vinifera cv. Malvoisie de Sitges fausse</t>
  </si>
  <si>
    <t>Vitis vinifera subsp vinifera cv. Mamelon</t>
  </si>
  <si>
    <t>Vitis vinifera subsp vinifera cv. Mammolo</t>
  </si>
  <si>
    <t>Vitis vinifera subsp vinifera cv. Mancens</t>
  </si>
  <si>
    <t>Vitis vinifera subsp vinifera cv. Mancin</t>
  </si>
  <si>
    <t>Vitis vinifera subsp vinifera cv. Mandrègue</t>
  </si>
  <si>
    <t>Vitis vinifera subsp vinifera cv. Manseng noir</t>
  </si>
  <si>
    <t>Vitis vinifera subsp vinifera cv. Manseng vert</t>
  </si>
  <si>
    <t>Vitis vinifera subsp vinifera cv. Mansonnet</t>
  </si>
  <si>
    <t>Vitis vinifera subsp vinifera cv. Manteudo</t>
  </si>
  <si>
    <t>Vitis vinifera subsp vinifera cv. Mantheudo</t>
  </si>
  <si>
    <t>Vitis vinifera subsp vinifera cv. Mantilaria</t>
  </si>
  <si>
    <t>Vitis vinifera subsp vinifera cv. Mantuo de Pilas</t>
  </si>
  <si>
    <t>Vitis vinifera subsp vinifera cv. Manzoni 1-50</t>
  </si>
  <si>
    <t>Vitis vinifera subsp vinifera cv. Manzoni 2-15</t>
  </si>
  <si>
    <t>Vitis vinifera subsp vinifera cv. Manzoni 3-26</t>
  </si>
  <si>
    <t>Vitis vinifera subsp vinifera cv. Maratheftico</t>
  </si>
  <si>
    <t>Vitis vinifera subsp vinifera cv. Marawi</t>
  </si>
  <si>
    <t>Vitis vinifera subsp vinifera cv. Maréchal Bosquet</t>
  </si>
  <si>
    <t>Vitis vinifera subsp vinifera cv. Maréchal Gallieni</t>
  </si>
  <si>
    <t>Vitis vinifera subsp vinifera cv. Marengo = Pirovano 205</t>
  </si>
  <si>
    <t>Vitis vinifera subsp vinifera cv. Maria Pirovano = Pirovano 165</t>
  </si>
  <si>
    <t>Vitis vinifera subsp vinifera cv. Marienriesling</t>
  </si>
  <si>
    <t>Vitis vinifera subsp vinifera cv. Mariensteiner = Würzburg B 51-7-3</t>
  </si>
  <si>
    <t>Vitis vinifera subsp vinifera cv. Mario Mariani = Pirovano 276</t>
  </si>
  <si>
    <t>Vitis vinifera subsp vinifera cv. Marocain gris</t>
  </si>
  <si>
    <t>Vitis vinifera subsp vinifera cv. Marocain noir</t>
  </si>
  <si>
    <t>Vitis vinifera subsp vinifera cv. Maroo seedless</t>
  </si>
  <si>
    <t>Vitis vinifera subsp vinifera cv. Marouhé</t>
  </si>
  <si>
    <t>Vitis vinifera subsp vinifera cv. Marsanne</t>
  </si>
  <si>
    <t>Vitis vinifera subsp vinifera cv. Marsanne de Pays</t>
  </si>
  <si>
    <t>Vitis vinifera subsp vinifera cv. Marselan = INRA 1810-68</t>
  </si>
  <si>
    <t>Vitis vinifera subsp vinifera cv. Marsigliana nera</t>
  </si>
  <si>
    <t>Vitis vinifera subsp vinifera cv. Martien</t>
  </si>
  <si>
    <t>Vitis vinifera subsp vinifera cv. Marzemino</t>
  </si>
  <si>
    <t>Vitis vinifera subsp vinifera cv. Massecamp</t>
  </si>
  <si>
    <t>Vitis vinifera subsp vinifera cv. Mateu</t>
  </si>
  <si>
    <t>Vitis vinifera subsp vinifera cv. Mathiasz Janos Diadala muskotaly</t>
  </si>
  <si>
    <t>Vitis vinifera subsp vinifera cv. Mathiasz Janos Emleke</t>
  </si>
  <si>
    <t>Vitis vinifera subsp vinifera cv. Mathiasz Janosne</t>
  </si>
  <si>
    <t>Vitis vinifera subsp vinifera cv. Mathiasz Muskotaly = Revai tranonor</t>
  </si>
  <si>
    <t>Vitis vinifera subsp vinifera cv. Mathiasz 215 faux</t>
  </si>
  <si>
    <t>Vitis vinifera subsp vinifera cv. Maticha</t>
  </si>
  <si>
    <t>Vitis vinifera subsp vinifera cv. Matilde</t>
  </si>
  <si>
    <t>Vitis vinifera subsp vinifera cv. Matrassa</t>
  </si>
  <si>
    <t>Vitis vinifera subsp vinifera cv. Maturana</t>
  </si>
  <si>
    <t>Vitis vinifera subsp vinifera cv. Mauvaise Roussette</t>
  </si>
  <si>
    <t>Vitis vinifera subsp vinifera cv. Mauzac</t>
  </si>
  <si>
    <t>Vitis vinifera subsp vinifera cv. Mauzac noir</t>
  </si>
  <si>
    <t>Vitis vinifera subsp vinifera cv. Mauzac rose</t>
  </si>
  <si>
    <t>Vitis vinifera subsp vinifera cv. Mavro Kymis</t>
  </si>
  <si>
    <t>Vitis vinifera subsp vinifera cv. Mavrodaphni</t>
  </si>
  <si>
    <t>Vitis vinifera subsp vinifera cv. Mavrostypho</t>
  </si>
  <si>
    <t>Vitis vinifera subsp vinifera cv. Mavrotragano</t>
  </si>
  <si>
    <t>Vitis vinifera subsp vinifera cv. Mavroudi</t>
  </si>
  <si>
    <t>Vitis vinifera subsp vinifera cv. Mavrud</t>
  </si>
  <si>
    <t>Vitis vinifera subsp vinifera cv. Mavrud Varnenski</t>
  </si>
  <si>
    <t>Vitis vinifera subsp vinifera cv. Mayorquin</t>
  </si>
  <si>
    <t>Vitis vinifera subsp vinifera cv. Mazzari</t>
  </si>
  <si>
    <t>Vitis vinifera subsp vinifera cv. Mècle de Bourgoin</t>
  </si>
  <si>
    <t>Vitis vinifera subsp vinifera cv. Médoc noir</t>
  </si>
  <si>
    <t>Vitis vinifera subsp vinifera cv. Mehdik</t>
  </si>
  <si>
    <t>Vitis vinifera subsp vinifera cv. Mehlweiss</t>
  </si>
  <si>
    <t>Vitis vinifera subsp vinifera cv. Melbento</t>
  </si>
  <si>
    <t>Vitis vinifera subsp vinifera cv. Melon</t>
  </si>
  <si>
    <t>Vitis vinifera subsp vinifera cv. Melon noir</t>
  </si>
  <si>
    <t>Vitis vinifera subsp vinifera cv. Mencia</t>
  </si>
  <si>
    <t>Vitis vinifera subsp vinifera cv. Mendel = Pirovano 532</t>
  </si>
  <si>
    <t>Vitis vinifera subsp vinifera cv. Mérille</t>
  </si>
  <si>
    <t>Vitis vinifera subsp vinifera cv. Merlot</t>
  </si>
  <si>
    <t>Vitis vinifera subsp vinifera cv. Merlot blanc</t>
  </si>
  <si>
    <t>Vitis vinifera subsp vinifera cv. Merlot gris</t>
  </si>
  <si>
    <t>Vitis vinifera subsp vinifera cv. Merseguera</t>
  </si>
  <si>
    <t>Vitis vinifera subsp vinifera cv. Meslier noir</t>
  </si>
  <si>
    <t>Vitis vinifera subsp vinifera cv. Meslier Saint-François</t>
  </si>
  <si>
    <t>Vitis vinifera subsp vinifera cv. Métis Clerc</t>
  </si>
  <si>
    <t>Vitis vinifera subsp vinifera cv. Meunier</t>
  </si>
  <si>
    <t>Vitis vinifera subsp vinifera cv. Meunier Court Maillé</t>
  </si>
  <si>
    <t>Vitis vinifera subsp vinifera cv. Meunier tête de nègre</t>
  </si>
  <si>
    <t>Vitis vinifera subsp vinifera cv. Mezesfeher</t>
  </si>
  <si>
    <t>Vitis vinifera subsp vinifera cv. Mezesfekete</t>
  </si>
  <si>
    <t>Vitis vinifera subsp vinifera cv. Mezi</t>
  </si>
  <si>
    <t>Vitis vinifera subsp vinifera cv. Mgaloblichvili</t>
  </si>
  <si>
    <t>Vitis vinifera subsp vinifera cv. Michele Palieri = Palieri 5</t>
  </si>
  <si>
    <t>Vitis vinifera subsp vinifera cv. Miguel de Arco</t>
  </si>
  <si>
    <t>Vitis vinifera subsp vinifera cv. Mikveh 17</t>
  </si>
  <si>
    <t>Vitis vinifera subsp vinifera cv. Milgranet</t>
  </si>
  <si>
    <t>Vitis vinifera subsp vinifera cv. Milton</t>
  </si>
  <si>
    <t>Vitis vinifera subsp vinifera cv. Minnella bianca</t>
  </si>
  <si>
    <t>Vitis vinifera subsp vinifera cv. Mireille = Mi 108 C</t>
  </si>
  <si>
    <t>Vitis vinifera subsp vinifera cv. Mirifica = Pirovano 432</t>
  </si>
  <si>
    <t>Vitis vinifera subsp vinifera cv. Mirni</t>
  </si>
  <si>
    <t>Vitis vinifera subsp vinifera cv. Misguli kara</t>
  </si>
  <si>
    <t>Vitis vinifera subsp vinifera cv. Mishung</t>
  </si>
  <si>
    <t>Vitis vinifera subsp vinifera cv. Misket tcherven</t>
  </si>
  <si>
    <t>Vitis vinifera subsp vinifera cv. Misket vratchansky</t>
  </si>
  <si>
    <t>Vitis vinifera subsp vinifera cv. Mission</t>
  </si>
  <si>
    <t>Vitis vinifera subsp vinifera cv. Mistress Hall</t>
  </si>
  <si>
    <t>Vitis vinifera subsp vinifera cv. Mohzel</t>
  </si>
  <si>
    <t>Vitis vinifera subsp vinifera cv. Moldovanka</t>
  </si>
  <si>
    <t>Vitis vinifera subsp vinifera cv. Molette</t>
  </si>
  <si>
    <t>Vitis vinifera subsp vinifera cv. Molinara</t>
  </si>
  <si>
    <t>Vitis vinifera subsp vinifera cv. Molinera gorda</t>
  </si>
  <si>
    <t>Vitis vinifera subsp vinifera cv. Mollar</t>
  </si>
  <si>
    <t>Vitis vinifera subsp vinifera cv. Mollard</t>
  </si>
  <si>
    <t>Vitis vinifera subsp vinifera cv. Monaca</t>
  </si>
  <si>
    <t>Vitis vinifera subsp vinifera cv. Monbadon</t>
  </si>
  <si>
    <t>Vitis vinifera subsp vinifera cv. Mondeuse</t>
  </si>
  <si>
    <t>Vitis vinifera subsp vinifera cv. Mondeuse blanche</t>
  </si>
  <si>
    <t>Vitis vinifera subsp vinifera cv. Mondeuse du Piémont</t>
  </si>
  <si>
    <t>Vitis vinifera subsp vinifera cv. Mondeuse grise</t>
  </si>
  <si>
    <t>Vitis vinifera subsp vinifera cv. Monemvassia</t>
  </si>
  <si>
    <t>Vitis vinifera subsp vinifera cv. Monerac = INRA 1740-1142</t>
  </si>
  <si>
    <t>Vitis vinifera subsp vinifera cv. Monica</t>
  </si>
  <si>
    <t>Vitis vinifera subsp vinifera cv. Monique</t>
  </si>
  <si>
    <t>Vitis vinifera subsp vinifera cv. Monte d'oro = Pirovano 240</t>
  </si>
  <si>
    <t>Vitis vinifera subsp vinifera cv. Montepulciano</t>
  </si>
  <si>
    <t>Vitis vinifera subsp vinifera cv. Montils</t>
  </si>
  <si>
    <t>Vitis vinifera subsp vinifera cv. Montonico bianco</t>
  </si>
  <si>
    <t>Vitis vinifera subsp vinifera cv. Montu</t>
  </si>
  <si>
    <t>Vitis vinifera subsp vinifera cv. Montuonico</t>
  </si>
  <si>
    <t>Vitis vinifera subsp vinifera cv. Morenillo</t>
  </si>
  <si>
    <t>Vitis vinifera subsp vinifera cv. Moreto</t>
  </si>
  <si>
    <t>Vitis vinifera subsp vinifera cv. Moriot Muskat = Geilweilerhof I-28-30</t>
  </si>
  <si>
    <t>Vitis vinifera subsp vinifera cv. Morisca</t>
  </si>
  <si>
    <t>Vitis vinifera subsp vinifera cv. Morlin gris</t>
  </si>
  <si>
    <t>Vitis vinifera subsp vinifera cv. Mornen</t>
  </si>
  <si>
    <t>Vitis vinifera subsp vinifera cv. Morrastel</t>
  </si>
  <si>
    <t>Vitis vinifera subsp vinifera cv. Morrastel Bouschet à gros grains</t>
  </si>
  <si>
    <t>Vitis vinifera subsp vinifera cv. Moscatel de Camarate</t>
  </si>
  <si>
    <t>Vitis vinifera subsp vinifera cv. Moscatel de San Ildefonso</t>
  </si>
  <si>
    <t>Vitis vinifera subsp vinifera cv. Moscatel Dr Soares Franco</t>
  </si>
  <si>
    <t>Vitis vinifera subsp vinifera cv. Moscatel rosa = Leao Ferreira da Almeida 37-51-15</t>
  </si>
  <si>
    <t>Vitis vinifera subsp vinifera cv. Moscatel rosado</t>
  </si>
  <si>
    <t>Vitis vinifera subsp vinifera cv. Moscato Cerletti</t>
  </si>
  <si>
    <t>Vitis vinifera subsp vinifera cv. Moscato d'Adda</t>
  </si>
  <si>
    <t>Vitis vinifera subsp vinifera cv. Moscato giallo</t>
  </si>
  <si>
    <t>Vitis vinifera subsp vinifera cv. Moscato Tiammor = Pirovano 672</t>
  </si>
  <si>
    <t>Vitis vinifera subsp vinifera cv. Moschardina</t>
  </si>
  <si>
    <t>Vitis vinifera subsp vinifera cv. Moschopatata</t>
  </si>
  <si>
    <t>Vitis vinifera subsp vinifera cv. Mouchketny</t>
  </si>
  <si>
    <t>Vitis vinifera subsp vinifera cv. Moudjouretouli</t>
  </si>
  <si>
    <t>Vitis vinifera subsp vinifera cv. Mourisco branco</t>
  </si>
  <si>
    <t>Vitis vinifera subsp vinifera cv. Mourisco de Semente</t>
  </si>
  <si>
    <t>Vitis vinifera subsp vinifera cv. Mourisco du Minho</t>
  </si>
  <si>
    <t>Vitis vinifera subsp vinifera cv. Mourisco nacional</t>
  </si>
  <si>
    <t>Vitis vinifera subsp vinifera cv. Mourisco tinto</t>
  </si>
  <si>
    <t>Vitis vinifera subsp vinifera cv. Mourtaou</t>
  </si>
  <si>
    <t>Vitis vinifera subsp vinifera cv. Mourtès</t>
  </si>
  <si>
    <t>Vitis vinifera subsp vinifera cv. Mourvaison</t>
  </si>
  <si>
    <t>Vitis vinifera subsp vinifera cv. Mourvèdre</t>
  </si>
  <si>
    <t>Vitis vinifera subsp vinifera cv. Mourvèdre gris</t>
  </si>
  <si>
    <t>Vitis vinifera subsp vinifera cv. Mouscha</t>
  </si>
  <si>
    <t>Vitis vinifera subsp vinifera cv. Mouyssaguès</t>
  </si>
  <si>
    <t>Vitis vinifera subsp vinifera cv. Mskhali</t>
  </si>
  <si>
    <t>Vitis vinifera subsp vinifera cv. Mtzvané</t>
  </si>
  <si>
    <t>Vitis vinifera subsp vinifera cv. Mulata = Leao Ferreira da Almeida 11-48-49</t>
  </si>
  <si>
    <t>Vitis vinifera subsp vinifera cv. Müller-Thurgau</t>
  </si>
  <si>
    <t>Vitis vinifera subsp vinifera cv. Munkatsy Jozsef Muskotaly</t>
  </si>
  <si>
    <t>Vitis vinifera subsp vinifera cv. Muresconu = Morescono</t>
  </si>
  <si>
    <t>Vitis vinifera subsp vinifera cv. Mureto</t>
  </si>
  <si>
    <t>Vitis vinifera subsp vinifera cv. Murrâo</t>
  </si>
  <si>
    <t>Vitis vinifera subsp vinifera cv. Muscadelle</t>
  </si>
  <si>
    <t>Vitis vinifera subsp vinifera cv. Muscardin</t>
  </si>
  <si>
    <t>Vitis vinifera subsp vinifera cv. Muscat à petits grains blancs</t>
  </si>
  <si>
    <t>Vitis vinifera subsp vinifera cv. Muscat à petits grains roses</t>
  </si>
  <si>
    <t>Vitis vinifera subsp vinifera cv. Muscat à petits grains rouges</t>
  </si>
  <si>
    <t>Vitis vinifera subsp vinifera cv. Muscat bifère</t>
  </si>
  <si>
    <t>Vitis vinifera subsp vinifera cv. Muscat Bouschet</t>
  </si>
  <si>
    <t>Vitis vinifera subsp vinifera cv. Muscat cendré</t>
  </si>
  <si>
    <t>Vitis vinifera subsp vinifera cv. Muscat d'Alexandrie</t>
  </si>
  <si>
    <t>Vitis vinifera subsp vinifera cv. Muscat d'Alexandrie rouge</t>
  </si>
  <si>
    <t>Vitis vinifera subsp vinifera cv. Muscat de Hambourg</t>
  </si>
  <si>
    <t>Vitis vinifera subsp vinifera cv. Muscat de Pantelleria</t>
  </si>
  <si>
    <t>Vitis vinifera subsp vinifera cv. Muscat de Roussé</t>
  </si>
  <si>
    <t>Vitis vinifera subsp vinifera cv. Muscat de Sarbelle</t>
  </si>
  <si>
    <t>Vitis vinifera subsp vinifera cv. Muscat de Saumur</t>
  </si>
  <si>
    <t>Vitis vinifera subsp vinifera cv. Muscat de Terracina</t>
  </si>
  <si>
    <t>Vitis vinifera subsp vinifera cv. Muscat d'Eisenstadt</t>
  </si>
  <si>
    <t>Vitis vinifera subsp vinifera cv. Muscat d'Istamboul</t>
  </si>
  <si>
    <t>Vitis vinifera subsp vinifera cv. Muscat d'Ouzbekistan</t>
  </si>
  <si>
    <t>Vitis vinifera subsp vinifera cv. Muscat fleur d'oranger</t>
  </si>
  <si>
    <t>Vitis vinifera subsp vinifera cv. Muscat fleur d'oranger faux</t>
  </si>
  <si>
    <t>Vitis vinifera subsp vinifera cv. Muscat gris de la Calmette</t>
  </si>
  <si>
    <t>Vitis vinifera subsp vinifera cv. Muscat Laserelle</t>
  </si>
  <si>
    <t>Vitis vinifera subsp vinifera cv. Muscat Lierval</t>
  </si>
  <si>
    <t>Vitis vinifera subsp vinifera cv. Muscat Madresfield Court</t>
  </si>
  <si>
    <t>Vitis vinifera subsp vinifera cv. Muscat Mikveh</t>
  </si>
  <si>
    <t>Vitis vinifera subsp vinifera cv. Muscat Oberlin</t>
  </si>
  <si>
    <t>Vitis vinifera subsp vinifera cv. Muscat Ottonel</t>
  </si>
  <si>
    <t>Vitis vinifera subsp vinifera cv. Muscat Paulsen = Paulsen 122</t>
  </si>
  <si>
    <t>Vitis vinifera subsp vinifera cv. Muscat Pince's black</t>
  </si>
  <si>
    <t>Vitis vinifera subsp vinifera cv. Muscat rouge de Madère</t>
  </si>
  <si>
    <t>Vitis vinifera subsp vinifera cv. Muscat Saint-Laurent</t>
  </si>
  <si>
    <t>Vitis vinifera subsp vinifera cv. Muscat Salomon</t>
  </si>
  <si>
    <t>Vitis vinifera subsp vinifera cv. Muscat Vira</t>
  </si>
  <si>
    <t>Vitis vinifera subsp vinifera cv. Muscat Vörösmarty</t>
  </si>
  <si>
    <t>Vitis vinifera subsp vinifera cv. Muskat blume</t>
  </si>
  <si>
    <t>Vitis vinifera subsp vinifera cv. Muskat bouquet</t>
  </si>
  <si>
    <t>Vitis vinifera subsp vinifera cv. Müsküle</t>
  </si>
  <si>
    <t>Vitis vinifera subsp vinifera cv. Mustos feher</t>
  </si>
  <si>
    <t>Vitis vinifera subsp vinifera cv. Nagyfüger</t>
  </si>
  <si>
    <t>Vitis vinifera subsp vinifera cv. Naosé</t>
  </si>
  <si>
    <t>Vitis vinifera subsp vinifera cv. Narince</t>
  </si>
  <si>
    <t>Vitis vinifera subsp vinifera cv. Narma</t>
  </si>
  <si>
    <t>Vitis vinifera subsp vinifera cv. Nasco</t>
  </si>
  <si>
    <t>Vitis vinifera subsp vinifera cv. Nave</t>
  </si>
  <si>
    <t>Vitis vinifera subsp vinifera cv. Nebbiolo</t>
  </si>
  <si>
    <t>Vitis vinifera subsp vinifera cv. Nedelcsev magvatlana</t>
  </si>
  <si>
    <t>Vitis vinifera subsp vinifera cv. Nedeltchev VI-4</t>
  </si>
  <si>
    <t>Vitis vinifera subsp vinifera cv. Nedeltchev V-6</t>
  </si>
  <si>
    <t>Vitis vinifera subsp vinifera cv. Negra corriente</t>
  </si>
  <si>
    <t>Vitis vinifera subsp vinifera cv. Negra mole</t>
  </si>
  <si>
    <t>Vitis vinifera subsp vinifera cv. Negra rayada</t>
  </si>
  <si>
    <t>Vitis vinifera subsp vinifera cv. Negral</t>
  </si>
  <si>
    <t>Vitis vinifera subsp vinifera cv. Negrara trentina</t>
  </si>
  <si>
    <t>Vitis vinifera subsp vinifera cv. Negrara veronese</t>
  </si>
  <si>
    <t>Vitis vinifera subsp vinifera cv. Négret de Banhars</t>
  </si>
  <si>
    <t>Vitis vinifera subsp vinifera cv. Négret de la Canourgue</t>
  </si>
  <si>
    <t>Vitis vinifera subsp vinifera cv. Négret pointu</t>
  </si>
  <si>
    <t>Vitis vinifera subsp vinifera cv. Négrette</t>
  </si>
  <si>
    <t>Vitis vinifera subsp vinifera cv. Negretto</t>
  </si>
  <si>
    <t>Vitis vinifera subsp vinifera cv. Negro amaro</t>
  </si>
  <si>
    <t>Vitis vinifera subsp vinifera cv. Negro mouro</t>
  </si>
  <si>
    <t>Vitis vinifera subsp vinifera cv. Negronza</t>
  </si>
  <si>
    <t>Vitis vinifera subsp vinifera cv. Negru de Causani</t>
  </si>
  <si>
    <t>Vitis vinifera subsp vinifera cv. Negru mare</t>
  </si>
  <si>
    <t>Vitis vinifera subsp vinifera cv. Negru moale</t>
  </si>
  <si>
    <t>Vitis vinifera subsp vinifera cv. Negru virtos</t>
  </si>
  <si>
    <t>Vitis vinifera subsp vinifera cv. Nehelescol</t>
  </si>
  <si>
    <t>Vitis vinifera subsp vinifera cv. Nemorin</t>
  </si>
  <si>
    <t>Vitis vinifera subsp vinifera cv. Nerello cappucio</t>
  </si>
  <si>
    <t>Vitis vinifera subsp vinifera cv. Nerello mascalese</t>
  </si>
  <si>
    <t>Vitis vinifera subsp vinifera cv. Neretta cuneese</t>
  </si>
  <si>
    <t>Vitis vinifera subsp vinifera cv. Neretto di Bairo</t>
  </si>
  <si>
    <t>Vitis vinifera subsp vinifera cv. Neretto grosso monregalese</t>
  </si>
  <si>
    <t>Vitis vinifera subsp vinifera cv. Nerona</t>
  </si>
  <si>
    <t>Vitis vinifera subsp vinifera cv. Netter</t>
  </si>
  <si>
    <t>Vitis vinifera subsp vinifera cv. Neuburger</t>
  </si>
  <si>
    <t>Vitis vinifera subsp vinifera cv. Neuburger (Roumanie)</t>
  </si>
  <si>
    <t>Vitis vinifera subsp vinifera cv. Nieddera</t>
  </si>
  <si>
    <t>Vitis vinifera subsp vinifera cv. Nieddu mannu gris</t>
  </si>
  <si>
    <t>Vitis vinifera subsp vinifera cv. Nielluccio</t>
  </si>
  <si>
    <t>Vitis vinifera subsp vinifera cv. Niger = Pirovano 486</t>
  </si>
  <si>
    <t>Vitis vinifera subsp vinifera cv. Nimrang</t>
  </si>
  <si>
    <t>Vitis vinifera subsp vinifera cv. Nimrang rouge</t>
  </si>
  <si>
    <t>Vitis vinifera subsp vinifera cv. Nincusa</t>
  </si>
  <si>
    <t>Vitis vinifera subsp vinifera cv. Niou-Sin</t>
  </si>
  <si>
    <t>Vitis vinifera subsp vinifera cv. Nobling = 128-40 Fribourg</t>
  </si>
  <si>
    <t>Vitis vinifera subsp vinifera cv. Nocera</t>
  </si>
  <si>
    <t>Vitis vinifera subsp vinifera cv. Noé</t>
  </si>
  <si>
    <t>Vitis vinifera subsp vinifera cv. Nogier 58-1</t>
  </si>
  <si>
    <t>Vitis vinifera subsp vinifera cv. Noir Fleurien</t>
  </si>
  <si>
    <t>Vitis vinifera subsp vinifera cv. Noir Glady</t>
  </si>
  <si>
    <t>Vitis vinifera subsp vinifera cv. Noir hâtif de Marseille</t>
  </si>
  <si>
    <t>Vitis vinifera subsp vinifera cv. Nosiola</t>
  </si>
  <si>
    <t>Vitis vinifera subsp vinifera cv. Noual</t>
  </si>
  <si>
    <t>Vitis vinifera subsp vinifera cv. Noulisok</t>
  </si>
  <si>
    <t>Vitis vinifera subsp vinifera cv. Novraste</t>
  </si>
  <si>
    <t>Vitis vinifera subsp vinifera cv. Nuno gomes</t>
  </si>
  <si>
    <t>Vitis vinifera subsp vinifera cv. Nuragus</t>
  </si>
  <si>
    <t>Vitis vinifera subsp vinifera cv. Obak bieli</t>
  </si>
  <si>
    <t>Vitis vinifera subsp vinifera cv. Obeidi</t>
  </si>
  <si>
    <t>Vitis vinifera subsp vinifera cv. Odem</t>
  </si>
  <si>
    <t>Vitis vinifera subsp vinifera cv. Odesky tcherny</t>
  </si>
  <si>
    <t>Vitis vinifera subsp vinifera cv. Odjalechi</t>
  </si>
  <si>
    <t>Vitis vinifera subsp vinifera cv. Odjou batak</t>
  </si>
  <si>
    <t>Vitis vinifera subsp vinifera cv. Odola</t>
  </si>
  <si>
    <t>Vitis vinifera subsp vinifera cv. Oeillade Bouschet n°1</t>
  </si>
  <si>
    <t>Vitis vinifera subsp vinifera cv. Oeillade bouschet n°4</t>
  </si>
  <si>
    <t>Vitis vinifera subsp vinifera cv. Oeillade noire</t>
  </si>
  <si>
    <t>Vitis vinifera subsp vinifera cv. Ofner</t>
  </si>
  <si>
    <t>Vitis vinifera subsp vinifera cv. Ohanès</t>
  </si>
  <si>
    <t>Vitis vinifera subsp vinifera cv. Okatac</t>
  </si>
  <si>
    <t>Vitis vinifera subsp vinifera cv. Oktiabrskii</t>
  </si>
  <si>
    <t>Vitis vinifera subsp vinifera cv. Öküz gözü</t>
  </si>
  <si>
    <t>Vitis vinifera subsp vinifera cv. Öküz gözü par erreur</t>
  </si>
  <si>
    <t>Vitis vinifera subsp vinifera cv. Olasz kadarka</t>
  </si>
  <si>
    <t>Vitis vinifera subsp vinifera cv. Olber weiss</t>
  </si>
  <si>
    <t>Vitis vinifera subsp vinifera cv. Olho de cocco</t>
  </si>
  <si>
    <t>Vitis vinifera subsp vinifera cv. Olho de Pargo</t>
  </si>
  <si>
    <t>Vitis vinifera subsp vinifera cv. Olivette Barthelet</t>
  </si>
  <si>
    <t>Vitis vinifera subsp vinifera cv. Olivette blanche</t>
  </si>
  <si>
    <t>Vitis vinifera subsp vinifera cv. Olivette noire</t>
  </si>
  <si>
    <t>Vitis vinifera subsp vinifera cv. Olivette rose</t>
  </si>
  <si>
    <t>Vitis vinifera subsp vinifera cv. Om Reu</t>
  </si>
  <si>
    <t>Vitis vinifera subsp vinifera cv. Onchette</t>
  </si>
  <si>
    <t>Vitis vinifera subsp vinifera cv. Ondenc</t>
  </si>
  <si>
    <t>Vitis vinifera subsp vinifera cv. Onusta</t>
  </si>
  <si>
    <t>Vitis vinifera subsp vinifera cv. Opale = Pirovano 213</t>
  </si>
  <si>
    <t>Vitis vinifera subsp vinifera cv. Oporto feher</t>
  </si>
  <si>
    <t>Vitis vinifera subsp vinifera cv. Oporto szürke</t>
  </si>
  <si>
    <t>Vitis vinifera subsp vinifera cv. Opsimos Edessis</t>
  </si>
  <si>
    <t>Vitis vinifera subsp vinifera cv. Optima = Geilweilerhof 33-13-113</t>
  </si>
  <si>
    <t>Vitis vinifera subsp vinifera cv. Ora = INRA 2403-3</t>
  </si>
  <si>
    <t>Vitis vinifera subsp vinifera cv. Orangetraube</t>
  </si>
  <si>
    <t>Vitis vinifera subsp vinifera cv. Orbois = Arbois</t>
  </si>
  <si>
    <t>Vitis vinifera subsp vinifera cv. Org tokos</t>
  </si>
  <si>
    <t>Vitis vinifera subsp vinifera cv. Orléans jaune</t>
  </si>
  <si>
    <t>Vitis vinifera subsp vinifera cv. Orlovi nogti</t>
  </si>
  <si>
    <t>Vitis vinifera subsp vinifera cv. Orlovi nokti cerni</t>
  </si>
  <si>
    <t>Vitis vinifera subsp vinifera cv. Ornove</t>
  </si>
  <si>
    <t>Vitis vinifera subsp vinifera cv. Ornove 2</t>
  </si>
  <si>
    <t>Vitis vinifera subsp vinifera cv. Örrökké piros</t>
  </si>
  <si>
    <t>Vitis vinifera subsp vinifera cv. Ortega = Würzburg B 48-21-4</t>
  </si>
  <si>
    <t>Vitis vinifera subsp vinifera cv. Ortrugo</t>
  </si>
  <si>
    <t>Vitis vinifera subsp vinifera cv. Otcha bala</t>
  </si>
  <si>
    <t>Vitis vinifera subsp vinifera cv. Ötfürtü</t>
  </si>
  <si>
    <t>Vitis vinifera subsp vinifera cv. Oul b'Ouzgueur</t>
  </si>
  <si>
    <t>Vitis vinifera subsp vinifera cv. Ouliven</t>
  </si>
  <si>
    <t>Vitis vinifera subsp vinifera cv. Ouroum üzümü</t>
  </si>
  <si>
    <t>Vitis vinifera subsp vinifera cv. Oussakheloouri</t>
  </si>
  <si>
    <t>Vitis vinifera subsp vinifera cv. Outanant</t>
  </si>
  <si>
    <t>Vitis vinifera subsp vinifera cv. Ovis</t>
  </si>
  <si>
    <t>Vitis vinifera subsp vinifera cv. Ozaan Daii</t>
  </si>
  <si>
    <t>Vitis vinifera subsp vinifera cv. Padeiro de Basto</t>
  </si>
  <si>
    <t>Vitis vinifera subsp vinifera cv. Pagadebiti</t>
  </si>
  <si>
    <t>Vitis vinifera subsp vinifera cv. Pagadebito</t>
  </si>
  <si>
    <t>Vitis vinifera subsp vinifera cv. Païs</t>
  </si>
  <si>
    <t>Vitis vinifera subsp vinifera cv. Palarusa</t>
  </si>
  <si>
    <t>Vitis vinifera subsp vinifera cv. Palestina Oberlin I</t>
  </si>
  <si>
    <t>Vitis vinifera subsp vinifera cv. Palestina Oberlin II</t>
  </si>
  <si>
    <t>Vitis vinifera subsp vinifera cv. Palestina Oberlin III</t>
  </si>
  <si>
    <t>Vitis vinifera subsp vinifera cv. Pallagrello nero</t>
  </si>
  <si>
    <t>Vitis vinifera subsp vinifera cv. Pamid</t>
  </si>
  <si>
    <t>Vitis vinifera subsp vinifera cv. Pamid bial</t>
  </si>
  <si>
    <t>Vitis vinifera subsp vinifera cv. Pamid siv</t>
  </si>
  <si>
    <t>Vitis vinifera subsp vinifera cv. Pamid tcher</t>
  </si>
  <si>
    <t>Vitis vinifera subsp vinifera cv. Pamidi</t>
  </si>
  <si>
    <t>Vitis vinifera subsp vinifera cv. Pannonia kincse</t>
  </si>
  <si>
    <t>Vitis vinifera subsp vinifera cv. Panse précoce</t>
  </si>
  <si>
    <t>Vitis vinifera subsp vinifera cv. Pansera</t>
  </si>
  <si>
    <t>Vitis vinifera subsp vinifera cv. Papadiko</t>
  </si>
  <si>
    <t>Vitis vinifera subsp vinifera cv. Papasca neagra</t>
  </si>
  <si>
    <t>Vitis vinifera subsp vinifera cv. Papaskarasi</t>
  </si>
  <si>
    <t>Vitis vinifera subsp vinifera cv. Paradisa</t>
  </si>
  <si>
    <t>Vitis vinifera subsp vinifera cv. Pardillo</t>
  </si>
  <si>
    <t>Vitis vinifera subsp vinifera cv. Pardina = Pirovano 130</t>
  </si>
  <si>
    <t>Vitis vinifera subsp vinifera cv. Pardotte</t>
  </si>
  <si>
    <t>Vitis vinifera subsp vinifera cv. Parduca</t>
  </si>
  <si>
    <t>Vitis vinifera subsp vinifera cv. Parellada</t>
  </si>
  <si>
    <t>Vitis vinifera subsp vinifera cv. Pariano</t>
  </si>
  <si>
    <t>Vitis vinifera subsp vinifera cv. Parkent</t>
  </si>
  <si>
    <t>Vitis vinifera subsp vinifera cv. Pascal</t>
  </si>
  <si>
    <t>Vitis vinifera subsp vinifera cv. Pascale di Cagliari</t>
  </si>
  <si>
    <t>Vitis vinifera subsp vinifera cv. Pasiga</t>
  </si>
  <si>
    <t>Vitis vinifera subsp vinifera cv. Patagonia</t>
  </si>
  <si>
    <t>Vitis vinifera subsp vinifera cv. Pattaresco</t>
  </si>
  <si>
    <t>Vitis vinifera subsp vinifera cv. Patte d'oie</t>
  </si>
  <si>
    <t>Vitis vinifera subsp vinifera cv. Pau Ferro</t>
  </si>
  <si>
    <t>Vitis vinifera subsp vinifera cv. Paulsen 157</t>
  </si>
  <si>
    <t>Vitis vinifera subsp vinifera cv. Pavana</t>
  </si>
  <si>
    <t>Vitis vinifera subsp vinifera cv. Pé de Perdiz</t>
  </si>
  <si>
    <t>Vitis vinifera subsp vinifera cv. Pé de Perdrix</t>
  </si>
  <si>
    <t>Vitis vinifera subsp vinifera cv. Peck</t>
  </si>
  <si>
    <t>Vitis vinifera subsp vinifera cv. Pecorino</t>
  </si>
  <si>
    <t>Vitis vinifera subsp vinifera cv. Pecsi dinka</t>
  </si>
  <si>
    <t>Vitis vinifera subsp vinifera cv. Pecsi Szagos</t>
  </si>
  <si>
    <t>Vitis vinifera subsp vinifera cv. Pedevenda</t>
  </si>
  <si>
    <t>Vitis vinifera subsp vinifera cv. Pedro Gimenez faux</t>
  </si>
  <si>
    <t>Vitis vinifera subsp vinifera cv. Pedro Jimenez</t>
  </si>
  <si>
    <t>Vitis vinifera subsp vinifera cv. Pedro Luis</t>
  </si>
  <si>
    <t>Vitis vinifera subsp vinifera cv. Pedrol</t>
  </si>
  <si>
    <t>Vitis vinifera subsp vinifera cv. Peikani</t>
  </si>
  <si>
    <t>Vitis vinifera subsp vinifera cv. Peince</t>
  </si>
  <si>
    <t>Vitis vinifera subsp vinifera cv. Peloursin</t>
  </si>
  <si>
    <t>Vitis vinifera subsp vinifera cv. Peloursin gris</t>
  </si>
  <si>
    <t>Vitis vinifera subsp vinifera cv. Penouille</t>
  </si>
  <si>
    <t>Vitis vinifera subsp vinifera cv. Perdea</t>
  </si>
  <si>
    <t>Vitis vinifera subsp vinifera cv. Perel</t>
  </si>
  <si>
    <t>Vitis vinifera subsp vinifera cv. Pergolese</t>
  </si>
  <si>
    <t>Vitis vinifera subsp vinifera cv. Pergrandis = Pirovano 388</t>
  </si>
  <si>
    <t>Vitis vinifera subsp vinifera cv. Periquita</t>
  </si>
  <si>
    <t>Vitis vinifera subsp vinifera cv. Perla nera = Pirovano 218</t>
  </si>
  <si>
    <t>Vitis vinifera subsp vinifera cv. Perlaut = INRA 669-45</t>
  </si>
  <si>
    <t>Vitis vinifera subsp vinifera cv. Perle = Scheu 3951</t>
  </si>
  <si>
    <t>Vitis vinifera subsp vinifera cv. Perle de Csaba</t>
  </si>
  <si>
    <t>Vitis vinifera subsp vinifera cv. Perle de Csaba rouge</t>
  </si>
  <si>
    <t>Vitis vinifera subsp vinifera cv. Perle impériale blanche</t>
  </si>
  <si>
    <t>Vitis vinifera subsp vinifera cv. Perlette</t>
  </si>
  <si>
    <t>Vitis vinifera subsp vinifera cv. Perlon</t>
  </si>
  <si>
    <t>Vitis vinifera subsp vinifera cv. Perlona = Pirovano 54</t>
  </si>
  <si>
    <t>Vitis vinifera subsp vinifera cv. Perola da Gestosa</t>
  </si>
  <si>
    <t>Vitis vinifera subsp vinifera cv. Perricone</t>
  </si>
  <si>
    <t>Vitis vinifera subsp vinifera cv. Perrier noir</t>
  </si>
  <si>
    <t>Vitis vinifera subsp vinifera cv. Perrum</t>
  </si>
  <si>
    <t>Vitis vinifera subsp vinifera cv. Perruno</t>
  </si>
  <si>
    <t>Vitis vinifera subsp vinifera cv. Persagne grise</t>
  </si>
  <si>
    <t>Vitis vinifera subsp vinifera cv. Persan</t>
  </si>
  <si>
    <t>Vitis vinifera subsp vinifera cv. Pervenetz praskoveisky</t>
  </si>
  <si>
    <t>Vitis vinifera subsp vinifera cv. Petinos</t>
  </si>
  <si>
    <t>Vitis vinifera subsp vinifera cv. Petit Blanchou</t>
  </si>
  <si>
    <t>Vitis vinifera subsp vinifera cv. Petit Bouschet</t>
  </si>
  <si>
    <t>Vitis vinifera subsp vinifera cv. Petit Bouschet à feuilles de Malvoisie</t>
  </si>
  <si>
    <t>Vitis vinifera subsp vinifera cv. Petit Bouschet à feuilles lisses x Aramon n°2</t>
  </si>
  <si>
    <t>Vitis vinifera subsp vinifera cv. Petit Bouschet à feuilles lisses x Aramon n°3</t>
  </si>
  <si>
    <t>Vitis vinifera subsp vinifera cv. Petit Bouschet à feuilles lisses x Aramon n°5</t>
  </si>
  <si>
    <t>Vitis vinifera subsp vinifera cv. Petit Bouschet extra fertile</t>
  </si>
  <si>
    <t>Vitis vinifera subsp vinifera cv. Petit Bouschet x Aramon n°1</t>
  </si>
  <si>
    <t>Vitis vinifera subsp vinifera cv. Petit Bouschet x Aramon n°2</t>
  </si>
  <si>
    <t>Vitis vinifera subsp vinifera cv. Petit Bouschet x Aramon n°4</t>
  </si>
  <si>
    <t>Vitis vinifera subsp vinifera cv. Petit Bouschet x Aramon n°6</t>
  </si>
  <si>
    <t>Vitis vinifera subsp vinifera cv. Petit Bouschet x Aramon n°7</t>
  </si>
  <si>
    <t>Vitis vinifera subsp vinifera cv. Petit Bouschet x Aramon n°8</t>
  </si>
  <si>
    <t>Vitis vinifera subsp vinifera cv. Petit Bouschet x Aramon n°9</t>
  </si>
  <si>
    <t>Vitis vinifera subsp vinifera cv. Petit Bouschet x Morrastel fleuri n°1</t>
  </si>
  <si>
    <t>Vitis vinifera subsp vinifera cv. Petit Bouschet x Morrastel n°3</t>
  </si>
  <si>
    <t>Vitis vinifera subsp vinifera cv. Petit Bouschet x Morrastel n°7</t>
  </si>
  <si>
    <t>Vitis vinifera subsp vinifera cv. Petit Bouschet x Piquepoul n°2</t>
  </si>
  <si>
    <t>Vitis vinifera subsp vinifera cv. Petit Bouschet x Terret gris</t>
  </si>
  <si>
    <t>Vitis vinifera subsp vinifera cv. Petit Courbu</t>
  </si>
  <si>
    <t>Vitis vinifera subsp vinifera cv. Petit Manseng</t>
  </si>
  <si>
    <t>Vitis vinifera subsp vinifera cv. Petit Meslier</t>
  </si>
  <si>
    <t>Vitis vinifera subsp vinifera cv. Petit Meslier rose</t>
  </si>
  <si>
    <t>Vitis vinifera subsp vinifera cv. Petit Péjac</t>
  </si>
  <si>
    <t>Vitis vinifera subsp vinifera cv. Petit rouge</t>
  </si>
  <si>
    <t>Vitis vinifera subsp vinifera cv. Petit Verdot</t>
  </si>
  <si>
    <t>Vitis vinifera subsp vinifera cv. Pétoin</t>
  </si>
  <si>
    <t>Vitis vinifera subsp vinifera cv. Peurion</t>
  </si>
  <si>
    <t>Vitis vinifera subsp vinifera cv. Peverella</t>
  </si>
  <si>
    <t>Vitis vinifera subsp vinifera cv. Peygamber üzümü</t>
  </si>
  <si>
    <t>Vitis vinifera subsp vinifera cv. Phakhri</t>
  </si>
  <si>
    <t>Vitis vinifera subsp vinifera cv. Phidia</t>
  </si>
  <si>
    <t>Vitis vinifera subsp vinifera cv. Phileri attikis</t>
  </si>
  <si>
    <t>Vitis vinifera subsp vinifera cv. Phileri rose</t>
  </si>
  <si>
    <t>Vitis vinifera subsp vinifera cv. Phileri rose musqué</t>
  </si>
  <si>
    <t>Vitis vinifera subsp vinifera cv. Phokiano</t>
  </si>
  <si>
    <t>Vitis vinifera subsp vinifera cv. Phraoula rose</t>
  </si>
  <si>
    <t>Vitis vinifera subsp vinifera cv. Picadillo blanco</t>
  </si>
  <si>
    <t>Vitis vinifera subsp vinifera cv. Picardan = Araignan blanc</t>
  </si>
  <si>
    <t>Vitis vinifera subsp vinifera cv. Piccola nera</t>
  </si>
  <si>
    <t>Vitis vinifera subsp vinifera cv. Piccolit</t>
  </si>
  <si>
    <t>Vitis vinifera subsp vinifera cv. Picolin</t>
  </si>
  <si>
    <t>Vitis vinifera subsp vinifera cv. Piedirosso</t>
  </si>
  <si>
    <t>Vitis vinifera subsp vinifera cv. Pigeonnet</t>
  </si>
  <si>
    <t>Vitis vinifera subsp vinifera cv. Pignol</t>
  </si>
  <si>
    <t>Vitis vinifera subsp vinifera cv. Pignola valtellinese</t>
  </si>
  <si>
    <t>Vitis vinifera subsp vinifera cv. Piment</t>
  </si>
  <si>
    <t>Vitis vinifera subsp vinifera cv. Pin el pou Tao</t>
  </si>
  <si>
    <t>Vitis vinifera subsp vinifera cv. Pineau d'Aunis</t>
  </si>
  <si>
    <t>Vitis vinifera subsp vinifera cv. Pineau d'Aunis teinturier</t>
  </si>
  <si>
    <t>Vitis vinifera subsp vinifera cv. Pinella bianca</t>
  </si>
  <si>
    <t>Vitis vinifera subsp vinifera cv. Pinot à fleurs doubles</t>
  </si>
  <si>
    <t>Vitis vinifera subsp vinifera cv. Pinot blanc</t>
  </si>
  <si>
    <t>Vitis vinifera subsp vinifera cv. Pinot gris</t>
  </si>
  <si>
    <t>Vitis vinifera subsp vinifera cv. Pinot lacinifolié</t>
  </si>
  <si>
    <t>Vitis vinifera subsp vinifera cv. Pinot noir</t>
  </si>
  <si>
    <t>Vitis vinifera subsp vinifera cv. Pinot précoce noir</t>
  </si>
  <si>
    <t>Vitis vinifera subsp vinifera cv. Pinot rouge</t>
  </si>
  <si>
    <t>Vitis vinifera subsp vinifera cv. Pinot teinturier</t>
  </si>
  <si>
    <t>Vitis vinifera subsp vinifera cv. Pinot tête de nègre</t>
  </si>
  <si>
    <t>Vitis vinifera subsp vinifera cv. Pinotage</t>
  </si>
  <si>
    <t>Vitis vinifera subsp vinifera cv. Piquepoul blanc</t>
  </si>
  <si>
    <t>Vitis vinifera subsp vinifera cv. Piquepoul Bouschet</t>
  </si>
  <si>
    <t>Vitis vinifera subsp vinifera cv. Piquepoul gris</t>
  </si>
  <si>
    <t>Vitis vinifera subsp vinifera cv. Piquepoul noir</t>
  </si>
  <si>
    <t>Vitis vinifera subsp vinifera cv. Pirciu</t>
  </si>
  <si>
    <t>Vitis vinifera subsp vinifera cv. Pirovano 1</t>
  </si>
  <si>
    <t>Vitis vinifera subsp vinifera cv. Pirovano 11</t>
  </si>
  <si>
    <t>Vitis vinifera subsp vinifera cv. Pirovano 111</t>
  </si>
  <si>
    <t>Vitis vinifera subsp vinifera cv. Pirovano 112</t>
  </si>
  <si>
    <t>Vitis vinifera subsp vinifera cv. Pirovano 113</t>
  </si>
  <si>
    <t>Vitis vinifera subsp vinifera cv. Pirovano 115</t>
  </si>
  <si>
    <t>Vitis vinifera subsp vinifera cv. Pirovano 123</t>
  </si>
  <si>
    <t>Vitis vinifera subsp vinifera cv. Pirovano 14</t>
  </si>
  <si>
    <t>Vitis vinifera subsp vinifera cv. Pirovano 15</t>
  </si>
  <si>
    <t>Vitis vinifera subsp vinifera cv. Pirovano 153</t>
  </si>
  <si>
    <t>Vitis vinifera subsp vinifera cv. Pirovano 154</t>
  </si>
  <si>
    <t>Vitis vinifera subsp vinifera cv. Pirovano 155</t>
  </si>
  <si>
    <t>Vitis vinifera subsp vinifera cv. Pirovano 156</t>
  </si>
  <si>
    <t>Vitis vinifera subsp vinifera cv. Pirovano 157</t>
  </si>
  <si>
    <t>Vitis vinifera subsp vinifera cv. Pirovano 159</t>
  </si>
  <si>
    <t>Vitis vinifera subsp vinifera cv. Pirovano 17</t>
  </si>
  <si>
    <t>Vitis vinifera subsp vinifera cv. Pirovano 174</t>
  </si>
  <si>
    <t>Vitis vinifera subsp vinifera cv. Pirovano 175</t>
  </si>
  <si>
    <t>Vitis vinifera subsp vinifera cv. Pirovano 182</t>
  </si>
  <si>
    <t>Vitis vinifera subsp vinifera cv. Pirovano 186</t>
  </si>
  <si>
    <t>Vitis vinifera subsp vinifera cv. Pirovano 186 a</t>
  </si>
  <si>
    <t>Vitis vinifera subsp vinifera cv. Pirovano 188</t>
  </si>
  <si>
    <t>Vitis vinifera subsp vinifera cv. Pirovano 19</t>
  </si>
  <si>
    <t>Vitis vinifera subsp vinifera cv. Pirovano 190</t>
  </si>
  <si>
    <t>Vitis vinifera subsp vinifera cv. Pirovano 21</t>
  </si>
  <si>
    <t>Vitis vinifera subsp vinifera cv. Pirovano 217</t>
  </si>
  <si>
    <t>Vitis vinifera subsp vinifera cv. Pirovano 219</t>
  </si>
  <si>
    <t>Vitis vinifera subsp vinifera cv. Pirovano 220 b</t>
  </si>
  <si>
    <t>Vitis vinifera subsp vinifera cv. Pirovano 225</t>
  </si>
  <si>
    <t>Vitis vinifera subsp vinifera cv. Pirovano 235</t>
  </si>
  <si>
    <t>Vitis vinifera subsp vinifera cv. Pirovano 24</t>
  </si>
  <si>
    <t>Vitis vinifera subsp vinifera cv. Pirovano 25</t>
  </si>
  <si>
    <t>Vitis vinifera subsp vinifera cv. Pirovano 28</t>
  </si>
  <si>
    <t>Vitis vinifera subsp vinifera cv. Pirovano 3</t>
  </si>
  <si>
    <t>Vitis vinifera subsp vinifera cv. Pirovano 306</t>
  </si>
  <si>
    <t>Vitis vinifera subsp vinifera cv. Pirovano 31</t>
  </si>
  <si>
    <t>Vitis vinifera subsp vinifera cv. Pirovano 312</t>
  </si>
  <si>
    <t>Vitis vinifera subsp vinifera cv. Pirovano 313 a</t>
  </si>
  <si>
    <t>Vitis vinifera subsp vinifera cv. Pirovano 315</t>
  </si>
  <si>
    <t>Vitis vinifera subsp vinifera cv. Pirovano 32</t>
  </si>
  <si>
    <t>Vitis vinifera subsp vinifera cv. Pirovano 321</t>
  </si>
  <si>
    <t>Vitis vinifera subsp vinifera cv. Pirovano 322</t>
  </si>
  <si>
    <t>Vitis vinifera subsp vinifera cv. Pirovano 338</t>
  </si>
  <si>
    <t>Vitis vinifera subsp vinifera cv. Pirovano 344</t>
  </si>
  <si>
    <t>Vitis vinifera subsp vinifera cv. Pirovano 346</t>
  </si>
  <si>
    <t>Vitis vinifera subsp vinifera cv. Pirovano 349</t>
  </si>
  <si>
    <t>Vitis vinifera subsp vinifera cv. Pirovano 352 faux</t>
  </si>
  <si>
    <t>Vitis vinifera subsp vinifera cv. Pirovano 359</t>
  </si>
  <si>
    <t>Vitis vinifera subsp vinifera cv. Pirovano 36</t>
  </si>
  <si>
    <t>Vitis vinifera subsp vinifera cv. Pirovano 378</t>
  </si>
  <si>
    <t>Vitis vinifera subsp vinifera cv. Pirovano 398</t>
  </si>
  <si>
    <t>Vitis vinifera subsp vinifera cv. Pirovano 399</t>
  </si>
  <si>
    <t>Vitis vinifera subsp vinifera cv. Pirovano 4</t>
  </si>
  <si>
    <t>Vitis vinifera subsp vinifera cv. Pirovano 428</t>
  </si>
  <si>
    <t>Vitis vinifera subsp vinifera cv. Pirovano 436</t>
  </si>
  <si>
    <t>Vitis vinifera subsp vinifera cv. Pirovano 46</t>
  </si>
  <si>
    <t>Vitis vinifera subsp vinifera cv. Pirovano 468</t>
  </si>
  <si>
    <t>Vitis vinifera subsp vinifera cv. Pirovano 471</t>
  </si>
  <si>
    <t>Vitis vinifera subsp vinifera cv. Pirovano 477 a</t>
  </si>
  <si>
    <t>Vitis vinifera subsp vinifera cv. Pirovano 49</t>
  </si>
  <si>
    <t>Vitis vinifera subsp vinifera cv. Pirovano 5</t>
  </si>
  <si>
    <t>Vitis vinifera subsp vinifera cv. Pirovano 50</t>
  </si>
  <si>
    <t>Vitis vinifera subsp vinifera cv. Pirovano 51</t>
  </si>
  <si>
    <t>Vitis vinifera subsp vinifera cv. Pirovano 53</t>
  </si>
  <si>
    <t>Vitis vinifera subsp vinifera cv. Pirovano 530</t>
  </si>
  <si>
    <t>Vitis vinifera subsp vinifera cv. Pirovano 531</t>
  </si>
  <si>
    <t>Vitis vinifera subsp vinifera cv. Pirovano 536</t>
  </si>
  <si>
    <t>Vitis vinifera subsp vinifera cv. Pirovano 54 A</t>
  </si>
  <si>
    <t>Vitis vinifera subsp vinifera cv. Pirovano 540 A</t>
  </si>
  <si>
    <t>Vitis vinifera subsp vinifera cv. Pirovano 544</t>
  </si>
  <si>
    <t>Vitis vinifera subsp vinifera cv. Pirovano 55 faux</t>
  </si>
  <si>
    <t>Vitis vinifera subsp vinifera cv. Pirovano 56</t>
  </si>
  <si>
    <t>Vitis vinifera subsp vinifera cv. Pirovano 57</t>
  </si>
  <si>
    <t>Vitis vinifera subsp vinifera cv. Pirovano 575</t>
  </si>
  <si>
    <t>Vitis vinifera subsp vinifera cv. Pirovano 61</t>
  </si>
  <si>
    <t>Vitis vinifera subsp vinifera cv. Pirovano 62</t>
  </si>
  <si>
    <t>Vitis vinifera subsp vinifera cv. Pirovano 620</t>
  </si>
  <si>
    <t>Vitis vinifera subsp vinifera cv. Pirovano 63</t>
  </si>
  <si>
    <t>Vitis vinifera subsp vinifera cv. Pirovano 64</t>
  </si>
  <si>
    <t>Vitis vinifera subsp vinifera cv. Pirovano 66</t>
  </si>
  <si>
    <t>Vitis vinifera subsp vinifera cv. Pirovano 671</t>
  </si>
  <si>
    <t>Vitis vinifera subsp vinifera cv. Pirovano 69</t>
  </si>
  <si>
    <t>Vitis vinifera subsp vinifera cv. Pirovano 74</t>
  </si>
  <si>
    <t>Vitis vinifera subsp vinifera cv. Pirovano 76</t>
  </si>
  <si>
    <t>Vitis vinifera subsp vinifera cv. Pirovano 79</t>
  </si>
  <si>
    <t>Vitis vinifera subsp vinifera cv. Pirovano 80</t>
  </si>
  <si>
    <t>Vitis vinifera subsp vinifera cv. Pirovano 84</t>
  </si>
  <si>
    <t>Vitis vinifera subsp vinifera cv. Pirovano 88</t>
  </si>
  <si>
    <t>Vitis vinifera subsp vinifera cv. Pirovano 91</t>
  </si>
  <si>
    <t>Vitis vinifera subsp vinifera cv. Pirovano 92</t>
  </si>
  <si>
    <t>Vitis vinifera subsp vinifera cv. Pirovano 93</t>
  </si>
  <si>
    <t>Vitis vinifera subsp vinifera cv. Pirovano 94</t>
  </si>
  <si>
    <t>Vitis vinifera subsp vinifera cv. Pirovano 95</t>
  </si>
  <si>
    <t>Vitis vinifera subsp vinifera cv. Pirovano 96</t>
  </si>
  <si>
    <t>Vitis vinifera subsp vinifera cv. Pirovano 97</t>
  </si>
  <si>
    <t>Vitis vinifera subsp vinifera cv. Pirovano 98</t>
  </si>
  <si>
    <t>Vitis vinifera subsp vinifera cv. Pirovano 99</t>
  </si>
  <si>
    <t>Vitis vinifera subsp vinifera cv. Pizzutello nero</t>
  </si>
  <si>
    <t>Vitis vinifera subsp vinifera cv. Plant d'Aoste</t>
  </si>
  <si>
    <t>Vitis vinifera subsp vinifera cv. Plant de Brunel</t>
  </si>
  <si>
    <t>Vitis vinifera subsp vinifera cv. Plant de Couston</t>
  </si>
  <si>
    <t>Vitis vinifera subsp vinifera cv. Plant de Flassans</t>
  </si>
  <si>
    <t>Vitis vinifera subsp vinifera cv. Plant droit</t>
  </si>
  <si>
    <t>Vitis vinifera subsp vinifera cv. Plant Vert</t>
  </si>
  <si>
    <t>Vitis vinifera subsp vinifera cv. Planta mula</t>
  </si>
  <si>
    <t>Vitis vinifera subsp vinifera cv. Planta nova</t>
  </si>
  <si>
    <t>Vitis vinifera subsp vinifera cv. Plassa</t>
  </si>
  <si>
    <t>Vitis vinifera subsp vinifera cv. Platyracho</t>
  </si>
  <si>
    <t>Vitis vinifera subsp vinifera cv. Plavac mali (Jelaska)</t>
  </si>
  <si>
    <t>Vitis vinifera subsp vinifera cv. Plavaï</t>
  </si>
  <si>
    <t>Vitis vinifera subsp vinifera cv. Plavina crna</t>
  </si>
  <si>
    <t>Vitis vinifera subsp vinifera cv. Pletchistik</t>
  </si>
  <si>
    <t>Vitis vinifera subsp vinifera cv. Plyto</t>
  </si>
  <si>
    <t>Vitis vinifera subsp vinifera cv. Pobeda</t>
  </si>
  <si>
    <t>Vitis vinifera subsp vinifera cv. Pointu</t>
  </si>
  <si>
    <t>Vitis vinifera subsp vinifera cv. Pollera nera</t>
  </si>
  <si>
    <t>Vitis vinifera subsp vinifera cv. Pollita</t>
  </si>
  <si>
    <t>Vitis vinifera subsp vinifera cv. Portan = INRA 1508-25</t>
  </si>
  <si>
    <t>Vitis vinifera subsp vinifera cv. Portugais blanc</t>
  </si>
  <si>
    <t>Vitis vinifera subsp vinifera cv. Portugais bleu</t>
  </si>
  <si>
    <t>Vitis vinifera subsp vinifera cv. Posip</t>
  </si>
  <si>
    <t>Vitis vinifera subsp vinifera cv. Potamissio</t>
  </si>
  <si>
    <t>Vitis vinifera subsp vinifera cv. Pougayen</t>
  </si>
  <si>
    <t>Vitis vinifera subsp vinifera cv. Pougnet</t>
  </si>
  <si>
    <t>Vitis vinifera subsp vinifera cv. Poulsard</t>
  </si>
  <si>
    <t>Vitis vinifera subsp vinifera cv. Poulsard blanc</t>
  </si>
  <si>
    <t>Vitis vinifera subsp vinifera cv. Poulsard rouge</t>
  </si>
  <si>
    <t>Vitis vinifera subsp vinifera cv. Pozsonyi feher</t>
  </si>
  <si>
    <t>Vitis vinifera subsp vinifera cv. Prc</t>
  </si>
  <si>
    <t>Vitis vinifera subsp vinifera cv. Précoce Bousquet</t>
  </si>
  <si>
    <t>Vitis vinifera subsp vinifera cv. Précoce de Malingre</t>
  </si>
  <si>
    <t>Vitis vinifera subsp vinifera cv. Précoce di Roma = Pirovano 707</t>
  </si>
  <si>
    <t>Vitis vinifera subsp vinifera cv. Premier</t>
  </si>
  <si>
    <t>Vitis vinifera subsp vinifera cv. Président Carnot</t>
  </si>
  <si>
    <t>Vitis vinifera subsp vinifera cv. Preto Martinho</t>
  </si>
  <si>
    <t>Vitis vinifera subsp vinifera cv. Preto salmoura</t>
  </si>
  <si>
    <t>Vitis vinifera subsp vinifera cv. Prima =  INRA 2719-122</t>
  </si>
  <si>
    <t>Vitis vinifera subsp vinifera cv. Primiera = Pirovano 309</t>
  </si>
  <si>
    <t>Vitis vinifera subsp vinifera cv. Primitivo</t>
  </si>
  <si>
    <t>Vitis vinifera subsp vinifera cv. Prin blanc</t>
  </si>
  <si>
    <t>Vitis vinifera subsp vinifera cv. Prince of Wales</t>
  </si>
  <si>
    <t>Vitis vinifera subsp vinifera cv. Princeps = Pirovano 357</t>
  </si>
  <si>
    <t>Vitis vinifera subsp vinifera cv. Principessa di Piemonte = Pirovano 108</t>
  </si>
  <si>
    <t>Vitis vinifera subsp vinifera cv. Prista</t>
  </si>
  <si>
    <t>Vitis vinifera subsp vinifera cv. Prodigiosa = Pirovano 59</t>
  </si>
  <si>
    <t>Vitis vinifera subsp vinifera cv. Prokupac</t>
  </si>
  <si>
    <t>Vitis vinifera subsp vinifera cv. Prosecco</t>
  </si>
  <si>
    <t>Vitis vinifera subsp vinifera cv. Prosecco lungo</t>
  </si>
  <si>
    <t>Vitis vinifera subsp vinifera cv. Prosperi 102</t>
  </si>
  <si>
    <t>Vitis vinifera subsp vinifera cv. Prosperi 167</t>
  </si>
  <si>
    <t>Vitis vinifera subsp vinifera cv. Prosperi 201</t>
  </si>
  <si>
    <t>Vitis vinifera subsp vinifera cv. Prosperi 204</t>
  </si>
  <si>
    <t>Vitis vinifera subsp vinifera cv. Prosperi 262</t>
  </si>
  <si>
    <t>Vitis vinifera subsp vinifera cv. Prosperi 268</t>
  </si>
  <si>
    <t>Vitis vinifera subsp vinifera cv. Prosperi 285</t>
  </si>
  <si>
    <t>Vitis vinifera subsp vinifera cv. Prosperi 37</t>
  </si>
  <si>
    <t>Vitis vinifera subsp vinifera cv. Prosperi 371</t>
  </si>
  <si>
    <t>Vitis vinifera subsp vinifera cv. Prosperi 8</t>
  </si>
  <si>
    <t>Vitis vinifera subsp vinifera cv. Prosperi 97</t>
  </si>
  <si>
    <t>Vitis vinifera subsp vinifera cv. Proueral</t>
  </si>
  <si>
    <t>Vitis vinifera subsp vinifera cv. Prueras</t>
  </si>
  <si>
    <t>Vitis vinifera subsp vinifera cv. Prune de Cazouls</t>
  </si>
  <si>
    <t>Vitis vinifera subsp vinifera cv. Prunelard</t>
  </si>
  <si>
    <t>Vitis vinifera subsp vinifera cv. Prunella moscato = Pirovano 47</t>
  </si>
  <si>
    <t>Vitis vinifera subsp vinifera cv. Prunesta nera</t>
  </si>
  <si>
    <t>Vitis vinifera subsp vinifera cv. Prunesta rosso violacea</t>
  </si>
  <si>
    <t>Vitis vinifera subsp vinifera cv. Psarotherico</t>
  </si>
  <si>
    <t>Vitis vinifera subsp vinifera cv. Pseudosyrico</t>
  </si>
  <si>
    <t>Vitis vinifera subsp vinifera cv. Puljïzanac</t>
  </si>
  <si>
    <t>Vitis vinifera subsp vinifera cv. Purcsin</t>
  </si>
  <si>
    <t>Vitis vinifera subsp vinifera cv. Putzscheere</t>
  </si>
  <si>
    <t>Vitis vinifera subsp vinifera cv. Quebranta</t>
  </si>
  <si>
    <t>Vitis vinifera subsp vinifera cv. Queen</t>
  </si>
  <si>
    <t>Vitis vinifera subsp vinifera cv. Quiebratinajas</t>
  </si>
  <si>
    <t>Vitis vinifera subsp vinifera cv. Quigat</t>
  </si>
  <si>
    <t>Vitis vinifera subsp vinifera cv. Rabigato</t>
  </si>
  <si>
    <t>Vitis vinifera subsp vinifera cv. Rabigato du Douro</t>
  </si>
  <si>
    <t>Vitis vinifera subsp vinifera cv. Raboso piave</t>
  </si>
  <si>
    <t>Vitis vinifera subsp vinifera cv. Raboso Veronese</t>
  </si>
  <si>
    <t>Vitis vinifera subsp vinifera cv. Raffiat de Moncade</t>
  </si>
  <si>
    <t>Vitis vinifera subsp vinifera cv. Raisaine</t>
  </si>
  <si>
    <t>Vitis vinifera subsp vinifera cv. Raisin de Kossuth</t>
  </si>
  <si>
    <t>Vitis vinifera subsp vinifera cv. Rakszölö</t>
  </si>
  <si>
    <t>Vitis vinifera subsp vinifera cv. Rami = Vidal 119</t>
  </si>
  <si>
    <t>Vitis vinifera subsp vinifera cv. Ramisco</t>
  </si>
  <si>
    <t>Vitis vinifera subsp vinifera cv. Rannii Vira</t>
  </si>
  <si>
    <t>Vitis vinifera subsp vinifera cv. Ranny Magaratcha = Magaratch 372</t>
  </si>
  <si>
    <t>Vitis vinifera subsp vinifera cv. Rassegui</t>
  </si>
  <si>
    <t>Vitis vinifera subsp vinifera cv. Rauschling</t>
  </si>
  <si>
    <t>Vitis vinifera subsp vinifera cv. Razachie alba</t>
  </si>
  <si>
    <t>Vitis vinifera subsp vinifera cv. Razachie rosie</t>
  </si>
  <si>
    <t>Vitis vinifera subsp vinifera cv. Razakiia mirisliva</t>
  </si>
  <si>
    <t>Vitis vinifera subsp vinifera cv. Razakiia piembiana</t>
  </si>
  <si>
    <t>Vitis vinifera subsp vinifera cv. Razdani</t>
  </si>
  <si>
    <t>Vitis vinifera subsp vinifera cv. Raziki</t>
  </si>
  <si>
    <t>Vitis vinifera subsp vinifera cv. Red globe</t>
  </si>
  <si>
    <t>Vitis vinifera subsp vinifera cv. Red May</t>
  </si>
  <si>
    <t>Vitis vinifera subsp vinifera cv. Refosco dal pedonculo rosso</t>
  </si>
  <si>
    <t>Vitis vinifera subsp vinifera cv. Refoscone</t>
  </si>
  <si>
    <t>Vitis vinifera subsp vinifera cv. Regenerator</t>
  </si>
  <si>
    <t>Vitis vinifera subsp vinifera cv. Reichensteiner</t>
  </si>
  <si>
    <t>Vitis vinifera subsp vinifera cv. Reichriesling</t>
  </si>
  <si>
    <t>Vitis vinifera subsp vinifera cv. Reichsfränkisch</t>
  </si>
  <si>
    <t>Vitis vinifera subsp vinifera cv. Reine des Vignes</t>
  </si>
  <si>
    <t>Vitis vinifera subsp vinifera cv. Retagliado bianco = Arrotelas</t>
  </si>
  <si>
    <t>Vitis vinifera subsp vinifera cv. Revers Cepens</t>
  </si>
  <si>
    <t>Vitis vinifera subsp vinifera cv. Rèze</t>
  </si>
  <si>
    <t>Vitis vinifera subsp vinifera cv. Rhoditis</t>
  </si>
  <si>
    <t>Vitis vinifera subsp vinifera cv. Ribier gris</t>
  </si>
  <si>
    <t>Vitis vinifera subsp vinifera cv. Ribier noir</t>
  </si>
  <si>
    <t>Vitis vinifera subsp vinifera cv. Ribol = INRA 1597-131</t>
  </si>
  <si>
    <t>Vitis vinifera subsp vinifera cv. Ribolla gialla</t>
  </si>
  <si>
    <t>Vitis vinifera subsp vinifera cv. Ribote</t>
  </si>
  <si>
    <t>Vitis vinifera subsp vinifera cv. Rieslaner = Würzburg NI 11-17</t>
  </si>
  <si>
    <t>Vitis vinifera subsp vinifera cv. Riesling</t>
  </si>
  <si>
    <t>Vitis vinifera subsp vinifera cv. Riesling italico</t>
  </si>
  <si>
    <t>Vitis vinifera subsp vinifera cv. Riesling Lion</t>
  </si>
  <si>
    <t>Vitis vinifera subsp vinifera cv. Riesling rouge</t>
  </si>
  <si>
    <t>Vitis vinifera subsp vinifera cv. Rigolbouillé</t>
  </si>
  <si>
    <t>Vitis vinifera subsp vinifera cv. Riminèse</t>
  </si>
  <si>
    <t>Vitis vinifera subsp vinifera cv. Rindjaga</t>
  </si>
  <si>
    <t>Vitis vinifera subsp vinifera cv. Rivairenc = Aspiran noir</t>
  </si>
  <si>
    <t>Vitis vinifera subsp vinifera cv. Rivairenc blanc = Aspiran blanc</t>
  </si>
  <si>
    <t>Vitis vinifera subsp vinifera cv. Rivairenc gris = Aspiran gris</t>
  </si>
  <si>
    <t>Vitis vinifera subsp vinifera cv. Rizamat</t>
  </si>
  <si>
    <t>Vitis vinifera subsp vinifera cv. Rizens</t>
  </si>
  <si>
    <t>Vitis vinifera subsp vinifera cv. Rkatsitelli</t>
  </si>
  <si>
    <t>Vitis vinifera subsp vinifera cv. Rkatziteli krasni</t>
  </si>
  <si>
    <t>Vitis vinifera subsp vinifera cv. Robin noir</t>
  </si>
  <si>
    <t>Vitis vinifera subsp vinifera cv. Rodi = Pirovano 166</t>
  </si>
  <si>
    <t>Vitis vinifera subsp vinifera cv. Rohrtraube</t>
  </si>
  <si>
    <t>Vitis vinifera subsp vinifera cv. Roi des précoces</t>
  </si>
  <si>
    <t>Vitis vinifera subsp vinifera cv. Roma = Pirovano 210</t>
  </si>
  <si>
    <t>Vitis vinifera subsp vinifera cv. Rombola noir</t>
  </si>
  <si>
    <t>Vitis vinifera subsp vinifera cv. Romeïco</t>
  </si>
  <si>
    <t>Vitis vinifera subsp vinifera cv. Romorantin</t>
  </si>
  <si>
    <t>Vitis vinifera subsp vinifera cv. Rondinella</t>
  </si>
  <si>
    <t>Vitis vinifera subsp vinifera cv. Ronelle</t>
  </si>
  <si>
    <t>Vitis vinifera subsp vinifera cv. Rosa del Peru type 1</t>
  </si>
  <si>
    <t>Vitis vinifera subsp vinifera cv. Rosa del Peru type 2</t>
  </si>
  <si>
    <t>Vitis vinifera subsp vinifera cv. Rosa menna di vacca</t>
  </si>
  <si>
    <t>Vitis vinifera subsp vinifera cv. Rosa steen</t>
  </si>
  <si>
    <t>Vitis vinifera subsp vinifera cv. Rosaki blanc de semis</t>
  </si>
  <si>
    <t>Vitis vinifera subsp vinifera cv. Rosaki noir de semis</t>
  </si>
  <si>
    <t>Vitis vinifera subsp vinifera cv. Rosé du Var</t>
  </si>
  <si>
    <t>Vitis vinifera subsp vinifera cv. Rossara trentina</t>
  </si>
  <si>
    <t>Vitis vinifera subsp vinifera cv. Rossese</t>
  </si>
  <si>
    <t>Vitis vinifera subsp vinifera cv. Rossignola</t>
  </si>
  <si>
    <t>Vitis vinifera subsp vinifera cv. Rossola bianca</t>
  </si>
  <si>
    <t>Vitis vinifera subsp vinifera cv. Rotberger = Gm 3-37</t>
  </si>
  <si>
    <t>Vitis vinifera subsp vinifera cv. Rotgipfler</t>
  </si>
  <si>
    <t>Vitis vinifera subsp vinifera cv. Roubinoy de Magaratch = Magaratch 56</t>
  </si>
  <si>
    <t>Vitis vinifera subsp vinifera cv. Roublot</t>
  </si>
  <si>
    <t>Vitis vinifera subsp vinifera cv. Rouchaki</t>
  </si>
  <si>
    <t>Vitis vinifera subsp vinifera cv. Rouge de Fully</t>
  </si>
  <si>
    <t>Vitis vinifera subsp vinifera cv. Roumi noir</t>
  </si>
  <si>
    <t>Vitis vinifera subsp vinifera cv. Roussaïtis</t>
  </si>
  <si>
    <t>Vitis vinifera subsp vinifera cv. Roussanne</t>
  </si>
  <si>
    <t>Vitis vinifera subsp vinifera cv. Roussaou</t>
  </si>
  <si>
    <t>Vitis vinifera subsp vinifera cv. Roussette d'Ayze</t>
  </si>
  <si>
    <t>Vitis vinifera subsp vinifera cv. Roxo dos pintos</t>
  </si>
  <si>
    <t>Vitis vinifera subsp vinifera cv. Royal</t>
  </si>
  <si>
    <t>Vitis vinifera subsp vinifera cv. Royal Ascot</t>
  </si>
  <si>
    <t>Vitis vinifera subsp vinifera cv. Royal Askant</t>
  </si>
  <si>
    <t>Vitis vinifera subsp vinifera cv. Royal Molenberg</t>
  </si>
  <si>
    <t>Vitis vinifera subsp vinifera cv. Royal Vineyard</t>
  </si>
  <si>
    <t>Vitis vinifera subsp vinifera cv. Rubi</t>
  </si>
  <si>
    <t>Vitis vinifera subsp vinifera cv. Ruby Cabernet</t>
  </si>
  <si>
    <t>Vitis vinifera subsp vinifera cv. Ruby seedless</t>
  </si>
  <si>
    <t>Vitis vinifera subsp vinifera cv. Rudezusa</t>
  </si>
  <si>
    <t>Vitis vinifera subsp vinifera cv. Ruzevina</t>
  </si>
  <si>
    <t>Vitis vinifera subsp vinifera cv. Sabalkanskoï</t>
  </si>
  <si>
    <t>Vitis vinifera subsp vinifera cv. Sabaté</t>
  </si>
  <si>
    <t>Vitis vinifera subsp vinifera cv. Sabra</t>
  </si>
  <si>
    <t>Vitis vinifera subsp vinifera cv. Sacavem = C27 Coutinho</t>
  </si>
  <si>
    <t>Vitis vinifera subsp vinifera cv. Sacy</t>
  </si>
  <si>
    <t>Vitis vinifera subsp vinifera cv. Sagrantino</t>
  </si>
  <si>
    <t>Vitis vinifera subsp vinifera cv. Sahami</t>
  </si>
  <si>
    <t>Vitis vinifera subsp vinifera cv. Sahebi</t>
  </si>
  <si>
    <t>Vitis vinifera subsp vinifera cv. Sahibi sorh</t>
  </si>
  <si>
    <t>Vitis vinifera subsp vinifera cv. Sahilii</t>
  </si>
  <si>
    <t>Vitis vinifera subsp vinifera cv. Saint-Emilion x Sémillon D</t>
  </si>
  <si>
    <t>Vitis vinifera subsp vinifera cv. Saint-Laurent</t>
  </si>
  <si>
    <t>Vitis vinifera subsp vinifera cv. Saint-Louis faux</t>
  </si>
  <si>
    <t>Vitis vinifera subsp vinifera cv. Saint-Macaire</t>
  </si>
  <si>
    <t>Vitis vinifera subsp vinifera cv. Sainton = Vidal 9</t>
  </si>
  <si>
    <t>Vitis vinifera subsp vinifera cv. Saint-Pierre doré</t>
  </si>
  <si>
    <t>Vitis vinifera subsp vinifera cv. Sakasli</t>
  </si>
  <si>
    <t>Vitis vinifera subsp vinifera cv. Salagnin</t>
  </si>
  <si>
    <t>Vitis vinifera subsp vinifera cv. Salba</t>
  </si>
  <si>
    <t>Vitis vinifera subsp vinifera cv. Salicette</t>
  </si>
  <si>
    <t>Vitis vinifera subsp vinifera cv. Samarrinho preto</t>
  </si>
  <si>
    <t>Vitis vinifera subsp vinifera cv. Samoriau</t>
  </si>
  <si>
    <t>Vitis vinifera subsp vinifera cv. Samoveanca</t>
  </si>
  <si>
    <t>Vitis vinifera subsp vinifera cv. San Antoni</t>
  </si>
  <si>
    <t>Vitis vinifera subsp vinifera cv. San Francisco</t>
  </si>
  <si>
    <t>Vitis vinifera subsp vinifera cv. San Jeronimo</t>
  </si>
  <si>
    <t>Vitis vinifera subsp vinifera cv. San Martino = Pirovano 215</t>
  </si>
  <si>
    <t>Vitis vinifera subsp vinifera cv. Sanginella di Salerno</t>
  </si>
  <si>
    <t>Vitis vinifera subsp vinifera cv. Santa Barbara = Pirovano 480</t>
  </si>
  <si>
    <t>Vitis vinifera subsp vinifera cv. Santa Magdalena</t>
  </si>
  <si>
    <t>Vitis vinifera subsp vinifera cv. Santa Morena</t>
  </si>
  <si>
    <t>Vitis vinifera subsp vinifera cv. Santa Paula</t>
  </si>
  <si>
    <t>Vitis vinifera subsp vinifera cv. Saperavi</t>
  </si>
  <si>
    <t>Vitis vinifera subsp vinifera cv. Sapere otzkhanouri</t>
  </si>
  <si>
    <t>Vitis vinifera subsp vinifera cv. Sarfeher</t>
  </si>
  <si>
    <t>Vitis vinifera subsp vinifera cv. Sary pandass</t>
  </si>
  <si>
    <t>Vitis vinifera subsp vinifera cv. Sateni bely</t>
  </si>
  <si>
    <t>Vitis vinifera subsp vinifera cv. Sateni tcherny</t>
  </si>
  <si>
    <t>Vitis vinifera subsp vinifera cv. Satino Kokkino</t>
  </si>
  <si>
    <t>Vitis vinifera subsp vinifera cv. Sauterne blanc</t>
  </si>
  <si>
    <t>Vitis vinifera subsp vinifera cv. Sauvaget</t>
  </si>
  <si>
    <t>Vitis vinifera subsp vinifera cv. Sauvignon</t>
  </si>
  <si>
    <t>Vitis vinifera subsp vinifera cv. Sauvignon gris</t>
  </si>
  <si>
    <t>Vitis vinifera subsp vinifera cv. Sauvignon rouge</t>
  </si>
  <si>
    <t>Vitis vinifera subsp vinifera cv. Sauvignonasse</t>
  </si>
  <si>
    <t>Vitis vinifera subsp vinifera cv. Savagnin blanc</t>
  </si>
  <si>
    <t>Vitis vinifera subsp vinifera cv. Savagnin rose</t>
  </si>
  <si>
    <t>Vitis vinifera subsp vinifera cv. Savvatiano</t>
  </si>
  <si>
    <t>Vitis vinifera subsp vinifera cv. Scaliger</t>
  </si>
  <si>
    <t>Vitis vinifera subsp vinifera cv. Schabasche</t>
  </si>
  <si>
    <t>Vitis vinifera subsp vinifera cv. Scheu 10514</t>
  </si>
  <si>
    <t>Vitis vinifera subsp vinifera cv. Scheurebe</t>
  </si>
  <si>
    <t>Vitis vinifera subsp vinifera cv. Schiava gentile</t>
  </si>
  <si>
    <t>Vitis vinifera subsp vinifera cv. Schiava grigia</t>
  </si>
  <si>
    <t>Vitis vinifera subsp vinifera cv. Schiava lombarda</t>
  </si>
  <si>
    <t>Vitis vinifera subsp vinifera cv. Schiradzouli</t>
  </si>
  <si>
    <t>Vitis vinifera subsp vinifera cv. Schiradzouli violet</t>
  </si>
  <si>
    <t>Vitis vinifera subsp vinifera cv. Schiras</t>
  </si>
  <si>
    <t>Vitis vinifera subsp vinifera cv. Sciaccarello</t>
  </si>
  <si>
    <t>Vitis vinifera subsp vinifera cv. Sciascinoso</t>
  </si>
  <si>
    <t>Vitis vinifera subsp vinifera cv. Sebai assouad</t>
  </si>
  <si>
    <t>Vitis vinifera subsp vinifera cv. Sécal</t>
  </si>
  <si>
    <t>Vitis vinifera subsp vinifera cv. Segalin = INRA 1377-174</t>
  </si>
  <si>
    <t>Vitis vinifera subsp vinifera cv. Seibel 60</t>
  </si>
  <si>
    <t>Vitis vinifera subsp vinifera cv. Select = Vidal 100 T</t>
  </si>
  <si>
    <t>Vitis vinifera subsp vinifera cv. Semebat</t>
  </si>
  <si>
    <t>Vitis vinifera subsp vinifera cv. Semidano</t>
  </si>
  <si>
    <t>Vitis vinifera subsp vinifera cv. Semillon</t>
  </si>
  <si>
    <t>Vitis vinifera subsp vinifera cv. Septimer = Alzey 3952</t>
  </si>
  <si>
    <t>Vitis vinifera subsp vinifera cv. Sercial</t>
  </si>
  <si>
    <t>Vitis vinifera subsp vinifera cv. Serénèze de Moirans</t>
  </si>
  <si>
    <t>Vitis vinifera subsp vinifera cv. Serénèze de Voreppe</t>
  </si>
  <si>
    <t>Vitis vinifera subsp vinifera cv. Serna</t>
  </si>
  <si>
    <t>Vitis vinifera subsp vinifera cv. Servabilis = Pirovano 221</t>
  </si>
  <si>
    <t>Vitis vinifera subsp vinifera cv. Servanin</t>
  </si>
  <si>
    <t>Vitis vinifera subsp vinifera cv. Servant</t>
  </si>
  <si>
    <t>Vitis vinifera subsp vinifera cv. Sevan</t>
  </si>
  <si>
    <t>Vitis vinifera subsp vinifera cv. Sgavetta</t>
  </si>
  <si>
    <t>Vitis vinifera subsp vinifera cv. Sguigarda</t>
  </si>
  <si>
    <t>Vitis vinifera subsp vinifera cv. Shenidani</t>
  </si>
  <si>
    <t>Vitis vinifera subsp vinifera cv. Shindo Khani</t>
  </si>
  <si>
    <t>Vitis vinifera subsp vinifera cv. Shirazi</t>
  </si>
  <si>
    <t>Vitis vinifera subsp vinifera cv. Siah</t>
  </si>
  <si>
    <t>Vitis vinifera subsp vinifera cv. Sibirkovy</t>
  </si>
  <si>
    <t>Vitis vinifera subsp vinifera cv. Sicilien faux</t>
  </si>
  <si>
    <t>Vitis vinifera subsp vinifera cv. Sideritis</t>
  </si>
  <si>
    <t>Vitis vinifera subsp vinifera cv. Siegerrebe = Scheu 7957</t>
  </si>
  <si>
    <t>Vitis vinifera subsp vinifera cv. Silberweiss</t>
  </si>
  <si>
    <t>Vitis vinifera subsp vinifera cv. Skiadopoulo</t>
  </si>
  <si>
    <t>Vitis vinifera subsp vinifera cv. Skyloklima</t>
  </si>
  <si>
    <t>Vitis vinifera subsp vinifera cv. Skylopnichtis</t>
  </si>
  <si>
    <t>Vitis vinifera subsp vinifera cv. Skylopnichtis blanc</t>
  </si>
  <si>
    <t>Vitis vinifera subsp vinifera cv. Slankamenka blanc</t>
  </si>
  <si>
    <t>Vitis vinifera subsp vinifera cv. Soiaki</t>
  </si>
  <si>
    <t>Vitis vinifera subsp vinifera cv. Soic</t>
  </si>
  <si>
    <t>Vitis vinifera subsp vinifera cv. Solferino = Pirovano 316</t>
  </si>
  <si>
    <t>Vitis vinifera subsp vinifera cv. Somarello rosso</t>
  </si>
  <si>
    <t>Vitis vinifera subsp vinifera cv. Somzölö kek</t>
  </si>
  <si>
    <t>Vitis vinifera subsp vinifera cv. Sorok Let Oktiabria</t>
  </si>
  <si>
    <t>Vitis vinifera subsp vinifera cv. Soukholimansky bely</t>
  </si>
  <si>
    <t>Vitis vinifera subsp vinifera cv. Souri (1)</t>
  </si>
  <si>
    <t>Vitis vinifera subsp vinifera cv. Souri (2)</t>
  </si>
  <si>
    <t>Vitis vinifera subsp vinifera cv. Sourkhak biely</t>
  </si>
  <si>
    <t>Vitis vinifera subsp vinifera cv. Sourkhak kitabsky</t>
  </si>
  <si>
    <t>Vitis vinifera subsp vinifera cv. Souvenir du Congrès</t>
  </si>
  <si>
    <t>Vitis vinifera subsp vinifera cv. Souzao</t>
  </si>
  <si>
    <t>Vitis vinifera subsp vinifera cv. Sovrana = Pirovano 244</t>
  </si>
  <si>
    <t>Vitis vinifera subsp vinifera cv. Staphidampelo</t>
  </si>
  <si>
    <t>Vitis vinifera subsp vinifera cv. Staphidostaphylo</t>
  </si>
  <si>
    <t>Vitis vinifera subsp vinifera cv. Steinschiller blanc</t>
  </si>
  <si>
    <t>Vitis vinifera subsp vinifera cv. Strophyliatico</t>
  </si>
  <si>
    <t>Vitis vinifera subsp vinifera cv. Suavis = Pirovano 365 s</t>
  </si>
  <si>
    <t>Vitis vinifera subsp vinifera cv. Subirat Parent</t>
  </si>
  <si>
    <t>Vitis vinifera subsp vinifera cv. Sugrafive = Early Supérior seedless</t>
  </si>
  <si>
    <t>Vitis vinifera subsp vinifera cv. Sugraone = Superior seedless</t>
  </si>
  <si>
    <t>Vitis vinifera subsp vinifera cv. Sulivan blanc</t>
  </si>
  <si>
    <t>Vitis vinifera subsp vinifera cv. Sultana moscata = Pirovano 75</t>
  </si>
  <si>
    <t>Vitis vinifera subsp vinifera cv. Sultanina</t>
  </si>
  <si>
    <t>Vitis vinifera subsp vinifera cv. Sultanine</t>
  </si>
  <si>
    <t>Vitis vinifera subsp vinifera cv. Sultanine monococco</t>
  </si>
  <si>
    <t>Vitis vinifera subsp vinifera cv. Sultanine rose</t>
  </si>
  <si>
    <t>Vitis vinifera subsp vinifera cv. Sultanine rouge</t>
  </si>
  <si>
    <t>Vitis vinifera subsp vinifera cv. Sumoll</t>
  </si>
  <si>
    <t>Vitis vinifera subsp vinifera cv. Suntory blanc</t>
  </si>
  <si>
    <t>Vitis vinifera subsp vinifera cv. Superba = Pirovano 476 a</t>
  </si>
  <si>
    <t>Vitis vinifera subsp vinifera cv. Superfrankenthal = Pirovano 243</t>
  </si>
  <si>
    <t>Vitis vinifera subsp vinifera cv. Superzibibbo = Pirovano 107 a</t>
  </si>
  <si>
    <t>Vitis vinifera subsp vinifera cv. Suscan crni</t>
  </si>
  <si>
    <t>Vitis vinifera subsp vinifera cv. Susumaniello</t>
  </si>
  <si>
    <t>Vitis vinifera subsp vinifera cv. Sykiotis</t>
  </si>
  <si>
    <t>Vitis vinifera subsp vinifera cv. Sylvaner</t>
  </si>
  <si>
    <t>Vitis vinifera subsp vinifera cv. Sylvaner blau</t>
  </si>
  <si>
    <t>Vitis vinifera subsp vinifera cv. Sylvaner rot</t>
  </si>
  <si>
    <t>Vitis vinifera subsp vinifera cv. Syrah</t>
  </si>
  <si>
    <t>Vitis vinifera subsp vinifera cv. Syriki</t>
  </si>
  <si>
    <t>Vitis vinifera subsp vinifera cv. Szagos Bajnar</t>
  </si>
  <si>
    <t>Vitis vinifera subsp vinifera cv. Szauter Gusztav</t>
  </si>
  <si>
    <t>Vitis vinifera subsp vinifera cv. Szegedi</t>
  </si>
  <si>
    <t>Vitis vinifera subsp vinifera cv. Szegeny ember szölöje</t>
  </si>
  <si>
    <t>Vitis vinifera subsp vinifera cv. Szent Laszlö</t>
  </si>
  <si>
    <t>Vitis vinifera subsp vinifera cv. Szeredi</t>
  </si>
  <si>
    <t>Vitis vinifera subsp vinifera cv. Szeremi zöld</t>
  </si>
  <si>
    <t>Vitis vinifera subsp vinifera cv. Tachtas</t>
  </si>
  <si>
    <t>Vitis vinifera subsp vinifera cv. Taferielt</t>
  </si>
  <si>
    <t>Vitis vinifera subsp vinifera cv. Tagleit n'timilli</t>
  </si>
  <si>
    <t>Vitis vinifera subsp vinifera cv. Tagobi</t>
  </si>
  <si>
    <t>Vitis vinifera subsp vinifera cv. Taifi belyi</t>
  </si>
  <si>
    <t>Vitis vinifera subsp vinifera cv. Taïfi rosovy</t>
  </si>
  <si>
    <t>Vitis vinifera subsp vinifera cv. Taïlilout</t>
  </si>
  <si>
    <t>Vitis vinifera subsp vinifera cv. Tamares</t>
  </si>
  <si>
    <t>Vitis vinifera subsp vinifera cv. Tamarez Moscatel 31-3-3</t>
  </si>
  <si>
    <t>Vitis vinifera subsp vinifera cv. Tana kouzy</t>
  </si>
  <si>
    <t>Vitis vinifera subsp vinifera cv. Tanagos</t>
  </si>
  <si>
    <t>Vitis vinifera subsp vinifera cv. Tankert</t>
  </si>
  <si>
    <t>Vitis vinifera subsp vinifera cv. Tannat</t>
  </si>
  <si>
    <t>Vitis vinifera subsp vinifera cv. Tantovina</t>
  </si>
  <si>
    <t>Vitis vinifera subsp vinifera cv. Tarabassié</t>
  </si>
  <si>
    <t>Vitis vinifera subsp vinifera cv. Tardif</t>
  </si>
  <si>
    <t>Vitis vinifera subsp vinifera cv. Tarnaou</t>
  </si>
  <si>
    <t>Vitis vinifera subsp vinifera cv. Tarragonins</t>
  </si>
  <si>
    <t>Vitis vinifera subsp vinifera cv. Tarrango</t>
  </si>
  <si>
    <t>Vitis vinifera subsp vinifera cv. Taschly</t>
  </si>
  <si>
    <t>Vitis vinifera subsp vinifera cv. Tavkveri</t>
  </si>
  <si>
    <t>Vitis vinifera subsp vinifera cv. Tavrida = Magaratch 171</t>
  </si>
  <si>
    <t>Vitis vinifera subsp vinifera cv. Tchaïnak</t>
  </si>
  <si>
    <t>Vitis vinifera subsp vinifera cv. Tchernii Crimski</t>
  </si>
  <si>
    <t>Vitis vinifera subsp vinifera cv. Tchilar</t>
  </si>
  <si>
    <t>Vitis vinifera subsp vinifera cv. Tchiliaki blanc</t>
  </si>
  <si>
    <t>Vitis vinifera subsp vinifera cv. Tchiliaki rouge</t>
  </si>
  <si>
    <t>Vitis vinifera subsp vinifera cv. Tchingin kara</t>
  </si>
  <si>
    <t>Vitis vinifera subsp vinifera cv. Tchinouri</t>
  </si>
  <si>
    <t>Vitis vinifera subsp vinifera cv. Tchkhaveri</t>
  </si>
  <si>
    <t>Vitis vinifera subsp vinifera cv. Teinturier</t>
  </si>
  <si>
    <t>Vitis vinifera subsp vinifera cv. Teli granat</t>
  </si>
  <si>
    <t>Vitis vinifera subsp vinifera cv. Tempranilla</t>
  </si>
  <si>
    <t>Vitis vinifera subsp vinifera cv. Tempranillo</t>
  </si>
  <si>
    <t>Vitis vinifera subsp vinifera cv. Téoulier</t>
  </si>
  <si>
    <t>Vitis vinifera subsp vinifera cv. Téoulier blanc</t>
  </si>
  <si>
    <t>Vitis vinifera subsp vinifera cv. Terbasch</t>
  </si>
  <si>
    <t>Vitis vinifera subsp vinifera cv. Teresita = Dalmasso XVIII-24</t>
  </si>
  <si>
    <t>Vitis vinifera subsp vinifera cv. Terlaner</t>
  </si>
  <si>
    <t>Vitis vinifera subsp vinifera cv. Teroldego</t>
  </si>
  <si>
    <t>Vitis vinifera subsp vinifera cv. Terr Gulmek</t>
  </si>
  <si>
    <t>Vitis vinifera subsp vinifera cv. Terramon long</t>
  </si>
  <si>
    <t>Vitis vinifera subsp vinifera cv. Terramon rond</t>
  </si>
  <si>
    <t>Vitis vinifera subsp vinifera cv. Terrano</t>
  </si>
  <si>
    <t>Vitis vinifera subsp vinifera cv. Terrantez de Madère</t>
  </si>
  <si>
    <t>Vitis vinifera subsp vinifera cv. Terrantez du Dão</t>
  </si>
  <si>
    <t>Vitis vinifera subsp vinifera cv. Terret blanc</t>
  </si>
  <si>
    <t>Vitis vinifera subsp vinifera cv. Terret Bouschet</t>
  </si>
  <si>
    <t>Vitis vinifera subsp vinifera cv. Terret gris</t>
  </si>
  <si>
    <t>Vitis vinifera subsp vinifera cv. Terret noir</t>
  </si>
  <si>
    <t>Vitis vinifera subsp vinifera cv. Teta de Vaca</t>
  </si>
  <si>
    <t>Vitis vinifera subsp vinifera cv. Thallocsy Lajos muskotaly = Muscat Thallocsy</t>
  </si>
  <si>
    <t>Vitis vinifera subsp vinifera cv. Thermi</t>
  </si>
  <si>
    <t>Vitis vinifera subsp vinifera cv. Tibouren</t>
  </si>
  <si>
    <t>Vitis vinifera subsp vinifera cv. Tihany</t>
  </si>
  <si>
    <t>Vitis vinifera subsp vinifera cv. Timorasso</t>
  </si>
  <si>
    <t>Vitis vinifera subsp vinifera cv. Timpurie</t>
  </si>
  <si>
    <t>Vitis vinifera subsp vinifera cv. Tini</t>
  </si>
  <si>
    <t>Vitis vinifera subsp vinifera cv. Tiniouine</t>
  </si>
  <si>
    <t>Vitis vinifera subsp vinifera cv. Tinos noir</t>
  </si>
  <si>
    <t>Vitis vinifera subsp vinifera cv. Tinta amarella</t>
  </si>
  <si>
    <t>Vitis vinifera subsp vinifera cv. Tinta Barroca</t>
  </si>
  <si>
    <t>Vitis vinifera subsp vinifera cv. Tinta carvalha</t>
  </si>
  <si>
    <t>Vitis vinifera subsp vinifera cv. Tinta castellõa</t>
  </si>
  <si>
    <t>Vitis vinifera subsp vinifera cv. Tinta de Madeira</t>
  </si>
  <si>
    <t>Vitis vinifera subsp vinifera cv. Tinta francisca</t>
  </si>
  <si>
    <t>Vitis vinifera subsp vinifera cv. Tinta pinheira</t>
  </si>
  <si>
    <t>Vitis vinifera subsp vinifera cv. Tintillo</t>
  </si>
  <si>
    <t>Vitis vinifera subsp vinifera cv. Tintinha = Leao Ferreira da Almeida 11-48-122</t>
  </si>
  <si>
    <t>Vitis vinifera subsp vinifera cv. Tinto Cao</t>
  </si>
  <si>
    <t>Vitis vinifera subsp vinifera cv. Tintora</t>
  </si>
  <si>
    <t>Vitis vinifera subsp vinifera cv. Tita Caprei</t>
  </si>
  <si>
    <t>Vitis vinifera subsp vinifera cv. Tolstokorii</t>
  </si>
  <si>
    <t>Vitis vinifera subsp vinifera cv. Török Mazsola</t>
  </si>
  <si>
    <t>Vitis vinifera subsp vinifera cv. Torralba</t>
  </si>
  <si>
    <t>Vitis vinifera subsp vinifera cv. Torrontès</t>
  </si>
  <si>
    <t>Vitis vinifera subsp vinifera cv. Torrontès mendocino</t>
  </si>
  <si>
    <t>Vitis vinifera subsp vinifera cv. Torrontès riojano</t>
  </si>
  <si>
    <t>Vitis vinifera subsp vinifera cv. Torrontès sanjuanino</t>
  </si>
  <si>
    <t>Vitis vinifera subsp vinifera cv. Tortozon</t>
  </si>
  <si>
    <t>Vitis vinifera subsp vinifera cv. Tourbat</t>
  </si>
  <si>
    <t>Vitis vinifera subsp vinifera cv. Touriga</t>
  </si>
  <si>
    <t>Vitis vinifera subsp vinifera cv. Toutrissin</t>
  </si>
  <si>
    <t>Vitis vinifera subsp vinifera cv. Tre voto</t>
  </si>
  <si>
    <t>Vitis vinifera subsp vinifera cv. Trebbiano</t>
  </si>
  <si>
    <t>Vitis vinifera subsp vinifera cv. Trebbiano di Soave</t>
  </si>
  <si>
    <t>Vitis vinifera subsp vinifera cv. Trebbiano giallo</t>
  </si>
  <si>
    <t>Vitis vinifera subsp vinifera cv. Trebbiano romagnolo</t>
  </si>
  <si>
    <t>Vitis vinifera subsp vinifera cv. Trebbiano spoletino</t>
  </si>
  <si>
    <t>Vitis vinifera subsp vinifera cv. Treixadura</t>
  </si>
  <si>
    <t>Vitis vinifera subsp vinifera cv. Trentham black faux</t>
  </si>
  <si>
    <t>Vitis vinifera subsp vinifera cv. Treolina</t>
  </si>
  <si>
    <t>Vitis vinifera subsp vinifera cv. Tressot</t>
  </si>
  <si>
    <t>Vitis vinifera subsp vinifera cv. Tressot blanc</t>
  </si>
  <si>
    <t>Vitis vinifera subsp vinifera cv. Tressot panaché</t>
  </si>
  <si>
    <t>Vitis vinifera subsp vinifera cv. Tressot panaché faux</t>
  </si>
  <si>
    <t>Vitis vinifera subsp vinifera cv. Trevisana nera</t>
  </si>
  <si>
    <t>Vitis vinifera subsp vinifera cv. Trieste = Pirovano 299</t>
  </si>
  <si>
    <t>Vitis vinifera subsp vinifera cv. Tripoli = Pirovano 352</t>
  </si>
  <si>
    <t>Vitis vinifera subsp vinifera cv. Trollinger blaudüftig</t>
  </si>
  <si>
    <t>Vitis vinifera subsp vinifera cv. Trollinger Muskat</t>
  </si>
  <si>
    <t>Vitis vinifera subsp vinifera cv. Trollingi feher</t>
  </si>
  <si>
    <t>Vitis vinifera subsp vinifera cv. Trousseau</t>
  </si>
  <si>
    <t>Vitis vinifera subsp vinifera cv. Trousseau gris</t>
  </si>
  <si>
    <t>Vitis vinifera subsp vinifera cv. Troyen</t>
  </si>
  <si>
    <t>Vitis vinifera subsp vinifera cv. Trunzo</t>
  </si>
  <si>
    <t>Vitis vinifera subsp vinifera cv. Tsambato</t>
  </si>
  <si>
    <t>Vitis vinifera subsp vinifera cv. Tschetirbak</t>
  </si>
  <si>
    <t>Vitis vinifera subsp vinifera cv. Tuia tiche</t>
  </si>
  <si>
    <t>Vitis vinifera subsp vinifera cv. Tuia tiche faux</t>
  </si>
  <si>
    <t>Vitis vinifera subsp vinifera cv. Tulillah</t>
  </si>
  <si>
    <t>Vitis vinifera subsp vinifera cv. Turki</t>
  </si>
  <si>
    <t>Vitis vinifera subsp vinifera cv. Turruntes</t>
  </si>
  <si>
    <t>Vitis vinifera subsp vinifera cv. Turska dinka</t>
  </si>
  <si>
    <t>Vitis vinifera subsp vinifera cv. Tzimlansky blanc</t>
  </si>
  <si>
    <t>Vitis vinifera subsp vinifera cv. Tzimlansky noir</t>
  </si>
  <si>
    <t>Vitis vinifera subsp vinifera cv. Tzitzka</t>
  </si>
  <si>
    <t>Vitis vinifera subsp vinifera cv. Tzolikoouri</t>
  </si>
  <si>
    <t>Vitis vinifera subsp vinifera cv. Ugni blanc</t>
  </si>
  <si>
    <t>Vitis vinifera subsp vinifera cv. Ugni blanc à feuilles découpées</t>
  </si>
  <si>
    <t>Vitis vinifera subsp vinifera cv. Ugni rouge</t>
  </si>
  <si>
    <t>Vitis vinifera subsp vinifera cv. Urben blau</t>
  </si>
  <si>
    <t>Vitis vinifera subsp vinifera cv. Urben rot</t>
  </si>
  <si>
    <t>Vitis vinifera subsp vinifera cv. Urreti</t>
  </si>
  <si>
    <t>Vitis vinifera subsp vinifera cv. Uva Cao</t>
  </si>
  <si>
    <t>Vitis vinifera subsp vinifera cv. Uva de Rey</t>
  </si>
  <si>
    <t>Vitis vinifera subsp vinifera cv. Uva di Troia</t>
  </si>
  <si>
    <t>Vitis vinifera subsp vinifera cv. Uva melona</t>
  </si>
  <si>
    <t>Vitis vinifera subsp vinifera cv. V 155 (J.P. Vidal)</t>
  </si>
  <si>
    <t>Vitis vinifera subsp vinifera cv. Valais noir</t>
  </si>
  <si>
    <t>Vitis vinifera subsp vinifera cv. Valdepeñas</t>
  </si>
  <si>
    <t>Vitis vinifera subsp vinifera cv. Valdiguié</t>
  </si>
  <si>
    <t>Vitis vinifera subsp vinifera cv. Valdiguié pissaïré</t>
  </si>
  <si>
    <t>Vitis vinifera subsp vinifera cv. Valenci blanco</t>
  </si>
  <si>
    <t>Vitis vinifera subsp vinifera cv. Valenci blanco faux</t>
  </si>
  <si>
    <t>Vitis vinifera subsp vinifera cv. Valensi noir</t>
  </si>
  <si>
    <t>Vitis vinifera subsp vinifera cv. Vapsa</t>
  </si>
  <si>
    <t>Vitis vinifera subsp vinifera cv. Vassarga bielaia</t>
  </si>
  <si>
    <t>Vitis vinifera subsp vinifera cv. Vassarga tchernaia</t>
  </si>
  <si>
    <t>Vitis vinifera subsp vinifera cv. Vékonyhéju</t>
  </si>
  <si>
    <t>Vitis vinifera subsp vinifera cv. Velteliner rouge</t>
  </si>
  <si>
    <t>Vitis vinifera subsp vinifera cv. Velteliner rouge précoce</t>
  </si>
  <si>
    <t>Vitis vinifera subsp vinifera cv. Velteliner vert</t>
  </si>
  <si>
    <t>Vitis vinifera subsp vinifera cv. Verdanel</t>
  </si>
  <si>
    <t>Vitis vinifera subsp vinifera cv. Verdea</t>
  </si>
  <si>
    <t>Vitis vinifera subsp vinifera cv. Verdeca</t>
  </si>
  <si>
    <t>Vitis vinifera subsp vinifera cv. Verdejo blanco</t>
  </si>
  <si>
    <t>Vitis vinifera subsp vinifera cv. Verdejo negro</t>
  </si>
  <si>
    <t>Vitis vinifera subsp vinifera cv. Verdelho</t>
  </si>
  <si>
    <t>Vitis vinifera subsp vinifera cv. Verdelho du Dâo</t>
  </si>
  <si>
    <t>Vitis vinifera subsp vinifera cv. Verdelho feijão</t>
  </si>
  <si>
    <t>Vitis vinifera subsp vinifera cv. Verdelho tinto femelle</t>
  </si>
  <si>
    <t>Vitis vinifera subsp vinifera cv. Verdesse</t>
  </si>
  <si>
    <t>Vitis vinifera subsp vinifera cv. Verdicchio</t>
  </si>
  <si>
    <t>Vitis vinifera subsp vinifera cv. Verdiso</t>
  </si>
  <si>
    <t>Vitis vinifera subsp vinifera cv. Verduschia</t>
  </si>
  <si>
    <t>Vitis vinifera subsp vinifera cv. Verduzzo friulano</t>
  </si>
  <si>
    <t>Vitis vinifera subsp vinifera cv. Verduzzo trevigiano</t>
  </si>
  <si>
    <t>Vitis vinifera subsp vinifera cv. Verico</t>
  </si>
  <si>
    <t>Vitis vinifera subsp vinifera cv. Verjus</t>
  </si>
  <si>
    <t>Vitis vinifera subsp vinifera cv. Vermentino</t>
  </si>
  <si>
    <t>Vitis vinifera subsp vinifera cv. Vermentino nero</t>
  </si>
  <si>
    <t>Vitis vinifera subsp vinifera cv. Vernaccia di Oristano</t>
  </si>
  <si>
    <t>Vitis vinifera subsp vinifera cv. Vernaccia di San Gimignano</t>
  </si>
  <si>
    <t>Vitis vinifera subsp vinifera cv. Vernaccia nera</t>
  </si>
  <si>
    <t>Vitis vinifera subsp vinifera cv. Vernaccina</t>
  </si>
  <si>
    <t>Vitis vinifera subsp vinifera cv. Verona = Pirovano 52</t>
  </si>
  <si>
    <t>Vitis vinifera subsp vinifera cv. Vespaiola</t>
  </si>
  <si>
    <t>Vitis vinifera subsp vinifera cv. Vespolina</t>
  </si>
  <si>
    <t>Vitis vinifera subsp vinifera cv. Vesprino</t>
  </si>
  <si>
    <t>Vitis vinifera subsp vinifera cv. Victor = Pirovano 314</t>
  </si>
  <si>
    <t>Vitis vinifera subsp vinifera cv. Vidal 117</t>
  </si>
  <si>
    <t>Vitis vinifera subsp vinifera cv. Vidal 31</t>
  </si>
  <si>
    <t>Vitis vinifera subsp vinifera cv. Vidal 311</t>
  </si>
  <si>
    <t>Vitis vinifera subsp vinifera cv. Vidal 36</t>
  </si>
  <si>
    <t>Vitis vinifera subsp vinifera cv. Vidal 539</t>
  </si>
  <si>
    <t>Vitis vinifera subsp vinifera cv. Vidal 544</t>
  </si>
  <si>
    <t>Vitis vinifera subsp vinifera cv. Vidal 547</t>
  </si>
  <si>
    <t>Vitis vinifera subsp vinifera cv. Vidal 548</t>
  </si>
  <si>
    <t>Vitis vinifera subsp vinifera cv. Vidal 595</t>
  </si>
  <si>
    <t>Vitis vinifera subsp vinifera cv. Vidal 662</t>
  </si>
  <si>
    <t>Vitis vinifera subsp vinifera cv. Vidal 678</t>
  </si>
  <si>
    <t>Vitis vinifera subsp vinifera cv. Vidal 686</t>
  </si>
  <si>
    <t>Vitis vinifera subsp vinifera cv. Vidal 76 T</t>
  </si>
  <si>
    <t>Vitis vinifera subsp vinifera cv. Vidal 800</t>
  </si>
  <si>
    <t>Vitis vinifera subsp vinifera cv. Vidal 804</t>
  </si>
  <si>
    <t>Vitis vinifera subsp vinifera cv. Vidal 808</t>
  </si>
  <si>
    <t>Vitis vinifera subsp vinifera cv. Vidal 815</t>
  </si>
  <si>
    <t>Vitis vinifera subsp vinifera cv. Vidal 83 T</t>
  </si>
  <si>
    <t>Vitis vinifera subsp vinifera cv. Vidal 98 T</t>
  </si>
  <si>
    <t>Vitis vinifera subsp vinifera cv. Vidal 99 T</t>
  </si>
  <si>
    <t>Vitis vinifera subsp vinifera cv. Vidiano</t>
  </si>
  <si>
    <t>Vitis vinifera subsp vinifera cv. Vien de Nus</t>
  </si>
  <si>
    <t>Vitis vinifera subsp vinifera cv. Vigne de Wood</t>
  </si>
  <si>
    <t>Vitis vinifera subsp vinifera cv. Vijiriega</t>
  </si>
  <si>
    <t>Vitis vinifera subsp vinifera cv. Vilana</t>
  </si>
  <si>
    <t>Vitis vinifera subsp vinifera cv. Villardiell</t>
  </si>
  <si>
    <t>Vitis vinifera subsp vinifera cv. Vinta</t>
  </si>
  <si>
    <t>Vitis vinifera subsp vinifera cv. Vintaïu</t>
  </si>
  <si>
    <t>Vitis vinifera subsp vinifera cv. Viognier</t>
  </si>
  <si>
    <t>Vitis vinifera subsp vinifera cv. Viola = Dalmasso XVIII-3</t>
  </si>
  <si>
    <t>Vitis vinifera subsp vinifera cv. Viosinho</t>
  </si>
  <si>
    <t>Vitis vinifera subsp vinifera cv. Viska</t>
  </si>
  <si>
    <t>Vitis vinifera subsp vinifera cv. Vital</t>
  </si>
  <si>
    <t>Vitis vinifera subsp vinifera cv. Volavna feher</t>
  </si>
  <si>
    <t>Vitis vinifera subsp vinifera cv. Volta = Pirovano 105</t>
  </si>
  <si>
    <t>Vitis vinifera subsp vinifera cv. Vörös vallas kek</t>
  </si>
  <si>
    <t>Vitis vinifera subsp vinifera cv. Voskeat</t>
  </si>
  <si>
    <t>Vitis vinifera subsp vinifera cv. Voudomato</t>
  </si>
  <si>
    <t>Vitis vinifera subsp vinifera cv. Vranac crni</t>
  </si>
  <si>
    <t>Vitis vinifera subsp vinifera cv. Vugava</t>
  </si>
  <si>
    <t>Vitis vinifera subsp vinifera cv. Vulpea</t>
  </si>
  <si>
    <t>Vitis vinifera subsp vinifera cv. Weisse Geisdutte par erreur</t>
  </si>
  <si>
    <t>Vitis vinifera subsp vinifera cv. West Freisia</t>
  </si>
  <si>
    <t>Vitis vinifera subsp vinifera cv. White Cinsaut</t>
  </si>
  <si>
    <t>Vitis vinifera subsp vinifera cv. White Lisbon</t>
  </si>
  <si>
    <t>Vitis vinifera subsp vinifera cv. White Muscadel</t>
  </si>
  <si>
    <t>Vitis vinifera subsp vinifera cv. White Prince</t>
  </si>
  <si>
    <t>Vitis vinifera subsp vinifera cv. Wildbacher blau</t>
  </si>
  <si>
    <t>Vitis vinifera subsp vinifera cv. Xarello</t>
  </si>
  <si>
    <t>Vitis vinifera subsp vinifera cv. Xarello vermell</t>
  </si>
  <si>
    <t>Vitis vinifera subsp vinifera cv. Xynomavro</t>
  </si>
  <si>
    <t>Vitis vinifera subsp vinifera cv. Yaghasti</t>
  </si>
  <si>
    <t>Vitis vinifera subsp vinifera cv. Yaï isioum rosovy</t>
  </si>
  <si>
    <t>Vitis vinifera subsp vinifera cv. Yapindjac</t>
  </si>
  <si>
    <t>Vitis vinifera subsp vinifera cv. Yekroa</t>
  </si>
  <si>
    <t>Vitis vinifera subsp vinifera cv. Ygia</t>
  </si>
  <si>
    <t>Vitis vinifera subsp vinifera cv. Yhsouh ali</t>
  </si>
  <si>
    <t>Vitis vinifera subsp vinifera cv. Zadarka bijela</t>
  </si>
  <si>
    <t>Vitis vinifera subsp vinifera cv. Zagtaïr</t>
  </si>
  <si>
    <t>Vitis vinifera subsp vinifera cv. Zalema</t>
  </si>
  <si>
    <t>Vitis vinifera subsp vinifera cv. Zalovitico</t>
  </si>
  <si>
    <t>Vitis vinifera subsp vinifera cv. Zampara</t>
  </si>
  <si>
    <t>Vitis vinifera subsp vinifera cv. Zeini</t>
  </si>
  <si>
    <t>Vitis vinifera subsp vinifera cv. Zeini abiad</t>
  </si>
  <si>
    <t>Vitis vinifera subsp vinifera cv. Zeini baladi</t>
  </si>
  <si>
    <t>Vitis vinifera subsp vinifera cv. Zeini rouge</t>
  </si>
  <si>
    <t>Vitis vinifera subsp vinifera cv. Zghihara de Husi</t>
  </si>
  <si>
    <t>Vitis vinifera subsp vinifera cv. Zierfandler rot</t>
  </si>
  <si>
    <t>Vitis vinifera subsp vinifera cv. Zilavka</t>
  </si>
  <si>
    <t>Vitis vinifera subsp vinifera cv. Zimsko belo</t>
  </si>
  <si>
    <t>Vitis vinifera subsp vinifera cv. Zizine</t>
  </si>
  <si>
    <t>Vitis vinifera subsp vinifera cv. Zlatarica bijela</t>
  </si>
  <si>
    <t>Vitis vinifera subsp vinifera cv. Zöldfürtü</t>
  </si>
  <si>
    <t>Vitis vinifera subsp vinifera cv. Zrinyi Ilona</t>
  </si>
  <si>
    <t>Vitis vinifera subsp vinifera cv. Zsitvai dinka</t>
  </si>
  <si>
    <t>Vitis vinifera subsp vinifera cv. Zweigelt blau</t>
  </si>
  <si>
    <t>Vitis vinifera subsp vinifera L.</t>
  </si>
  <si>
    <t>Vitis wenchowensis C.Ling</t>
  </si>
  <si>
    <t>Vitis x interspécifique</t>
  </si>
  <si>
    <t>Vitis x interspécifique cv. Aladin</t>
  </si>
  <si>
    <t>Vitis x interspécifique cv. Albenc = Galibert 36-1</t>
  </si>
  <si>
    <t>Vitis x interspécifique cv. Albignac = Galibert 12-1</t>
  </si>
  <si>
    <t>Vitis x interspécifique cv. Albignan</t>
  </si>
  <si>
    <t>Vitis x interspécifique cv. Alicante Ganzin</t>
  </si>
  <si>
    <t>Vitis x interspécifique cv. Alicante Terras 20</t>
  </si>
  <si>
    <t>Vitis x interspécifique cv. Amandin</t>
  </si>
  <si>
    <t>Vitis x interspécifique cv. Ambror = Seibel 10173</t>
  </si>
  <si>
    <t>Vitis x interspécifique cv. Aramond du Gard = Seibel 2007</t>
  </si>
  <si>
    <t>Vitis x interspécifique cv. Aramon-Rupestris Ganzin 1</t>
  </si>
  <si>
    <t>Vitis x interspécifique cv. Aramon-Rupestris Ganzin 2</t>
  </si>
  <si>
    <t>Vitis x interspécifique cv. Aramon-Rupestris Ganzin 9</t>
  </si>
  <si>
    <t>Vitis x interspécifique cv. Arboras = Galibert 22-5</t>
  </si>
  <si>
    <t>Vitis x interspécifique cv. Arnaud Fabre 3</t>
  </si>
  <si>
    <t>Vitis x interspécifique cv. Arnold 3401</t>
  </si>
  <si>
    <t>Vitis x interspécifique cv. Aspignan noir n° 1 = Galibert 239-35</t>
  </si>
  <si>
    <t>Vitis x interspécifique cv. Aspignan noir n°2 = Galibert 239-36</t>
  </si>
  <si>
    <t>Vitis x interspécifique cv. Aspignan n°1 = Galibert 239-34</t>
  </si>
  <si>
    <t>Vitis x interspécifique cv. Aurore = Seibel 5279</t>
  </si>
  <si>
    <t>Vitis x interspécifique cv. B Maclet</t>
  </si>
  <si>
    <t>Vitis x interspécifique cv. Baco blanc = Baco 22 A</t>
  </si>
  <si>
    <t>Vitis x interspécifique cv. Baco Noir = Baco 1</t>
  </si>
  <si>
    <t>Vitis x interspécifique cv. Baco 23 A</t>
  </si>
  <si>
    <t>Vitis x interspécifique cv. Baco 9-11</t>
  </si>
  <si>
    <t>Vitis x interspécifique cv. Beaujolais x 23657 S.V. n°1</t>
  </si>
  <si>
    <t>Vitis x interspécifique cv. Beaujolais x 23657 S.V. n°10</t>
  </si>
  <si>
    <t>Vitis x interspécifique cv. Beaujolais x 23657 S.V. n°11</t>
  </si>
  <si>
    <t>Vitis x interspécifique cv. Beaujolais x 23657 S.V. n°12</t>
  </si>
  <si>
    <t>Vitis x interspécifique cv. Beaujolais x 23657 S.V. n°13</t>
  </si>
  <si>
    <t>Vitis x interspécifique cv. Beaujolais x 23657 S.V. n°14</t>
  </si>
  <si>
    <t>Vitis x interspécifique cv. Beaujolais x 23657 S.V. n°15</t>
  </si>
  <si>
    <t>Vitis x interspécifique cv. Beaujolais x 23657 S.V. n°16</t>
  </si>
  <si>
    <t>Vitis x interspécifique cv. Beaujolais x 23657 S.V. n°17</t>
  </si>
  <si>
    <t>Vitis x interspécifique cv. Beaujolais x 23657 S.V. n°18</t>
  </si>
  <si>
    <t>Vitis x interspécifique cv. Beaujolais x 23657 S.V. n°2</t>
  </si>
  <si>
    <t>Vitis x interspécifique cv. Beaujolais x 23657 S.V. n°3</t>
  </si>
  <si>
    <t>Vitis x interspécifique cv. Beaujolais x 23657 S.V. n°4</t>
  </si>
  <si>
    <t>Vitis x interspécifique cv. Beaujolais x 23657 S.V. n°5</t>
  </si>
  <si>
    <t>Vitis x interspécifique cv. Beaujolais x 23657 S.V. n°6</t>
  </si>
  <si>
    <t>Vitis x interspécifique cv. Beaujolais x 23657 S.V. n°7</t>
  </si>
  <si>
    <t>Vitis x interspécifique cv. Beaujolais x 23657 S.V. n°8</t>
  </si>
  <si>
    <t>Vitis x interspécifique cv. Beaujolais x 23657 S.V. n°9</t>
  </si>
  <si>
    <t>Vitis x interspécifique cv. Bel Castel = Castel 13706</t>
  </si>
  <si>
    <t>Vitis x interspécifique cv. Bellandais = Seibel 14596</t>
  </si>
  <si>
    <t>Vitis x interspécifique cv. Bénédiction de Pecs</t>
  </si>
  <si>
    <t>Vitis x interspécifique cv. berlandieri x ?</t>
  </si>
  <si>
    <t>Vitis x interspécifique cv. Berlandieri-Colombard 1 A</t>
  </si>
  <si>
    <t>Vitis x interspécifique cv. Berlandieri-Colombard 1 B</t>
  </si>
  <si>
    <t>Vitis x interspécifique cv. Berlandieri-Colombard 2 = BC 2</t>
  </si>
  <si>
    <t>Vitis x interspécifique cv. Berlandieri-Colombard 3</t>
  </si>
  <si>
    <t>Vitis x interspécifique cv. Bertille Seyve 1125</t>
  </si>
  <si>
    <t>Vitis x interspécifique cv. Bertille Seyve 1127</t>
  </si>
  <si>
    <t>Vitis x interspécifique cv. Bertille Seyve 1129</t>
  </si>
  <si>
    <t>Vitis x interspécifique cv. Bertille Seyve 1134</t>
  </si>
  <si>
    <t>Vitis x interspécifique cv. Bertille Seyve 1353</t>
  </si>
  <si>
    <t>Vitis x interspécifique cv. Bertille Seyve 1372</t>
  </si>
  <si>
    <t>Vitis x interspécifique cv. Bertille Seyve 1516</t>
  </si>
  <si>
    <t>Vitis x interspécifique cv. Bertille Seyve 1522</t>
  </si>
  <si>
    <t>Vitis x interspécifique cv. Bertille Seyve 1523</t>
  </si>
  <si>
    <t>Vitis x interspécifique cv. Bertille Seyve 1630 faux</t>
  </si>
  <si>
    <t>Vitis x interspécifique cv. Bertille Seyve 1808</t>
  </si>
  <si>
    <t>Vitis x interspécifique cv. Bertille Seyve 1838</t>
  </si>
  <si>
    <t>Vitis x interspécifique cv. Bertille Seyve 2048</t>
  </si>
  <si>
    <t>Vitis x interspécifique cv. Bertille Seyve 2049</t>
  </si>
  <si>
    <t>Vitis x interspécifique cv. Bertille Seyve 2050</t>
  </si>
  <si>
    <t>Vitis x interspécifique cv. Bertille Seyve 2117</t>
  </si>
  <si>
    <t>Vitis x interspécifique cv. Bertille Seyve 2179</t>
  </si>
  <si>
    <t>Vitis x interspécifique cv. Bertille Seyve 2240</t>
  </si>
  <si>
    <t>Vitis x interspécifique cv. Bertille Seyve 2381</t>
  </si>
  <si>
    <t>Vitis x interspécifique cv. Bertille Seyve 2400</t>
  </si>
  <si>
    <t>Vitis x interspécifique cv. Bertille Seyve 2409</t>
  </si>
  <si>
    <t>Vitis x interspécifique cv. Bertille Seyve 2475</t>
  </si>
  <si>
    <t>Vitis x interspécifique cv. Bertille Seyve 2491</t>
  </si>
  <si>
    <t>Vitis x interspécifique cv. Bertille Seyve 2499</t>
  </si>
  <si>
    <t>Vitis x interspécifique cv. Bertille Seyve 2502</t>
  </si>
  <si>
    <t>Vitis x interspécifique cv. Bertille Seyve 2508</t>
  </si>
  <si>
    <t>Vitis x interspécifique cv. Bertille Seyve 2533</t>
  </si>
  <si>
    <t>Vitis x interspécifique cv. Bertille Seyve 2578</t>
  </si>
  <si>
    <t>Vitis x interspécifique cv. Bertille Seyve 2603</t>
  </si>
  <si>
    <t>Vitis x interspécifique cv. Bertille Seyve 2758</t>
  </si>
  <si>
    <t>Vitis x interspécifique cv. Bertille Seyve 2760</t>
  </si>
  <si>
    <t>Vitis x interspécifique cv. Bertille Seyve 2833</t>
  </si>
  <si>
    <t>Vitis x interspécifique cv. Bertille Seyve 2845</t>
  </si>
  <si>
    <t>Vitis x interspécifique cv. Bertille Seyve 2846</t>
  </si>
  <si>
    <t>Vitis x interspécifique cv. Bertille Seyve 3027</t>
  </si>
  <si>
    <t>Vitis x interspécifique cv. Bertille Seyve 3064</t>
  </si>
  <si>
    <t>Vitis x interspécifique cv. Bertille Seyve 3072</t>
  </si>
  <si>
    <t>Vitis x interspécifique cv. Bertille Seyve 3101</t>
  </si>
  <si>
    <t>Vitis x interspécifique cv. Bertille Seyve 3114</t>
  </si>
  <si>
    <t>Vitis x interspécifique cv. Bertille Seyve 3118</t>
  </si>
  <si>
    <t>Vitis x interspécifique cv. Bertille Seyve 3144</t>
  </si>
  <si>
    <t>Vitis x interspécifique cv. Bertille Seyve 3246</t>
  </si>
  <si>
    <t>Vitis x interspécifique cv. Bertille Seyve 3310</t>
  </si>
  <si>
    <t>Vitis x interspécifique cv. Bertille Seyve 3408</t>
  </si>
  <si>
    <t>Vitis x interspécifique cv. Bertille Seyve 3411</t>
  </si>
  <si>
    <t>Vitis x interspécifique cv. Bertille Seyve 3434</t>
  </si>
  <si>
    <t>Vitis x interspécifique cv. Bertille Seyve 3585</t>
  </si>
  <si>
    <t>Vitis x interspécifique cv. Bertille Seyve 3600</t>
  </si>
  <si>
    <t>Vitis x interspécifique cv. Bertille Seyve 4127</t>
  </si>
  <si>
    <t>Vitis x interspécifique cv. Bertille Seyve 413</t>
  </si>
  <si>
    <t>Vitis x interspécifique cv. Bertille Seyve 4176</t>
  </si>
  <si>
    <t>Vitis x interspécifique cv. Bertille Seyve 4201</t>
  </si>
  <si>
    <t>Vitis x interspécifique cv. Bertille Seyve 433</t>
  </si>
  <si>
    <t>Vitis x interspécifique cv. Bertille Seyve 450</t>
  </si>
  <si>
    <t>Vitis x interspécifique cv. Bertille Seyve 453</t>
  </si>
  <si>
    <t>Vitis x interspécifique cv. Bertille Seyve 460</t>
  </si>
  <si>
    <t>Vitis x interspécifique cv. Bertille Seyve 4825</t>
  </si>
  <si>
    <t>Vitis x interspécifique cv. Bertille Seyve 618</t>
  </si>
  <si>
    <t>Vitis x interspécifique cv. Bertille Seyve 6264</t>
  </si>
  <si>
    <t>Vitis x interspécifique cv. Bertille Seyve 6283</t>
  </si>
  <si>
    <t>Vitis x interspécifique cv. Bertille Seyve 822</t>
  </si>
  <si>
    <t>Vitis x interspécifique cv. Bertille Seyve 872</t>
  </si>
  <si>
    <t>Vitis x interspécifique cv. Bertille Seyve 893</t>
  </si>
  <si>
    <t>Vitis x interspécifique cv. Beta grape de Chaunac = Beta</t>
  </si>
  <si>
    <t>Vitis x interspécifique cv. Beyer 2</t>
  </si>
  <si>
    <t>Vitis x interspécifique cv. Black Queen</t>
  </si>
  <si>
    <t>Vitis x interspécifique cv. Blanche musquée = Galibert 256-73</t>
  </si>
  <si>
    <t>Vitis x interspécifique cv. Bogni 15</t>
  </si>
  <si>
    <t>Vitis x interspécifique cv. Bon Laurent = Kühlmann 267-1</t>
  </si>
  <si>
    <t>Vitis x interspécifique cv. Bon noir = Kühlmann 278-2</t>
  </si>
  <si>
    <t>Vitis x interspécifique cv. Bouchalès x 18315 S.V. n°30</t>
  </si>
  <si>
    <t>Vitis x interspécifique cv. Boujannoir = Galibert 6-1</t>
  </si>
  <si>
    <t>Vitis x interspécifique cv. Breider 19975</t>
  </si>
  <si>
    <t>Vitis x interspécifique cv. Brémont</t>
  </si>
  <si>
    <t>Vitis x interspécifique cv. Bronner = FR 250-75</t>
  </si>
  <si>
    <t>Vitis x interspécifique cv. Bronx seedless</t>
  </si>
  <si>
    <t>Vitis x interspécifique cv. Burdin 10010</t>
  </si>
  <si>
    <t>Vitis x interspécifique cv. Burdin 1582</t>
  </si>
  <si>
    <t>Vitis x interspécifique cv. Burdin 1585</t>
  </si>
  <si>
    <t>Vitis x interspécifique cv. Burdin 1605</t>
  </si>
  <si>
    <t>Vitis x interspécifique cv. Burdin 4077</t>
  </si>
  <si>
    <t>Vitis x interspécifique cv. Burdin 4502</t>
  </si>
  <si>
    <t>Vitis x interspécifique cv. Burdin 4503</t>
  </si>
  <si>
    <t>Vitis x interspécifique cv. Burdin 4560</t>
  </si>
  <si>
    <t>Vitis x interspécifique cv. Burdin 4582</t>
  </si>
  <si>
    <t>Vitis x interspécifique cv. Burdin 4601</t>
  </si>
  <si>
    <t>Vitis x interspécifique cv. Burdin 4650</t>
  </si>
  <si>
    <t>Vitis x interspécifique cv. Burdin 4655</t>
  </si>
  <si>
    <t>Vitis x interspécifique cv. Burdin 4672</t>
  </si>
  <si>
    <t>Vitis x interspécifique cv. Burdin 4687</t>
  </si>
  <si>
    <t>Vitis x interspécifique cv. Burdin 4695</t>
  </si>
  <si>
    <t>Vitis x interspécifique cv. Burdin 4716</t>
  </si>
  <si>
    <t>Vitis x interspécifique cv. Burdin 4795</t>
  </si>
  <si>
    <t>Vitis x interspécifique cv. Burdin 4855</t>
  </si>
  <si>
    <t>Vitis x interspécifique cv. Burdin 5201</t>
  </si>
  <si>
    <t>Vitis x interspécifique cv. Burdin 5400</t>
  </si>
  <si>
    <t>Vitis x interspécifique cv. Burdin 5406</t>
  </si>
  <si>
    <t>Vitis x interspécifique cv. Burdin 5440</t>
  </si>
  <si>
    <t>Vitis x interspécifique cv. Burdin 5535</t>
  </si>
  <si>
    <t>Vitis x interspécifique cv. Burdin 5539</t>
  </si>
  <si>
    <t>Vitis x interspécifique cv. Burdin 5540</t>
  </si>
  <si>
    <t>Vitis x interspécifique cv. Burdin 5580</t>
  </si>
  <si>
    <t>Vitis x interspécifique cv. Burdin 5581</t>
  </si>
  <si>
    <t>Vitis x interspécifique cv. Burdin 5620</t>
  </si>
  <si>
    <t>Vitis x interspécifique cv. Burdin 5833</t>
  </si>
  <si>
    <t>Vitis x interspécifique cv. Burdin 5894</t>
  </si>
  <si>
    <t>Vitis x interspécifique cv. Burdin 5957</t>
  </si>
  <si>
    <t>Vitis x interspécifique cv. Burdin 5960</t>
  </si>
  <si>
    <t>Vitis x interspécifique cv. Burdin 5963</t>
  </si>
  <si>
    <t>Vitis x interspécifique cv. Burdin 5984</t>
  </si>
  <si>
    <t>Vitis x interspécifique cv. Burdin 6004</t>
  </si>
  <si>
    <t>Vitis x interspécifique cv. Burdin 6055</t>
  </si>
  <si>
    <t>Vitis x interspécifique cv. Burdin 6154</t>
  </si>
  <si>
    <t>Vitis x interspécifique cv. Burdin 6189</t>
  </si>
  <si>
    <t>Vitis x interspécifique cv. Burdin 6205</t>
  </si>
  <si>
    <t>Vitis x interspécifique cv. Burdin 6316</t>
  </si>
  <si>
    <t>Vitis x interspécifique cv. Burdin 6422</t>
  </si>
  <si>
    <t>Vitis x interspécifique cv. Burdin 6541</t>
  </si>
  <si>
    <t>Vitis x interspécifique cv. Burdin 6621</t>
  </si>
  <si>
    <t>Vitis x interspécifique cv. Burdin 7037</t>
  </si>
  <si>
    <t>Vitis x interspécifique cv. Burdin 7044</t>
  </si>
  <si>
    <t>Vitis x interspécifique cv. Burdin 7061</t>
  </si>
  <si>
    <t>Vitis x interspécifique cv. Burdin 7187</t>
  </si>
  <si>
    <t>Vitis x interspécifique cv. Burdin 7194</t>
  </si>
  <si>
    <t>Vitis x interspécifique cv. Burdin 7200</t>
  </si>
  <si>
    <t>Vitis x interspécifique cv. Burdin 7206</t>
  </si>
  <si>
    <t>Vitis x interspécifique cv. Burdin 7215</t>
  </si>
  <si>
    <t>Vitis x interspécifique cv. Burdin 7216</t>
  </si>
  <si>
    <t>Vitis x interspécifique cv. Burdin 7334</t>
  </si>
  <si>
    <t>Vitis x interspécifique cv. Burdin 7352</t>
  </si>
  <si>
    <t>Vitis x interspécifique cv. Burdin 7353</t>
  </si>
  <si>
    <t>Vitis x interspécifique cv. Burdin 7357</t>
  </si>
  <si>
    <t>Vitis x interspécifique cv. Burdin 7358</t>
  </si>
  <si>
    <t>Vitis x interspécifique cv. Burdin 7360</t>
  </si>
  <si>
    <t>Vitis x interspécifique cv. Burdin 7365</t>
  </si>
  <si>
    <t>Vitis x interspécifique cv. Burdin 7368</t>
  </si>
  <si>
    <t>Vitis x interspécifique cv. Burdin 7369</t>
  </si>
  <si>
    <t>Vitis x interspécifique cv. Burdin 7371</t>
  </si>
  <si>
    <t>Vitis x interspécifique cv. Burdin 7374</t>
  </si>
  <si>
    <t>Vitis x interspécifique cv. Burdin 7375</t>
  </si>
  <si>
    <t>Vitis x interspécifique cv. Burdin 7380</t>
  </si>
  <si>
    <t>Vitis x interspécifique cv. Burdin 7405</t>
  </si>
  <si>
    <t>Vitis x interspécifique cv. Burdin 7468</t>
  </si>
  <si>
    <t>Vitis x interspécifique cv. Burdin 7510</t>
  </si>
  <si>
    <t>Vitis x interspécifique cv. Burdin 7515</t>
  </si>
  <si>
    <t>Vitis x interspécifique cv. Burdin 7582</t>
  </si>
  <si>
    <t>Vitis x interspécifique cv. Burdin 7595</t>
  </si>
  <si>
    <t>Vitis x interspécifique cv. Burdin 7618</t>
  </si>
  <si>
    <t>Vitis x interspécifique cv. Burdin 7638</t>
  </si>
  <si>
    <t>Vitis x interspécifique cv. Burdin 7648</t>
  </si>
  <si>
    <t>Vitis x interspécifique cv. Burdin 7696</t>
  </si>
  <si>
    <t>Vitis x interspécifique cv. Burdin 8649</t>
  </si>
  <si>
    <t>Vitis x interspécifique cv. Burdin 8796</t>
  </si>
  <si>
    <t>Vitis x interspécifique cv. Burdin 8811</t>
  </si>
  <si>
    <t>Vitis x interspécifique cv. Burdin 9010</t>
  </si>
  <si>
    <t>Vitis x interspécifique cv. C 26 Maclet</t>
  </si>
  <si>
    <t>Vitis x interspécifique cv. C 49 Maclet</t>
  </si>
  <si>
    <t>Vitis x interspécifique cv. C 69 Maclet</t>
  </si>
  <si>
    <t>Vitis x interspécifique cv. C 86 Maclet</t>
  </si>
  <si>
    <t>Vitis x interspécifique cv. C 98 Maclet</t>
  </si>
  <si>
    <t>Vitis x interspécifique cv. Cadamon 1</t>
  </si>
  <si>
    <t>Vitis x interspécifique cv. Cadamon 1 = Galibert 133-6</t>
  </si>
  <si>
    <t>Vitis x interspécifique cv. Cadamon 2 = Galibert 201-5</t>
  </si>
  <si>
    <t>Vitis x interspécifique cv. Cadillon doré = Galibert 261-13</t>
  </si>
  <si>
    <t>Vitis x interspécifique cv. Cadillon tardif = Galibert 261-12</t>
  </si>
  <si>
    <t>Vitis x interspécifique cv. Cadougnan blanc = Galibert 217-36</t>
  </si>
  <si>
    <t>Vitis x interspécifique cv. Cadougnan noir n° 2 = Galibert 217-33</t>
  </si>
  <si>
    <t>Vitis x interspécifique cv. Cadoulas n°1 = Galibert 207-86</t>
  </si>
  <si>
    <t>Vitis x interspécifique cv. Cadoulas n°2 = Galibert 114-14</t>
  </si>
  <si>
    <t>Vitis x interspécifique cv. Cadoulenc n°3 = Galibert 239-92</t>
  </si>
  <si>
    <t>Vitis x interspécifique cv. Cadoulenc 2</t>
  </si>
  <si>
    <t>Vitis x interspécifique cv. Caille 16</t>
  </si>
  <si>
    <t>Vitis x interspécifique cv. Caille 78</t>
  </si>
  <si>
    <t>Vitis x interspécifique cv. Calignon 2</t>
  </si>
  <si>
    <t>Vitis x interspécifique cv. Camirane blanche = Fourquier 16-45</t>
  </si>
  <si>
    <t>Vitis x interspécifique cv. Camirane rose = Fourquier 5-45</t>
  </si>
  <si>
    <t>Vitis x interspécifique cv. Candin</t>
  </si>
  <si>
    <t>Vitis x interspécifique cv. Carubis = Galibert 21-1</t>
  </si>
  <si>
    <t>Vitis x interspécifique cv. Cassady</t>
  </si>
  <si>
    <t>Vitis x interspécifique cv. Castel 120</t>
  </si>
  <si>
    <t>Vitis x interspécifique cv. Castel 121</t>
  </si>
  <si>
    <t>Vitis x interspécifique cv. Castel 12412</t>
  </si>
  <si>
    <t>Vitis x interspécifique cv. Castel 12827</t>
  </si>
  <si>
    <t>Vitis x interspécifique cv. Castel 12916</t>
  </si>
  <si>
    <t>Vitis x interspécifique cv. Castel 18311</t>
  </si>
  <si>
    <t>Vitis x interspécifique cv. Castel 1832</t>
  </si>
  <si>
    <t>Vitis x interspécifique cv. Castel 188-04</t>
  </si>
  <si>
    <t>Vitis x interspécifique cv. Castel 188-08</t>
  </si>
  <si>
    <t>Vitis x interspécifique cv. Castel 188-15</t>
  </si>
  <si>
    <t>Vitis x interspécifique cv. Castel 19637</t>
  </si>
  <si>
    <t>Vitis x interspécifique cv. Castel 20029</t>
  </si>
  <si>
    <t>Vitis x interspécifique cv. Castel 20031</t>
  </si>
  <si>
    <t>Vitis x interspécifique cv. Castel 20035</t>
  </si>
  <si>
    <t>Vitis x interspécifique cv. Castel 20410</t>
  </si>
  <si>
    <t>Vitis x interspécifique cv. Castel 20415</t>
  </si>
  <si>
    <t>Vitis x interspécifique cv. Castel 20418</t>
  </si>
  <si>
    <t>Vitis x interspécifique cv. Castel 215-1</t>
  </si>
  <si>
    <t>Vitis x interspécifique cv. Castel 227-1</t>
  </si>
  <si>
    <t>Vitis x interspécifique cv. Castel 3431</t>
  </si>
  <si>
    <t>Vitis x interspécifique cv. Castel 4337</t>
  </si>
  <si>
    <t>Vitis x interspécifique cv. Castel 4515</t>
  </si>
  <si>
    <t>Vitis x interspécifique cv. Castel 4639</t>
  </si>
  <si>
    <t>Vitis x interspécifique cv. Castel 6011</t>
  </si>
  <si>
    <t>Vitis x interspécifique cv. Castel 6021</t>
  </si>
  <si>
    <t>Vitis x interspécifique cv. Castel 6831</t>
  </si>
  <si>
    <t>Vitis x interspécifique cv. Castel 7229</t>
  </si>
  <si>
    <t>Vitis x interspécifique cv. Castel 7501</t>
  </si>
  <si>
    <t>Vitis x interspécifique cv. Castel 7605</t>
  </si>
  <si>
    <t>Vitis x interspécifique cv. Chambaudière 113</t>
  </si>
  <si>
    <t>Vitis x interspécifique cv. Chambaudière 1330</t>
  </si>
  <si>
    <t>Vitis x interspécifique cv. Chambaudière 1336</t>
  </si>
  <si>
    <t>Vitis x interspécifique cv. Chambaudière 1337</t>
  </si>
  <si>
    <t>Vitis x interspécifique cv. Chambaudière 1349</t>
  </si>
  <si>
    <t>Vitis x interspécifique cv. Chambaudière 1375</t>
  </si>
  <si>
    <t>Vitis x interspécifique cv. Chambaudière 1391</t>
  </si>
  <si>
    <t>Vitis x interspécifique cv. Chambaudière 426</t>
  </si>
  <si>
    <t>Vitis x interspécifique cv. Chambaudière 442</t>
  </si>
  <si>
    <t>Vitis x interspécifique cv. Chambaudière 540</t>
  </si>
  <si>
    <t>Vitis x interspécifique cv. Chambourcin = Joannès Seyve 26205</t>
  </si>
  <si>
    <t>Vitis x interspécifique cv. Chancellor = Seibel 7053</t>
  </si>
  <si>
    <t>Vitis x interspécifique cv. Chasselas Baco = Baco 7 A</t>
  </si>
  <si>
    <t>Vitis x interspécifique cv. Chazalon</t>
  </si>
  <si>
    <t>Vitis x interspécifique cv. Chelois = Seibel 10878</t>
  </si>
  <si>
    <t>Vitis x interspécifique cv. Chenivesse</t>
  </si>
  <si>
    <t>Vitis x interspécifique cv. Chevalier 3401</t>
  </si>
  <si>
    <t>Vitis x interspécifique cv. Chevalier 4002</t>
  </si>
  <si>
    <t>Vitis x interspécifique cv. cinerea x davidii</t>
  </si>
  <si>
    <t>Vitis x interspécifique cv. Claire Kühlmann = Kühlmann 477-1</t>
  </si>
  <si>
    <t>Vitis x interspécifique cv. Clairette dorée Ganzin</t>
  </si>
  <si>
    <t>Vitis x interspécifique cv. Clairette résistante</t>
  </si>
  <si>
    <t>Vitis x interspécifique cv. Clinton = Kilianstraube</t>
  </si>
  <si>
    <t>Vitis x interspécifique cv. Colobel = Seibel 8357</t>
  </si>
  <si>
    <t>Vitis x interspécifique cv. coriacea x cinerea</t>
  </si>
  <si>
    <t>Vitis x interspécifique cv. Cosmo 10</t>
  </si>
  <si>
    <t>Vitis x interspécifique cv. Cosmo 2</t>
  </si>
  <si>
    <t>Vitis x interspécifique cv. Couderc noir = Couderc 7120</t>
  </si>
  <si>
    <t>Vitis x interspécifique cv. Couderc 1</t>
  </si>
  <si>
    <t>Vitis x interspécifique cv. Couderc 10</t>
  </si>
  <si>
    <t>Vitis x interspécifique cv. Couderc 101</t>
  </si>
  <si>
    <t>Vitis x interspécifique cv. Couderc 102-5 ter</t>
  </si>
  <si>
    <t>Vitis x interspécifique cv. Couderc 106-46</t>
  </si>
  <si>
    <t>Vitis x interspécifique cv. Couderc 106-51</t>
  </si>
  <si>
    <t>Vitis x interspécifique cv. Couderc 109-4</t>
  </si>
  <si>
    <t>Vitis x interspécifique cv. Couderc 11</t>
  </si>
  <si>
    <t>Vitis x interspécifique cv. Couderc 117-3</t>
  </si>
  <si>
    <t>Vitis x interspécifique cv. Couderc 117-4</t>
  </si>
  <si>
    <t>Vitis x interspécifique cv. Couderc 119</t>
  </si>
  <si>
    <t>Vitis x interspécifique cv. Couderc 12</t>
  </si>
  <si>
    <t>Vitis x interspécifique cv. Couderc 1202</t>
  </si>
  <si>
    <t>Vitis x interspécifique cv. Couderc 124-12</t>
  </si>
  <si>
    <t>Vitis x interspécifique cv. Couderc 126-8</t>
  </si>
  <si>
    <t>Vitis x interspécifique cv. Couderc 128-29 = N 6-53</t>
  </si>
  <si>
    <t>Vitis x interspécifique cv. Couderc 13</t>
  </si>
  <si>
    <t>Vitis x interspécifique cv. Couderc 1305</t>
  </si>
  <si>
    <t>Vitis x interspécifique cv. Couderc 13-11</t>
  </si>
  <si>
    <t>Vitis x interspécifique cv. Couderc 132</t>
  </si>
  <si>
    <t>Vitis x interspécifique cv. Couderc 13-205 ou 132-5</t>
  </si>
  <si>
    <t>Vitis x interspécifique cv. Couderc 136-4</t>
  </si>
  <si>
    <t>Vitis x interspécifique cv. Couderc 14</t>
  </si>
  <si>
    <t>Vitis x interspécifique cv. Couderc 1401</t>
  </si>
  <si>
    <t>Vitis x interspécifique cv. Couderc 146-51</t>
  </si>
  <si>
    <t>Vitis x interspécifique cv. Couderc 15</t>
  </si>
  <si>
    <t>Vitis x interspécifique cv. Couderc 157-11</t>
  </si>
  <si>
    <t>Vitis x interspécifique cv. Couderc 157-21</t>
  </si>
  <si>
    <t>Vitis x interspécifique cv. Couderc 16</t>
  </si>
  <si>
    <t>Vitis x interspécifique cv. Couderc 1613</t>
  </si>
  <si>
    <t>Vitis x interspécifique cv. Couderc 1615</t>
  </si>
  <si>
    <t>Vitis x interspécifique cv. Couderc 1616 (Colmar 1984)</t>
  </si>
  <si>
    <t>Vitis x interspécifique cv. Couderc 1616 Davy (pubescent)</t>
  </si>
  <si>
    <t>Vitis x interspécifique cv. Couderc 1616 E</t>
  </si>
  <si>
    <t>Vitis x interspécifique cv. Couderc 162</t>
  </si>
  <si>
    <t>Vitis x interspécifique cv. Couderc 162-46</t>
  </si>
  <si>
    <t>Vitis x interspécifique cv. Couderc 162-5</t>
  </si>
  <si>
    <t>Vitis x interspécifique cv. Couderc 162-97</t>
  </si>
  <si>
    <t>Vitis x interspécifique cv. Couderc 17</t>
  </si>
  <si>
    <t>Vitis x interspécifique cv. Couderc 175</t>
  </si>
  <si>
    <t>Vitis x interspécifique cv. Couderc 18</t>
  </si>
  <si>
    <t>Vitis x interspécifique cv. Couderc 19 = 299-35</t>
  </si>
  <si>
    <t>Vitis x interspécifique cv. Couderc 197-94</t>
  </si>
  <si>
    <t>Vitis x interspécifique cv. Couderc 198-21</t>
  </si>
  <si>
    <t>Vitis x interspécifique cv. Couderc 198-89</t>
  </si>
  <si>
    <t>Vitis x interspécifique cv. Couderc 199-88</t>
  </si>
  <si>
    <t>Vitis x interspécifique cv. Couderc 2</t>
  </si>
  <si>
    <t>Vitis x interspécifique cv. Couderc 20</t>
  </si>
  <si>
    <t>Vitis x interspécifique cv. Couderc 201</t>
  </si>
  <si>
    <t>Vitis x interspécifique cv. Couderc 202-137</t>
  </si>
  <si>
    <t>Vitis x interspécifique cv. Couderc 203-143</t>
  </si>
  <si>
    <t>Vitis x interspécifique cv. Couderc 21</t>
  </si>
  <si>
    <t>Vitis x interspécifique cv. Couderc 2-10 = 2 Baronne</t>
  </si>
  <si>
    <t>Vitis x interspécifique cv. Couderc 216-2</t>
  </si>
  <si>
    <t>Vitis x interspécifique cv. Couderc 22</t>
  </si>
  <si>
    <t>Vitis x interspécifique cv. Couderc 226-58</t>
  </si>
  <si>
    <t>Vitis x interspécifique cv. Couderc 23</t>
  </si>
  <si>
    <t>Vitis x interspécifique cv. Couderc 235-120</t>
  </si>
  <si>
    <t>Vitis x interspécifique cv. Couderc 24</t>
  </si>
  <si>
    <t>Vitis x interspécifique cv. Couderc 241-123</t>
  </si>
  <si>
    <t>Vitis x interspécifique cv. Couderc 241-125</t>
  </si>
  <si>
    <t>Vitis x interspécifique cv. Couderc 246-123</t>
  </si>
  <si>
    <t>Vitis x interspécifique cv. Couderc 25</t>
  </si>
  <si>
    <t>Vitis x interspécifique cv. Couderc 251-150</t>
  </si>
  <si>
    <t>Vitis x interspécifique cv. Couderc 251-50</t>
  </si>
  <si>
    <t>Vitis x interspécifique cv. Couderc 252-14</t>
  </si>
  <si>
    <t>Vitis x interspécifique cv. Couderc 252-15</t>
  </si>
  <si>
    <t>Vitis x interspécifique cv. Couderc 26</t>
  </si>
  <si>
    <t>Vitis x interspécifique cv. Couderc 261-50</t>
  </si>
  <si>
    <t>Vitis x interspécifique cv. Couderc 2627-11</t>
  </si>
  <si>
    <t>Vitis x interspécifique cv. Couderc 267-27</t>
  </si>
  <si>
    <t>Vitis x interspécifique cv. Couderc 272-60</t>
  </si>
  <si>
    <t>Vitis x interspécifique cv. Couderc 28-112</t>
  </si>
  <si>
    <t>Vitis x interspécifique cv. Couderc 286-68</t>
  </si>
  <si>
    <t>Vitis x interspécifique cv. Couderc 299-17</t>
  </si>
  <si>
    <t>Vitis x interspécifique cv. Couderc 299-35</t>
  </si>
  <si>
    <t>Vitis x interspécifique cv. Couderc 3</t>
  </si>
  <si>
    <t>Vitis x interspécifique cv. Couderc 302-60</t>
  </si>
  <si>
    <t>Vitis x interspécifique cv. Couderc 3304</t>
  </si>
  <si>
    <t>Vitis x interspécifique cv. Couderc 3306</t>
  </si>
  <si>
    <t>Vitis x interspécifique cv. Couderc 3307</t>
  </si>
  <si>
    <t>Vitis x interspécifique cv. Couderc 3310</t>
  </si>
  <si>
    <t>Vitis x interspécifique cv. Couderc 343-14</t>
  </si>
  <si>
    <t>Vitis x interspécifique cv. Couderc 3601</t>
  </si>
  <si>
    <t>Vitis x interspécifique cv. Couderc 3905</t>
  </si>
  <si>
    <t>Vitis x interspécifique cv. Couderc 3907</t>
  </si>
  <si>
    <t>Vitis x interspécifique cv. Couderc 4</t>
  </si>
  <si>
    <t>Vitis x interspécifique cv. Couderc 404</t>
  </si>
  <si>
    <t>Vitis x interspécifique cv. Couderc 4306</t>
  </si>
  <si>
    <t>Vitis x interspécifique cv. Couderc 4308</t>
  </si>
  <si>
    <t>Vitis x interspécifique cv. Couderc 5</t>
  </si>
  <si>
    <t>Vitis x interspécifique cv. Couderc 501</t>
  </si>
  <si>
    <t>Vitis x interspécifique cv. Couderc 503</t>
  </si>
  <si>
    <t>Vitis x interspécifique cv. Couderc 504</t>
  </si>
  <si>
    <t>Vitis x interspécifique cv. Couderc 5407</t>
  </si>
  <si>
    <t>Vitis x interspécifique cv. Couderc 548-1</t>
  </si>
  <si>
    <t>Vitis x interspécifique cv. Couderc 554-5</t>
  </si>
  <si>
    <t>Vitis x interspécifique cv. Couderc 6</t>
  </si>
  <si>
    <t>Vitis x interspécifique cv. Couderc 601</t>
  </si>
  <si>
    <t>Vitis x interspécifique cv. Couderc 602</t>
  </si>
  <si>
    <t>Vitis x interspécifique cv. Couderc 603</t>
  </si>
  <si>
    <t>Vitis x interspécifique cv. Couderc 62-66</t>
  </si>
  <si>
    <t>Vitis x interspécifique cv. Couderc 633 H</t>
  </si>
  <si>
    <t>Vitis x interspécifique cv. Couderc 7</t>
  </si>
  <si>
    <t>Vitis x interspécifique cv. Couderc 71-03</t>
  </si>
  <si>
    <t>Vitis x interspécifique cv. Couderc 71-04</t>
  </si>
  <si>
    <t>Vitis x interspécifique cv. Couderc 7106</t>
  </si>
  <si>
    <t>Vitis x interspécifique cv. Couderc 7160</t>
  </si>
  <si>
    <t>Vitis x interspécifique cv. Couderc 71-61 = Contassot 2</t>
  </si>
  <si>
    <t>Vitis x interspécifique cv. Couderc 7301</t>
  </si>
  <si>
    <t>Vitis x interspécifique cv. Couderc 7417</t>
  </si>
  <si>
    <t>Vitis x interspécifique cv. Couderc 7502</t>
  </si>
  <si>
    <t>Vitis x interspécifique cv. Couderc 8</t>
  </si>
  <si>
    <t>Vitis x interspécifique cv. Couderc 81-2</t>
  </si>
  <si>
    <t>Vitis x interspécifique cv. Couderc 82-12</t>
  </si>
  <si>
    <t>Vitis x interspécifique cv. Couderc 8232</t>
  </si>
  <si>
    <t>Vitis x interspécifique cv. Couderc 84-10</t>
  </si>
  <si>
    <t>Vitis x interspécifique cv. Couderc 84-61</t>
  </si>
  <si>
    <t>Vitis x interspécifique cv. Couderc 85-113</t>
  </si>
  <si>
    <t>Vitis x interspécifique cv. Couderc 87-83</t>
  </si>
  <si>
    <t>Vitis x interspécifique cv. Couderc 89-23</t>
  </si>
  <si>
    <t>Vitis x interspécifique cv. Couderc 9</t>
  </si>
  <si>
    <t>Vitis x interspécifique cv. Couderc 901</t>
  </si>
  <si>
    <t>Vitis x interspécifique cv. Couderc 90-38</t>
  </si>
  <si>
    <t>Vitis x interspécifique cv. Couderc 904</t>
  </si>
  <si>
    <t>Vitis x interspécifique cv. Couderc 93-5</t>
  </si>
  <si>
    <t>Vitis x interspécifique cv. Couderc 96-32</t>
  </si>
  <si>
    <t>Vitis x interspécifique cv. Couderc 98-76</t>
  </si>
  <si>
    <t>Vitis x interspécifique cv. Cournon = Galibert 22-4</t>
  </si>
  <si>
    <t>Vitis x interspécifique cv. D Maclet</t>
  </si>
  <si>
    <t>Vitis x interspécifique cv. Dattier de Saint-Vallier = Seyve-Villard 20-365</t>
  </si>
  <si>
    <t>Vitis x interspécifique cv. davidii x ?</t>
  </si>
  <si>
    <t>Vitis x interspécifique cv. De Chaunac = Seibel 9549</t>
  </si>
  <si>
    <t>Vitis x interspécifique cv. Delaware rose</t>
  </si>
  <si>
    <t>Vitis x interspécifique cv. Directeur Grosjean = Kühlmann 536-3</t>
  </si>
  <si>
    <t>Vitis x interspécifique cv. Docteur Decker-rebe</t>
  </si>
  <si>
    <t>Vitis x interspécifique cv. Dog Ridge</t>
  </si>
  <si>
    <t>Vitis x interspécifique cv. Dorette</t>
  </si>
  <si>
    <t>Vitis x interspécifique cv. Douriou = Baco 37-16</t>
  </si>
  <si>
    <t>Vitis x interspécifique cv. Doux noir = Galibert 294-33</t>
  </si>
  <si>
    <t>Vitis x interspécifique cv. Dufour 11 F</t>
  </si>
  <si>
    <t>Vitis x interspécifique cv. E 31 Maclet</t>
  </si>
  <si>
    <t>Vitis x interspécifique cv. E 46 Maclet</t>
  </si>
  <si>
    <t>Vitis x interspécifique cv. Edda Mussolini = Pirovano 78</t>
  </si>
  <si>
    <t>Vitis x interspécifique cv. Einset seedless</t>
  </si>
  <si>
    <t>Vitis x interspécifique cv. Elisabeth</t>
  </si>
  <si>
    <t>Vitis x interspécifique cv. Embanc n°2 = Galibert 113-20</t>
  </si>
  <si>
    <t>Vitis x interspécifique cv. Emblanc n°1 = Galibert 113-18</t>
  </si>
  <si>
    <t>Vitis x interspécifique cv. Emblanc n°3 = Galibert 113-32</t>
  </si>
  <si>
    <t>Vitis x interspécifique cv. Emblanc n°4 = Galibert 128-13</t>
  </si>
  <si>
    <t>Vitis x interspécifique cv. Emblanc n°5 = Galibert 152-26</t>
  </si>
  <si>
    <t>Vitis x interspécifique cv. Emblanc n°6 = Galibert 153-11</t>
  </si>
  <si>
    <t>Vitis x interspécifique cv. Emblanc n°7 = Galibert 154-20</t>
  </si>
  <si>
    <t>Vitis x interspécifique cv. Emblanc n°8 = Galibert 155-9</t>
  </si>
  <si>
    <t>Vitis x interspécifique cv. Emblanc n°9 = Galibert 162-3</t>
  </si>
  <si>
    <t>Vitis x interspécifique cv. Emon 1-23</t>
  </si>
  <si>
    <t>Vitis x interspécifique cv. Emon 19-20</t>
  </si>
  <si>
    <t>Vitis x interspécifique cv. Emon 2</t>
  </si>
  <si>
    <t>Vitis x interspécifique cv. Emon 2-5</t>
  </si>
  <si>
    <t>Vitis x interspécifique cv. Emon 9</t>
  </si>
  <si>
    <t>Vitis x interspécifique cv. Ennoir n°1 = Galibert 114-10</t>
  </si>
  <si>
    <t>Vitis x interspécifique cv. Ennoir n°2 = Galibert 152-24</t>
  </si>
  <si>
    <t>Vitis x interspécifique cv. Ennoir n°3 = Galibert 152-27</t>
  </si>
  <si>
    <t>Vitis x interspécifique cv. Ennoir n°4 = Galibert 155-3</t>
  </si>
  <si>
    <t>Vitis x interspécifique cv. Ennoir n°5 = Galibert 155-11</t>
  </si>
  <si>
    <t>Vitis x interspécifique cv. Ennoir n°6 = Galibert 155-14</t>
  </si>
  <si>
    <t>Vitis x interspécifique cv. Ennoir n°7 = Galibert 162-4</t>
  </si>
  <si>
    <t>Vitis x interspécifique cv. Ennoir n°8 = Galibert 166-18</t>
  </si>
  <si>
    <t>Vitis x interspécifique cv. Ennoir n°9 = Galibert 171-24</t>
  </si>
  <si>
    <t>Vitis x interspécifique cv. Estellat = Baco 30-12</t>
  </si>
  <si>
    <t>Vitis x interspécifique cv. Etoile 1 = Kühlmann 237-1</t>
  </si>
  <si>
    <t>Vitis x interspécifique cv. Etoile 2 = Kühlmann 237-2</t>
  </si>
  <si>
    <t>Vitis x interspécifique cv. Evex 13-3</t>
  </si>
  <si>
    <t>Vitis x interspécifique cv. Evex 13-5</t>
  </si>
  <si>
    <t>Vitis x interspécifique cv. Excelsior Guilly</t>
  </si>
  <si>
    <t>Vitis x interspécifique cv. Excelsior (Ricketts)</t>
  </si>
  <si>
    <t>Vitis x interspécifique cv. Farato Grimaldi</t>
  </si>
  <si>
    <t>Vitis x interspécifique cv. Fauconneau 1</t>
  </si>
  <si>
    <t>Vitis x interspécifique cv. Fauconneau 2</t>
  </si>
  <si>
    <t>Vitis x interspécifique cv. Fercal</t>
  </si>
  <si>
    <t>Vitis x interspécifique cv. Ferdinand de Lesseps</t>
  </si>
  <si>
    <t>Vitis x interspécifique cv. Fin blanc 1</t>
  </si>
  <si>
    <t>Vitis x interspécifique cv. Fin noir = Kühlmann 275-2</t>
  </si>
  <si>
    <t>Vitis x interspécifique cv. Fin noir 1</t>
  </si>
  <si>
    <t>Vitis x interspécifique cv. Fin noir 2</t>
  </si>
  <si>
    <t>Vitis x interspécifique cv. Florental = Burdin 7705</t>
  </si>
  <si>
    <t>Vitis x interspécifique cv. Flot d'Or = Seibel 2653</t>
  </si>
  <si>
    <t>Vitis x interspécifique cv. Flot rouge = Seibel 1020</t>
  </si>
  <si>
    <t>Vitis x interspécifique cv. Fontan</t>
  </si>
  <si>
    <t>Vitis x interspécifique cv. Fredonia</t>
  </si>
  <si>
    <t>Vitis x interspécifique cv. G 1 = Grézot 1</t>
  </si>
  <si>
    <t>Vitis x interspécifique cv. Gaillard 157</t>
  </si>
  <si>
    <t>Vitis x interspécifique cv. Gaillard 194</t>
  </si>
  <si>
    <t>Vitis x interspécifique cv. Gaillard 2</t>
  </si>
  <si>
    <t>Vitis x interspécifique cv. Galibert 114-12</t>
  </si>
  <si>
    <t>Vitis x interspécifique cv. Galibert 114-25</t>
  </si>
  <si>
    <t>Vitis x interspécifique cv. Galibert 115-18</t>
  </si>
  <si>
    <t>Vitis x interspécifique cv. Galibert 115-28</t>
  </si>
  <si>
    <t>Vitis x interspécifique cv. Galibert 14-2</t>
  </si>
  <si>
    <t>Vitis x interspécifique cv. Galibert 14-3</t>
  </si>
  <si>
    <t>Vitis x interspécifique cv. Galibert 14-4</t>
  </si>
  <si>
    <t>Vitis x interspécifique cv. Galibert 14-5</t>
  </si>
  <si>
    <t>Vitis x interspécifique cv. Galibert 201 F</t>
  </si>
  <si>
    <t>Vitis x interspécifique cv. Galibert 201 H</t>
  </si>
  <si>
    <t>Vitis x interspécifique cv. Galibert 201-8 = Inconnu</t>
  </si>
  <si>
    <t>Vitis x interspécifique cv. Galibert 20-2</t>
  </si>
  <si>
    <t>Vitis x interspécifique cv. Galibert 21-2</t>
  </si>
  <si>
    <t>Vitis x interspécifique cv. Galibert 25-2</t>
  </si>
  <si>
    <t>Vitis x interspécifique cv. Galibert 309</t>
  </si>
  <si>
    <t>Vitis x interspécifique cv. Galibert 315</t>
  </si>
  <si>
    <t>Vitis x interspécifique cv. Galibert 35-3</t>
  </si>
  <si>
    <t>Vitis x interspécifique cv. Galibert 403</t>
  </si>
  <si>
    <t>Vitis x interspécifique cv. Galibert 404</t>
  </si>
  <si>
    <t>Vitis x interspécifique cv. Galibert 408</t>
  </si>
  <si>
    <t>Vitis x interspécifique cv. Galibert 413</t>
  </si>
  <si>
    <t>Vitis x interspécifique cv. Galibert 414</t>
  </si>
  <si>
    <t>Vitis x interspécifique cv. Galibert 420</t>
  </si>
  <si>
    <t>Vitis x interspécifique cv. Galibert 42-1</t>
  </si>
  <si>
    <t>Vitis x interspécifique cv. Galibert 42-2</t>
  </si>
  <si>
    <t>Vitis x interspécifique cv. Galibert 42-3</t>
  </si>
  <si>
    <t>Vitis x interspécifique cv. Galicante blanc n°1 = Galibert 238-95</t>
  </si>
  <si>
    <t>Vitis x interspécifique cv. Galicante noir n°1 = Galibert 239-96</t>
  </si>
  <si>
    <t>Vitis x interspécifique cv. Galicoul noir = Galibert 238-35</t>
  </si>
  <si>
    <t>Vitis x interspécifique cv. Galignon n°2 = Galibert 264-34</t>
  </si>
  <si>
    <t>Vitis x interspécifique cv. Gamay Couderc = Couderc 3103</t>
  </si>
  <si>
    <t>Vitis x interspécifique cv. Garnier 15-6</t>
  </si>
  <si>
    <t>Vitis x interspécifique cv. Garonnet = Seyve-Villard 18-283</t>
  </si>
  <si>
    <t>Vitis x interspécifique cv. Gaulois 1</t>
  </si>
  <si>
    <t>Vitis x interspécifique cv. Gaulois 2</t>
  </si>
  <si>
    <t>Vitis x interspécifique cv. Geisenheim 26</t>
  </si>
  <si>
    <t>Vitis x interspécifique cv. Geisenheim 97</t>
  </si>
  <si>
    <t>Vitis x interspécifique cv. GfGa-47-42</t>
  </si>
  <si>
    <t>Vitis x interspécifique cv. Gigantesque Millardet de Grasset</t>
  </si>
  <si>
    <t>Vitis x interspécifique cv. Glenora</t>
  </si>
  <si>
    <t>Vitis x interspécifique cv. Golden Muscat</t>
  </si>
  <si>
    <t>Vitis x interspécifique cv. Golia = 1-37 Pirovano</t>
  </si>
  <si>
    <t>Vitis x interspécifique cv. Gradian noir = Galibert 23-2</t>
  </si>
  <si>
    <t>Vitis x interspécifique cv. Grand Noir de Cadoule = Galibert 115-22</t>
  </si>
  <si>
    <t>Vitis x interspécifique cv. Gravesac</t>
  </si>
  <si>
    <t>Vitis x interspécifique cv. Grimaldi 24-27</t>
  </si>
  <si>
    <t>Vitis x interspécifique cv. Grimaldi 444</t>
  </si>
  <si>
    <t>Vitis x interspécifique cv. Gros Cadillon = Galibert 261-11</t>
  </si>
  <si>
    <t>Vitis x interspécifique cv. Guillaume 35</t>
  </si>
  <si>
    <t>Vitis x interspécifique cv. Guillaume 4</t>
  </si>
  <si>
    <t>Vitis x interspécifique cv. Guillaume 6</t>
  </si>
  <si>
    <t>Vitis x interspécifique cv. Harmony</t>
  </si>
  <si>
    <t>Vitis x interspécifique cv. Hartford Prolific</t>
  </si>
  <si>
    <t>Vitis x interspécifique cv. Helios</t>
  </si>
  <si>
    <t>Vitis x interspécifique cv. Herbemont</t>
  </si>
  <si>
    <t>Vitis x interspécifique cv. Himrod</t>
  </si>
  <si>
    <t>Vitis x interspécifique cv. Humbert 3</t>
  </si>
  <si>
    <t>Vitis x interspécifique cv. Hybride Azemar</t>
  </si>
  <si>
    <t>Vitis x interspécifique cv. Hybride Boiziau</t>
  </si>
  <si>
    <t>Vitis x interspécifique cv. Hybride d'Allen</t>
  </si>
  <si>
    <t>Vitis x interspécifique cv. Hybride Fournier</t>
  </si>
  <si>
    <t>Vitis x interspécifique cv. Hybride Franc</t>
  </si>
  <si>
    <t>Vitis x interspécifique cv. Hybride Lacoste</t>
  </si>
  <si>
    <t>Vitis x interspécifique cv. Hybride Pully 1</t>
  </si>
  <si>
    <t>Vitis x interspécifique cv. Hybride Pully 7</t>
  </si>
  <si>
    <t>Vitis x interspécifique cv. Hybride Trinquier</t>
  </si>
  <si>
    <t>Vitis x interspécifique cv. INRA-Mtp-3186-1-87</t>
  </si>
  <si>
    <t>Vitis x interspécifique cv. Institut = Kühlmann 482-2</t>
  </si>
  <si>
    <t>Vitis x interspécifique cv. Jacquez</t>
  </si>
  <si>
    <t>Vitis x interspécifique cv. Jacquez d'Aurelles 1</t>
  </si>
  <si>
    <t>Vitis x interspécifique cv. Joannès Seyve 11369</t>
  </si>
  <si>
    <t>Vitis x interspécifique cv. Joannès Seyve 12426</t>
  </si>
  <si>
    <t>Vitis x interspécifique cv. Joannès Seyve 12428</t>
  </si>
  <si>
    <t>Vitis x interspécifique cv. Joannès Seyve 12448</t>
  </si>
  <si>
    <t>Vitis x interspécifique cv. Joannès Seyve 12462</t>
  </si>
  <si>
    <t>Vitis x interspécifique cv. Joannès Seyve 13733</t>
  </si>
  <si>
    <t>Vitis x interspécifique cv. Joannès Seyve 13756</t>
  </si>
  <si>
    <t>Vitis x interspécifique cv. Joannès Seyve 14924</t>
  </si>
  <si>
    <t>Vitis x interspécifique cv. Joannès Seyve 14928</t>
  </si>
  <si>
    <t>Vitis x interspécifique cv. Joannès Seyve 14982</t>
  </si>
  <si>
    <t>Vitis x interspécifique cv. Joannès Seyve 15874</t>
  </si>
  <si>
    <t>Vitis x interspécifique cv. Joannès Seyve 15875</t>
  </si>
  <si>
    <t>Vitis x interspécifique cv. Joannès Seyve 16150</t>
  </si>
  <si>
    <t>Vitis x interspécifique cv. Joannès Seyve 19103</t>
  </si>
  <si>
    <t>Vitis x interspécifique cv. Joannès Seyve 23275</t>
  </si>
  <si>
    <t>Vitis x interspécifique cv. Joannès Seyve 23284</t>
  </si>
  <si>
    <t>Vitis x interspécifique cv. Joannès Seyve 23298</t>
  </si>
  <si>
    <t>Vitis x interspécifique cv. Joannès Seyve 23416</t>
  </si>
  <si>
    <t>Vitis x interspécifique cv. Joannès Seyve 23545</t>
  </si>
  <si>
    <t>Vitis x interspécifique cv. Joannès Seyve 24298</t>
  </si>
  <si>
    <t>Vitis x interspécifique cv. Joannès Seyve 24397</t>
  </si>
  <si>
    <t>Vitis x interspécifique cv. Joannès Seyve 24398</t>
  </si>
  <si>
    <t>Vitis x interspécifique cv. Joannès Seyve 24399</t>
  </si>
  <si>
    <t>Vitis x interspécifique cv. Joannès Seyve 24408</t>
  </si>
  <si>
    <t>Vitis x interspécifique cv. Joannès Seyve 24444</t>
  </si>
  <si>
    <t>Vitis x interspécifique cv. Joannès Seyve 24610</t>
  </si>
  <si>
    <t>Vitis x interspécifique cv. Joannès Seyve 24614</t>
  </si>
  <si>
    <t>Vitis x interspécifique cv. Joannès Seyve 24651</t>
  </si>
  <si>
    <t>Vitis x interspécifique cv. Joannès Seyve 24967</t>
  </si>
  <si>
    <t>Vitis x interspécifique cv. Joannès Seyve 25444</t>
  </si>
  <si>
    <t>Vitis x interspécifique cv. Joannès Seyve 25555</t>
  </si>
  <si>
    <t>Vitis x interspécifique cv. Joannès Seyve 25874</t>
  </si>
  <si>
    <t>Vitis x interspécifique cv. Joannès Seyve 26130</t>
  </si>
  <si>
    <t>Vitis x interspécifique cv. Joannès Seyve 26470</t>
  </si>
  <si>
    <t>Vitis x interspécifique cv. Joannès Seyve 26480</t>
  </si>
  <si>
    <t>Vitis x interspécifique cv. Joannès Seyve 26482</t>
  </si>
  <si>
    <t>Vitis x interspécifique cv. Joannès Seyve 26487</t>
  </si>
  <si>
    <t>Vitis x interspécifique cv. Joannès Seyve 26490</t>
  </si>
  <si>
    <t>Vitis x interspécifique cv. Joannès Seyve 26620</t>
  </si>
  <si>
    <t>Vitis x interspécifique cv. Joannès Seyve 26627</t>
  </si>
  <si>
    <t>Vitis x interspécifique cv. Joannès Seyve 26649</t>
  </si>
  <si>
    <t>Vitis x interspécifique cv. Joannès Seyve 26651</t>
  </si>
  <si>
    <t>Vitis x interspécifique cv. Joannès Seyve 26654</t>
  </si>
  <si>
    <t>Vitis x interspécifique cv. Joannès Seyve 26674</t>
  </si>
  <si>
    <t>Vitis x interspécifique cv. Joannès Seyve 26724</t>
  </si>
  <si>
    <t>Vitis x interspécifique cv. Joannès Seyve 26790</t>
  </si>
  <si>
    <t>Vitis x interspécifique cv. Joannès Seyve 26855</t>
  </si>
  <si>
    <t>Vitis x interspécifique cv. Joannès Seyve 26924</t>
  </si>
  <si>
    <t>Vitis x interspécifique cv. Joannès Seyve 27350</t>
  </si>
  <si>
    <t>Vitis x interspécifique cv. Joannès Seyve 30158</t>
  </si>
  <si>
    <t>Vitis x interspécifique cv. Joannès Seyve 30286</t>
  </si>
  <si>
    <t>Vitis x interspécifique cv. Joannès Seyve 30555</t>
  </si>
  <si>
    <t>Vitis x interspécifique cv. Joannès Seyve 30641</t>
  </si>
  <si>
    <t>Vitis x interspécifique cv. Joannès Seyve 30662</t>
  </si>
  <si>
    <t>Vitis x interspécifique cv. Joannès Seyve 31132</t>
  </si>
  <si>
    <t>Vitis x interspécifique cv. Joannès Seyve 31392</t>
  </si>
  <si>
    <t>Vitis x interspécifique cv. Joannès Seyve 4825</t>
  </si>
  <si>
    <t>Vitis x interspécifique cv. Joannès Seyve 5563</t>
  </si>
  <si>
    <t>Vitis x interspécifique cv. Joannès Seyve 6264</t>
  </si>
  <si>
    <t>Vitis x interspécifique cv. Joannès Seyve 9149</t>
  </si>
  <si>
    <t>Vitis x interspécifique cv. Johanniter</t>
  </si>
  <si>
    <t>Vitis x interspécifique cv. Joussely 1</t>
  </si>
  <si>
    <t>Vitis x interspécifique cv. Joussely 2</t>
  </si>
  <si>
    <t>Vitis x interspécifique cv. Jurie 1975</t>
  </si>
  <si>
    <t>Vitis x interspécifique cv. Kühlmann 702 A faux</t>
  </si>
  <si>
    <t>Vitis x interspécifique cv. La Céline = Baco 12-12</t>
  </si>
  <si>
    <t>Vitis x interspécifique cv. La Madone = Couderc 4101</t>
  </si>
  <si>
    <t>Vitis x interspécifique cv. labrusca x ?</t>
  </si>
  <si>
    <t>Vitis x interspécifique cv. labrusca x vinifera</t>
  </si>
  <si>
    <t>Vitis x interspécifique cv. Laffourcade 15 V</t>
  </si>
  <si>
    <t>Vitis x interspécifique cv. Laffourcade 19</t>
  </si>
  <si>
    <t>Vitis x interspécifique cv. Laffourcade 26</t>
  </si>
  <si>
    <t>Vitis x interspécifique cv. Laffourcade 6</t>
  </si>
  <si>
    <t>Vitis x interspécifique cv. Landal = Landot 244</t>
  </si>
  <si>
    <t>Vitis x interspécifique cv. Landot 1233</t>
  </si>
  <si>
    <t>Vitis x interspécifique cv. Landot 1674</t>
  </si>
  <si>
    <t>Vitis x interspécifique cv. Landot 1678</t>
  </si>
  <si>
    <t>Vitis x interspécifique cv. Landot 1680</t>
  </si>
  <si>
    <t>Vitis x interspécifique cv. Landot 204</t>
  </si>
  <si>
    <t>Vitis x interspécifique cv. Landot 206</t>
  </si>
  <si>
    <t>Vitis x interspécifique cv. Landot 2281</t>
  </si>
  <si>
    <t>Vitis x interspécifique cv. Landot 2282</t>
  </si>
  <si>
    <t>Vitis x interspécifique cv. Landot 2283</t>
  </si>
  <si>
    <t>Vitis x interspécifique cv. Landot 2291</t>
  </si>
  <si>
    <t>Vitis x interspécifique cv. Landot 234</t>
  </si>
  <si>
    <t>Vitis x interspécifique cv. Landot 2380</t>
  </si>
  <si>
    <t>Vitis x interspécifique cv. Landot 240</t>
  </si>
  <si>
    <t>Vitis x interspécifique cv. Landot 2517</t>
  </si>
  <si>
    <t>Vitis x interspécifique cv. Landot 301</t>
  </si>
  <si>
    <t>Vitis x interspécifique cv. Landot 304</t>
  </si>
  <si>
    <t>Vitis x interspécifique cv. Landot 3381</t>
  </si>
  <si>
    <t>Vitis x interspécifique cv. Landot 3474</t>
  </si>
  <si>
    <t>Vitis x interspécifique cv. Landot 3518</t>
  </si>
  <si>
    <t>Vitis x interspécifique cv. Landot 3568</t>
  </si>
  <si>
    <t>Vitis x interspécifique cv. Landot 3901</t>
  </si>
  <si>
    <t>Vitis x interspécifique cv. Landot 4239</t>
  </si>
  <si>
    <t>Vitis x interspécifique cv. Landot 4411</t>
  </si>
  <si>
    <t>Vitis x interspécifique cv. Landot 4465</t>
  </si>
  <si>
    <t>Vitis x interspécifique cv. Landot 4511</t>
  </si>
  <si>
    <t>Vitis x interspécifique cv. Landot 506</t>
  </si>
  <si>
    <t>Vitis x interspécifique cv. Landot 508</t>
  </si>
  <si>
    <t>Vitis x interspécifique cv. Landot 540</t>
  </si>
  <si>
    <t>Vitis x interspécifique cv. Landot 562</t>
  </si>
  <si>
    <t>Vitis x interspécifique cv. Landot 742</t>
  </si>
  <si>
    <t>Vitis x interspécifique cv. Landot 760</t>
  </si>
  <si>
    <t>Vitis x interspécifique cv. Landot 790</t>
  </si>
  <si>
    <t>Vitis x interspécifique cv. Laquenexy 155-2</t>
  </si>
  <si>
    <t>Vitis x interspécifique cv. Laquenexy 43-3</t>
  </si>
  <si>
    <t>Vitis x interspécifique cv. Laquenexy 44</t>
  </si>
  <si>
    <t>Vitis x interspécifique cv. Laquenexy 4-54</t>
  </si>
  <si>
    <t>Vitis x interspécifique cv. Laquenexy 4-56</t>
  </si>
  <si>
    <t>Vitis x interspécifique cv. Le Capéran = Baco 43-23</t>
  </si>
  <si>
    <t>Vitis x interspécifique cv. Le Cazalet = Baco 58-15</t>
  </si>
  <si>
    <t>Vitis x interspécifique cv. Le Colonel = Bertille Seyve 2667</t>
  </si>
  <si>
    <t>Vitis x interspécifique cv. Le Commandant = Bertille Seyve 2862</t>
  </si>
  <si>
    <t>Vitis x interspécifique cv. Le Fondard = Le Jurassien = Jurie 580</t>
  </si>
  <si>
    <t>Vitis x interspécifique cv. Le Général = Bertille Seyve 5563</t>
  </si>
  <si>
    <t>Vitis x interspécifique cv. Le Pourpre = Seibel 4646</t>
  </si>
  <si>
    <t>Vitis x interspécifique cv. Le Rubis = Seibel 5575</t>
  </si>
  <si>
    <t>Vitis x interspécifique cv. Le Subéreux = Seibel 6905</t>
  </si>
  <si>
    <t>Vitis x interspécifique cv. Léon Millot = Kühlmann 194-2</t>
  </si>
  <si>
    <t>Vitis x interspécifique cv. Llyod's number 33 = LN 33</t>
  </si>
  <si>
    <t>Vitis x interspécifique cv. Logan</t>
  </si>
  <si>
    <t>Vitis x interspécifique cv. Lucie Kühlmann = Kühlmann 149-3</t>
  </si>
  <si>
    <t>Vitis x interspécifique cv. Maclet C 103</t>
  </si>
  <si>
    <t>Vitis x interspécifique cv. Madame Castel = Castel 1028</t>
  </si>
  <si>
    <t>Vitis x interspécifique cv. Madame Lussan = Castel 19002</t>
  </si>
  <si>
    <t>Vitis x interspécifique cv. Mademoiselle Messiny = Kühlmann 193-5</t>
  </si>
  <si>
    <t>Vitis x interspécifique cv. Malègue S 3</t>
  </si>
  <si>
    <t>Vitis x interspécifique cv. Malègue 113</t>
  </si>
  <si>
    <t>Vitis x interspécifique cv. Malègue 1157-1</t>
  </si>
  <si>
    <t>Vitis x interspécifique cv. Malègue 1157-15</t>
  </si>
  <si>
    <t>Vitis x interspécifique cv. Malègue 148-4</t>
  </si>
  <si>
    <t>Vitis x interspécifique cv. Malègue 1495-1</t>
  </si>
  <si>
    <t>Vitis x interspécifique cv. Malègue 150-13</t>
  </si>
  <si>
    <t>Vitis x interspécifique cv. Malègue 150-15</t>
  </si>
  <si>
    <t>Vitis x interspécifique cv. Malègue 150-9</t>
  </si>
  <si>
    <t>Vitis x interspécifique cv. Malègue 1647-8</t>
  </si>
  <si>
    <t>Vitis x interspécifique cv. Malègue 1995-4</t>
  </si>
  <si>
    <t>Vitis x interspécifique cv. Malègue 2049-3</t>
  </si>
  <si>
    <t>Vitis x interspécifique cv. Malègue 2094-3</t>
  </si>
  <si>
    <t>Vitis x interspécifique cv. Malègue 2236-1</t>
  </si>
  <si>
    <t>Vitis x interspécifique cv. Malègue 2623-2</t>
  </si>
  <si>
    <t>Vitis x interspécifique cv. Malègue 2627-11</t>
  </si>
  <si>
    <t>Vitis x interspécifique cv. Malègue 44-46</t>
  </si>
  <si>
    <t>Vitis x interspécifique cv. Malègue 469-2</t>
  </si>
  <si>
    <t>Vitis x interspécifique cv. Malègue 474-5</t>
  </si>
  <si>
    <t>Vitis x interspécifique cv. Malègue 51-20</t>
  </si>
  <si>
    <t>Vitis x interspécifique cv. Malègue 57</t>
  </si>
  <si>
    <t>Vitis x interspécifique cv. Malègue 653-1</t>
  </si>
  <si>
    <t>Vitis x interspécifique cv. Malègue 71-7</t>
  </si>
  <si>
    <t>Vitis x interspécifique cv. Malègue 75</t>
  </si>
  <si>
    <t>Vitis x interspécifique cv. Malègue 829-6</t>
  </si>
  <si>
    <t>Vitis x interspécifique cv. Maréchal Foch = Kühlmann 188-2</t>
  </si>
  <si>
    <t>Vitis x interspécifique cv. Maréchal Joffre = Kühlmann 187-1</t>
  </si>
  <si>
    <t>Vitis x interspécifique cv. Maxatawnay</t>
  </si>
  <si>
    <t>Vitis x interspécifique cv. Merzling</t>
  </si>
  <si>
    <t>Vitis x interspécifique cv. Meynieu 3</t>
  </si>
  <si>
    <t>Vitis x interspécifique cv. Meynieu 6</t>
  </si>
  <si>
    <t>Vitis x interspécifique cv. Meynieu 7</t>
  </si>
  <si>
    <t>Vitis x interspécifique cv. Meynieu 8-5</t>
  </si>
  <si>
    <t>Vitis x interspécifique cv. Meynieu 8-6</t>
  </si>
  <si>
    <t>Vitis x interspécifique cv. Meynieu 9-48</t>
  </si>
  <si>
    <t>Vitis x interspécifique cv. Millardet = Kühlmann 193-2</t>
  </si>
  <si>
    <t>Vitis x interspécifique cv. Millardet de Grasset 143 A</t>
  </si>
  <si>
    <t>Vitis x interspécifique cv. Millardet et de Grasset 101</t>
  </si>
  <si>
    <t>Vitis x interspécifique cv. Millardet et de Grasset 101-1</t>
  </si>
  <si>
    <t>Vitis x interspécifique cv. Millardet et de Grasset 101-10</t>
  </si>
  <si>
    <t>Vitis x interspécifique cv. Millardet et de Grasset 101-11</t>
  </si>
  <si>
    <t>Vitis x interspécifique cv. Millardet et de Grasset 101-12</t>
  </si>
  <si>
    <t>Vitis x interspécifique cv. Millardet et de Grasset 101-14 faux (Carpentras)</t>
  </si>
  <si>
    <t>Vitis x interspécifique cv. Millardet et de Grasset 101-2</t>
  </si>
  <si>
    <t>Vitis x interspécifique cv. Millardet et de Grasset 101-9</t>
  </si>
  <si>
    <t>Vitis x interspécifique cv. Millardet et de Grasset 106-8</t>
  </si>
  <si>
    <t>Vitis x interspécifique cv. Millardet et de Grasset 108-16</t>
  </si>
  <si>
    <t>Vitis x interspécifique cv. Millardet et de Grasset 125-1</t>
  </si>
  <si>
    <t>Vitis x interspécifique cv. Millardet et de Grasset 125-2</t>
  </si>
  <si>
    <t>Vitis x interspécifique cv. Millardet et de Grasset 125-4</t>
  </si>
  <si>
    <t>Vitis x interspécifique cv. Millardet et de Grasset 143</t>
  </si>
  <si>
    <t>Vitis x interspécifique cv. Millardet et de Grasset 17-37</t>
  </si>
  <si>
    <t>Vitis x interspécifique cv. Millardet et de Grasset 199-16</t>
  </si>
  <si>
    <t>Vitis x interspécifique cv. Millardet et de Grasset 202-4</t>
  </si>
  <si>
    <t>Vitis x interspécifique cv. Millardet et de Grasset 212-7</t>
  </si>
  <si>
    <t>Vitis x interspécifique cv. Millardet et de Grasset 215-2</t>
  </si>
  <si>
    <t>Vitis x interspécifique cv. Millardet et de Grasset 219-7</t>
  </si>
  <si>
    <t>Vitis x interspécifique cv. Millardet et de Grasset 227-11-29</t>
  </si>
  <si>
    <t>Vitis x interspécifique cv. Millardet et de Grasset 227-55-29</t>
  </si>
  <si>
    <t>Vitis x interspécifique cv. Millardet et de Grasset 262</t>
  </si>
  <si>
    <t>Vitis x interspécifique cv. Millardet et de Grasset 301-14-152</t>
  </si>
  <si>
    <t>Vitis x interspécifique cv. Millardet et de Grasset 301-37-152</t>
  </si>
  <si>
    <t>Vitis x interspécifique cv. Millardet et de Grasset 301-4-153</t>
  </si>
  <si>
    <t>Vitis x interspécifique cv. Millardet et de Grasset 301-43-152</t>
  </si>
  <si>
    <t>Vitis x interspécifique cv. Millardet et de Grasset 33</t>
  </si>
  <si>
    <t>Vitis x interspécifique cv. Millardet et de Grasset 420 B</t>
  </si>
  <si>
    <t>Vitis x interspécifique cv. Millardet et de Grasset 420 C</t>
  </si>
  <si>
    <t>Vitis x interspécifique cv. Millardet et de Grasset 422 A</t>
  </si>
  <si>
    <t>Vitis x interspécifique cv. Millardet et de Grasset 422 B</t>
  </si>
  <si>
    <t>Vitis x interspécifique cv. Millardet 301</t>
  </si>
  <si>
    <t>Vitis x interspécifique cv. Millardet 374</t>
  </si>
  <si>
    <t>Vitis x interspécifique cv. Molines P.F.</t>
  </si>
  <si>
    <t>Vitis x interspécifique cv. Montoneri 23</t>
  </si>
  <si>
    <t>Vitis x interspécifique cv. Mounier 14-2</t>
  </si>
  <si>
    <t>Vitis x interspécifique cv. Mounier 155-7</t>
  </si>
  <si>
    <t>Vitis x interspécifique cv. Mounier 19-3</t>
  </si>
  <si>
    <t>Vitis x interspécifique cv. Musc Delecta = Seibel 16281</t>
  </si>
  <si>
    <t>Vitis x interspécifique cv. Muscadille = Galibert 265-35</t>
  </si>
  <si>
    <t>Vitis x interspécifique cv. Muscadoule = Galibert 255-10</t>
  </si>
  <si>
    <t>Vitis x interspécifique cv. Muscat Bailey A</t>
  </si>
  <si>
    <t>Vitis x interspécifique cv. Muscat blanc = Meynieu 9-68</t>
  </si>
  <si>
    <t>Vitis x interspécifique cv. Muscat de Saint-Christol = Galibert 255-43</t>
  </si>
  <si>
    <t>Vitis x interspécifique cv. Muscat de Saint-Vallier = Seyve-Villard 20-473</t>
  </si>
  <si>
    <t>Vitis x interspécifique cv. Muscat Sélection 2 Gaillard</t>
  </si>
  <si>
    <t>Vitis x interspécifique cv. Muscolive = Galibert 15-2</t>
  </si>
  <si>
    <t>Vitis x interspécifique cv. Néo Muscat</t>
  </si>
  <si>
    <t>Vitis x interspécifique cv. Neo Muscat x Gros Sémillon</t>
  </si>
  <si>
    <t>Vitis x interspécifique cv. Néron = Kühlmann 296-1</t>
  </si>
  <si>
    <t>Vitis x interspécifique cv. Niabell</t>
  </si>
  <si>
    <t>Vitis x interspécifique cv. Niagara</t>
  </si>
  <si>
    <t>Vitis x interspécifique cv. Noah</t>
  </si>
  <si>
    <t>Vitis x interspécifique cv. Nouveau Bayard = Couderc 132-11</t>
  </si>
  <si>
    <t>Vitis x interspécifique cv. Oberlin noir = Oberlin 595</t>
  </si>
  <si>
    <t>Vitis x interspécifique cv. Oberlin 604</t>
  </si>
  <si>
    <t>Vitis x interspécifique cv. Oberlin 605</t>
  </si>
  <si>
    <t>Vitis x interspécifique cv. Oberlin 701</t>
  </si>
  <si>
    <t>Vitis x interspécifique cv. Oberlin 702 A</t>
  </si>
  <si>
    <t>Vitis x interspécifique cv. Oberlin 716</t>
  </si>
  <si>
    <t>Vitis x interspécifique cv. Oberlin 782</t>
  </si>
  <si>
    <t>Vitis x interspécifique cv. Oeillade de Conzieu = Landot 2832</t>
  </si>
  <si>
    <t>Vitis x interspécifique cv. Orion</t>
  </si>
  <si>
    <t>Vitis x interspécifique cv. Othello</t>
  </si>
  <si>
    <t>Vitis x interspécifique cv. Othello gris</t>
  </si>
  <si>
    <t>Vitis x interspécifique cv. Paulistinha</t>
  </si>
  <si>
    <t>Vitis x interspécifique cv. Paulsen 1043</t>
  </si>
  <si>
    <t>Vitis x interspécifique cv. Paulsen 1045</t>
  </si>
  <si>
    <t>Vitis x interspécifique cv. Paulsen 1119</t>
  </si>
  <si>
    <t>Vitis x interspécifique cv. Paulsen 1120</t>
  </si>
  <si>
    <t>Vitis x interspécifique cv. Paulsen 1321</t>
  </si>
  <si>
    <t>Vitis x interspécifique cv. Paulsen 1323</t>
  </si>
  <si>
    <t>Vitis x interspécifique cv. Paulsen 1381</t>
  </si>
  <si>
    <t>Vitis x interspécifique cv. Paulsen 1742</t>
  </si>
  <si>
    <t>Vitis x interspécifique cv. Paulsen 2 A</t>
  </si>
  <si>
    <t>Vitis x interspécifique cv. Paulsen 764</t>
  </si>
  <si>
    <t>Vitis x interspécifique cv. Paulsen 770</t>
  </si>
  <si>
    <t>Vitis x interspécifique cv. Paulsen 771</t>
  </si>
  <si>
    <t>Vitis x interspécifique cv. Paulsen 775</t>
  </si>
  <si>
    <t>Vitis x interspécifique cv. Paulsen 779</t>
  </si>
  <si>
    <t>Vitis x interspécifique cv. Paulsen 781</t>
  </si>
  <si>
    <t>Vitis x interspécifique cv. Paulsen 782</t>
  </si>
  <si>
    <t>Vitis x interspécifique cv. Paulsen 8302</t>
  </si>
  <si>
    <t>Vitis x interspécifique cv. Paulsen 8734</t>
  </si>
  <si>
    <t>Vitis x interspécifique cv. Peage 5-10 = Roy Chevrier 5-10</t>
  </si>
  <si>
    <t>Vitis x interspécifique cv. Perbos 137</t>
  </si>
  <si>
    <t>Vitis x interspécifique cv. Perbos 151</t>
  </si>
  <si>
    <t>Vitis x interspécifique cv. Perbos 159</t>
  </si>
  <si>
    <t>Vitis x interspécifique cv. Perbos 174</t>
  </si>
  <si>
    <t>Vitis x interspécifique cv. Perbos 180</t>
  </si>
  <si>
    <t>Vitis x interspécifique cv. Perbos 205</t>
  </si>
  <si>
    <t>Vitis x interspécifique cv. Perbos 210</t>
  </si>
  <si>
    <t>Vitis x interspécifique cv. Perbos 215</t>
  </si>
  <si>
    <t>Vitis x interspécifique cv. Perbos 226</t>
  </si>
  <si>
    <t>Vitis x interspécifique cv. Perbos 228</t>
  </si>
  <si>
    <t>Vitis x interspécifique cv. Perbos 48</t>
  </si>
  <si>
    <t>Vitis x interspécifique cv. Perbos 81</t>
  </si>
  <si>
    <t>Vitis x interspécifique cv. Perbos 82</t>
  </si>
  <si>
    <t>Vitis x interspécifique cv. Perdin</t>
  </si>
  <si>
    <t>Vitis x interspécifique cv. Perkins</t>
  </si>
  <si>
    <t>Vitis x interspécifique cv. Perle de Cadoule = Galibert 255-99</t>
  </si>
  <si>
    <t>Vitis x interspécifique cv. Perle noire = Seyve-Villard 20-347</t>
  </si>
  <si>
    <t>Vitis x interspécifique cv. Perraton 34</t>
  </si>
  <si>
    <t>Vitis x interspécifique cv. Perraton 36</t>
  </si>
  <si>
    <t>Vitis x interspécifique cv. Phénix</t>
  </si>
  <si>
    <t>Vitis x interspécifique cv. Phoenix</t>
  </si>
  <si>
    <t>Vitis x interspécifique cv. piasezkii x ?</t>
  </si>
  <si>
    <t>Vitis x interspécifique cv. piasezkii x romanetii</t>
  </si>
  <si>
    <t>Vitis x interspécifique cv. Picadoul = Galibert 221-31</t>
  </si>
  <si>
    <t>Vitis x interspécifique cv. Pierrelle = Seyve-Villard 20-366</t>
  </si>
  <si>
    <t>Vitis x interspécifique cv. Pignan noir = Galibert 23-1</t>
  </si>
  <si>
    <t>Vitis x interspécifique cv. Pignoletta</t>
  </si>
  <si>
    <t>Vitis x interspécifique cv. Pinard = Kühlmann 191-2</t>
  </si>
  <si>
    <t>Vitis x interspécifique cv. Pirobella</t>
  </si>
  <si>
    <t>Vitis x interspécifique cv. Pirovano 146</t>
  </si>
  <si>
    <t>Vitis x interspécifique cv. Pirovano 29</t>
  </si>
  <si>
    <t>Vitis x interspécifique cv. Pirovano 34</t>
  </si>
  <si>
    <t>Vitis x interspécifique cv. Pirovano 40</t>
  </si>
  <si>
    <t>Vitis x interspécifique cv. Pirovano 41</t>
  </si>
  <si>
    <t>Vitis x interspécifique cv. Pirovano 48</t>
  </si>
  <si>
    <t>Vitis x interspécifique cv. Pirovano 539 a</t>
  </si>
  <si>
    <t>Vitis x interspécifique cv. Pirovano 541</t>
  </si>
  <si>
    <t>Vitis x interspécifique cv. Pirovano 6</t>
  </si>
  <si>
    <t>Vitis x interspécifique cv. Plantet = Seibel 5455</t>
  </si>
  <si>
    <t>Vitis x interspécifique cv. Pocklington</t>
  </si>
  <si>
    <t>Vitis x interspécifique cv. Poilu = Kühlmann 252-3</t>
  </si>
  <si>
    <t>Vitis x interspécifique cv. Pougette musquée = Galibert 256-28</t>
  </si>
  <si>
    <t>Vitis x interspécifique cv. Précoce de Colmar = Kühlmann 277-2</t>
  </si>
  <si>
    <t>Vitis x interspécifique cv. Précoce Prady = Couderc 124-20</t>
  </si>
  <si>
    <t>Vitis x interspécifique cv. Précoce Prady = Couderc 126-21</t>
  </si>
  <si>
    <t>Vitis x interspécifique cv. Precursore</t>
  </si>
  <si>
    <t>Vitis x interspécifique cv. Primus = Pirovano 7</t>
  </si>
  <si>
    <t>Vitis x interspécifique cv. Prince noir Meynieu 1</t>
  </si>
  <si>
    <t>Vitis x interspécifique cv. Prosperi 11-71</t>
  </si>
  <si>
    <t>Vitis x interspécifique cv. Prosperi 11-72</t>
  </si>
  <si>
    <t>Vitis x interspécifique cv. Prosperi 15-99</t>
  </si>
  <si>
    <t>Vitis x interspécifique cv. Prosperi 16-107</t>
  </si>
  <si>
    <t>Vitis x interspécifique cv. Prosperi 16-108</t>
  </si>
  <si>
    <t>Vitis x interspécifique cv. Prosperi 16-109</t>
  </si>
  <si>
    <t>Vitis x interspécifique cv. Prosperi 5-32</t>
  </si>
  <si>
    <t>Vitis x interspécifique cv. Ranciaut blanc = Galibert 53-1</t>
  </si>
  <si>
    <t>Vitis x interspécifique cv. Ranciaut noir = Galibert 63-1</t>
  </si>
  <si>
    <t>Vitis x interspécifique cv. Ravat blanc = Ravat 6</t>
  </si>
  <si>
    <t>Vitis x interspécifique cv. Ravat 13</t>
  </si>
  <si>
    <t>Vitis x interspécifique cv. Ravat 143</t>
  </si>
  <si>
    <t>Vitis x interspécifique cv. Ravat 15</t>
  </si>
  <si>
    <t>Vitis x interspécifique cv. Ravat 16</t>
  </si>
  <si>
    <t>Vitis x interspécifique cv. Ravat 18</t>
  </si>
  <si>
    <t>Vitis x interspécifique cv. Ravat 19</t>
  </si>
  <si>
    <t>Vitis x interspécifique cv. Ravat 253</t>
  </si>
  <si>
    <t>Vitis x interspécifique cv. Ravat 262</t>
  </si>
  <si>
    <t>Vitis x interspécifique cv. Ravat 327</t>
  </si>
  <si>
    <t>Vitis x interspécifique cv. Ravat 34</t>
  </si>
  <si>
    <t>Vitis x interspécifique cv. Ravat 36</t>
  </si>
  <si>
    <t>Vitis x interspécifique cv. Ravat 507</t>
  </si>
  <si>
    <t>Vitis x interspécifique cv. Ravat 51</t>
  </si>
  <si>
    <t>Vitis x interspécifique cv. Ravat 8</t>
  </si>
  <si>
    <t>Vitis x interspécifique cv. Ravat 9</t>
  </si>
  <si>
    <t>Vitis x interspécifique cv. Ravaz 1</t>
  </si>
  <si>
    <t>Vitis x interspécifique cv. Ravaz 2</t>
  </si>
  <si>
    <t>Vitis x interspécifique cv. Rayon d'Or = Seibel 4986</t>
  </si>
  <si>
    <t>Vitis x interspécifique cv. RC 51</t>
  </si>
  <si>
    <t>Vitis x interspécifique cv. Rebecca</t>
  </si>
  <si>
    <t>Vitis x interspécifique cv. Regent</t>
  </si>
  <si>
    <t>Vitis x interspécifique cv. Rességuier sélection Birolleau 1 = RSB 1</t>
  </si>
  <si>
    <t>Vitis x interspécifique cv. Richter 31</t>
  </si>
  <si>
    <t>Vitis x interspécifique cv. Richter 57</t>
  </si>
  <si>
    <t>Vitis x interspécifique cv. Riparia Rupestris de Massannes glabre</t>
  </si>
  <si>
    <t>Vitis x interspécifique cv. riparia x berlandieri</t>
  </si>
  <si>
    <t>Vitis x interspécifique cv. riparia x rupestris</t>
  </si>
  <si>
    <t>Vitis x interspécifique cv. riparia x rupestris x candicans</t>
  </si>
  <si>
    <t>Vitis x interspécifique cv. riparia x vinifera</t>
  </si>
  <si>
    <t>Vitis x interspécifique cv. Riparia-Rupestris de Dracé</t>
  </si>
  <si>
    <t>Vitis x interspécifique cv. Riparia-Rupestris de Massannes pubescent</t>
  </si>
  <si>
    <t>Vitis x interspécifique cv. Riparia-Rupestris de Samadet</t>
  </si>
  <si>
    <t>Vitis x interspécifique cv. Riparia-Rupestris de Savènes</t>
  </si>
  <si>
    <t>Vitis x interspécifique cv. Riparia-Rupestris de Vauchretien</t>
  </si>
  <si>
    <t>Vitis x interspécifique cv. Riparia-Rupestris Schwarzmann</t>
  </si>
  <si>
    <t>Vitis x interspécifique cv. Robur</t>
  </si>
  <si>
    <t>Vitis x interspécifique cv. Roi des noirs = Seibel 4643</t>
  </si>
  <si>
    <t>Vitis x interspécifique cv. romanetii x ?</t>
  </si>
  <si>
    <t>Vitis x interspécifique cv. Rondo</t>
  </si>
  <si>
    <t>Vitis x interspécifique cv. Rosambre</t>
  </si>
  <si>
    <t>Vitis x interspécifique cv. Rosette = Seibel 1000</t>
  </si>
  <si>
    <t>Vitis x interspécifique cv. Rouby 3</t>
  </si>
  <si>
    <t>Vitis x interspécifique cv. Rouby 9</t>
  </si>
  <si>
    <t>Vitis x interspécifique cv. Roucaneuf = Seyve-Villard 12-309</t>
  </si>
  <si>
    <t>Vitis x interspécifique cv. Rougeon = Seibel 5898</t>
  </si>
  <si>
    <t>Vitis x interspécifique cv. Royalty</t>
  </si>
  <si>
    <t>Vitis x interspécifique cv. Rubilande = Seibel 11803</t>
  </si>
  <si>
    <t>Vitis x interspécifique cv. Rubino = Pirovano 192a</t>
  </si>
  <si>
    <t>Vitis x interspécifique cv. Rubiscan</t>
  </si>
  <si>
    <t>Vitis x interspécifique cv. Rudelin 101-6</t>
  </si>
  <si>
    <t>Vitis x interspécifique cv. Rudelin 101-9</t>
  </si>
  <si>
    <t>Vitis x interspécifique cv. Rudelin 102-1</t>
  </si>
  <si>
    <t>Vitis x interspécifique cv. Rudelin 102-4</t>
  </si>
  <si>
    <t>Vitis x interspécifique cv. Rudelin 102-8</t>
  </si>
  <si>
    <t>Vitis x interspécifique cv. Rudelin 102-9</t>
  </si>
  <si>
    <t>Vitis x interspécifique cv. Rudelin 103-1</t>
  </si>
  <si>
    <t>Vitis x interspécifique cv. Rudelin 103-2</t>
  </si>
  <si>
    <t>Vitis x interspécifique cv. Rudelin 103-6</t>
  </si>
  <si>
    <t>Vitis x interspécifique cv. Rudelin 103-8</t>
  </si>
  <si>
    <t>Vitis x interspécifique cv. Rudelin 104-4</t>
  </si>
  <si>
    <t>Vitis x interspécifique cv. Rudelin 104-8</t>
  </si>
  <si>
    <t>Vitis x interspécifique cv. Rudelin 105-6</t>
  </si>
  <si>
    <t>Vitis x interspécifique cv. Rudelin 106-1</t>
  </si>
  <si>
    <t>Vitis x interspécifique cv. Rudelin 106-4</t>
  </si>
  <si>
    <t>Vitis x interspécifique cv. Rudelin 108-4</t>
  </si>
  <si>
    <t>Vitis x interspécifique cv. Rudelin 109-3</t>
  </si>
  <si>
    <t>Vitis x interspécifique cv. Rudelin 109-7</t>
  </si>
  <si>
    <t>Vitis x interspécifique cv. Rudelin 111-2</t>
  </si>
  <si>
    <t>Vitis x interspécifique cv. Rudelin 111-3</t>
  </si>
  <si>
    <t>Vitis x interspécifique cv. Rudelin 111-4</t>
  </si>
  <si>
    <t>Vitis x interspécifique cv. Rudelin 111-8</t>
  </si>
  <si>
    <t>Vitis x interspécifique cv. Rudelin 122-9</t>
  </si>
  <si>
    <t>Vitis x interspécifique cv. Rudelin 125-8</t>
  </si>
  <si>
    <t>Vitis x interspécifique cv. Rudelin 126-4</t>
  </si>
  <si>
    <t>Vitis x interspécifique cv. Rudelin 126-6</t>
  </si>
  <si>
    <t>Vitis x interspécifique cv. Rudelin 130-8</t>
  </si>
  <si>
    <t>Vitis x interspécifique cv. Rudelin 131-7</t>
  </si>
  <si>
    <t>Vitis x interspécifique cv. Rudelin 132-2</t>
  </si>
  <si>
    <t>Vitis x interspécifique cv. Rudelin 17-4</t>
  </si>
  <si>
    <t>Vitis x interspécifique cv. Rudelin 17-5</t>
  </si>
  <si>
    <t>Vitis x interspécifique cv. Rudelin 18-1</t>
  </si>
  <si>
    <t>Vitis x interspécifique cv. Rudelin 3</t>
  </si>
  <si>
    <t>Vitis x interspécifique cv. Rudelin 312-1</t>
  </si>
  <si>
    <t>Vitis x interspécifique cv. Rudelin 314-3</t>
  </si>
  <si>
    <t>Vitis x interspécifique cv. Rudelin 315-1</t>
  </si>
  <si>
    <t>Vitis x interspécifique cv. Rudelin 316-5</t>
  </si>
  <si>
    <t>Vitis x interspécifique cv. Rudelin 37-3</t>
  </si>
  <si>
    <t>Vitis x interspécifique cv. Rudelin 38-6</t>
  </si>
  <si>
    <t>Vitis x interspécifique cv. Rudelin 5-41</t>
  </si>
  <si>
    <t>Vitis x interspécifique cv. Rudelin 58</t>
  </si>
  <si>
    <t>Vitis x interspécifique cv. Rudelin 610-6</t>
  </si>
  <si>
    <t>Vitis x interspécifique cv. Rudelin 611-1</t>
  </si>
  <si>
    <t>Vitis x interspécifique cv. Rudelin 613-3</t>
  </si>
  <si>
    <t>Vitis x interspécifique cv. Rudelin 6-96</t>
  </si>
  <si>
    <t>Vitis x interspécifique cv. Ruggeri 131</t>
  </si>
  <si>
    <t>Vitis x interspécifique cv. Ruggeri 188</t>
  </si>
  <si>
    <t>Vitis x interspécifique cv. Ruggeri 193</t>
  </si>
  <si>
    <t>Vitis x interspécifique cv. Ruggeri 205</t>
  </si>
  <si>
    <t>Vitis x interspécifique cv. Ruggeri 225</t>
  </si>
  <si>
    <t>Vitis x interspécifique cv. Ruggeri 240</t>
  </si>
  <si>
    <t>Vitis x interspécifique cv. Ruggeri 300</t>
  </si>
  <si>
    <t>Vitis x interspécifique cv. Ruggeri 322</t>
  </si>
  <si>
    <t>Vitis x interspécifique cv. Ruggeri 325</t>
  </si>
  <si>
    <t>Vitis x interspécifique cv. Ruggeri 333</t>
  </si>
  <si>
    <t>Vitis x interspécifique cv. Ruggeri 42</t>
  </si>
  <si>
    <t>Vitis x interspécifique cv. Ruggeri 55</t>
  </si>
  <si>
    <t>Vitis x interspécifique cv. rupestris x aestivalis</t>
  </si>
  <si>
    <t>Vitis x interspécifique cv. rupestris x aestivalis x cordifolia</t>
  </si>
  <si>
    <t>Vitis x interspécifique cv. rupestris x berlandieri</t>
  </si>
  <si>
    <t>Vitis x interspécifique cv. rupestris x candicans</t>
  </si>
  <si>
    <t>Vitis x interspécifique cv. rupestris x cordifolia</t>
  </si>
  <si>
    <t>Vitis x interspécifique cv. rupestris x vinifera</t>
  </si>
  <si>
    <t>Vitis x interspécifique cv. Sabrilong = Long 35</t>
  </si>
  <si>
    <t>Vitis x interspécifique cv. Saint-Sauveur d'Alsace = Kühlmann 65-1</t>
  </si>
  <si>
    <t>Vitis x interspécifique cv. Saint-Victor = Galibert 15-3</t>
  </si>
  <si>
    <t>Vitis x interspécifique cv. Saint-Vincent</t>
  </si>
  <si>
    <t>Vitis x interspécifique cv. Salt Creek</t>
  </si>
  <si>
    <t>Vitis x interspécifique cv. Salzmann 6-43</t>
  </si>
  <si>
    <t>Vitis x interspécifique cv. Sanson</t>
  </si>
  <si>
    <t>Vitis x interspécifique cv. Saubrians = Galibert 36-2</t>
  </si>
  <si>
    <t>Vitis x interspécifique cv. Seibel  6131</t>
  </si>
  <si>
    <t>Vitis x interspécifique cv. Seibel 1</t>
  </si>
  <si>
    <t>Vitis x interspécifique cv. Seibel 10010</t>
  </si>
  <si>
    <t>Vitis x interspécifique cv. Seibel 10020</t>
  </si>
  <si>
    <t>Vitis x interspécifique cv. Seibel 10027</t>
  </si>
  <si>
    <t>Vitis x interspécifique cv. Seibel 10033</t>
  </si>
  <si>
    <t>Vitis x interspécifique cv. Seibel 10034</t>
  </si>
  <si>
    <t>Vitis x interspécifique cv. Seibel 1004</t>
  </si>
  <si>
    <t>Vitis x interspécifique cv. Seibel 10046</t>
  </si>
  <si>
    <t>Vitis x interspécifique cv. Seibel 1007</t>
  </si>
  <si>
    <t>Vitis x interspécifique cv. Seibel 10076</t>
  </si>
  <si>
    <t>Vitis x interspécifique cv. Seibel 10078</t>
  </si>
  <si>
    <t>Vitis x interspécifique cv. Seibel 10096</t>
  </si>
  <si>
    <t>Vitis x interspécifique cv. Seibel 10114</t>
  </si>
  <si>
    <t>Vitis x interspécifique cv. Seibel 10123</t>
  </si>
  <si>
    <t>Vitis x interspécifique cv. Seibel 1013</t>
  </si>
  <si>
    <t>Vitis x interspécifique cv. Seibel 10136/2</t>
  </si>
  <si>
    <t>Vitis x interspécifique cv. Seibel 1014</t>
  </si>
  <si>
    <t>Vitis x interspécifique cv. Seibel 10146</t>
  </si>
  <si>
    <t>Vitis x interspécifique cv. Seibel 1015</t>
  </si>
  <si>
    <t>Vitis x interspécifique cv. Seibel 10172/2</t>
  </si>
  <si>
    <t>Vitis x interspécifique cv. Seibel 10186</t>
  </si>
  <si>
    <t>Vitis x interspécifique cv. Seibel 10208</t>
  </si>
  <si>
    <t>Vitis x interspécifique cv. Seibel 10215</t>
  </si>
  <si>
    <t>Vitis x interspécifique cv. Seibel 10217</t>
  </si>
  <si>
    <t>Vitis x interspécifique cv. Seibel 10230</t>
  </si>
  <si>
    <t>Vitis x interspécifique cv. Seibel 1025</t>
  </si>
  <si>
    <t>Vitis x interspécifique cv. Seibel 10259/1</t>
  </si>
  <si>
    <t>Vitis x interspécifique cv. Seibel 10267</t>
  </si>
  <si>
    <t>Vitis x interspécifique cv. Seibel 10292</t>
  </si>
  <si>
    <t>Vitis x interspécifique cv. Seibel 10295</t>
  </si>
  <si>
    <t>Vitis x interspécifique cv. Seibel 10417</t>
  </si>
  <si>
    <t>Vitis x interspécifique cv. Seibel 10420</t>
  </si>
  <si>
    <t>Vitis x interspécifique cv. Seibel 107</t>
  </si>
  <si>
    <t>Vitis x interspécifique cv. Seibel 1070</t>
  </si>
  <si>
    <t>Vitis x interspécifique cv. Seibel 10720</t>
  </si>
  <si>
    <t>Vitis x interspécifique cv. Seibel 1077</t>
  </si>
  <si>
    <t>Vitis x interspécifique cv. Seibel 10790</t>
  </si>
  <si>
    <t>Vitis x interspécifique cv. Seibel 10793</t>
  </si>
  <si>
    <t>Vitis x interspécifique cv. Seibel 10796</t>
  </si>
  <si>
    <t>Vitis x interspécifique cv. Seibel 10801</t>
  </si>
  <si>
    <t>Vitis x interspécifique cv. Seibel 10809</t>
  </si>
  <si>
    <t>Vitis x interspécifique cv. Seibel 1082</t>
  </si>
  <si>
    <t>Vitis x interspécifique cv. Seibel 10855</t>
  </si>
  <si>
    <t>Vitis x interspécifique cv. Seibel 10868</t>
  </si>
  <si>
    <t>Vitis x interspécifique cv. Seibel 10884/6</t>
  </si>
  <si>
    <t>Vitis x interspécifique cv. Seibel 110</t>
  </si>
  <si>
    <t>Vitis x interspécifique cv. Seibel 11020</t>
  </si>
  <si>
    <t>Vitis x interspécifique cv. Seibel 11023</t>
  </si>
  <si>
    <t>Vitis x interspécifique cv. Seibel 11027</t>
  </si>
  <si>
    <t>Vitis x interspécifique cv. Seibel 112</t>
  </si>
  <si>
    <t>Vitis x interspécifique cv. Seibel 11254/16</t>
  </si>
  <si>
    <t>Vitis x interspécifique cv. Seibel 11257</t>
  </si>
  <si>
    <t>Vitis x interspécifique cv. Seibel 11259</t>
  </si>
  <si>
    <t>Vitis x interspécifique cv. Seibel 11272</t>
  </si>
  <si>
    <t>Vitis x interspécifique cv. Seibel 11283</t>
  </si>
  <si>
    <t>Vitis x interspécifique cv. Seibel 11318</t>
  </si>
  <si>
    <t>Vitis x interspécifique cv. Seibel 11342</t>
  </si>
  <si>
    <t>Vitis x interspécifique cv. Seibel 114</t>
  </si>
  <si>
    <t>Vitis x interspécifique cv. Seibel 11404</t>
  </si>
  <si>
    <t>Vitis x interspécifique cv. Seibel 11431</t>
  </si>
  <si>
    <t>Vitis x interspécifique cv. Seibel 11437</t>
  </si>
  <si>
    <t>Vitis x interspécifique cv. Seibel 11486</t>
  </si>
  <si>
    <t>Vitis x interspécifique cv. Seibel 11493</t>
  </si>
  <si>
    <t>Vitis x interspécifique cv. Seibel 11670</t>
  </si>
  <si>
    <t>Vitis x interspécifique cv. Seibel 11697</t>
  </si>
  <si>
    <t>Vitis x interspécifique cv. Seibel 11701</t>
  </si>
  <si>
    <t>Vitis x interspécifique cv. Seibel 11705</t>
  </si>
  <si>
    <t>Vitis x interspécifique cv. Seibel 11729</t>
  </si>
  <si>
    <t>Vitis x interspécifique cv. Seibel 11780</t>
  </si>
  <si>
    <t>Vitis x interspécifique cv. Seibel 11815</t>
  </si>
  <si>
    <t>Vitis x interspécifique cv. Seibel 11846</t>
  </si>
  <si>
    <t>Vitis x interspécifique cv. Seibel 11875</t>
  </si>
  <si>
    <t>Vitis x interspécifique cv. Seibel 11906</t>
  </si>
  <si>
    <t>Vitis x interspécifique cv. Seibel 11929</t>
  </si>
  <si>
    <t>Vitis x interspécifique cv. Seibel 120</t>
  </si>
  <si>
    <t>Vitis x interspécifique cv. Seibel 12084</t>
  </si>
  <si>
    <t>Vitis x interspécifique cv. Seibel 12242</t>
  </si>
  <si>
    <t>Vitis x interspécifique cv. Seibel 12315</t>
  </si>
  <si>
    <t>Vitis x interspécifique cv. Seibel 12393</t>
  </si>
  <si>
    <t>Vitis x interspécifique cv. Seibel 12583</t>
  </si>
  <si>
    <t>Vitis x interspécifique cv. Seibel 126</t>
  </si>
  <si>
    <t>Vitis x interspécifique cv. Seibel 128</t>
  </si>
  <si>
    <t>Vitis x interspécifique cv. Seibel 13047</t>
  </si>
  <si>
    <t>Vitis x interspécifique cv. Seibel 13053</t>
  </si>
  <si>
    <t>Vitis x interspécifique cv. Seibel 13394</t>
  </si>
  <si>
    <t>Vitis x interspécifique cv. Seibel 13663</t>
  </si>
  <si>
    <t>Vitis x interspécifique cv. Seibel 13664</t>
  </si>
  <si>
    <t>Vitis x interspécifique cv. Seibel 13666</t>
  </si>
  <si>
    <t>Vitis x interspécifique cv. Seibel 13669</t>
  </si>
  <si>
    <t>Vitis x interspécifique cv. Seibel 13680</t>
  </si>
  <si>
    <t>Vitis x interspécifique cv. Seibel 13682</t>
  </si>
  <si>
    <t>Vitis x interspécifique cv. Seibel 13693</t>
  </si>
  <si>
    <t>Vitis x interspécifique cv. Seibel 13694</t>
  </si>
  <si>
    <t>Vitis x interspécifique cv. Seibel 13695</t>
  </si>
  <si>
    <t>Vitis x interspécifique cv. Seibel 13698</t>
  </si>
  <si>
    <t>Vitis x interspécifique cv. Seibel 13770</t>
  </si>
  <si>
    <t>Vitis x interspécifique cv. Seibel 138</t>
  </si>
  <si>
    <t>Vitis x interspécifique cv. Seibel 13846</t>
  </si>
  <si>
    <t>Vitis x interspécifique cv. Seibel 14</t>
  </si>
  <si>
    <t>Vitis x interspécifique cv. Seibel 14114</t>
  </si>
  <si>
    <t>Vitis x interspécifique cv. Seibel 14117</t>
  </si>
  <si>
    <t>Vitis x interspécifique cv. Seibel 14164</t>
  </si>
  <si>
    <t>Vitis x interspécifique cv. Seibel 14189</t>
  </si>
  <si>
    <t>Vitis x interspécifique cv. Seibel 14266</t>
  </si>
  <si>
    <t>Vitis x interspécifique cv. Seibel 14326</t>
  </si>
  <si>
    <t>Vitis x interspécifique cv. Seibel 14327</t>
  </si>
  <si>
    <t>Vitis x interspécifique cv. Seibel 14378</t>
  </si>
  <si>
    <t>Vitis x interspécifique cv. Seibel 14404</t>
  </si>
  <si>
    <t>Vitis x interspécifique cv. Seibel 14417</t>
  </si>
  <si>
    <t>Vitis x interspécifique cv. Seibel 14419</t>
  </si>
  <si>
    <t>Vitis x interspécifique cv. Seibel 14472</t>
  </si>
  <si>
    <t>Vitis x interspécifique cv. Seibel 14483</t>
  </si>
  <si>
    <t>Vitis x interspécifique cv. Seibel 14514</t>
  </si>
  <si>
    <t>Vitis x interspécifique cv. Seibel 14526</t>
  </si>
  <si>
    <t>Vitis x interspécifique cv. Seibel 14572</t>
  </si>
  <si>
    <t>Vitis x interspécifique cv. Seibel 14576</t>
  </si>
  <si>
    <t>Vitis x interspécifique cv. Seibel 14638</t>
  </si>
  <si>
    <t>Vitis x interspécifique cv. Seibel 14639</t>
  </si>
  <si>
    <t>Vitis x interspécifique cv. Seibel 14654</t>
  </si>
  <si>
    <t>Vitis x interspécifique cv. Seibel 14655</t>
  </si>
  <si>
    <t>Vitis x interspécifique cv. Seibel 14657</t>
  </si>
  <si>
    <t>Vitis x interspécifique cv. Seibel 14660</t>
  </si>
  <si>
    <t>Vitis x interspécifique cv. Seibel 14662</t>
  </si>
  <si>
    <t>Vitis x interspécifique cv. Seibel 14664</t>
  </si>
  <si>
    <t>Vitis x interspécifique cv. Seibel 14665</t>
  </si>
  <si>
    <t>Vitis x interspécifique cv. Seibel 14676</t>
  </si>
  <si>
    <t>Vitis x interspécifique cv. Seibel 14709</t>
  </si>
  <si>
    <t>Vitis x interspécifique cv. Seibel 14747</t>
  </si>
  <si>
    <t>Vitis x interspécifique cv. Seibel 14866</t>
  </si>
  <si>
    <t>Vitis x interspécifique cv. Seibel 14911</t>
  </si>
  <si>
    <t>Vitis x interspécifique cv. Seibel 14937</t>
  </si>
  <si>
    <t>Vitis x interspécifique cv. Seibel 14994</t>
  </si>
  <si>
    <t>Vitis x interspécifique cv. Seibel 14995</t>
  </si>
  <si>
    <t>Vitis x interspécifique cv. Seibel 150</t>
  </si>
  <si>
    <t>Vitis x interspécifique cv. Seibel 15024</t>
  </si>
  <si>
    <t>Vitis x interspécifique cv. Seibel 15027</t>
  </si>
  <si>
    <t>Vitis x interspécifique cv. Seibel 15051</t>
  </si>
  <si>
    <t>Vitis x interspécifique cv. Seibel 15062</t>
  </si>
  <si>
    <t>Vitis x interspécifique cv. Seibel 15074</t>
  </si>
  <si>
    <t>Vitis x interspécifique cv. Seibel 15170</t>
  </si>
  <si>
    <t>Vitis x interspécifique cv. Seibel 15245</t>
  </si>
  <si>
    <t>Vitis x interspécifique cv. Seibel 156</t>
  </si>
  <si>
    <t>Vitis x interspécifique cv. Seibel 1588</t>
  </si>
  <si>
    <t>Vitis x interspécifique cv. Seibel 15964</t>
  </si>
  <si>
    <t>Vitis x interspécifique cv. Seibel 16092</t>
  </si>
  <si>
    <t>Vitis x interspécifique cv. Seibel 16137</t>
  </si>
  <si>
    <t>Vitis x interspécifique cv. Seibel 16147</t>
  </si>
  <si>
    <t>Vitis x interspécifique cv. Seibel 16161</t>
  </si>
  <si>
    <t>Vitis x interspécifique cv. Seibel 16191</t>
  </si>
  <si>
    <t>Vitis x interspécifique cv. Seibel 16196</t>
  </si>
  <si>
    <t>Vitis x interspécifique cv. Seibel 16199</t>
  </si>
  <si>
    <t>Vitis x interspécifique cv. Seibel 16273</t>
  </si>
  <si>
    <t>Vitis x interspécifique cv. Seibel 181</t>
  </si>
  <si>
    <t>Vitis x interspécifique cv. Seibel 182</t>
  </si>
  <si>
    <t>Vitis x interspécifique cv. Seibel 2</t>
  </si>
  <si>
    <t>Vitis x interspécifique cv. Seibel 200</t>
  </si>
  <si>
    <t>Vitis x interspécifique cv. Seibel 2003</t>
  </si>
  <si>
    <t>Vitis x interspécifique cv. Seibel 2006</t>
  </si>
  <si>
    <t>Vitis x interspécifique cv. Seibel 2010</t>
  </si>
  <si>
    <t>Vitis x interspécifique cv. Seibel 2029</t>
  </si>
  <si>
    <t>Vitis x interspécifique cv. Seibel 2044</t>
  </si>
  <si>
    <t>Vitis x interspécifique cv. Seibel 206</t>
  </si>
  <si>
    <t>Vitis x interspécifique cv. Seibel 209</t>
  </si>
  <si>
    <t>Vitis x interspécifique cv. Seibel 210</t>
  </si>
  <si>
    <t>Vitis x interspécifique cv. Seibel 2120</t>
  </si>
  <si>
    <t>Vitis x interspécifique cv. Seibel 2453</t>
  </si>
  <si>
    <t>Vitis x interspécifique cv. Seibel 25</t>
  </si>
  <si>
    <t>Vitis x interspécifique cv. Seibel 2509</t>
  </si>
  <si>
    <t>Vitis x interspécifique cv. Seibel 2524</t>
  </si>
  <si>
    <t>Vitis x interspécifique cv. Seibel 2525</t>
  </si>
  <si>
    <t>Vitis x interspécifique cv. Seibel 2573</t>
  </si>
  <si>
    <t>Vitis x interspécifique cv. Seibel 2576</t>
  </si>
  <si>
    <t>Vitis x interspécifique cv. Seibel 2578</t>
  </si>
  <si>
    <t>Vitis x interspécifique cv. Seibel 2582</t>
  </si>
  <si>
    <t>Vitis x interspécifique cv. Seibel 2591</t>
  </si>
  <si>
    <t>Vitis x interspécifique cv. Seibel 2605</t>
  </si>
  <si>
    <t>Vitis x interspécifique cv. Seibel 2632</t>
  </si>
  <si>
    <t>Vitis x interspécifique cv. Seibel 2655</t>
  </si>
  <si>
    <t>Vitis x interspécifique cv. Seibel 2660</t>
  </si>
  <si>
    <t>Vitis x interspécifique cv. Seibel 2666</t>
  </si>
  <si>
    <t>Vitis x interspécifique cv. Seibel 2686</t>
  </si>
  <si>
    <t>Vitis x interspécifique cv. Seibel 270</t>
  </si>
  <si>
    <t>Vitis x interspécifique cv. Seibel 2838</t>
  </si>
  <si>
    <t>Vitis x interspécifique cv. Seibel 2859</t>
  </si>
  <si>
    <t>Vitis x interspécifique cv. Seibel 29</t>
  </si>
  <si>
    <t>Vitis x interspécifique cv. Seibel 3021</t>
  </si>
  <si>
    <t>Vitis x interspécifique cv. Seibel 36</t>
  </si>
  <si>
    <t>Vitis x interspécifique cv. Seibel 38</t>
  </si>
  <si>
    <t>Vitis x interspécifique cv. Seibel 4</t>
  </si>
  <si>
    <t>Vitis x interspécifique cv. Seibel 405</t>
  </si>
  <si>
    <t>Vitis x interspécifique cv. Seibel 41</t>
  </si>
  <si>
    <t>Vitis x interspécifique cv. Seibel 4111</t>
  </si>
  <si>
    <t>Vitis x interspécifique cv. Seibel 4121</t>
  </si>
  <si>
    <t>Vitis x interspécifique cv. Seibel 4132</t>
  </si>
  <si>
    <t>Vitis x interspécifique cv. Seibel 4464</t>
  </si>
  <si>
    <t>Vitis x interspécifique cv. Seibel 4499</t>
  </si>
  <si>
    <t>Vitis x interspécifique cv. Seibel 4504</t>
  </si>
  <si>
    <t>Vitis x interspécifique cv. Seibel 4559</t>
  </si>
  <si>
    <t>Vitis x interspécifique cv. Seibel 4589</t>
  </si>
  <si>
    <t>Vitis x interspécifique cv. Seibel 4603</t>
  </si>
  <si>
    <t>Vitis x interspécifique cv. Seibel 4605</t>
  </si>
  <si>
    <t>Vitis x interspécifique cv. Seibel 4614</t>
  </si>
  <si>
    <t>Vitis x interspécifique cv. Seibel 4615</t>
  </si>
  <si>
    <t>Vitis x interspécifique cv. Seibel 4629</t>
  </si>
  <si>
    <t>Vitis x interspécifique cv. Seibel 4633</t>
  </si>
  <si>
    <t>Vitis x interspécifique cv. Seibel 4636</t>
  </si>
  <si>
    <t>Vitis x interspécifique cv. Seibel 4638</t>
  </si>
  <si>
    <t>Vitis x interspécifique cv. Seibel 4644</t>
  </si>
  <si>
    <t>Vitis x interspécifique cv. Seibel 4648</t>
  </si>
  <si>
    <t>Vitis x interspécifique cv. Seibel 4669</t>
  </si>
  <si>
    <t>Vitis x interspécifique cv. Seibel 4672</t>
  </si>
  <si>
    <t>Vitis x interspécifique cv. Seibel 4677</t>
  </si>
  <si>
    <t>Vitis x interspécifique cv. Seibel 4681</t>
  </si>
  <si>
    <t>Vitis x interspécifique cv. Seibel 4697</t>
  </si>
  <si>
    <t>Vitis x interspécifique cv. Seibel 47</t>
  </si>
  <si>
    <t>Vitis x interspécifique cv. Seibel 4706</t>
  </si>
  <si>
    <t>Vitis x interspécifique cv. Seibel 4707</t>
  </si>
  <si>
    <t>Vitis x interspécifique cv. Seibel 4709</t>
  </si>
  <si>
    <t>Vitis x interspécifique cv. Seibel 4725</t>
  </si>
  <si>
    <t>Vitis x interspécifique cv. Seibel 4762</t>
  </si>
  <si>
    <t>Vitis x interspécifique cv. Seibel 4877 = 21 de Gléon</t>
  </si>
  <si>
    <t>Vitis x interspécifique cv. Seibel 491</t>
  </si>
  <si>
    <t>Vitis x interspécifique cv. Seibel 4955</t>
  </si>
  <si>
    <t>Vitis x interspécifique cv. Seibel 4964</t>
  </si>
  <si>
    <t>Vitis x interspécifique cv. Seibel 4982</t>
  </si>
  <si>
    <t>Vitis x interspécifique cv. Seibel 4987</t>
  </si>
  <si>
    <t>Vitis x interspécifique cv. Seibel 4989</t>
  </si>
  <si>
    <t>Vitis x interspécifique cv. Seibel 499</t>
  </si>
  <si>
    <t>Vitis x interspécifique cv. Seibel 4990</t>
  </si>
  <si>
    <t>Vitis x interspécifique cv. Seibel 4991</t>
  </si>
  <si>
    <t>Vitis x interspécifique cv. Seibel 4995</t>
  </si>
  <si>
    <t>Vitis x interspécifique cv. Seibel 5001</t>
  </si>
  <si>
    <t>Vitis x interspécifique cv. Seibel 5024</t>
  </si>
  <si>
    <t>Vitis x interspécifique cv. Seibel 5030</t>
  </si>
  <si>
    <t>Vitis x interspécifique cv. Seibel 5033</t>
  </si>
  <si>
    <t>Vitis x interspécifique cv. Seibel 5049</t>
  </si>
  <si>
    <t>Vitis x interspécifique cv. Seibel 5054</t>
  </si>
  <si>
    <t>Vitis x interspécifique cv. Seibel 5056</t>
  </si>
  <si>
    <t>Vitis x interspécifique cv. Seibel 5061</t>
  </si>
  <si>
    <t>Vitis x interspécifique cv. Seibel 5110</t>
  </si>
  <si>
    <t>Vitis x interspécifique cv. Seibel 5118</t>
  </si>
  <si>
    <t>Vitis x interspécifique cv. Seibel 5123</t>
  </si>
  <si>
    <t>Vitis x interspécifique cv. Seibel 5124</t>
  </si>
  <si>
    <t>Vitis x interspécifique cv. Seibel 5135</t>
  </si>
  <si>
    <t>Vitis x interspécifique cv. Seibel 5136</t>
  </si>
  <si>
    <t>Vitis x interspécifique cv. Seibel 5145</t>
  </si>
  <si>
    <t>Vitis x interspécifique cv. Seibel 5149</t>
  </si>
  <si>
    <t>Vitis x interspécifique cv. Seibel 5163</t>
  </si>
  <si>
    <t>Vitis x interspécifique cv. Seibel 5170</t>
  </si>
  <si>
    <t>Vitis x interspécifique cv. Seibel 5178</t>
  </si>
  <si>
    <t>Vitis x interspécifique cv. Seibel 5181</t>
  </si>
  <si>
    <t>Vitis x interspécifique cv. Seibel 5182</t>
  </si>
  <si>
    <t>Vitis x interspécifique cv. Seibel 5188</t>
  </si>
  <si>
    <t>Vitis x interspécifique cv. Seibel 5191</t>
  </si>
  <si>
    <t>Vitis x interspécifique cv. Seibel 5195</t>
  </si>
  <si>
    <t>Vitis x interspécifique cv. Seibel 5202</t>
  </si>
  <si>
    <t>Vitis x interspécifique cv. Seibel 5204</t>
  </si>
  <si>
    <t>Vitis x interspécifique cv. Seibel 5205</t>
  </si>
  <si>
    <t>Vitis x interspécifique cv. Seibel 5213</t>
  </si>
  <si>
    <t>Vitis x interspécifique cv. Seibel 5225</t>
  </si>
  <si>
    <t>Vitis x interspécifique cv. Seibel 5231</t>
  </si>
  <si>
    <t>Vitis x interspécifique cv. Seibel 5241</t>
  </si>
  <si>
    <t>Vitis x interspécifique cv. Seibel 5257</t>
  </si>
  <si>
    <t>Vitis x interspécifique cv. Seibel 5259</t>
  </si>
  <si>
    <t>Vitis x interspécifique cv. Seibel 5272</t>
  </si>
  <si>
    <t>Vitis x interspécifique cv. Seibel 5274</t>
  </si>
  <si>
    <t>Vitis x interspécifique cv. Seibel 5275</t>
  </si>
  <si>
    <t>Vitis x interspécifique cv. Seibel 5292</t>
  </si>
  <si>
    <t>Vitis x interspécifique cv. Seibel 5296</t>
  </si>
  <si>
    <t>Vitis x interspécifique cv. Seibel 5299</t>
  </si>
  <si>
    <t>Vitis x interspécifique cv. Seibel 5302</t>
  </si>
  <si>
    <t>Vitis x interspécifique cv. Seibel 5308</t>
  </si>
  <si>
    <t>Vitis x interspécifique cv. Seibel 5310</t>
  </si>
  <si>
    <t>Vitis x interspécifique cv. Seibel 5313</t>
  </si>
  <si>
    <t>Vitis x interspécifique cv. Seibel 5316</t>
  </si>
  <si>
    <t>Vitis x interspécifique cv. Seibel 5319</t>
  </si>
  <si>
    <t>Vitis x interspécifique cv. Seibel 5322</t>
  </si>
  <si>
    <t>Vitis x interspécifique cv. Seibel 5326</t>
  </si>
  <si>
    <t>Vitis x interspécifique cv. Seibel 5329</t>
  </si>
  <si>
    <t>Vitis x interspécifique cv. Seibel 5335</t>
  </si>
  <si>
    <t>Vitis x interspécifique cv. Seibel 5339</t>
  </si>
  <si>
    <t>Vitis x interspécifique cv. Seibel 5351</t>
  </si>
  <si>
    <t>Vitis x interspécifique cv. Seibel 5356</t>
  </si>
  <si>
    <t>Vitis x interspécifique cv. Seibel 5362</t>
  </si>
  <si>
    <t>Vitis x interspécifique cv. Seibel 5371</t>
  </si>
  <si>
    <t>Vitis x interspécifique cv. Seibel 5391</t>
  </si>
  <si>
    <t>Vitis x interspécifique cv. Seibel 54</t>
  </si>
  <si>
    <t>Vitis x interspécifique cv. Seibel 5405</t>
  </si>
  <si>
    <t>Vitis x interspécifique cv. Seibel 5408</t>
  </si>
  <si>
    <t>Vitis x interspécifique cv. Seibel 5409</t>
  </si>
  <si>
    <t>Vitis x interspécifique cv. Seibel 5410</t>
  </si>
  <si>
    <t>Vitis x interspécifique cv. Seibel 5412</t>
  </si>
  <si>
    <t>Vitis x interspécifique cv. Seibel 5431</t>
  </si>
  <si>
    <t>Vitis x interspécifique cv. Seibel 5437</t>
  </si>
  <si>
    <t>Vitis x interspécifique cv. Seibel 5450</t>
  </si>
  <si>
    <t>Vitis x interspécifique cv. Seibel 5466</t>
  </si>
  <si>
    <t>Vitis x interspécifique cv. Seibel 5474</t>
  </si>
  <si>
    <t>Vitis x interspécifique cv. Seibel 5484</t>
  </si>
  <si>
    <t>Vitis x interspécifique cv. Seibel 5485</t>
  </si>
  <si>
    <t>Vitis x interspécifique cv. Seibel 5486</t>
  </si>
  <si>
    <t>Vitis x interspécifique cv. Seibel 5487</t>
  </si>
  <si>
    <t>Vitis x interspécifique cv. Seibel 5504</t>
  </si>
  <si>
    <t>Vitis x interspécifique cv. Seibel 5539</t>
  </si>
  <si>
    <t>Vitis x interspécifique cv. Seibel 5551</t>
  </si>
  <si>
    <t>Vitis x interspécifique cv. Seibel 5560</t>
  </si>
  <si>
    <t>Vitis x interspécifique cv. Seibel 5561</t>
  </si>
  <si>
    <t>Vitis x interspécifique cv. Seibel 5574</t>
  </si>
  <si>
    <t>Vitis x interspécifique cv. Seibel 5580</t>
  </si>
  <si>
    <t>Vitis x interspécifique cv. Seibel 5586</t>
  </si>
  <si>
    <t>Vitis x interspécifique cv. Seibel 5593</t>
  </si>
  <si>
    <t>Vitis x interspécifique cv. Seibel 5624</t>
  </si>
  <si>
    <t>Vitis x interspécifique cv. Seibel 5632</t>
  </si>
  <si>
    <t>Vitis x interspécifique cv. Seibel 5652</t>
  </si>
  <si>
    <t>Vitis x interspécifique cv. Seibel 5653</t>
  </si>
  <si>
    <t>Vitis x interspécifique cv. Seibel 5656</t>
  </si>
  <si>
    <t>Vitis x interspécifique cv. Seibel 5658</t>
  </si>
  <si>
    <t>Vitis x interspécifique cv. Seibel 5663</t>
  </si>
  <si>
    <t>Vitis x interspécifique cv. Seibel 5683</t>
  </si>
  <si>
    <t>Vitis x interspécifique cv. Seibel 5689</t>
  </si>
  <si>
    <t>Vitis x interspécifique cv. Seibel 5717</t>
  </si>
  <si>
    <t>Vitis x interspécifique cv. Seibel 5744</t>
  </si>
  <si>
    <t>Vitis x interspécifique cv. Seibel 5757</t>
  </si>
  <si>
    <t>Vitis x interspécifique cv. Seibel 5763</t>
  </si>
  <si>
    <t>Vitis x interspécifique cv. Seibel 5773</t>
  </si>
  <si>
    <t>Vitis x interspécifique cv. Seibel 5775</t>
  </si>
  <si>
    <t>Vitis x interspécifique cv. Seibel 5778</t>
  </si>
  <si>
    <t>Vitis x interspécifique cv. Seibel 5785</t>
  </si>
  <si>
    <t>Vitis x interspécifique cv. Seibel 5810</t>
  </si>
  <si>
    <t>Vitis x interspécifique cv. Seibel 5813</t>
  </si>
  <si>
    <t>Vitis x interspécifique cv. Seibel 5815</t>
  </si>
  <si>
    <t>Vitis x interspécifique cv. Seibel 5819</t>
  </si>
  <si>
    <t>Vitis x interspécifique cv. Seibel 5820</t>
  </si>
  <si>
    <t>Vitis x interspécifique cv. Seibel 5826</t>
  </si>
  <si>
    <t>Vitis x interspécifique cv. Seibel 5839</t>
  </si>
  <si>
    <t>Vitis x interspécifique cv. Seibel 5854</t>
  </si>
  <si>
    <t>Vitis x interspécifique cv. Seibel 5860</t>
  </si>
  <si>
    <t>Vitis x interspécifique cv. Seibel 5883</t>
  </si>
  <si>
    <t>Vitis x interspécifique cv. Seibel 5889</t>
  </si>
  <si>
    <t>Vitis x interspécifique cv. Seibel 5890</t>
  </si>
  <si>
    <t>Vitis x interspécifique cv. Seibel 5891</t>
  </si>
  <si>
    <t>Vitis x interspécifique cv. Seibel 5897</t>
  </si>
  <si>
    <t>Vitis x interspécifique cv. Seibel 5900</t>
  </si>
  <si>
    <t>Vitis x interspécifique cv. Seibel 5903</t>
  </si>
  <si>
    <t>Vitis x interspécifique cv. Seibel 5907</t>
  </si>
  <si>
    <t>Vitis x interspécifique cv. Seibel 5908</t>
  </si>
  <si>
    <t>Vitis x interspécifique cv. Seibel 5912</t>
  </si>
  <si>
    <t>Vitis x interspécifique cv. Seibel 5915</t>
  </si>
  <si>
    <t>Vitis x interspécifique cv. Seibel 5916</t>
  </si>
  <si>
    <t>Vitis x interspécifique cv. Seibel 5917</t>
  </si>
  <si>
    <t>Vitis x interspécifique cv. Seibel 5937</t>
  </si>
  <si>
    <t>Vitis x interspécifique cv. Seibel 5946</t>
  </si>
  <si>
    <t>Vitis x interspécifique cv. Seibel 5952</t>
  </si>
  <si>
    <t>Vitis x interspécifique cv. Seibel 5966</t>
  </si>
  <si>
    <t>Vitis x interspécifique cv. Seibel 5979</t>
  </si>
  <si>
    <t>Vitis x interspécifique cv. Seibel 600</t>
  </si>
  <si>
    <t>Vitis x interspécifique cv. Seibel 6003</t>
  </si>
  <si>
    <t>Vitis x interspécifique cv. Seibel 6004</t>
  </si>
  <si>
    <t>Vitis x interspécifique cv. Seibel 6010</t>
  </si>
  <si>
    <t>Vitis x interspécifique cv. Seibel 6011</t>
  </si>
  <si>
    <t>Vitis x interspécifique cv. Seibel 6013</t>
  </si>
  <si>
    <t>Vitis x interspécifique cv. Seibel 6022</t>
  </si>
  <si>
    <t>Vitis x interspécifique cv. Seibel 6027</t>
  </si>
  <si>
    <t>Vitis x interspécifique cv. Seibel 6029</t>
  </si>
  <si>
    <t>Vitis x interspécifique cv. Seibel 6036</t>
  </si>
  <si>
    <t>Vitis x interspécifique cv. Seibel 6042</t>
  </si>
  <si>
    <t>Vitis x interspécifique cv. Seibel 6045</t>
  </si>
  <si>
    <t>Vitis x interspécifique cv. Seibel 6062</t>
  </si>
  <si>
    <t>Vitis x interspécifique cv. Seibel 6064</t>
  </si>
  <si>
    <t>Vitis x interspécifique cv. Seibel 6080</t>
  </si>
  <si>
    <t>Vitis x interspécifique cv. Seibel 6086</t>
  </si>
  <si>
    <t>Vitis x interspécifique cv. Seibel 6088</t>
  </si>
  <si>
    <t>Vitis x interspécifique cv. Seibel 6090</t>
  </si>
  <si>
    <t>Vitis x interspécifique cv. Seibel 6092</t>
  </si>
  <si>
    <t>Vitis x interspécifique cv. Seibel 6093</t>
  </si>
  <si>
    <t>Vitis x interspécifique cv. Seibel 6094</t>
  </si>
  <si>
    <t>Vitis x interspécifique cv. Seibel 6096</t>
  </si>
  <si>
    <t>Vitis x interspécifique cv. Seibel 6102</t>
  </si>
  <si>
    <t>Vitis x interspécifique cv. Seibel 6106</t>
  </si>
  <si>
    <t>Vitis x interspécifique cv. Seibel 6111</t>
  </si>
  <si>
    <t>Vitis x interspécifique cv. Seibel 6115</t>
  </si>
  <si>
    <t>Vitis x interspécifique cv. Seibel 6126</t>
  </si>
  <si>
    <t>Vitis x interspécifique cv. Seibel 6132</t>
  </si>
  <si>
    <t>Vitis x interspécifique cv. Seibel 6143</t>
  </si>
  <si>
    <t>Vitis x interspécifique cv. Seibel 6151</t>
  </si>
  <si>
    <t>Vitis x interspécifique cv. Seibel 6155</t>
  </si>
  <si>
    <t>Vitis x interspécifique cv. Seibel 6158</t>
  </si>
  <si>
    <t>Vitis x interspécifique cv. Seibel 6165</t>
  </si>
  <si>
    <t>Vitis x interspécifique cv. Seibel 6168</t>
  </si>
  <si>
    <t>Vitis x interspécifique cv. Seibel 6170</t>
  </si>
  <si>
    <t>Vitis x interspécifique cv. Seibel 6179</t>
  </si>
  <si>
    <t>Vitis x interspécifique cv. Seibel 6186</t>
  </si>
  <si>
    <t>Vitis x interspécifique cv. Seibel 6209</t>
  </si>
  <si>
    <t>Vitis x interspécifique cv. Seibel 6213</t>
  </si>
  <si>
    <t>Vitis x interspécifique cv. Seibel 6214</t>
  </si>
  <si>
    <t>Vitis x interspécifique cv. Seibel 6229</t>
  </si>
  <si>
    <t>Vitis x interspécifique cv. Seibel 6233</t>
  </si>
  <si>
    <t>Vitis x interspécifique cv. Seibel 6269</t>
  </si>
  <si>
    <t>Vitis x interspécifique cv. Seibel 6278</t>
  </si>
  <si>
    <t>Vitis x interspécifique cv. Seibel 6288</t>
  </si>
  <si>
    <t>Vitis x interspécifique cv. Seibel 6289</t>
  </si>
  <si>
    <t>Vitis x interspécifique cv. Seibel 6293</t>
  </si>
  <si>
    <t>Vitis x interspécifique cv. Seibel 63</t>
  </si>
  <si>
    <t>Vitis x interspécifique cv. Seibel 6318</t>
  </si>
  <si>
    <t>Vitis x interspécifique cv. Seibel 6339</t>
  </si>
  <si>
    <t>Vitis x interspécifique cv. Seibel 6350</t>
  </si>
  <si>
    <t>Vitis x interspécifique cv. Seibel 6403</t>
  </si>
  <si>
    <t>Vitis x interspécifique cv. Seibel 6419</t>
  </si>
  <si>
    <t>Vitis x interspécifique cv. Seibel 6423</t>
  </si>
  <si>
    <t>Vitis x interspécifique cv. Seibel 6425</t>
  </si>
  <si>
    <t>Vitis x interspécifique cv. Seibel 6426</t>
  </si>
  <si>
    <t>Vitis x interspécifique cv. Seibel 6439</t>
  </si>
  <si>
    <t>Vitis x interspécifique cv. Seibel 6455</t>
  </si>
  <si>
    <t>Vitis x interspécifique cv. Seibel 6460</t>
  </si>
  <si>
    <t>Vitis x interspécifique cv. Seibel 6468</t>
  </si>
  <si>
    <t>Vitis x interspécifique cv. Seibel 6478</t>
  </si>
  <si>
    <t>Vitis x interspécifique cv. Seibel 6484</t>
  </si>
  <si>
    <t>Vitis x interspécifique cv. Seibel 6488</t>
  </si>
  <si>
    <t>Vitis x interspécifique cv. Seibel 6491</t>
  </si>
  <si>
    <t>Vitis x interspécifique cv. Seibel 6496</t>
  </si>
  <si>
    <t>Vitis x interspécifique cv. Seibel 6500</t>
  </si>
  <si>
    <t>Vitis x interspécifique cv. Seibel 6572</t>
  </si>
  <si>
    <t>Vitis x interspécifique cv. Seibel 6578</t>
  </si>
  <si>
    <t>Vitis x interspécifique cv. Seibel 6605</t>
  </si>
  <si>
    <t>Vitis x interspécifique cv. Seibel 6606</t>
  </si>
  <si>
    <t>Vitis x interspécifique cv. Seibel 6623</t>
  </si>
  <si>
    <t>Vitis x interspécifique cv. Seibel 670</t>
  </si>
  <si>
    <t>Vitis x interspécifique cv. Seibel 6702</t>
  </si>
  <si>
    <t>Vitis x interspécifique cv. Seibel 6711</t>
  </si>
  <si>
    <t>Vitis x interspécifique cv. Seibel 6717</t>
  </si>
  <si>
    <t>Vitis x interspécifique cv. Seibel 6720</t>
  </si>
  <si>
    <t>Vitis x interspécifique cv. Seibel 6732</t>
  </si>
  <si>
    <t>Vitis x interspécifique cv. Seibel 6733</t>
  </si>
  <si>
    <t>Vitis x interspécifique cv. Seibel 6735</t>
  </si>
  <si>
    <t>Vitis x interspécifique cv. Seibel 6738</t>
  </si>
  <si>
    <t>Vitis x interspécifique cv. Seibel 6739</t>
  </si>
  <si>
    <t>Vitis x interspécifique cv. Seibel 6740</t>
  </si>
  <si>
    <t>Vitis x interspécifique cv. Seibel 6746</t>
  </si>
  <si>
    <t>Vitis x interspécifique cv. Seibel 6751</t>
  </si>
  <si>
    <t>Vitis x interspécifique cv. Seibel 6758</t>
  </si>
  <si>
    <t>Vitis x interspécifique cv. Seibel 6778</t>
  </si>
  <si>
    <t>Vitis x interspécifique cv. Seibel 6779</t>
  </si>
  <si>
    <t>Vitis x interspécifique cv. Seibel 6780</t>
  </si>
  <si>
    <t>Vitis x interspécifique cv. Seibel 6824</t>
  </si>
  <si>
    <t>Vitis x interspécifique cv. Seibel 6830</t>
  </si>
  <si>
    <t>Vitis x interspécifique cv. Seibel 6862</t>
  </si>
  <si>
    <t>Vitis x interspécifique cv. Seibel 6876</t>
  </si>
  <si>
    <t>Vitis x interspécifique cv. Seibel 6906</t>
  </si>
  <si>
    <t>Vitis x interspécifique cv. Seibel 6968</t>
  </si>
  <si>
    <t>Vitis x interspécifique cv. Seibel 6976</t>
  </si>
  <si>
    <t>Vitis x interspécifique cv. Seibel 6980</t>
  </si>
  <si>
    <t>Vitis x interspécifique cv. Seibel 70</t>
  </si>
  <si>
    <t>Vitis x interspécifique cv. Seibel 7000</t>
  </si>
  <si>
    <t>Vitis x interspécifique cv. Seibel 7001</t>
  </si>
  <si>
    <t>Vitis x interspécifique cv. Seibel 7005</t>
  </si>
  <si>
    <t>Vitis x interspécifique cv. Seibel 7011</t>
  </si>
  <si>
    <t>Vitis x interspécifique cv. Seibel 7016</t>
  </si>
  <si>
    <t>Vitis x interspécifique cv. Seibel 7022</t>
  </si>
  <si>
    <t>Vitis x interspécifique cv. Seibel 7033</t>
  </si>
  <si>
    <t>Vitis x interspécifique cv. Seibel 7036</t>
  </si>
  <si>
    <t>Vitis x interspécifique cv. Seibel 7042</t>
  </si>
  <si>
    <t>Vitis x interspécifique cv. Seibel 7044</t>
  </si>
  <si>
    <t>Vitis x interspécifique cv. Seibel 7046</t>
  </si>
  <si>
    <t>Vitis x interspécifique cv. Seibel 7047</t>
  </si>
  <si>
    <t>Vitis x interspécifique cv. Seibel 7052</t>
  </si>
  <si>
    <t>Vitis x interspécifique cv. Seibel 7056</t>
  </si>
  <si>
    <t>Vitis x interspécifique cv. Seibel 7071</t>
  </si>
  <si>
    <t>Vitis x interspécifique cv. Seibel 7080</t>
  </si>
  <si>
    <t>Vitis x interspécifique cv. Seibel 7082</t>
  </si>
  <si>
    <t>Vitis x interspécifique cv. Seibel 7085</t>
  </si>
  <si>
    <t>Vitis x interspécifique cv. Seibel 7090</t>
  </si>
  <si>
    <t>Vitis x interspécifique cv. Seibel 7093</t>
  </si>
  <si>
    <t>Vitis x interspécifique cv. Seibel 7099</t>
  </si>
  <si>
    <t>Vitis x interspécifique cv. Seibel 71</t>
  </si>
  <si>
    <t>Vitis x interspécifique cv. Seibel 7100</t>
  </si>
  <si>
    <t>Vitis x interspécifique cv. Seibel 7122 faux</t>
  </si>
  <si>
    <t>Vitis x interspécifique cv. Seibel 7123</t>
  </si>
  <si>
    <t>Vitis x interspécifique cv. Seibel 7130</t>
  </si>
  <si>
    <t>Vitis x interspécifique cv. Seibel 7135</t>
  </si>
  <si>
    <t>Vitis x interspécifique cv. Seibel 7136</t>
  </si>
  <si>
    <t>Vitis x interspécifique cv. Seibel 7140</t>
  </si>
  <si>
    <t>Vitis x interspécifique cv. Seibel 7144</t>
  </si>
  <si>
    <t>Vitis x interspécifique cv. Seibel 7145</t>
  </si>
  <si>
    <t>Vitis x interspécifique cv. Seibel 7157</t>
  </si>
  <si>
    <t>Vitis x interspécifique cv. Seibel 7162</t>
  </si>
  <si>
    <t>Vitis x interspécifique cv. Seibel 7181</t>
  </si>
  <si>
    <t>Vitis x interspécifique cv. Seibel 720</t>
  </si>
  <si>
    <t>Vitis x interspécifique cv. Seibel 7226</t>
  </si>
  <si>
    <t>Vitis x interspécifique cv. Seibel 7228</t>
  </si>
  <si>
    <t>Vitis x interspécifique cv. Seibel 7229</t>
  </si>
  <si>
    <t>Vitis x interspécifique cv. Seibel 7291</t>
  </si>
  <si>
    <t>Vitis x interspécifique cv. Seibel 7303</t>
  </si>
  <si>
    <t>Vitis x interspécifique cv. Seibel 7311</t>
  </si>
  <si>
    <t>Vitis x interspécifique cv. Seibel 7312</t>
  </si>
  <si>
    <t>Vitis x interspécifique cv. Seibel 7315</t>
  </si>
  <si>
    <t>Vitis x interspécifique cv. Seibel 7319</t>
  </si>
  <si>
    <t>Vitis x interspécifique cv. Seibel 7324</t>
  </si>
  <si>
    <t>Vitis x interspécifique cv. Seibel 7332</t>
  </si>
  <si>
    <t>Vitis x interspécifique cv. Seibel 7338</t>
  </si>
  <si>
    <t>Vitis x interspécifique cv. Seibel 7347</t>
  </si>
  <si>
    <t>Vitis x interspécifique cv. Seibel 7349</t>
  </si>
  <si>
    <t>Vitis x interspécifique cv. Seibel 7369</t>
  </si>
  <si>
    <t>Vitis x interspécifique cv. Seibel 7374</t>
  </si>
  <si>
    <t>Vitis x interspécifique cv. Seibel 7380</t>
  </si>
  <si>
    <t>Vitis x interspécifique cv. Seibel 7381</t>
  </si>
  <si>
    <t>Vitis x interspécifique cv. Seibel 7511</t>
  </si>
  <si>
    <t>Vitis x interspécifique cv. Seibel 7523</t>
  </si>
  <si>
    <t>Vitis x interspécifique cv. Seibel 7524</t>
  </si>
  <si>
    <t>Vitis x interspécifique cv. Seibel 753</t>
  </si>
  <si>
    <t>Vitis x interspécifique cv. Seibel 7530</t>
  </si>
  <si>
    <t>Vitis x interspécifique cv. Seibel 7545</t>
  </si>
  <si>
    <t>Vitis x interspécifique cv. Seibel 7566</t>
  </si>
  <si>
    <t>Vitis x interspécifique cv. Seibel 7568</t>
  </si>
  <si>
    <t>Vitis x interspécifique cv. Seibel 7574</t>
  </si>
  <si>
    <t>Vitis x interspécifique cv. Seibel 7584</t>
  </si>
  <si>
    <t>Vitis x interspécifique cv. Seibel 7587</t>
  </si>
  <si>
    <t>Vitis x interspécifique cv. Seibel 7598</t>
  </si>
  <si>
    <t>Vitis x interspécifique cv. Seibel 7603</t>
  </si>
  <si>
    <t>Vitis x interspécifique cv. Seibel 7606</t>
  </si>
  <si>
    <t>Vitis x interspécifique cv. Seibel 7608</t>
  </si>
  <si>
    <t>Vitis x interspécifique cv. Seibel 7609</t>
  </si>
  <si>
    <t>Vitis x interspécifique cv. Seibel 7617</t>
  </si>
  <si>
    <t>Vitis x interspécifique cv. Seibel 7620</t>
  </si>
  <si>
    <t>Vitis x interspécifique cv. Seibel 7622</t>
  </si>
  <si>
    <t>Vitis x interspécifique cv. Seibel 7632</t>
  </si>
  <si>
    <t>Vitis x interspécifique cv. Seibel 7635</t>
  </si>
  <si>
    <t>Vitis x interspécifique cv. Seibel 7668</t>
  </si>
  <si>
    <t>Vitis x interspécifique cv. Seibel 7672</t>
  </si>
  <si>
    <t>Vitis x interspécifique cv. Seibel 7673</t>
  </si>
  <si>
    <t>Vitis x interspécifique cv. Seibel 7721</t>
  </si>
  <si>
    <t>Vitis x interspécifique cv. Seibel 7787</t>
  </si>
  <si>
    <t>Vitis x interspécifique cv. Seibel 7791</t>
  </si>
  <si>
    <t>Vitis x interspécifique cv. Seibel 78</t>
  </si>
  <si>
    <t>Vitis x interspécifique cv. Seibel 7808</t>
  </si>
  <si>
    <t>Vitis x interspécifique cv. Seibel 782</t>
  </si>
  <si>
    <t>Vitis x interspécifique cv. Seibel 7822</t>
  </si>
  <si>
    <t>Vitis x interspécifique cv. Seibel 7828</t>
  </si>
  <si>
    <t>Vitis x interspécifique cv. Seibel 7833</t>
  </si>
  <si>
    <t>Vitis x interspécifique cv. Seibel 7871</t>
  </si>
  <si>
    <t>Vitis x interspécifique cv. Seibel 7882</t>
  </si>
  <si>
    <t>Vitis x interspécifique cv. Seibel 7892</t>
  </si>
  <si>
    <t>Vitis x interspécifique cv. Seibel 7905</t>
  </si>
  <si>
    <t>Vitis x interspécifique cv. Seibel 7963</t>
  </si>
  <si>
    <t>Vitis x interspécifique cv. Seibel 7984</t>
  </si>
  <si>
    <t>Vitis x interspécifique cv. Seibel 8</t>
  </si>
  <si>
    <t>Vitis x interspécifique cv. Seibel 8101</t>
  </si>
  <si>
    <t>Vitis x interspécifique cv. Seibel 8116</t>
  </si>
  <si>
    <t>Vitis x interspécifique cv. Seibel 8120</t>
  </si>
  <si>
    <t>Vitis x interspécifique cv. Seibel 8134</t>
  </si>
  <si>
    <t>Vitis x interspécifique cv. Seibel 82</t>
  </si>
  <si>
    <t>Vitis x interspécifique cv. Seibel 8203</t>
  </si>
  <si>
    <t>Vitis x interspécifique cv. Seibel 8206</t>
  </si>
  <si>
    <t>Vitis x interspécifique cv. Seibel 8209</t>
  </si>
  <si>
    <t>Vitis x interspécifique cv. Seibel 8213</t>
  </si>
  <si>
    <t>Vitis x interspécifique cv. Seibel 8214</t>
  </si>
  <si>
    <t>Vitis x interspécifique cv. Seibel 8216</t>
  </si>
  <si>
    <t>Vitis x interspécifique cv. Seibel 8217</t>
  </si>
  <si>
    <t>Vitis x interspécifique cv. Seibel 8218</t>
  </si>
  <si>
    <t>Vitis x interspécifique cv. Seibel 8219</t>
  </si>
  <si>
    <t>Vitis x interspécifique cv. Seibel 8220</t>
  </si>
  <si>
    <t>Vitis x interspécifique cv. Seibel 8223</t>
  </si>
  <si>
    <t>Vitis x interspécifique cv. Seibel 8224</t>
  </si>
  <si>
    <t>Vitis x interspécifique cv. Seibel 8225</t>
  </si>
  <si>
    <t>Vitis x interspécifique cv. Seibel 8229</t>
  </si>
  <si>
    <t>Vitis x interspécifique cv. Seibel 8231</t>
  </si>
  <si>
    <t>Vitis x interspécifique cv. Seibel 8238</t>
  </si>
  <si>
    <t>Vitis x interspécifique cv. Seibel 8239</t>
  </si>
  <si>
    <t>Vitis x interspécifique cv. Seibel 8243</t>
  </si>
  <si>
    <t>Vitis x interspécifique cv. Seibel 8259</t>
  </si>
  <si>
    <t>Vitis x interspécifique cv. Seibel 8265</t>
  </si>
  <si>
    <t>Vitis x interspécifique cv. Seibel 8336</t>
  </si>
  <si>
    <t>Vitis x interspécifique cv. Seibel 8337</t>
  </si>
  <si>
    <t>Vitis x interspécifique cv. Seibel 8343</t>
  </si>
  <si>
    <t>Vitis x interspécifique cv. Seibel 8355</t>
  </si>
  <si>
    <t>Vitis x interspécifique cv. Seibel 8361</t>
  </si>
  <si>
    <t>Vitis x interspécifique cv. Seibel 8365</t>
  </si>
  <si>
    <t>Vitis x interspécifique cv. Seibel 8376</t>
  </si>
  <si>
    <t>Vitis x interspécifique cv. Seibel 8380</t>
  </si>
  <si>
    <t>Vitis x interspécifique cv. Seibel 8382</t>
  </si>
  <si>
    <t>Vitis x interspécifique cv. Seibel 8390</t>
  </si>
  <si>
    <t>Vitis x interspécifique cv. Seibel 8392</t>
  </si>
  <si>
    <t>Vitis x interspécifique cv. Seibel 8397</t>
  </si>
  <si>
    <t>Vitis x interspécifique cv. Seibel 8402</t>
  </si>
  <si>
    <t>Vitis x interspécifique cv. Seibel 8407</t>
  </si>
  <si>
    <t>Vitis x interspécifique cv. Seibel 8418</t>
  </si>
  <si>
    <t>Vitis x interspécifique cv. Seibel 8447</t>
  </si>
  <si>
    <t>Vitis x interspécifique cv. Seibel 85</t>
  </si>
  <si>
    <t>Vitis x interspécifique cv. Seibel 8515</t>
  </si>
  <si>
    <t>Vitis x interspécifique cv. Seibel 8541</t>
  </si>
  <si>
    <t>Vitis x interspécifique cv. Seibel 8602</t>
  </si>
  <si>
    <t>Vitis x interspécifique cv. Seibel 8611</t>
  </si>
  <si>
    <t>Vitis x interspécifique cv. Seibel 8616</t>
  </si>
  <si>
    <t>Vitis x interspécifique cv. Seibel 8620</t>
  </si>
  <si>
    <t>Vitis x interspécifique cv. Seibel 8647</t>
  </si>
  <si>
    <t>Vitis x interspécifique cv. Seibel 867</t>
  </si>
  <si>
    <t>Vitis x interspécifique cv. Seibel 8675</t>
  </si>
  <si>
    <t>Vitis x interspécifique cv. Seibel 8678</t>
  </si>
  <si>
    <t>Vitis x interspécifique cv. Seibel 87</t>
  </si>
  <si>
    <t>Vitis x interspécifique cv. Seibel 8704</t>
  </si>
  <si>
    <t>Vitis x interspécifique cv. Seibel 8710</t>
  </si>
  <si>
    <t>Vitis x interspécifique cv. Seibel 8712</t>
  </si>
  <si>
    <t>Vitis x interspécifique cv. Seibel 8713</t>
  </si>
  <si>
    <t>Vitis x interspécifique cv. Seibel 8716</t>
  </si>
  <si>
    <t>Vitis x interspécifique cv. Seibel 8717</t>
  </si>
  <si>
    <t>Vitis x interspécifique cv. Seibel 8718</t>
  </si>
  <si>
    <t>Vitis x interspécifique cv. Seibel 8719</t>
  </si>
  <si>
    <t>Vitis x interspécifique cv. Seibel 8724</t>
  </si>
  <si>
    <t>Vitis x interspécifique cv. Seibel 8731</t>
  </si>
  <si>
    <t>Vitis x interspécifique cv. Seibel 8744</t>
  </si>
  <si>
    <t>Vitis x interspécifique cv. Seibel 8748</t>
  </si>
  <si>
    <t>Vitis x interspécifique cv. Seibel 8753</t>
  </si>
  <si>
    <t>Vitis x interspécifique cv. Seibel 8764</t>
  </si>
  <si>
    <t>Vitis x interspécifique cv. Seibel 877</t>
  </si>
  <si>
    <t>Vitis x interspécifique cv. Seibel 8786</t>
  </si>
  <si>
    <t>Vitis x interspécifique cv. Seibel 880</t>
  </si>
  <si>
    <t>Vitis x interspécifique cv. Seibel 8818</t>
  </si>
  <si>
    <t>Vitis x interspécifique cv. Seibel 8820</t>
  </si>
  <si>
    <t>Vitis x interspécifique cv. Seibel 8824</t>
  </si>
  <si>
    <t>Vitis x interspécifique cv. Seibel 8831</t>
  </si>
  <si>
    <t>Vitis x interspécifique cv. Seibel 8902</t>
  </si>
  <si>
    <t>Vitis x interspécifique cv. Seibel 8906</t>
  </si>
  <si>
    <t>Vitis x interspécifique cv. Seibel 8907</t>
  </si>
  <si>
    <t>Vitis x interspécifique cv. Seibel 8916</t>
  </si>
  <si>
    <t>Vitis x interspécifique cv. Seibel 8917</t>
  </si>
  <si>
    <t>Vitis x interspécifique cv. Seibel 8943</t>
  </si>
  <si>
    <t>Vitis x interspécifique cv. Seibel 8954</t>
  </si>
  <si>
    <t>Vitis x interspécifique cv. Seibel 8974</t>
  </si>
  <si>
    <t>Vitis x interspécifique cv. Seibel 9008</t>
  </si>
  <si>
    <t>Vitis x interspécifique cv. Seibel 9045</t>
  </si>
  <si>
    <t>Vitis x interspécifique cv. Seibel 9095</t>
  </si>
  <si>
    <t>Vitis x interspécifique cv. Seibel 9110</t>
  </si>
  <si>
    <t>Vitis x interspécifique cv. Seibel 9116</t>
  </si>
  <si>
    <t>Vitis x interspécifique cv. Seibel 9123</t>
  </si>
  <si>
    <t>Vitis x interspécifique cv. Seibel 9175</t>
  </si>
  <si>
    <t>Vitis x interspécifique cv. Seibel 9246</t>
  </si>
  <si>
    <t>Vitis x interspécifique cv. Seibel 9249</t>
  </si>
  <si>
    <t>Vitis x interspécifique cv. Seibel 9413</t>
  </si>
  <si>
    <t>Vitis x interspécifique cv. Seibel 9458</t>
  </si>
  <si>
    <t>Vitis x interspécifique cv. Seibel 9569</t>
  </si>
  <si>
    <t>Vitis x interspécifique cv. Seibel 9780</t>
  </si>
  <si>
    <t>Vitis x interspécifique cv. Seibel 9872</t>
  </si>
  <si>
    <t>Vitis x interspécifique cv. Seibel 9875/8</t>
  </si>
  <si>
    <t>Vitis x interspécifique cv. Seibel 9932</t>
  </si>
  <si>
    <t>Vitis x interspécifique cv. Seinoir = Seibel 8745</t>
  </si>
  <si>
    <t>Vitis x interspécifique cv. Semis de 41 B (Malleu)</t>
  </si>
  <si>
    <t>Vitis x interspécifique cv. Seyval = Seyve-Villard 5-276</t>
  </si>
  <si>
    <t>Vitis x interspécifique cv. Seyve Villard 23-23</t>
  </si>
  <si>
    <t>Vitis x interspécifique cv. Seyve-Villard 10-271</t>
  </si>
  <si>
    <t>Vitis x interspécifique cv. Seyve-Villard 10-300</t>
  </si>
  <si>
    <t>Vitis x interspécifique cv. Seyve-Villard 10-319</t>
  </si>
  <si>
    <t>Vitis x interspécifique cv. Seyve-Villard 10-347</t>
  </si>
  <si>
    <t>Vitis x interspécifique cv. Seyve-Villard 11-318</t>
  </si>
  <si>
    <t>Vitis x interspécifique cv. Seyve-Villard 12-129</t>
  </si>
  <si>
    <t>Vitis x interspécifique cv. Seyve-Villard 12-132</t>
  </si>
  <si>
    <t>Vitis x interspécifique cv. Seyve-Villard 12-259</t>
  </si>
  <si>
    <t>Vitis x interspécifique cv. Seyve-Villard 12-267</t>
  </si>
  <si>
    <t>Vitis x interspécifique cv. Seyve-Villard 12-286</t>
  </si>
  <si>
    <t>Vitis x interspécifique cv. Seyve-Villard 12-303</t>
  </si>
  <si>
    <t>Vitis x interspécifique cv. Seyve-Villard 12-308</t>
  </si>
  <si>
    <t>Vitis x interspécifique cv. Seyve-Villard 12-327</t>
  </si>
  <si>
    <t>Vitis x interspécifique cv. Seyve-Villard 12-328</t>
  </si>
  <si>
    <t>Vitis x interspécifique cv. Seyve-Villard 12-331</t>
  </si>
  <si>
    <t>Vitis x interspécifique cv. Seyve-Villard 12-347</t>
  </si>
  <si>
    <t>Vitis x interspécifique cv. Seyve-Villard 12-358</t>
  </si>
  <si>
    <t>Vitis x interspécifique cv. Seyve-Villard 12-364</t>
  </si>
  <si>
    <t>Vitis x interspécifique cv. Seyve-Villard 12-390</t>
  </si>
  <si>
    <t>Vitis x interspécifique cv. Seyve-Villard 12-391</t>
  </si>
  <si>
    <t>Vitis x interspécifique cv. Seyve-Villard 12-395</t>
  </si>
  <si>
    <t>Vitis x interspécifique cv. Seyve-Villard 12-397</t>
  </si>
  <si>
    <t>Vitis x interspécifique cv. Seyve-Villard 12-401</t>
  </si>
  <si>
    <t>Vitis x interspécifique cv. Seyve-Villard 12-413</t>
  </si>
  <si>
    <t>Vitis x interspécifique cv. Seyve-Villard 12-417</t>
  </si>
  <si>
    <t>Vitis x interspécifique cv. Seyve-Villard 12-426</t>
  </si>
  <si>
    <t>Vitis x interspécifique cv. Seyve-Villard 12-474</t>
  </si>
  <si>
    <t>Vitis x interspécifique cv. Seyve-Villard 12-481</t>
  </si>
  <si>
    <t>Vitis x interspécifique cv. Seyve-Villard 12-622</t>
  </si>
  <si>
    <t>Vitis x interspécifique cv. Seyve-Villard 12-734</t>
  </si>
  <si>
    <t>Vitis x interspécifique cv. Seyve-Villard 12-789</t>
  </si>
  <si>
    <t>Vitis x interspécifique cv. Seyve-Villard 13-359</t>
  </si>
  <si>
    <t>Vitis x interspécifique cv. Seyve-Villard 14-270</t>
  </si>
  <si>
    <t>Vitis x interspécifique cv. Seyve-Villard 14-281</t>
  </si>
  <si>
    <t>Vitis x interspécifique cv. Seyve-Villard 14-287</t>
  </si>
  <si>
    <t>Vitis x interspécifique cv. Seyve-Villard 14-472</t>
  </si>
  <si>
    <t>Vitis x interspécifique cv. Seyve-Villard 15-151</t>
  </si>
  <si>
    <t>Vitis x interspécifique cv. Seyve-Villard 15-174</t>
  </si>
  <si>
    <t>Vitis x interspécifique cv. Seyve-Villard 15-403</t>
  </si>
  <si>
    <t>Vitis x interspécifique cv. Seyve-Villard 15-505</t>
  </si>
  <si>
    <t>Vitis x interspécifique cv. Seyve-Villard 16-207</t>
  </si>
  <si>
    <t>Vitis x interspécifique cv. Seyve-Villard 1-72</t>
  </si>
  <si>
    <t>Vitis x interspécifique cv. Seyve-Villard 18-118</t>
  </si>
  <si>
    <t>Vitis x interspécifique cv. Seyve-Villard 18-304</t>
  </si>
  <si>
    <t>Vitis x interspécifique cv. Seyve-Villard 18-307</t>
  </si>
  <si>
    <t>Vitis x interspécifique cv. Seyve-Villard 18-402</t>
  </si>
  <si>
    <t>Vitis x interspécifique cv. Seyve-Villard 18-422</t>
  </si>
  <si>
    <t>Vitis x interspécifique cv. Seyve-Villard 18-425</t>
  </si>
  <si>
    <t>Vitis x interspécifique cv. Seyve-Villard 19-159</t>
  </si>
  <si>
    <t>Vitis x interspécifique cv. Seyve-Villard 19-228</t>
  </si>
  <si>
    <t>Vitis x interspécifique cv. Seyve-Villard 19-233</t>
  </si>
  <si>
    <t>Vitis x interspécifique cv. Seyve-Villard 19-275</t>
  </si>
  <si>
    <t>Vitis x interspécifique cv. Seyve-Villard 19-409</t>
  </si>
  <si>
    <t>Vitis x interspécifique cv. Seyve-Villard 19-410</t>
  </si>
  <si>
    <t>Vitis x interspécifique cv. Seyve-Villard 19-421</t>
  </si>
  <si>
    <t>Vitis x interspécifique cv. Seyve-Villard 19-439</t>
  </si>
  <si>
    <t>Vitis x interspécifique cv. Seyve-Villard 22-130</t>
  </si>
  <si>
    <t>Vitis x interspécifique cv. Seyve-Villard 22-140</t>
  </si>
  <si>
    <t>Vitis x interspécifique cv. Seyve-Villard 22-228</t>
  </si>
  <si>
    <t>Vitis x interspécifique cv. Seyve-Villard 22-25</t>
  </si>
  <si>
    <t>Vitis x interspécifique cv. Seyve-Villard 23-10</t>
  </si>
  <si>
    <t>Vitis x interspécifique cv. Seyve-Villard 23-118</t>
  </si>
  <si>
    <t>Vitis x interspécifique cv. Seyve-Villard 23120</t>
  </si>
  <si>
    <t>Vitis x interspécifique cv. Seyve-Villard 23-18</t>
  </si>
  <si>
    <t>Vitis x interspécifique cv. Seyve-Villard 23-251</t>
  </si>
  <si>
    <t>Vitis x interspécifique cv. Seyve-Villard 23-286</t>
  </si>
  <si>
    <t>Vitis x interspécifique cv. Seyve-Villard 23-296</t>
  </si>
  <si>
    <t>Vitis x interspécifique cv. Seyve-Villard 23-314</t>
  </si>
  <si>
    <t>Vitis x interspécifique cv. Seyve-Villard 23-346</t>
  </si>
  <si>
    <t>Vitis x interspécifique cv. Seyve-Villard 23-350</t>
  </si>
  <si>
    <t>Vitis x interspécifique cv. Seyve-Villard 23-353</t>
  </si>
  <si>
    <t>Vitis x interspécifique cv. Seyve-Villard 23-356</t>
  </si>
  <si>
    <t>Vitis x interspécifique cv. Seyve-Villard 23-359</t>
  </si>
  <si>
    <t>Vitis x interspécifique cv. Seyve-Villard 23-36</t>
  </si>
  <si>
    <t>Vitis x interspécifique cv. Seyve-Villard 23-369</t>
  </si>
  <si>
    <t>Vitis x interspécifique cv. Seyve-Villard 23-400</t>
  </si>
  <si>
    <t>Vitis x interspécifique cv. Seyve-Villard 23-421</t>
  </si>
  <si>
    <t>Vitis x interspécifique cv. Seyve-Villard 23-501</t>
  </si>
  <si>
    <t>Vitis x interspécifique cv. Seyve-Villard 23-502</t>
  </si>
  <si>
    <t>Vitis x interspécifique cv. Seyve-Villard 23-504</t>
  </si>
  <si>
    <t>Vitis x interspécifique cv. Seyve-Villard 23-510</t>
  </si>
  <si>
    <t>Vitis x interspécifique cv. Seyve-Villard 23-512</t>
  </si>
  <si>
    <t>Vitis x interspécifique cv. Seyve-Villard 23-519</t>
  </si>
  <si>
    <t>Vitis x interspécifique cv. Seyve-Villard 23-545</t>
  </si>
  <si>
    <t>Vitis x interspécifique cv. Seyve-Villard 23-564</t>
  </si>
  <si>
    <t>Vitis x interspécifique cv. Seyve-Villard 23-841</t>
  </si>
  <si>
    <t>Vitis x interspécifique cv. Seyve-Villard 23-898</t>
  </si>
  <si>
    <t>Vitis x interspécifique cv. Seyve-Villard 24-280</t>
  </si>
  <si>
    <t>Vitis x interspécifique cv. Seyve-Villard 24-282</t>
  </si>
  <si>
    <t>Vitis x interspécifique cv. Seyve-Villard 24-397</t>
  </si>
  <si>
    <t>Vitis x interspécifique cv. Seyve-Villard 24-418</t>
  </si>
  <si>
    <t>Vitis x interspécifique cv. Seyve-Villard 24-520</t>
  </si>
  <si>
    <t>Vitis x interspécifique cv. Seyve-Villard 24-531</t>
  </si>
  <si>
    <t>Vitis x interspécifique cv. Seyve-Villard 24-535</t>
  </si>
  <si>
    <t>Vitis x interspécifique cv. Seyve-Villard 24-614</t>
  </si>
  <si>
    <t>Vitis x interspécifique cv. Seyve-Villard 26-166</t>
  </si>
  <si>
    <t>Vitis x interspécifique cv. Seyve-Villard 26-205</t>
  </si>
  <si>
    <t>Vitis x interspécifique cv. Seyve-Villard 26-482</t>
  </si>
  <si>
    <t>Vitis x interspécifique cv. Seyve-Villard 26-490</t>
  </si>
  <si>
    <t>Vitis x interspécifique cv. Seyve-Villard 26-924</t>
  </si>
  <si>
    <t>Vitis x interspécifique cv. Seyve-Villard 27-236</t>
  </si>
  <si>
    <t>Vitis x interspécifique cv. Seyve-Villard 27-350</t>
  </si>
  <si>
    <t>Vitis x interspécifique cv. Seyve-Villard 27-531</t>
  </si>
  <si>
    <t>Vitis x interspécifique cv. Seyve-Villard 27-91</t>
  </si>
  <si>
    <t>Vitis x interspécifique cv. Seyve-Villard 28-415</t>
  </si>
  <si>
    <t>Vitis x interspécifique cv. Seyve-Villard 28-497</t>
  </si>
  <si>
    <t>Vitis x interspécifique cv. Seyve-Villard 28-527</t>
  </si>
  <si>
    <t>Vitis x interspécifique cv. Seyve-Villard 28-86</t>
  </si>
  <si>
    <t>Vitis x interspécifique cv. Seyve-Villard 29-399</t>
  </si>
  <si>
    <t>Vitis x interspécifique cv. Seyve-Villard 30-5</t>
  </si>
  <si>
    <t>Vitis x interspécifique cv. Seyve-Villard 30-56</t>
  </si>
  <si>
    <t>Vitis x interspécifique cv. Seyve-Villard 31-358</t>
  </si>
  <si>
    <t>Vitis x interspécifique cv. Seyve-Villard 3-160</t>
  </si>
  <si>
    <t>Vitis x interspécifique cv. Seyve-Villard 33-412</t>
  </si>
  <si>
    <t>Vitis x interspécifique cv. Seyve-Villard 34-211</t>
  </si>
  <si>
    <t>Vitis x interspécifique cv. Seyve-Villard 34-273</t>
  </si>
  <si>
    <t>Vitis x interspécifique cv. Seyve-Villard 36-152</t>
  </si>
  <si>
    <t>Vitis x interspécifique cv. Seyve-Villard 39-229</t>
  </si>
  <si>
    <t>Vitis x interspécifique cv. Seyve-Villard 39-522</t>
  </si>
  <si>
    <t>Vitis x interspécifique cv. Seyve-Villard 39-639</t>
  </si>
  <si>
    <t>Vitis x interspécifique cv. Seyve-Villard 41-471</t>
  </si>
  <si>
    <t>Vitis x interspécifique cv. Seyve-Villard 43-438</t>
  </si>
  <si>
    <t>Vitis x interspécifique cv. Seyve-Villard 45-440</t>
  </si>
  <si>
    <t>Vitis x interspécifique cv. Seyve-Villard 46-215</t>
  </si>
  <si>
    <t>Vitis x interspécifique cv. Seyve-Villard 46-434</t>
  </si>
  <si>
    <t>Vitis x interspécifique cv. Seyve-Villard 5-247</t>
  </si>
  <si>
    <t>Vitis x interspécifique cv. Seyve-Villard 7-111</t>
  </si>
  <si>
    <t>Vitis x interspécifique cv. Seyve-Villard 7-135</t>
  </si>
  <si>
    <t>Vitis x interspécifique cv. Seyve-Villard 7-216</t>
  </si>
  <si>
    <t>Vitis x interspécifique cv. Seyve-Villard 7-235</t>
  </si>
  <si>
    <t>Vitis x interspécifique cv. Siegfried rèbe</t>
  </si>
  <si>
    <t>Vitis x interspécifique cv. Sioux</t>
  </si>
  <si>
    <t>Vitis x interspécifique cv. Sirius</t>
  </si>
  <si>
    <t>Vitis x interspécifique cv. Solaris</t>
  </si>
  <si>
    <t>Vitis x interspécifique cv. Solonis</t>
  </si>
  <si>
    <t>Vitis x interspécifique cv. Solonis x Goldriesling</t>
  </si>
  <si>
    <t>Vitis x interspécifique cv. Sori = 353 Geisenheim</t>
  </si>
  <si>
    <t>Vitis x interspécifique cv. SO4 = Sélection Oppenheim 4</t>
  </si>
  <si>
    <t>Vitis x interspécifique cv. Staufer</t>
  </si>
  <si>
    <t>Vitis x interspécifique cv. Sulima</t>
  </si>
  <si>
    <t>Vitis x interspécifique cv. Super 99 Richter</t>
  </si>
  <si>
    <t>Vitis x interspécifique cv. Superbe</t>
  </si>
  <si>
    <t>Vitis x interspécifique cv. Surfin blanc</t>
  </si>
  <si>
    <t>Vitis x interspécifique cv. Sylvestre Warre</t>
  </si>
  <si>
    <t>Vitis x interspécifique cv. Takao</t>
  </si>
  <si>
    <t>Vitis x interspécifique cv. Tank = Couderc 4401</t>
  </si>
  <si>
    <t>Vitis x interspécifique cv. Téhère doré = Tissier Ravat 578</t>
  </si>
  <si>
    <t>Vitis x interspécifique cv. Teleki 10 A</t>
  </si>
  <si>
    <t>Vitis x interspécifique cv. Teresa Pirovano = Pirovano 192</t>
  </si>
  <si>
    <t>Vitis x interspécifique cv. Termidoro = Pirovano 33</t>
  </si>
  <si>
    <t>Vitis x interspécifique cv. Terzi 1</t>
  </si>
  <si>
    <t>Vitis x interspécifique cv. Terzi 108-6</t>
  </si>
  <si>
    <t>Vitis x interspécifique cv. Terzi 111-4</t>
  </si>
  <si>
    <t>Vitis x interspécifique cv. Terzi 1-6</t>
  </si>
  <si>
    <t>Vitis x interspécifique cv. Terzi 6-26</t>
  </si>
  <si>
    <t>Vitis x interspécifique cv. Terzi 6-6</t>
  </si>
  <si>
    <t>Vitis x interspécifique cv. Terzi 72-6</t>
  </si>
  <si>
    <t>Vitis x interspécifique cv. Terzi 78-13</t>
  </si>
  <si>
    <t>Vitis x interspécifique cv. Tinctarel n° 2 = Galibert 182-15</t>
  </si>
  <si>
    <t>Vitis x interspécifique cv. Tinctarel N°1 = Galibert 182-14</t>
  </si>
  <si>
    <t>Vitis x interspécifique cv. Tôtmur = Baco 2-16</t>
  </si>
  <si>
    <t>Vitis x interspécifique cv. Tréblanc</t>
  </si>
  <si>
    <t>Vitis x interspécifique cv. Triomphe d'Alsace = Kühlmann 319-3</t>
  </si>
  <si>
    <t>Vitis x interspécifique cv. Union Village</t>
  </si>
  <si>
    <t>Vitis x interspécifique cv. Uvade blanche n° 1 = Galibert 221-32</t>
  </si>
  <si>
    <t>Vitis x interspécifique cv. Uvade blanche n° 3 = Galibert 223-61</t>
  </si>
  <si>
    <t>Vitis x interspécifique cv. Uvade blanche n°2 = Galibert 223-59</t>
  </si>
  <si>
    <t>Vitis x interspécifique cv. Uvade blanche n°4 = Galibert 223-77</t>
  </si>
  <si>
    <t>Vitis x interspécifique cv. Uvanère</t>
  </si>
  <si>
    <t>Vitis x interspécifique cv. Uvette blanche n°1 = Galibert 239-41</t>
  </si>
  <si>
    <t>Vitis x interspécifique cv. Uvette blanche n°2 = Galibert 239-44</t>
  </si>
  <si>
    <t>Vitis x interspécifique cv. Uvette dorée n°1 = Galibert 230-91</t>
  </si>
  <si>
    <t>Vitis x interspécifique cv. Uvette dorée n°2 = Galibert 238-70</t>
  </si>
  <si>
    <t>Vitis x interspécifique cv. Uvine</t>
  </si>
  <si>
    <t>Vitis x interspécifique cv. V 15</t>
  </si>
  <si>
    <t>Vitis x interspécifique cv. Valérien = Seyve-Villard 23-410</t>
  </si>
  <si>
    <t>Vitis x interspécifique cv. Varousset = Seyve-Villard 23-657</t>
  </si>
  <si>
    <t>Vitis x interspécifique cv. Venango</t>
  </si>
  <si>
    <t>Vitis x interspécifique cv. Vialla</t>
  </si>
  <si>
    <t>Vitis x interspécifique cv. Victoire = Kühlmann 272-1</t>
  </si>
  <si>
    <t>Vitis x interspécifique cv. Vidal 254</t>
  </si>
  <si>
    <t>Vitis x interspécifique cv. Vidal 256</t>
  </si>
  <si>
    <t>Vitis x interspécifique cv. Vidal 286</t>
  </si>
  <si>
    <t>Vitis x interspécifique cv. Villard blanc = Seyve-Villard 12-375</t>
  </si>
  <si>
    <t>Vitis x interspécifique cv. Villard noir = Seyve-Villard 18-315</t>
  </si>
  <si>
    <t>Vitis x interspécifique cv. vinifera x aestivalis</t>
  </si>
  <si>
    <t>Vitis x interspécifique cv. vinifera x aestivalis x labrusca</t>
  </si>
  <si>
    <t>Vitis x interspécifique cv. vinifera x berlandieri</t>
  </si>
  <si>
    <t>Vitis x interspécifique cv. vinifera x californica</t>
  </si>
  <si>
    <t>Vitis x interspécifique cv. Vosgien</t>
  </si>
  <si>
    <t>Vitis x interspécifique cv. Wilhelma 1</t>
  </si>
  <si>
    <t>Vitis x interspécifique cv. Wilson grape = Kühlmann 252-1</t>
  </si>
  <si>
    <t>Vitis x interspécifique cv. 10-11</t>
  </si>
  <si>
    <t>Vitis x interspécifique cv. 101-14 MGT = Millardet et de Grasset 101-14</t>
  </si>
  <si>
    <t>Vitis x interspécifique cv. 102 EM</t>
  </si>
  <si>
    <t>Vitis x interspécifique cv. 10-5</t>
  </si>
  <si>
    <t>Vitis x interspécifique cv. 110 R = Richter 110</t>
  </si>
  <si>
    <t>Vitis x interspécifique cv. 1103 Pa = Paulsen 1103</t>
  </si>
  <si>
    <t>Vitis x interspécifique cv. 125 AA = Kober 125 AA</t>
  </si>
  <si>
    <t>Vitis x interspécifique cv. 136 EM</t>
  </si>
  <si>
    <t>Vitis x interspécifique cv. 140 Ru = Ruggeri 140</t>
  </si>
  <si>
    <t>Vitis x interspécifique cv. 142 EM</t>
  </si>
  <si>
    <t>Vitis x interspécifique cv. 1447 Pa = Paulsen 1447</t>
  </si>
  <si>
    <t>Vitis x interspécifique cv. 161-49 C = Couderc 161-49</t>
  </si>
  <si>
    <t>Vitis x interspécifique cv. 1616 C = Couderc 1616</t>
  </si>
  <si>
    <t>Vitis x interspécifique cv. 196-17 Cl = Castel 196-17</t>
  </si>
  <si>
    <t>Vitis x interspécifique cv. 216-3 Cl = Castel 216-3</t>
  </si>
  <si>
    <t>Vitis x interspécifique cv. 33 EM</t>
  </si>
  <si>
    <t>Vitis x interspécifique cv. 3309 C = Couderc 3309</t>
  </si>
  <si>
    <t>Vitis x interspécifique cv. 333 EM = 333 Ecole de Montpellier</t>
  </si>
  <si>
    <t>Vitis x interspécifique cv. 34 EM = 34 Ecole de Montpellier</t>
  </si>
  <si>
    <t>Vitis x interspécifique cv. 4010 Cl = Castel 4010</t>
  </si>
  <si>
    <t>Vitis x interspécifique cv. 41 B = Millardet et de Grasset 41 B</t>
  </si>
  <si>
    <t>Vitis x interspécifique cv. 420 A = Millardet et de Grasset 420 A</t>
  </si>
  <si>
    <t>Vitis x interspécifique cv. 420 Foex</t>
  </si>
  <si>
    <t>Vitis x interspécifique cv. 44-53 Ma = Malègue 44-53</t>
  </si>
  <si>
    <t>Vitis x interspécifique cv. 45 EM</t>
  </si>
  <si>
    <t>Vitis x interspécifique cv. 5 BB = Téléki sélection Kober 5 BB</t>
  </si>
  <si>
    <t>Vitis x interspécifique cv. 5 BB Evin</t>
  </si>
  <si>
    <t>Vitis x interspécifique cv. 5 BB Grimaud</t>
  </si>
  <si>
    <t>Vitis x interspécifique cv. 5 BB Tramier 2</t>
  </si>
  <si>
    <t>Vitis x interspécifique cv. 5 BB Trilobé</t>
  </si>
  <si>
    <t>Vitis x interspécifique cv. 5 C = Téléki 5 C</t>
  </si>
  <si>
    <t>Vitis x interspécifique cv. 503 Barr</t>
  </si>
  <si>
    <t>Vitis x interspécifique cv. 59 B</t>
  </si>
  <si>
    <t>Vitis x interspécifique cv. 6-23</t>
  </si>
  <si>
    <t>Vitis x interspécifique cv. 7-13</t>
  </si>
  <si>
    <t>Vitis x interspécifique cv. 7-16</t>
  </si>
  <si>
    <t>Vitis x interspécifique cv. 8 B = Téléki B</t>
  </si>
  <si>
    <t>Vitis x interspécifique cv. 8 B clone A</t>
  </si>
  <si>
    <t>Vitis x interspécifique cv. 8 B Faux</t>
  </si>
  <si>
    <t>Vitis x interspécifique cv. 8 B Femelle</t>
  </si>
  <si>
    <t>Vitis x interspécifique cv. 8 B Ferrari</t>
  </si>
  <si>
    <t>Vitis x interspécifique cv. 8-5</t>
  </si>
  <si>
    <t>Vitis x interspécifique cv. 99 R = Richter 99</t>
  </si>
  <si>
    <t>Vitis yanshanensis J.X.Chen</t>
  </si>
  <si>
    <t>Zea L.</t>
  </si>
  <si>
    <t>Zea mays L.</t>
  </si>
  <si>
    <t>Zinnia elegans</t>
  </si>
  <si>
    <t>Montego</t>
  </si>
  <si>
    <t>Aviso</t>
  </si>
  <si>
    <t>Prot_Yield</t>
  </si>
  <si>
    <t>Oil_Yield</t>
  </si>
  <si>
    <t>CROP</t>
  </si>
  <si>
    <t>Crop</t>
  </si>
  <si>
    <t>Seed_Impurities</t>
  </si>
  <si>
    <t>Glucosinolates</t>
  </si>
  <si>
    <t>temoin_1</t>
  </si>
  <si>
    <t>temoin_2</t>
  </si>
  <si>
    <t>PLANTDENS</t>
  </si>
  <si>
    <t>Plant_Density</t>
  </si>
  <si>
    <t xml:space="preserve">Number of viable plants counted per surface unit. </t>
  </si>
  <si>
    <t>Plant nb.m-²</t>
  </si>
  <si>
    <t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</si>
  <si>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>REGSTAND</t>
  </si>
  <si>
    <t>Regularity_Stand</t>
  </si>
  <si>
    <t>Scoring of the regularity of the plant stand.</t>
  </si>
  <si>
    <t>Note</t>
  </si>
  <si>
    <t>Visual notations (scale 0 - 9). 0 = NA, 1 = high irregular, 3 = irregular, 5 = moderately regular, 7 = regular, 9 = perfectly regular.</t>
  </si>
  <si>
    <t>PLOTHARVEST</t>
  </si>
  <si>
    <t>Plot_Harvest_Weight</t>
  </si>
  <si>
    <t>Weight (kg) of raw materials harvested by plot.</t>
  </si>
  <si>
    <t xml:space="preserve">A measurement of the amount (in kg) of raw material that was harvested per plot as determined by on-board weighing on the harvester. </t>
  </si>
  <si>
    <t>HI</t>
  </si>
  <si>
    <t>Harvest_Index</t>
  </si>
  <si>
    <t>Proportion of seed biomass respect to the total plant biomass (including shoot and root).</t>
  </si>
  <si>
    <t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</si>
  <si>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>NHI</t>
  </si>
  <si>
    <t>Nitrogen_Harvest_Index</t>
  </si>
  <si>
    <t>Proportion of N accumulated in seed to N accumulated in the total plant (including shoot and root).</t>
  </si>
  <si>
    <t>Samples from HI assay are analysed for N_%DW in the different fractions.                                                                                                                               NHI = (N_%DW_Seed / N_%DW_Plant) x 100</t>
  </si>
  <si>
    <t>Oil yield per ha.</t>
  </si>
  <si>
    <t>q.ha-1</t>
  </si>
  <si>
    <t xml:space="preserve"> OY = (O x SY) </t>
  </si>
  <si>
    <t>PLOTSURF</t>
  </si>
  <si>
    <t>Plot_Surface</t>
  </si>
  <si>
    <t>Surface of the elementary experimental plot.</t>
  </si>
  <si>
    <t>Surface is determined by the experimental design.                                                              PLOTSURF = L x N x E. Where L = length of the sowing line, N = Nb of sowing lines, E = inter-line spacing.</t>
  </si>
  <si>
    <t>PODSHAT</t>
  </si>
  <si>
    <t>Pod_shattering</t>
  </si>
  <si>
    <t>Scoring of pods open just before harvest.</t>
  </si>
  <si>
    <t>Visual notations (scale 0 - 9). 0 = NA, 1 = high PODSHAT &gt; 90%, 3 = 60-90%, 5 = 30-60%, 7 = 10-30%, 9 = &lt; 10%.</t>
  </si>
  <si>
    <t>Protein yield per ha.</t>
  </si>
  <si>
    <t xml:space="preserve"> PrY = (Pr x SY) </t>
  </si>
  <si>
    <t>Seed_Nb_Surface</t>
  </si>
  <si>
    <t>Number of seeds per square meter.</t>
  </si>
  <si>
    <t>Seed nb.m-²</t>
  </si>
  <si>
    <t xml:space="preserve"> SN = (SY / TSW) x 10000</t>
  </si>
  <si>
    <t xml:space="preserve">Seed_Yield_q/ha  </t>
  </si>
  <si>
    <t>Weight (q) of seeds that was harvested per ha calculated with moisture and impurity contents at 0% each.</t>
  </si>
  <si>
    <t xml:space="preserve"> SY = (PLOTHARVEST / PLOTSURF) x (((100 - SEEDH2O_HARV or LAB)/100) x ((100 - SEEDIMPUR)/100)) x 100</t>
  </si>
  <si>
    <t>SYNORM</t>
  </si>
  <si>
    <t xml:space="preserve">Seed_Yield_Normalized_q/ha  </t>
  </si>
  <si>
    <t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</si>
  <si>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</si>
  <si>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>1000_Seed_Weight</t>
  </si>
  <si>
    <t>Determination of the weight of 1000 well-developed mature and dry seeds after harvest.</t>
  </si>
  <si>
    <t>Plant_Size</t>
  </si>
  <si>
    <t>Height of plants in an experimental plot.</t>
  </si>
  <si>
    <t xml:space="preserve">Height is measured from ground to the top of the plants using a dipstick graduated in cm.                                                              </t>
  </si>
  <si>
    <t>GRWSTG_C1</t>
  </si>
  <si>
    <t>Growth_Stage_C1</t>
  </si>
  <si>
    <t>Bolting date when the first inter-node appears, corresponds to growth stage C1 (CETIOM) or 31 (BBCH scale).</t>
  </si>
  <si>
    <t>Nb of calendar days from the 1st of January (+ or - if stage occurs in December).</t>
  </si>
  <si>
    <t xml:space="preserve">Visual notations of the day when growth stage is reached by 50% of the plants in a given plot. </t>
  </si>
  <si>
    <t>GRWSTG_F1</t>
  </si>
  <si>
    <t>Growth_Stage_F1</t>
  </si>
  <si>
    <t>First flowers are open, corresponds to growth stage F1 (CETIOM) or 60 (BBCH scale).</t>
  </si>
  <si>
    <t>Nb of calendar days from the 1st of January.</t>
  </si>
  <si>
    <t>GRWSTG_F2</t>
  </si>
  <si>
    <t>Growth_Stage_F2</t>
  </si>
  <si>
    <t>10% of the flowers are open on the main inflorescence, elongation of the main inflorescence. Corresponds to growth stage F2 (CETIOM) or 61 (BBCH scale).</t>
  </si>
  <si>
    <t>GRWSTG_FLO</t>
  </si>
  <si>
    <t>Growth_Stage_Flowering</t>
  </si>
  <si>
    <t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</si>
  <si>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</si>
  <si>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>GRWSTG_ENDFLO</t>
  </si>
  <si>
    <t>Growth_Stage_End_Flowering</t>
  </si>
  <si>
    <t>End of flowering on the main inflorescence, corresponds to growth stage 69 (BBCH scale).</t>
  </si>
  <si>
    <t>GRWSTG_G1</t>
  </si>
  <si>
    <t>Growth_Stage_G1</t>
  </si>
  <si>
    <t>10% of the pods have reached their final size, flowering of secondary inflorescences. Corresponds to growth stage G1 (CETIOM) or 71 (BBCH scale).</t>
  </si>
  <si>
    <t>GRWSTG_G4</t>
  </si>
  <si>
    <t>Growth_Stage_G4</t>
  </si>
  <si>
    <t>30% of the pods have reached their final size, flowering of secondary inflorescences. Corresponds to growth stage G4 (CETIOM) or 73 (BBCH scale).</t>
  </si>
  <si>
    <t>GRWSTG_PODDEV</t>
  </si>
  <si>
    <t>Growth_Stage_Pod_Development</t>
  </si>
  <si>
    <t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</si>
  <si>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</si>
  <si>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>GRWSTG_G5</t>
  </si>
  <si>
    <t>Growth_Stage_G5</t>
  </si>
  <si>
    <t>10% of the seeds have reached maturity, seeds are brown and hard. Corresponds to growth stage G5 (CETIOM) or 81 (BBCH scale).</t>
  </si>
  <si>
    <t>GRWSTG_PODMATURITY</t>
  </si>
  <si>
    <t>Growth_Stage_Pod_Maturity</t>
  </si>
  <si>
    <t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</si>
  <si>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</si>
  <si>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>EMERG</t>
  </si>
  <si>
    <t>Plant_Emergence</t>
  </si>
  <si>
    <t xml:space="preserve">Percentage of seeds that emerge. </t>
  </si>
  <si>
    <t>Plant counting on a line.                                                                                     EMERG = (Number of plants obtained / Number of seeds sown) x 100</t>
  </si>
  <si>
    <t>ERUCIC</t>
  </si>
  <si>
    <t>Erucic_Acid</t>
  </si>
  <si>
    <t>Content of erucic acid in seeds determined by NIRS.</t>
  </si>
  <si>
    <t>% total fatty acids</t>
  </si>
  <si>
    <t>NIRS assay. XXX calibration.</t>
  </si>
  <si>
    <t>PALMITIC</t>
  </si>
  <si>
    <t xml:space="preserve">Palmitic_Acid </t>
  </si>
  <si>
    <t>Content of palmitic acid in seeds determined by NIRS.</t>
  </si>
  <si>
    <t>STEARIC</t>
  </si>
  <si>
    <t>Stearic_Acid</t>
  </si>
  <si>
    <t>Content of stearic acid in seeds determined by NIRS.</t>
  </si>
  <si>
    <t>OLEIC</t>
  </si>
  <si>
    <t xml:space="preserve">Oleic_Acid </t>
  </si>
  <si>
    <t>Content of oleic acid in seeds determined by NIRS.</t>
  </si>
  <si>
    <t>LINOLEIC</t>
  </si>
  <si>
    <t xml:space="preserve">Linoleic_Acid </t>
  </si>
  <si>
    <t>Content of linoleic acid in seedsdetermined by NIRS.</t>
  </si>
  <si>
    <t>LINOLENIC</t>
  </si>
  <si>
    <t xml:space="preserve">Linolenic_Acid </t>
  </si>
  <si>
    <t>Content of linolenic acid in seeds determined by NIRS.</t>
  </si>
  <si>
    <t>Oil_%</t>
  </si>
  <si>
    <t>Content of oil in seeds determined by NIRS.</t>
  </si>
  <si>
    <t>% of Seed Dry Weight</t>
  </si>
  <si>
    <t>Pr</t>
  </si>
  <si>
    <t>Protein_%</t>
  </si>
  <si>
    <t>Content of proteins in seeds determined by NIRS.</t>
  </si>
  <si>
    <t>GLS</t>
  </si>
  <si>
    <t>Content of glucosinolates in seeds determined by NIRS.</t>
  </si>
  <si>
    <t>μmol.g-1MS</t>
  </si>
  <si>
    <t>SEEDH2O_NIRS</t>
  </si>
  <si>
    <t>Seed_Moisture_NIRS</t>
  </si>
  <si>
    <t>Moisture content in a sample of seeds determined by NIRS.</t>
  </si>
  <si>
    <t>PRMEAL</t>
  </si>
  <si>
    <t>Protein_Meal_%</t>
  </si>
  <si>
    <t>Content of proteins in the meal determined by NIRS.</t>
  </si>
  <si>
    <t>SEEDH2O_HARV</t>
  </si>
  <si>
    <t>Seed_Moisture_Harvest</t>
  </si>
  <si>
    <t>Moisture content in a sample of seeds determined by humiditer.</t>
  </si>
  <si>
    <t>Humidimeter. Rapeseed calibration.</t>
  </si>
  <si>
    <t>SEEDH2O_LAB</t>
  </si>
  <si>
    <t>Seed_Moisture_Lab</t>
  </si>
  <si>
    <t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</si>
  <si>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</si>
  <si>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>SEEDIMPUR</t>
  </si>
  <si>
    <t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</si>
  <si>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</si>
  <si>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>BIOTIC</t>
  </si>
  <si>
    <t>Biotic_Stress</t>
  </si>
  <si>
    <t>Biotic attack during the crop cycle.</t>
  </si>
  <si>
    <t>Comment about all relevant biotic stresses.</t>
  </si>
  <si>
    <t xml:space="preserve">Visual observations. </t>
  </si>
  <si>
    <t>Crop problems during the cycle.</t>
  </si>
  <si>
    <t>Comment about all relevant pbs during the cycle.</t>
  </si>
  <si>
    <t>CLIMATIC</t>
  </si>
  <si>
    <t>Climatic_Stress</t>
  </si>
  <si>
    <t>Climatic incidents during the crop cycle</t>
  </si>
  <si>
    <t>Comment about all relevant abiotic stresses.</t>
  </si>
  <si>
    <t>LODGING</t>
  </si>
  <si>
    <t>Plant_Lodging</t>
  </si>
  <si>
    <t>Scoring of the plant lodging of the plot.</t>
  </si>
  <si>
    <t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</si>
  <si>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>The seed sample for SEEDH2O_LAB determination is used for seed counting (NBSEED_sample) using a precision counter.                                                                            TSW = (SEEDH2O_LAB / NBSEED_sample) x 1000</t>
  </si>
  <si>
    <t>PLANTSIZE</t>
  </si>
  <si>
    <t>PLANTDENS_value</t>
  </si>
  <si>
    <t>PLANTDENS_date</t>
  </si>
  <si>
    <t>REGSTAND_value</t>
  </si>
  <si>
    <t>REGSTAND_date</t>
  </si>
  <si>
    <t>PLOTHARVEST_value</t>
  </si>
  <si>
    <t>PLOTHARVEST_date</t>
  </si>
  <si>
    <t>HI_value</t>
  </si>
  <si>
    <t>HI_date</t>
  </si>
  <si>
    <t>NHI_value</t>
  </si>
  <si>
    <t>NHI_date</t>
  </si>
  <si>
    <t>PLOTSURF_value</t>
  </si>
  <si>
    <t>PLOTSURF_date</t>
  </si>
  <si>
    <t>PODSHAT_value</t>
  </si>
  <si>
    <t>PODSHAT_date</t>
  </si>
  <si>
    <t>SY-date</t>
  </si>
  <si>
    <t>SYNORM_value</t>
  </si>
  <si>
    <t>SYNORM_date</t>
  </si>
  <si>
    <t>PLANTSIZE_value</t>
  </si>
  <si>
    <t>PLANTSIZE_date</t>
  </si>
  <si>
    <t>GRWSTG_C1_date</t>
  </si>
  <si>
    <t>GRWSTG_C1_value</t>
  </si>
  <si>
    <t>GRWSTG_F1_value</t>
  </si>
  <si>
    <t>GRWSTG_F1_date</t>
  </si>
  <si>
    <t>GRWSTG_F2_value</t>
  </si>
  <si>
    <t>GRWSTG_F2_date</t>
  </si>
  <si>
    <t>GRWSTG_FLO_value</t>
  </si>
  <si>
    <t>GRWSTG_FLO_date</t>
  </si>
  <si>
    <t>GRWSTG_ENDFLO_value</t>
  </si>
  <si>
    <t>GRWSTG_ENDFLO_date</t>
  </si>
  <si>
    <t>GRWSTG_G1_value</t>
  </si>
  <si>
    <t>GRWSTG_G1_date</t>
  </si>
  <si>
    <t>GRWSTG_G4_value</t>
  </si>
  <si>
    <t>GRWSTG_G4_date</t>
  </si>
  <si>
    <t>GRWSTG_PODDEV_value</t>
  </si>
  <si>
    <t>GRWSTG_PODDEV_date</t>
  </si>
  <si>
    <t>GRWSTG_G5_date</t>
  </si>
  <si>
    <t>GRWSTG_G5_value</t>
  </si>
  <si>
    <t>GRWSTG_PODMATURITY_value</t>
  </si>
  <si>
    <t>GRWSTG_PODMATURITY_date</t>
  </si>
  <si>
    <t>EMERG_value</t>
  </si>
  <si>
    <t>EMERG_date</t>
  </si>
  <si>
    <t>ERUCIC_value</t>
  </si>
  <si>
    <t>ERUCIC_date</t>
  </si>
  <si>
    <t>PALMITIC_value</t>
  </si>
  <si>
    <t>PALMITIC-date</t>
  </si>
  <si>
    <t>STEARIC_value</t>
  </si>
  <si>
    <t>STEARIC_date</t>
  </si>
  <si>
    <t>OLEIC_value</t>
  </si>
  <si>
    <t>OLEIC_date</t>
  </si>
  <si>
    <t>LINOLEIC_value</t>
  </si>
  <si>
    <t>LINOLEIC_date</t>
  </si>
  <si>
    <t>LINOLENIC_value</t>
  </si>
  <si>
    <t>LINOLENIC_date</t>
  </si>
  <si>
    <t>Pr_value</t>
  </si>
  <si>
    <t>Pr_date</t>
  </si>
  <si>
    <t>GLS_value</t>
  </si>
  <si>
    <t>GLS_date</t>
  </si>
  <si>
    <t>SEEDH2O_NIRS_value</t>
  </si>
  <si>
    <t>SEEDH2O_NIRS_date</t>
  </si>
  <si>
    <t>PRMEAL_value</t>
  </si>
  <si>
    <t>PRMEAL_date</t>
  </si>
  <si>
    <t>SEEDH2O_HARV_value</t>
  </si>
  <si>
    <t>SEEDH2O_HARV_date</t>
  </si>
  <si>
    <t>SEEDH2O_LAB_value</t>
  </si>
  <si>
    <t>SEEDH2O_LAB_date</t>
  </si>
  <si>
    <t>SEEDIMPUR_value</t>
  </si>
  <si>
    <t>SEEDIMPUR_date</t>
  </si>
  <si>
    <t>LODGING_value</t>
  </si>
  <si>
    <t>LODGING_date</t>
  </si>
  <si>
    <t>rep</t>
  </si>
  <si>
    <t>répétition</t>
  </si>
  <si>
    <t>Nom de la demande</t>
  </si>
  <si>
    <t>Pas de temps</t>
  </si>
  <si>
    <t>Journalier</t>
  </si>
  <si>
    <t>Date de début</t>
  </si>
  <si>
    <t>Date de fin</t>
  </si>
  <si>
    <r>
      <rPr>
        <b/>
        <sz val="10"/>
        <rFont val="Arial"/>
        <family val="2"/>
      </rPr>
      <t>N % DUMAS Spérial Ferti</t>
    </r>
    <r>
      <rPr>
        <sz val="10"/>
        <rFont val="Arial"/>
        <family val="2"/>
      </rPr>
      <t xml:space="preserve"> = pourcentage d'azote dans la plante (résultat laboratoire)</t>
    </r>
  </si>
  <si>
    <r>
      <rPr>
        <b/>
        <sz val="10"/>
        <rFont val="Arial"/>
        <family val="2"/>
      </rPr>
      <t>MS</t>
    </r>
    <r>
      <rPr>
        <sz val="10"/>
        <rFont val="Arial"/>
        <family val="2"/>
      </rPr>
      <t xml:space="preserve"> = matière séche du prélèvement en grammes</t>
    </r>
  </si>
  <si>
    <r>
      <rPr>
        <b/>
        <sz val="10"/>
        <rFont val="Arial"/>
        <family val="2"/>
      </rPr>
      <t>MF</t>
    </r>
    <r>
      <rPr>
        <sz val="10"/>
        <rFont val="Arial"/>
        <family val="2"/>
      </rPr>
      <t xml:space="preserve"> = matière fraiche du prélèvement en grammes</t>
    </r>
  </si>
  <si>
    <r>
      <rPr>
        <b/>
        <sz val="10"/>
        <rFont val="Arial"/>
        <family val="2"/>
      </rPr>
      <t>Nbr</t>
    </r>
    <r>
      <rPr>
        <sz val="10"/>
        <rFont val="Arial"/>
        <family val="2"/>
      </rPr>
      <t xml:space="preserve"> = nombre de plantes du prélèvement</t>
    </r>
  </si>
  <si>
    <t>et les analyses par SAS pour l'échantillon 1/5</t>
  </si>
  <si>
    <t xml:space="preserve">A partir des INN3, une distinction est faite entre les feuilles et le tiges pour les pesées </t>
  </si>
  <si>
    <r>
      <rPr>
        <b/>
        <sz val="10"/>
        <rFont val="Arial"/>
        <family val="2"/>
      </rPr>
      <t>Stade</t>
    </r>
    <r>
      <rPr>
        <sz val="10"/>
        <rFont val="Arial"/>
        <family val="2"/>
      </rPr>
      <t xml:space="preserve"> = stade moyen de la parcelle</t>
    </r>
  </si>
  <si>
    <r>
      <rPr>
        <b/>
        <sz val="10"/>
        <rFont val="Arial"/>
        <family val="2"/>
      </rPr>
      <t>Date</t>
    </r>
    <r>
      <rPr>
        <sz val="10"/>
        <rFont val="Arial"/>
        <family val="2"/>
      </rPr>
      <t xml:space="preserve"> = date de prélèvement</t>
    </r>
  </si>
  <si>
    <r>
      <rPr>
        <b/>
        <sz val="10"/>
        <rFont val="Arial"/>
        <family val="2"/>
      </rPr>
      <t>Manip</t>
    </r>
    <r>
      <rPr>
        <sz val="10"/>
        <rFont val="Arial"/>
        <family val="2"/>
      </rPr>
      <t xml:space="preserve"> = quelle INN</t>
    </r>
  </si>
  <si>
    <t>De "Parcelle" à "Genotype" = données générales sur l'essai</t>
  </si>
  <si>
    <t>INN3</t>
  </si>
  <si>
    <t>INN2</t>
  </si>
  <si>
    <t>INN1</t>
  </si>
  <si>
    <t>Tiges</t>
  </si>
  <si>
    <t>Feuilles</t>
  </si>
  <si>
    <t>MS Tige (g)</t>
  </si>
  <si>
    <t>MS Feuilles (g)</t>
  </si>
  <si>
    <t>MF Tige (g)</t>
  </si>
  <si>
    <t>MF Feuilles (g)</t>
  </si>
  <si>
    <t>Nbr</t>
  </si>
  <si>
    <t>MF (g)</t>
  </si>
  <si>
    <t>Stade</t>
  </si>
  <si>
    <t>Genotype</t>
  </si>
  <si>
    <t>Modalite</t>
  </si>
  <si>
    <t>Manip</t>
  </si>
  <si>
    <t>N % DUMAS Spécial Ferti</t>
  </si>
  <si>
    <t>1/5</t>
  </si>
  <si>
    <t>4/5</t>
  </si>
  <si>
    <t>Action</t>
  </si>
  <si>
    <t>Produits</t>
  </si>
  <si>
    <t>Cibles</t>
  </si>
  <si>
    <t>Détails</t>
  </si>
  <si>
    <t>Meteo_data</t>
  </si>
  <si>
    <t>Soil_data</t>
  </si>
  <si>
    <t>INN_data</t>
  </si>
  <si>
    <t>Parcellaire_data</t>
  </si>
  <si>
    <t>ITK_data</t>
  </si>
  <si>
    <t>Excel</t>
  </si>
  <si>
    <t>See tab</t>
  </si>
  <si>
    <t>NA</t>
  </si>
  <si>
    <t>% Humidité</t>
  </si>
  <si>
    <t>MS Aér (g)</t>
  </si>
  <si>
    <t>MF Aér</t>
  </si>
  <si>
    <t>MS (g)</t>
  </si>
  <si>
    <r>
      <rPr>
        <b/>
        <sz val="10"/>
        <rFont val="Arial"/>
        <family val="2"/>
      </rPr>
      <t>INN</t>
    </r>
    <r>
      <rPr>
        <sz val="10"/>
        <rFont val="Arial"/>
        <family val="2"/>
      </rPr>
      <t xml:space="preserve"> = (Qté N tot / MS (1/5) (g)) / %Ncritique</t>
    </r>
  </si>
  <si>
    <t>MS Totale (t)</t>
  </si>
  <si>
    <t>%N critique</t>
  </si>
  <si>
    <t>Total</t>
  </si>
  <si>
    <t>Qté N Total</t>
  </si>
  <si>
    <t>% Azote MS (1/5)</t>
  </si>
  <si>
    <t>INN</t>
  </si>
  <si>
    <t>AM_Dij13</t>
  </si>
  <si>
    <t>AM13DIJ</t>
  </si>
  <si>
    <t>Nesi</t>
  </si>
  <si>
    <t>Nathalie</t>
  </si>
  <si>
    <t>nathalie.nesi@rennes.inra.fr</t>
  </si>
  <si>
    <t>IGEPP</t>
  </si>
  <si>
    <t>RAPSODYN</t>
  </si>
  <si>
    <t>jolly</t>
  </si>
  <si>
    <t>guillaume</t>
  </si>
  <si>
    <t>jolly@cetiom.fr</t>
  </si>
  <si>
    <t>CETIOM</t>
  </si>
  <si>
    <t>Epoisses</t>
  </si>
  <si>
    <t>FRA_21_EPOI</t>
  </si>
  <si>
    <t>CET</t>
  </si>
  <si>
    <t>pinochet</t>
  </si>
  <si>
    <t>xavier</t>
  </si>
  <si>
    <t>pinochet@cetiom.fr</t>
  </si>
  <si>
    <t>Le sol a une texture argile limoneuse et une profondeur de 60cm en dessous on tombe sur un sol de graviers.</t>
  </si>
  <si>
    <t>Analyse réalisé par SAS Laboratoire</t>
  </si>
  <si>
    <t>Horizons</t>
  </si>
  <si>
    <t>0-30</t>
  </si>
  <si>
    <t>30-60</t>
  </si>
  <si>
    <t>Analyse granulométrique  après décarbonatation</t>
  </si>
  <si>
    <t>argile</t>
  </si>
  <si>
    <t>32.4</t>
  </si>
  <si>
    <t>33.9</t>
  </si>
  <si>
    <t>limons fins</t>
  </si>
  <si>
    <t>31.2</t>
  </si>
  <si>
    <t>28.9</t>
  </si>
  <si>
    <t>limons grossiers</t>
  </si>
  <si>
    <t>28.1</t>
  </si>
  <si>
    <t>24.3</t>
  </si>
  <si>
    <t>sables fins</t>
  </si>
  <si>
    <t>3.0</t>
  </si>
  <si>
    <t>2.9</t>
  </si>
  <si>
    <t>sables grossiers</t>
  </si>
  <si>
    <t>2.0</t>
  </si>
  <si>
    <t>2.3</t>
  </si>
  <si>
    <t>Analyse chimique</t>
  </si>
  <si>
    <t>CEC</t>
  </si>
  <si>
    <t>18.9</t>
  </si>
  <si>
    <t>17.6</t>
  </si>
  <si>
    <t>pHeau</t>
  </si>
  <si>
    <t>7.8</t>
  </si>
  <si>
    <t>8.3</t>
  </si>
  <si>
    <t>pH kcl</t>
  </si>
  <si>
    <t>8.2</t>
  </si>
  <si>
    <t>CaCO3 (%)</t>
  </si>
  <si>
    <t>1.2</t>
  </si>
  <si>
    <t>5.5</t>
  </si>
  <si>
    <t>MO (%)</t>
  </si>
  <si>
    <t>2.2</t>
  </si>
  <si>
    <t>Prélèvement du 05/09/12</t>
  </si>
  <si>
    <t>0-30cm</t>
  </si>
  <si>
    <t>30-60cm</t>
  </si>
  <si>
    <t>% humidité du sol brut</t>
  </si>
  <si>
    <t>azote ammoniacal</t>
  </si>
  <si>
    <t>(NH4-N) en kg/ha</t>
  </si>
  <si>
    <t>Azote nitrique</t>
  </si>
  <si>
    <t>(NO3-N) en kg/ha</t>
  </si>
  <si>
    <t>Azote minéral total</t>
  </si>
  <si>
    <t>en kg/ha</t>
  </si>
  <si>
    <t>prélèvement du 12/02/13</t>
  </si>
  <si>
    <t>10/09/2013</t>
  </si>
  <si>
    <t>B2</t>
  </si>
  <si>
    <t>B3</t>
  </si>
  <si>
    <t>N2 B1</t>
  </si>
  <si>
    <t>N2 B2</t>
  </si>
  <si>
    <t>N2 B3</t>
  </si>
  <si>
    <t>N1 B1</t>
  </si>
  <si>
    <t>N1 B2</t>
  </si>
  <si>
    <t>N1 B3</t>
  </si>
  <si>
    <r>
      <t xml:space="preserve">Deux échantillons différents sont identifiés : 1/5 des plantes et 4/5 des plantes </t>
    </r>
    <r>
      <rPr>
        <b/>
        <sz val="10"/>
        <color rgb="FFFF0000"/>
        <rFont val="Arial"/>
        <family val="2"/>
      </rPr>
      <t>==&gt; Ici ce n'est pas le cas</t>
    </r>
  </si>
  <si>
    <t>α plan</t>
  </si>
  <si>
    <t>AM014</t>
  </si>
  <si>
    <t>AM015</t>
  </si>
  <si>
    <t>AM016</t>
  </si>
  <si>
    <t>AM018</t>
  </si>
  <si>
    <t>AM019</t>
  </si>
  <si>
    <t>AM020</t>
  </si>
  <si>
    <t>AM022</t>
  </si>
  <si>
    <t>AM027</t>
  </si>
  <si>
    <t>AM028</t>
  </si>
  <si>
    <t>AM030</t>
  </si>
  <si>
    <t>AM032</t>
  </si>
  <si>
    <t>AM034</t>
  </si>
  <si>
    <t>AM037</t>
  </si>
  <si>
    <t>AM038</t>
  </si>
  <si>
    <t>AM040</t>
  </si>
  <si>
    <t>AM046</t>
  </si>
  <si>
    <t>AM048</t>
  </si>
  <si>
    <t>AM050</t>
  </si>
  <si>
    <t>AM052</t>
  </si>
  <si>
    <t>AM053</t>
  </si>
  <si>
    <t>AM055</t>
  </si>
  <si>
    <t>AM056</t>
  </si>
  <si>
    <t>AM057</t>
  </si>
  <si>
    <t>AM059</t>
  </si>
  <si>
    <t>AM060</t>
  </si>
  <si>
    <t>AM061</t>
  </si>
  <si>
    <t>AM062</t>
  </si>
  <si>
    <t>AM067</t>
  </si>
  <si>
    <t>AM068</t>
  </si>
  <si>
    <t>AM069</t>
  </si>
  <si>
    <t>AM073</t>
  </si>
  <si>
    <t>AM074</t>
  </si>
  <si>
    <t>AM078</t>
  </si>
  <si>
    <t>AM080</t>
  </si>
  <si>
    <t>AM082</t>
  </si>
  <si>
    <t>AM084</t>
  </si>
  <si>
    <t>AM086</t>
  </si>
  <si>
    <t>AM087</t>
  </si>
  <si>
    <t>AM088</t>
  </si>
  <si>
    <t>AM090</t>
  </si>
  <si>
    <t>AM091</t>
  </si>
  <si>
    <t>AM092</t>
  </si>
  <si>
    <t>AM093</t>
  </si>
  <si>
    <t>AM094</t>
  </si>
  <si>
    <t>AM096</t>
  </si>
  <si>
    <t>AM098</t>
  </si>
  <si>
    <t>AM101</t>
  </si>
  <si>
    <t>AM106</t>
  </si>
  <si>
    <t>AM107</t>
  </si>
  <si>
    <t>AM109</t>
  </si>
  <si>
    <t>AM111</t>
  </si>
  <si>
    <t>AM120</t>
  </si>
  <si>
    <t>AM125</t>
  </si>
  <si>
    <t>AM127</t>
  </si>
  <si>
    <t>AM129</t>
  </si>
  <si>
    <t>AM130</t>
  </si>
  <si>
    <t>AM131</t>
  </si>
  <si>
    <t>AM133</t>
  </si>
  <si>
    <t>AM138</t>
  </si>
  <si>
    <t>AM139</t>
  </si>
  <si>
    <t>AM143</t>
  </si>
  <si>
    <t>AM146</t>
  </si>
  <si>
    <t>AM147</t>
  </si>
  <si>
    <t>AM148</t>
  </si>
  <si>
    <t>AM156</t>
  </si>
  <si>
    <t>AM158</t>
  </si>
  <si>
    <t>AM161</t>
  </si>
  <si>
    <t>AM167</t>
  </si>
  <si>
    <t>AM168</t>
  </si>
  <si>
    <t>AM169</t>
  </si>
  <si>
    <t>AM170</t>
  </si>
  <si>
    <t>AM171</t>
  </si>
  <si>
    <t>AM174</t>
  </si>
  <si>
    <t>AM183</t>
  </si>
  <si>
    <t>AM185</t>
  </si>
  <si>
    <t>AM189</t>
  </si>
  <si>
    <t>AM195</t>
  </si>
  <si>
    <t>AM197</t>
  </si>
  <si>
    <t>AVISO</t>
  </si>
  <si>
    <t>MONTEGO</t>
  </si>
  <si>
    <t>CetiomBilan12-13</t>
  </si>
  <si>
    <t>01/08/2012</t>
  </si>
  <si>
    <t>11/08/2013</t>
  </si>
  <si>
    <t>RG</t>
  </si>
  <si>
    <t>RAYONNEMENT GLOBAL (JOULES/CM2)</t>
  </si>
  <si>
    <t>RR</t>
  </si>
  <si>
    <t>HAUTEUR DES PRECIPITATIONS (MILLIMETRES)</t>
  </si>
  <si>
    <t>TM</t>
  </si>
  <si>
    <t>TEMPERATURE MOYENNE (DEGRES CELSIUS)</t>
  </si>
  <si>
    <t>TMC</t>
  </si>
  <si>
    <t>TEMPERATURE MOYENNE CALCULEE (DEGRES CELSIUS)</t>
  </si>
  <si>
    <t>TN</t>
  </si>
  <si>
    <t>TEMPERATURE MINIMALE (DEGRES CELSIUS)</t>
  </si>
  <si>
    <t>TX</t>
  </si>
  <si>
    <t>TEMPERATURE MAXIMALE (DEGRES CELSIUS)</t>
  </si>
  <si>
    <t>PAR</t>
  </si>
  <si>
    <t>RAYONNEMENT PAR (JOULES/CM2)</t>
  </si>
  <si>
    <t>AN</t>
  </si>
  <si>
    <t>MOIS</t>
  </si>
  <si>
    <t>JOUR</t>
  </si>
  <si>
    <t>ENGRAIS</t>
  </si>
  <si>
    <t xml:space="preserve">200 kg/ha ; 42 (P) , 46 (K) </t>
  </si>
  <si>
    <t>DECOMPACTAGE</t>
  </si>
  <si>
    <t>TRAVAIL SOL</t>
  </si>
  <si>
    <t>LABOUR</t>
  </si>
  <si>
    <t>HERBICIDE</t>
  </si>
  <si>
    <t>2 L/HA  1,5 L/HA   3 L/HA</t>
  </si>
  <si>
    <t>IRRIGATION</t>
  </si>
  <si>
    <t>12-13/09/2012</t>
  </si>
  <si>
    <t>37 mm</t>
  </si>
  <si>
    <t>INSECTICIDE</t>
  </si>
  <si>
    <t>Karate Zeon</t>
  </si>
  <si>
    <t>0.050 l/ha</t>
  </si>
  <si>
    <t>Split expert</t>
  </si>
  <si>
    <t>ANTILIMACE</t>
  </si>
  <si>
    <t>COPALIM</t>
  </si>
  <si>
    <t>5.000 kg/ha</t>
  </si>
  <si>
    <t>Molluscicides / hélicide</t>
  </si>
  <si>
    <t>CLAMEUR</t>
  </si>
  <si>
    <t>0.050 kg/ha</t>
  </si>
  <si>
    <t>N33.5BigBag</t>
  </si>
  <si>
    <t>Sulfonitrate-26</t>
  </si>
  <si>
    <t>269.000 kg/ha ; 70 (N), 94 (S)</t>
  </si>
  <si>
    <t xml:space="preserve">FURY 10 EW/MINUET 10 </t>
  </si>
  <si>
    <t xml:space="preserve">0.100 l/ha </t>
  </si>
  <si>
    <t xml:space="preserve">Bore </t>
  </si>
  <si>
    <t>3.000 l/ha  Substances de croissance</t>
  </si>
  <si>
    <t>NAPRAMID 450/NAPROP  Novall                         TYPY</t>
  </si>
  <si>
    <t>NURELLE D 550/GEOTIO</t>
  </si>
  <si>
    <t>CALANQUE</t>
  </si>
  <si>
    <t>0.500 l/ha</t>
  </si>
  <si>
    <t>0.400 l/ha , Adjuvants</t>
  </si>
  <si>
    <t>N33.5 sac</t>
  </si>
  <si>
    <t>150.000 kg/ha ; 50 (N)</t>
  </si>
  <si>
    <t>FONGICIDE</t>
  </si>
  <si>
    <t>Pictor pro</t>
  </si>
  <si>
    <t>Joao</t>
  </si>
  <si>
    <t>0.200 kg/ha</t>
  </si>
  <si>
    <t>0.300 l/ha</t>
  </si>
  <si>
    <t>0.400 kg/ha</t>
  </si>
  <si>
    <t xml:space="preserve">Basta                 </t>
  </si>
  <si>
    <t>Actirob</t>
  </si>
  <si>
    <t>5,00 l/ha</t>
  </si>
  <si>
    <t>1,00 l/ha Adjuvants</t>
  </si>
  <si>
    <t>N1 = 120U</t>
  </si>
  <si>
    <t>N2 = 180U</t>
  </si>
  <si>
    <t>bordure</t>
  </si>
  <si>
    <t>départ</t>
  </si>
  <si>
    <t>BI
N2</t>
  </si>
  <si>
    <t>BI
N1</t>
  </si>
  <si>
    <t xml:space="preserve">
32
</t>
  </si>
  <si>
    <t xml:space="preserve">
66
</t>
  </si>
  <si>
    <t xml:space="preserve">
9
</t>
  </si>
  <si>
    <t xml:space="preserve">
30
</t>
  </si>
  <si>
    <t xml:space="preserve">
44
</t>
  </si>
  <si>
    <t xml:space="preserve">
80
</t>
  </si>
  <si>
    <t xml:space="preserve">
60
</t>
  </si>
  <si>
    <t xml:space="preserve">
50
</t>
  </si>
  <si>
    <t xml:space="preserve">
65
</t>
  </si>
  <si>
    <t xml:space="preserve">
51
</t>
  </si>
  <si>
    <t xml:space="preserve">
78
</t>
  </si>
  <si>
    <t xml:space="preserve">
18
</t>
  </si>
  <si>
    <t xml:space="preserve">
33
</t>
  </si>
  <si>
    <t xml:space="preserve">
64
</t>
  </si>
  <si>
    <t xml:space="preserve">
76
</t>
  </si>
  <si>
    <t xml:space="preserve">
70
</t>
  </si>
  <si>
    <t xml:space="preserve">
11
</t>
  </si>
  <si>
    <t xml:space="preserve">
25
</t>
  </si>
  <si>
    <t xml:space="preserve">
81
</t>
  </si>
  <si>
    <t xml:space="preserve">
77
</t>
  </si>
  <si>
    <t xml:space="preserve">
45
</t>
  </si>
  <si>
    <t xml:space="preserve">
37
</t>
  </si>
  <si>
    <t xml:space="preserve">
26
</t>
  </si>
  <si>
    <t xml:space="preserve">
74
</t>
  </si>
  <si>
    <t xml:space="preserve">
84
</t>
  </si>
  <si>
    <t xml:space="preserve">
55
</t>
  </si>
  <si>
    <t xml:space="preserve">
31
</t>
  </si>
  <si>
    <t xml:space="preserve">
54
</t>
  </si>
  <si>
    <t xml:space="preserve">
79
</t>
  </si>
  <si>
    <t xml:space="preserve">
46
</t>
  </si>
  <si>
    <t xml:space="preserve">
36
</t>
  </si>
  <si>
    <t xml:space="preserve">
13
</t>
  </si>
  <si>
    <t xml:space="preserve">
42
</t>
  </si>
  <si>
    <t xml:space="preserve">
8
</t>
  </si>
  <si>
    <t xml:space="preserve">
71
</t>
  </si>
  <si>
    <t xml:space="preserve">
83
</t>
  </si>
  <si>
    <t xml:space="preserve">
15
</t>
  </si>
  <si>
    <t xml:space="preserve">zone de prélèvement </t>
  </si>
  <si>
    <t xml:space="preserve">
40
</t>
  </si>
  <si>
    <t xml:space="preserve">
41
</t>
  </si>
  <si>
    <t xml:space="preserve">
6
</t>
  </si>
  <si>
    <t xml:space="preserve">
28
</t>
  </si>
  <si>
    <t xml:space="preserve">
39
</t>
  </si>
  <si>
    <t xml:space="preserve">
29
</t>
  </si>
  <si>
    <t xml:space="preserve">
63
</t>
  </si>
  <si>
    <t xml:space="preserve">
38
</t>
  </si>
  <si>
    <t xml:space="preserve">
22
</t>
  </si>
  <si>
    <t xml:space="preserve">
19
</t>
  </si>
  <si>
    <t xml:space="preserve">
3
</t>
  </si>
  <si>
    <t xml:space="preserve">
12
</t>
  </si>
  <si>
    <t>N1=120U</t>
  </si>
  <si>
    <t xml:space="preserve">
75
</t>
  </si>
  <si>
    <t xml:space="preserve">
61
</t>
  </si>
  <si>
    <t xml:space="preserve">
2
</t>
  </si>
  <si>
    <t xml:space="preserve">
48
</t>
  </si>
  <si>
    <t xml:space="preserve">
20
</t>
  </si>
  <si>
    <t xml:space="preserve">
59
</t>
  </si>
  <si>
    <t xml:space="preserve">
35
</t>
  </si>
  <si>
    <t xml:space="preserve">
7
</t>
  </si>
  <si>
    <t xml:space="preserve">
58
</t>
  </si>
  <si>
    <t xml:space="preserve">
52
</t>
  </si>
  <si>
    <t xml:space="preserve">
57
</t>
  </si>
  <si>
    <t xml:space="preserve">
73
</t>
  </si>
  <si>
    <t xml:space="preserve">
23
</t>
  </si>
  <si>
    <t xml:space="preserve">
53
</t>
  </si>
  <si>
    <t xml:space="preserve">
67
</t>
  </si>
  <si>
    <t xml:space="preserve">
56
</t>
  </si>
  <si>
    <t xml:space="preserve">
49
</t>
  </si>
  <si>
    <t xml:space="preserve">
4
</t>
  </si>
  <si>
    <t xml:space="preserve">
47
</t>
  </si>
  <si>
    <t xml:space="preserve">
16
</t>
  </si>
  <si>
    <t xml:space="preserve">
68
</t>
  </si>
  <si>
    <t xml:space="preserve">
21
</t>
  </si>
  <si>
    <t xml:space="preserve">
5
</t>
  </si>
  <si>
    <t xml:space="preserve">
82
</t>
  </si>
  <si>
    <t xml:space="preserve">
69
</t>
  </si>
  <si>
    <t xml:space="preserve">
43
</t>
  </si>
  <si>
    <t xml:space="preserve">
27
</t>
  </si>
  <si>
    <t xml:space="preserve">
34
</t>
  </si>
  <si>
    <t xml:space="preserve">
17
</t>
  </si>
  <si>
    <t xml:space="preserve">
10
</t>
  </si>
  <si>
    <t xml:space="preserve">
14
</t>
  </si>
  <si>
    <t xml:space="preserve">
24
</t>
  </si>
  <si>
    <t xml:space="preserve">
72
</t>
  </si>
  <si>
    <t xml:space="preserve">
1
</t>
  </si>
  <si>
    <t xml:space="preserve">
62
</t>
  </si>
  <si>
    <t>BII
N1</t>
  </si>
  <si>
    <t>BII
N2</t>
  </si>
  <si>
    <t>BIII
N2</t>
  </si>
  <si>
    <t>BIII
N1</t>
  </si>
  <si>
    <t>Chemin</t>
  </si>
  <si>
    <t>Gel (% moyen de feuilles comportant des dégâts de gel)</t>
  </si>
  <si>
    <t>Fertilisation limitante (120U)</t>
  </si>
  <si>
    <t>Fertilisation optimale (180U)</t>
  </si>
  <si>
    <t>2012-2013</t>
  </si>
  <si>
    <t>12/09/2012</t>
  </si>
  <si>
    <t xml:space="preserve">N 47.234781, </t>
  </si>
  <si>
    <t>E 5.104821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</si>
</sst>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dd/mm/yy"/>
    <numFmt numFmtId="166" formatCode="d/mm/yyyy;@"/>
    <numFmt numFmtId="167" formatCode="0.0000"/>
  </numFmts>
  <fonts count="73">
    <font>
      <sz val="9"/>
      <name val="Geneva"/>
      <family val="2"/>
      <charset val="1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  <charset val="1"/>
    </font>
    <font>
      <u/>
      <sz val="11"/>
      <color indexed="12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charset val="238"/>
    </font>
    <font>
      <b/>
      <sz val="8"/>
      <name val="Arial"/>
      <family val="2"/>
      <charset val="1"/>
    </font>
    <font>
      <b/>
      <sz val="10"/>
      <name val="Arial"/>
      <family val="2"/>
      <charset val="1"/>
    </font>
    <font>
      <b/>
      <sz val="10"/>
      <color indexed="10"/>
      <name val="Arial"/>
      <family val="2"/>
      <charset val="1"/>
    </font>
    <font>
      <b/>
      <sz val="10"/>
      <color indexed="12"/>
      <name val="Arial"/>
      <family val="2"/>
      <charset val="1"/>
    </font>
    <font>
      <sz val="10"/>
      <color indexed="40"/>
      <name val="Arial"/>
      <family val="2"/>
      <charset val="1"/>
    </font>
    <font>
      <sz val="10"/>
      <color indexed="49"/>
      <name val="Arial"/>
      <family val="2"/>
      <charset val="1"/>
    </font>
    <font>
      <b/>
      <sz val="10"/>
      <color indexed="8"/>
      <name val="Arial"/>
      <family val="2"/>
      <charset val="1"/>
    </font>
    <font>
      <b/>
      <sz val="9"/>
      <name val="Geneva"/>
      <family val="2"/>
      <charset val="1"/>
    </font>
    <font>
      <b/>
      <sz val="9"/>
      <color indexed="10"/>
      <name val="Geneva"/>
      <family val="2"/>
      <charset val="1"/>
    </font>
    <font>
      <sz val="10"/>
      <color indexed="12"/>
      <name val="Arial"/>
      <family val="2"/>
      <charset val="1"/>
    </font>
    <font>
      <sz val="10"/>
      <color indexed="8"/>
      <name val="Arial"/>
      <family val="2"/>
      <charset val="1"/>
    </font>
    <font>
      <b/>
      <sz val="9"/>
      <color indexed="8"/>
      <name val="Tahoma"/>
      <family val="2"/>
      <charset val="1"/>
    </font>
    <font>
      <sz val="9"/>
      <color indexed="8"/>
      <name val="Tahoma"/>
      <family val="2"/>
      <charset val="1"/>
    </font>
    <font>
      <i/>
      <u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indexed="16"/>
      <name val="Arial"/>
      <family val="2"/>
      <charset val="1"/>
    </font>
    <font>
      <sz val="9"/>
      <name val="Geneva"/>
      <family val="2"/>
    </font>
    <font>
      <sz val="10"/>
      <color indexed="8"/>
      <name val="Arial"/>
      <family val="2"/>
    </font>
    <font>
      <sz val="9"/>
      <name val="Arial"/>
      <family val="2"/>
      <charset val="1"/>
    </font>
    <font>
      <sz val="10"/>
      <name val="Arial"/>
      <family val="2"/>
    </font>
    <font>
      <sz val="9"/>
      <name val="Arial"/>
      <family val="2"/>
    </font>
    <font>
      <sz val="10"/>
      <color indexed="56"/>
      <name val="Arial"/>
      <family val="2"/>
      <charset val="1"/>
    </font>
    <font>
      <sz val="9"/>
      <name val="Geneva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62"/>
      <name val="Geneva"/>
      <family val="2"/>
    </font>
    <font>
      <b/>
      <sz val="9"/>
      <name val="Geneva"/>
      <family val="2"/>
    </font>
    <font>
      <sz val="9"/>
      <name val="Geneva"/>
      <family val="2"/>
      <charset val="238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b/>
      <sz val="9"/>
      <color indexed="10"/>
      <name val="Genev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Tahoma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20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Geneva"/>
    </font>
    <font>
      <u/>
      <sz val="10"/>
      <color indexed="12"/>
      <name val="Arial"/>
      <family val="2"/>
    </font>
    <font>
      <sz val="8"/>
      <color indexed="8"/>
      <name val="Calibri"/>
      <family val="2"/>
      <charset val="1"/>
    </font>
    <font>
      <sz val="12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</font>
    <font>
      <b/>
      <sz val="10"/>
      <color rgb="FFFF0000"/>
      <name val="Arial"/>
      <family val="2"/>
    </font>
    <font>
      <b/>
      <sz val="1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7"/>
      </patternFill>
    </fill>
    <fill>
      <patternFill patternType="solid">
        <fgColor indexed="26"/>
        <bgColor indexed="47"/>
      </patternFill>
    </fill>
    <fill>
      <patternFill patternType="solid">
        <fgColor indexed="22"/>
        <bgColor indexed="4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indexed="13"/>
        <bgColor indexed="64"/>
      </patternFill>
    </fill>
    <fill>
      <patternFill patternType="lightUp">
        <bgColor rgb="FF92D050"/>
      </patternFill>
    </fill>
    <fill>
      <patternFill patternType="lightUp">
        <bgColor rgb="FFFF0000"/>
      </patternFill>
    </fill>
  </fills>
  <borders count="10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3"/>
      </left>
      <right/>
      <top/>
      <bottom/>
      <diagonal/>
    </border>
    <border>
      <left style="medium">
        <color indexed="63"/>
      </left>
      <right style="thin">
        <color indexed="63"/>
      </right>
      <top style="thin">
        <color indexed="8"/>
      </top>
      <bottom/>
      <diagonal/>
    </border>
    <border>
      <left style="medium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medium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63"/>
      </left>
      <right/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63"/>
      </left>
      <right style="hair">
        <color indexed="63"/>
      </right>
      <top/>
      <bottom style="hair">
        <color indexed="63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 style="double">
        <color rgb="FF000000"/>
      </right>
      <top style="thin">
        <color indexed="64"/>
      </top>
      <bottom style="double">
        <color indexed="64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</borders>
  <cellStyleXfs count="108">
    <xf numFmtId="0" fontId="0" fillId="0" borderId="0"/>
    <xf numFmtId="0" fontId="2" fillId="0" borderId="0" applyNumberFormat="0" applyFill="0" applyBorder="0" applyProtection="0"/>
    <xf numFmtId="0" fontId="2" fillId="0" borderId="0" applyNumberFormat="0" applyFill="0" applyBorder="0" applyProtection="0"/>
    <xf numFmtId="0" fontId="3" fillId="0" borderId="0" applyNumberFormat="0" applyFill="0" applyBorder="0" applyProtection="0"/>
    <xf numFmtId="0" fontId="2" fillId="0" borderId="0" applyNumberFormat="0" applyFill="0" applyBorder="0" applyProtection="0"/>
    <xf numFmtId="0" fontId="4" fillId="0" borderId="0"/>
    <xf numFmtId="0" fontId="29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6" fillId="0" borderId="0"/>
    <xf numFmtId="0" fontId="26" fillId="0" borderId="0" applyNumberFormat="0" applyFont="0" applyFill="0" applyBorder="0" applyAlignment="0" applyProtection="0"/>
    <xf numFmtId="0" fontId="23" fillId="0" borderId="0"/>
    <xf numFmtId="0" fontId="41" fillId="8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41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8" borderId="0" applyNumberFormat="0" applyBorder="0" applyAlignment="0" applyProtection="0"/>
    <xf numFmtId="0" fontId="42" fillId="15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42" fillId="21" borderId="0" applyNumberFormat="0" applyBorder="0" applyAlignment="0" applyProtection="0"/>
    <xf numFmtId="0" fontId="42" fillId="22" borderId="0" applyNumberFormat="0" applyBorder="0" applyAlignment="0" applyProtection="0"/>
    <xf numFmtId="0" fontId="42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4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26" borderId="22" applyNumberFormat="0" applyAlignment="0" applyProtection="0"/>
    <xf numFmtId="0" fontId="44" fillId="26" borderId="22" applyNumberFormat="0" applyAlignment="0" applyProtection="0"/>
    <xf numFmtId="0" fontId="45" fillId="0" borderId="23" applyNumberFormat="0" applyFill="0" applyAlignment="0" applyProtection="0"/>
    <xf numFmtId="0" fontId="45" fillId="0" borderId="23" applyNumberFormat="0" applyFill="0" applyAlignment="0" applyProtection="0"/>
    <xf numFmtId="0" fontId="41" fillId="27" borderId="24" applyNumberFormat="0" applyFont="0" applyAlignment="0" applyProtection="0"/>
    <xf numFmtId="0" fontId="26" fillId="27" borderId="24" applyNumberFormat="0" applyFont="0" applyAlignment="0" applyProtection="0"/>
    <xf numFmtId="0" fontId="46" fillId="13" borderId="22" applyNumberFormat="0" applyAlignment="0" applyProtection="0"/>
    <xf numFmtId="0" fontId="46" fillId="13" borderId="22" applyNumberFormat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164" fontId="26" fillId="0" borderId="0" applyFont="0" applyFill="0" applyBorder="0" applyAlignment="0" applyProtection="0"/>
    <xf numFmtId="0" fontId="48" fillId="28" borderId="0" applyNumberFormat="0" applyBorder="0" applyAlignment="0" applyProtection="0"/>
    <xf numFmtId="0" fontId="48" fillId="28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 applyNumberFormat="0" applyFont="0" applyFill="0" applyBorder="0" applyAlignment="0" applyProtection="0"/>
    <xf numFmtId="0" fontId="49" fillId="0" borderId="0"/>
    <xf numFmtId="0" fontId="26" fillId="0" borderId="0"/>
    <xf numFmtId="0" fontId="26" fillId="0" borderId="0"/>
    <xf numFmtId="0" fontId="1" fillId="0" borderId="0"/>
    <xf numFmtId="0" fontId="1" fillId="0" borderId="0"/>
    <xf numFmtId="0" fontId="50" fillId="10" borderId="0" applyNumberFormat="0" applyBorder="0" applyAlignment="0" applyProtection="0"/>
    <xf numFmtId="0" fontId="50" fillId="10" borderId="0" applyNumberFormat="0" applyBorder="0" applyAlignment="0" applyProtection="0"/>
    <xf numFmtId="0" fontId="51" fillId="26" borderId="5" applyNumberFormat="0" applyAlignment="0" applyProtection="0"/>
    <xf numFmtId="0" fontId="51" fillId="26" borderId="5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25" applyNumberFormat="0" applyFill="0" applyAlignment="0" applyProtection="0"/>
    <xf numFmtId="0" fontId="54" fillId="0" borderId="25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6" fillId="0" borderId="27" applyNumberFormat="0" applyFill="0" applyAlignment="0" applyProtection="0"/>
    <xf numFmtId="0" fontId="56" fillId="0" borderId="27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28" applyNumberFormat="0" applyFill="0" applyAlignment="0" applyProtection="0"/>
    <xf numFmtId="0" fontId="57" fillId="0" borderId="28" applyNumberFormat="0" applyFill="0" applyAlignment="0" applyProtection="0"/>
    <xf numFmtId="0" fontId="58" fillId="29" borderId="29" applyNumberFormat="0" applyAlignment="0" applyProtection="0"/>
    <xf numFmtId="0" fontId="58" fillId="29" borderId="29" applyNumberFormat="0" applyAlignment="0" applyProtection="0"/>
  </cellStyleXfs>
  <cellXfs count="367">
    <xf numFmtId="0" fontId="0" fillId="0" borderId="0" xfId="0"/>
    <xf numFmtId="0" fontId="4" fillId="0" borderId="0" xfId="0" applyFont="1" applyAlignment="1">
      <alignment horizontal="left"/>
    </xf>
    <xf numFmtId="0" fontId="7" fillId="0" borderId="0" xfId="6" applyFont="1" applyAlignment="1">
      <alignment horizontal="left"/>
    </xf>
    <xf numFmtId="165" fontId="7" fillId="0" borderId="0" xfId="6" applyNumberFormat="1" applyFont="1" applyAlignment="1">
      <alignment horizontal="left"/>
    </xf>
    <xf numFmtId="0" fontId="8" fillId="0" borderId="0" xfId="6" applyFont="1" applyAlignment="1">
      <alignment horizontal="left"/>
    </xf>
    <xf numFmtId="0" fontId="4" fillId="0" borderId="0" xfId="9" applyAlignment="1">
      <alignment horizontal="left"/>
    </xf>
    <xf numFmtId="165" fontId="8" fillId="0" borderId="0" xfId="6" applyNumberFormat="1" applyFont="1" applyAlignment="1">
      <alignment horizontal="left"/>
    </xf>
    <xf numFmtId="0" fontId="4" fillId="0" borderId="0" xfId="6" applyFont="1" applyAlignment="1">
      <alignment horizontal="left"/>
    </xf>
    <xf numFmtId="0" fontId="12" fillId="0" borderId="0" xfId="9" applyFont="1" applyAlignment="1">
      <alignment horizontal="left"/>
    </xf>
    <xf numFmtId="0" fontId="8" fillId="0" borderId="0" xfId="9" applyFont="1" applyAlignment="1">
      <alignment horizontal="left"/>
    </xf>
    <xf numFmtId="0" fontId="10" fillId="0" borderId="0" xfId="9" applyFont="1" applyAlignment="1">
      <alignment horizontal="left"/>
    </xf>
    <xf numFmtId="0" fontId="9" fillId="0" borderId="0" xfId="9" applyFont="1" applyAlignment="1">
      <alignment horizontal="left"/>
    </xf>
    <xf numFmtId="0" fontId="8" fillId="2" borderId="1" xfId="9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49" fontId="13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8" fillId="0" borderId="1" xfId="9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1" xfId="9" applyBorder="1" applyAlignment="1">
      <alignment horizontal="left" vertical="center" wrapText="1"/>
    </xf>
    <xf numFmtId="0" fontId="4" fillId="0" borderId="1" xfId="5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 applyProtection="1">
      <alignment horizontal="left" vertical="center" wrapText="1"/>
      <protection locked="0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7" xfId="0" applyFont="1" applyBorder="1" applyAlignment="1" applyProtection="1">
      <alignment horizontal="left" vertical="center" wrapText="1"/>
      <protection locked="0"/>
    </xf>
    <xf numFmtId="0" fontId="4" fillId="0" borderId="1" xfId="9" applyBorder="1" applyAlignment="1">
      <alignment horizontal="center" vertical="center" wrapText="1"/>
    </xf>
    <xf numFmtId="0" fontId="4" fillId="0" borderId="7" xfId="9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0" borderId="0" xfId="9" applyAlignment="1">
      <alignment horizontal="left" vertical="center" wrapText="1"/>
    </xf>
    <xf numFmtId="0" fontId="4" fillId="0" borderId="0" xfId="9" applyAlignment="1">
      <alignment horizontal="left" wrapText="1"/>
    </xf>
    <xf numFmtId="0" fontId="4" fillId="0" borderId="8" xfId="0" applyFont="1" applyBorder="1" applyAlignment="1">
      <alignment horizontal="left"/>
    </xf>
    <xf numFmtId="0" fontId="9" fillId="0" borderId="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2" borderId="1" xfId="9" applyFill="1" applyBorder="1" applyAlignment="1">
      <alignment horizontal="left"/>
    </xf>
    <xf numFmtId="0" fontId="14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/>
    </xf>
    <xf numFmtId="0" fontId="8" fillId="0" borderId="2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3" fillId="0" borderId="2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4" fillId="0" borderId="1" xfId="9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 wrapText="1"/>
    </xf>
    <xf numFmtId="0" fontId="4" fillId="0" borderId="0" xfId="9" applyAlignment="1">
      <alignment horizontal="left" vertical="center"/>
    </xf>
    <xf numFmtId="0" fontId="9" fillId="2" borderId="1" xfId="9" applyFont="1" applyFill="1" applyBorder="1" applyAlignment="1">
      <alignment horizontal="left"/>
    </xf>
    <xf numFmtId="0" fontId="13" fillId="2" borderId="1" xfId="9" applyFont="1" applyFill="1" applyBorder="1" applyAlignment="1">
      <alignment horizontal="left"/>
    </xf>
    <xf numFmtId="0" fontId="16" fillId="0" borderId="1" xfId="9" applyFont="1" applyBorder="1" applyAlignment="1">
      <alignment horizontal="left" vertical="center" wrapText="1"/>
    </xf>
    <xf numFmtId="0" fontId="4" fillId="0" borderId="1" xfId="9" applyBorder="1" applyAlignment="1">
      <alignment horizontal="left"/>
    </xf>
    <xf numFmtId="0" fontId="17" fillId="0" borderId="0" xfId="0" applyFont="1" applyAlignment="1">
      <alignment horizontal="left"/>
    </xf>
    <xf numFmtId="0" fontId="8" fillId="0" borderId="0" xfId="9" applyFont="1" applyAlignment="1">
      <alignment horizontal="left" vertical="center" wrapText="1"/>
    </xf>
    <xf numFmtId="0" fontId="9" fillId="0" borderId="0" xfId="9" applyFont="1" applyAlignment="1">
      <alignment horizontal="left" vertical="center" wrapText="1"/>
    </xf>
    <xf numFmtId="0" fontId="8" fillId="0" borderId="0" xfId="9" applyFont="1" applyAlignment="1">
      <alignment horizontal="left" vertical="center"/>
    </xf>
    <xf numFmtId="0" fontId="13" fillId="2" borderId="7" xfId="0" applyFont="1" applyFill="1" applyBorder="1" applyAlignment="1">
      <alignment horizontal="left"/>
    </xf>
    <xf numFmtId="0" fontId="4" fillId="0" borderId="5" xfId="0" applyFont="1" applyBorder="1" applyAlignment="1">
      <alignment horizontal="left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7" xfId="1" applyNumberFormat="1" applyFill="1" applyBorder="1" applyAlignment="1" applyProtection="1">
      <alignment horizontal="left" vertical="center" wrapText="1"/>
    </xf>
    <xf numFmtId="0" fontId="9" fillId="2" borderId="1" xfId="10" applyFont="1" applyFill="1" applyBorder="1" applyAlignment="1">
      <alignment horizontal="left"/>
    </xf>
    <xf numFmtId="0" fontId="8" fillId="2" borderId="1" xfId="10" applyFont="1" applyFill="1" applyBorder="1" applyAlignment="1">
      <alignment horizontal="left"/>
    </xf>
    <xf numFmtId="0" fontId="4" fillId="0" borderId="1" xfId="1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49" fontId="9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 applyProtection="1">
      <alignment horizontal="left"/>
      <protection locked="0"/>
    </xf>
    <xf numFmtId="0" fontId="13" fillId="2" borderId="6" xfId="0" applyFont="1" applyFill="1" applyBorder="1" applyAlignment="1">
      <alignment horizontal="left"/>
    </xf>
    <xf numFmtId="49" fontId="20" fillId="0" borderId="1" xfId="0" applyNumberFormat="1" applyFont="1" applyBorder="1" applyAlignment="1">
      <alignment horizontal="left" vertical="center" wrapText="1"/>
    </xf>
    <xf numFmtId="49" fontId="20" fillId="0" borderId="1" xfId="0" applyNumberFormat="1" applyFont="1" applyBorder="1" applyAlignment="1">
      <alignment horizontal="left" wrapText="1"/>
    </xf>
    <xf numFmtId="0" fontId="20" fillId="0" borderId="1" xfId="9" applyFont="1" applyBorder="1" applyAlignment="1">
      <alignment horizontal="left" vertical="center" wrapText="1"/>
    </xf>
    <xf numFmtId="0" fontId="4" fillId="0" borderId="7" xfId="0" applyFont="1" applyBorder="1" applyAlignment="1">
      <alignment horizontal="left"/>
    </xf>
    <xf numFmtId="0" fontId="8" fillId="0" borderId="0" xfId="0" applyFont="1"/>
    <xf numFmtId="0" fontId="0" fillId="2" borderId="1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2" fillId="0" borderId="1" xfId="3" applyNumberFormat="1" applyFont="1" applyFill="1" applyBorder="1" applyAlignment="1" applyProtection="1">
      <alignment horizontal="center" vertical="center" wrapText="1"/>
    </xf>
    <xf numFmtId="14" fontId="4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5" fillId="2" borderId="1" xfId="0" applyFont="1" applyFill="1" applyBorder="1"/>
    <xf numFmtId="0" fontId="4" fillId="0" borderId="1" xfId="0" applyFont="1" applyBorder="1" applyAlignment="1" applyProtection="1">
      <alignment horizontal="center"/>
      <protection locked="0"/>
    </xf>
    <xf numFmtId="0" fontId="22" fillId="3" borderId="11" xfId="0" applyFont="1" applyFill="1" applyBorder="1" applyAlignment="1">
      <alignment vertical="center"/>
    </xf>
    <xf numFmtId="0" fontId="0" fillId="0" borderId="12" xfId="0" applyBorder="1"/>
    <xf numFmtId="0" fontId="17" fillId="4" borderId="12" xfId="0" applyFont="1" applyFill="1" applyBorder="1"/>
    <xf numFmtId="0" fontId="9" fillId="3" borderId="13" xfId="0" applyFont="1" applyFill="1" applyBorder="1" applyAlignment="1">
      <alignment horizontal="center" vertical="center"/>
    </xf>
    <xf numFmtId="0" fontId="13" fillId="0" borderId="14" xfId="9" applyFont="1" applyBorder="1" applyAlignment="1">
      <alignment horizontal="center"/>
    </xf>
    <xf numFmtId="0" fontId="10" fillId="4" borderId="14" xfId="0" applyFont="1" applyFill="1" applyBorder="1" applyAlignment="1">
      <alignment horizontal="center"/>
    </xf>
    <xf numFmtId="0" fontId="17" fillId="3" borderId="15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13" fillId="0" borderId="1" xfId="9" applyFont="1" applyBorder="1" applyAlignment="1">
      <alignment horizontal="center"/>
    </xf>
    <xf numFmtId="0" fontId="17" fillId="3" borderId="11" xfId="0" applyFont="1" applyFill="1" applyBorder="1" applyAlignment="1">
      <alignment vertical="center"/>
    </xf>
    <xf numFmtId="0" fontId="13" fillId="0" borderId="14" xfId="9" applyFont="1" applyBorder="1" applyAlignment="1">
      <alignment horizontal="center" vertical="center"/>
    </xf>
    <xf numFmtId="0" fontId="17" fillId="3" borderId="16" xfId="0" applyFont="1" applyFill="1" applyBorder="1" applyAlignment="1">
      <alignment vertical="center"/>
    </xf>
    <xf numFmtId="0" fontId="4" fillId="0" borderId="0" xfId="0" applyFont="1" applyProtection="1">
      <protection locked="0"/>
    </xf>
    <xf numFmtId="0" fontId="4" fillId="5" borderId="11" xfId="0" applyFont="1" applyFill="1" applyBorder="1" applyAlignment="1">
      <alignment vertical="center"/>
    </xf>
    <xf numFmtId="0" fontId="8" fillId="5" borderId="13" xfId="0" applyFont="1" applyFill="1" applyBorder="1" applyAlignment="1">
      <alignment horizontal="center" vertical="center"/>
    </xf>
    <xf numFmtId="0" fontId="23" fillId="3" borderId="16" xfId="0" applyFont="1" applyFill="1" applyBorder="1" applyAlignment="1">
      <alignment vertical="center"/>
    </xf>
    <xf numFmtId="0" fontId="4" fillId="5" borderId="16" xfId="0" applyFont="1" applyFill="1" applyBorder="1" applyAlignment="1">
      <alignment vertical="center"/>
    </xf>
    <xf numFmtId="0" fontId="24" fillId="3" borderId="11" xfId="0" applyFont="1" applyFill="1" applyBorder="1" applyAlignment="1">
      <alignment vertical="center"/>
    </xf>
    <xf numFmtId="0" fontId="24" fillId="0" borderId="12" xfId="0" applyFont="1" applyBorder="1"/>
    <xf numFmtId="0" fontId="25" fillId="0" borderId="0" xfId="0" applyFont="1" applyAlignment="1">
      <alignment horizontal="right"/>
    </xf>
    <xf numFmtId="0" fontId="25" fillId="0" borderId="0" xfId="0" applyFont="1"/>
    <xf numFmtId="0" fontId="26" fillId="0" borderId="0" xfId="0" applyFont="1" applyProtection="1">
      <protection locked="0"/>
    </xf>
    <xf numFmtId="0" fontId="27" fillId="0" borderId="0" xfId="0" applyFont="1"/>
    <xf numFmtId="0" fontId="22" fillId="6" borderId="12" xfId="5" applyFont="1" applyFill="1" applyBorder="1"/>
    <xf numFmtId="0" fontId="28" fillId="0" borderId="12" xfId="5" applyFont="1" applyBorder="1"/>
    <xf numFmtId="0" fontId="4" fillId="0" borderId="12" xfId="5" applyBorder="1"/>
    <xf numFmtId="0" fontId="4" fillId="0" borderId="0" xfId="5"/>
    <xf numFmtId="0" fontId="9" fillId="6" borderId="1" xfId="5" applyFont="1" applyFill="1" applyBorder="1"/>
    <xf numFmtId="0" fontId="8" fillId="0" borderId="1" xfId="5" applyFont="1" applyBorder="1"/>
    <xf numFmtId="0" fontId="0" fillId="7" borderId="12" xfId="0" applyFill="1" applyBorder="1"/>
    <xf numFmtId="0" fontId="15" fillId="7" borderId="1" xfId="0" applyFont="1" applyFill="1" applyBorder="1"/>
    <xf numFmtId="0" fontId="14" fillId="0" borderId="0" xfId="0" applyFont="1"/>
    <xf numFmtId="0" fontId="23" fillId="0" borderId="0" xfId="0" applyFont="1"/>
    <xf numFmtId="166" fontId="25" fillId="0" borderId="0" xfId="0" applyNumberFormat="1" applyFont="1" applyAlignment="1">
      <alignment horizontal="right"/>
    </xf>
    <xf numFmtId="0" fontId="17" fillId="3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13" fillId="0" borderId="2" xfId="9" applyFont="1" applyBorder="1" applyAlignment="1">
      <alignment horizontal="center" vertical="center"/>
    </xf>
    <xf numFmtId="0" fontId="13" fillId="0" borderId="2" xfId="9" applyFont="1" applyBorder="1" applyAlignment="1">
      <alignment horizontal="center" vertical="center" wrapText="1"/>
    </xf>
    <xf numFmtId="0" fontId="17" fillId="3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32" fillId="0" borderId="17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0" fontId="0" fillId="0" borderId="17" xfId="6" applyFont="1" applyBorder="1" applyAlignment="1">
      <alignment horizontal="center" vertical="center" wrapText="1"/>
    </xf>
    <xf numFmtId="0" fontId="26" fillId="3" borderId="18" xfId="0" applyFont="1" applyFill="1" applyBorder="1" applyAlignment="1">
      <alignment horizontal="center" vertical="center"/>
    </xf>
    <xf numFmtId="0" fontId="26" fillId="0" borderId="2" xfId="9" applyFont="1" applyBorder="1" applyAlignment="1">
      <alignment horizontal="center" vertical="center"/>
    </xf>
    <xf numFmtId="0" fontId="26" fillId="0" borderId="2" xfId="9" applyFont="1" applyBorder="1" applyAlignment="1">
      <alignment horizontal="center" vertical="center" wrapText="1"/>
    </xf>
    <xf numFmtId="0" fontId="26" fillId="0" borderId="14" xfId="9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33" fillId="0" borderId="17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17" fillId="3" borderId="20" xfId="0" applyFont="1" applyFill="1" applyBorder="1" applyAlignment="1">
      <alignment vertical="center"/>
    </xf>
    <xf numFmtId="0" fontId="0" fillId="0" borderId="21" xfId="0" applyBorder="1"/>
    <xf numFmtId="49" fontId="0" fillId="0" borderId="0" xfId="0" applyNumberForma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9" fillId="0" borderId="0" xfId="0" applyFont="1"/>
    <xf numFmtId="0" fontId="38" fillId="0" borderId="0" xfId="0" applyFont="1"/>
    <xf numFmtId="0" fontId="39" fillId="0" borderId="0" xfId="0" applyFont="1"/>
    <xf numFmtId="0" fontId="0" fillId="0" borderId="0" xfId="0" applyProtection="1">
      <protection locked="0"/>
    </xf>
    <xf numFmtId="0" fontId="2" fillId="0" borderId="0" xfId="1" applyNumberFormat="1" applyFill="1" applyBorder="1" applyProtection="1">
      <protection locked="0"/>
    </xf>
    <xf numFmtId="0" fontId="0" fillId="0" borderId="0" xfId="0" applyAlignment="1">
      <alignment wrapText="1"/>
    </xf>
    <xf numFmtId="0" fontId="26" fillId="0" borderId="0" xfId="0" applyFont="1" applyAlignment="1">
      <alignment wrapText="1"/>
    </xf>
    <xf numFmtId="0" fontId="40" fillId="0" borderId="0" xfId="0" applyFont="1"/>
    <xf numFmtId="14" fontId="0" fillId="0" borderId="0" xfId="0" applyNumberFormat="1"/>
    <xf numFmtId="0" fontId="23" fillId="0" borderId="0" xfId="13"/>
    <xf numFmtId="0" fontId="1" fillId="0" borderId="0" xfId="87"/>
    <xf numFmtId="0" fontId="1" fillId="0" borderId="0" xfId="87" applyAlignment="1">
      <alignment horizontal="center"/>
    </xf>
    <xf numFmtId="0" fontId="26" fillId="0" borderId="0" xfId="77"/>
    <xf numFmtId="0" fontId="59" fillId="0" borderId="0" xfId="77" applyFont="1"/>
    <xf numFmtId="1" fontId="26" fillId="0" borderId="0" xfId="77" applyNumberFormat="1"/>
    <xf numFmtId="167" fontId="23" fillId="0" borderId="17" xfId="13" applyNumberFormat="1" applyBorder="1" applyAlignment="1">
      <alignment horizontal="center"/>
    </xf>
    <xf numFmtId="0" fontId="26" fillId="0" borderId="36" xfId="77" applyBorder="1" applyAlignment="1">
      <alignment horizontal="center"/>
    </xf>
    <xf numFmtId="14" fontId="26" fillId="0" borderId="36" xfId="77" applyNumberFormat="1" applyBorder="1" applyAlignment="1">
      <alignment horizontal="center"/>
    </xf>
    <xf numFmtId="0" fontId="59" fillId="33" borderId="39" xfId="77" applyFont="1" applyFill="1" applyBorder="1" applyAlignment="1">
      <alignment horizontal="center"/>
    </xf>
    <xf numFmtId="0" fontId="59" fillId="33" borderId="36" xfId="77" applyFont="1" applyFill="1" applyBorder="1" applyAlignment="1">
      <alignment horizontal="center"/>
    </xf>
    <xf numFmtId="0" fontId="26" fillId="0" borderId="0" xfId="77" applyAlignment="1">
      <alignment horizontal="center"/>
    </xf>
    <xf numFmtId="0" fontId="13" fillId="34" borderId="14" xfId="9" applyFont="1" applyFill="1" applyBorder="1" applyAlignment="1">
      <alignment horizontal="center"/>
    </xf>
    <xf numFmtId="0" fontId="26" fillId="0" borderId="37" xfId="77" applyBorder="1" applyAlignment="1">
      <alignment horizontal="center"/>
    </xf>
    <xf numFmtId="0" fontId="59" fillId="33" borderId="51" xfId="77" applyFont="1" applyFill="1" applyBorder="1" applyAlignment="1">
      <alignment horizontal="center"/>
    </xf>
    <xf numFmtId="0" fontId="26" fillId="0" borderId="52" xfId="77" applyBorder="1" applyAlignment="1">
      <alignment horizontal="center"/>
    </xf>
    <xf numFmtId="0" fontId="26" fillId="0" borderId="17" xfId="77" applyBorder="1" applyAlignment="1">
      <alignment horizontal="center"/>
    </xf>
    <xf numFmtId="0" fontId="59" fillId="33" borderId="53" xfId="77" applyFont="1" applyFill="1" applyBorder="1" applyAlignment="1">
      <alignment horizontal="center"/>
    </xf>
    <xf numFmtId="0" fontId="26" fillId="0" borderId="53" xfId="77" applyBorder="1" applyAlignment="1">
      <alignment horizontal="center"/>
    </xf>
    <xf numFmtId="2" fontId="26" fillId="0" borderId="36" xfId="77" applyNumberFormat="1" applyBorder="1" applyAlignment="1">
      <alignment horizontal="center"/>
    </xf>
    <xf numFmtId="0" fontId="59" fillId="33" borderId="59" xfId="77" applyFont="1" applyFill="1" applyBorder="1" applyAlignment="1">
      <alignment horizontal="center"/>
    </xf>
    <xf numFmtId="2" fontId="26" fillId="0" borderId="38" xfId="77" applyNumberFormat="1" applyBorder="1" applyAlignment="1">
      <alignment horizontal="center"/>
    </xf>
    <xf numFmtId="0" fontId="59" fillId="33" borderId="60" xfId="77" applyFont="1" applyFill="1" applyBorder="1" applyAlignment="1">
      <alignment horizontal="center"/>
    </xf>
    <xf numFmtId="0" fontId="59" fillId="33" borderId="61" xfId="77" applyFont="1" applyFill="1" applyBorder="1" applyAlignment="1">
      <alignment horizontal="center"/>
    </xf>
    <xf numFmtId="0" fontId="26" fillId="0" borderId="60" xfId="77" applyBorder="1" applyAlignment="1">
      <alignment horizontal="center"/>
    </xf>
    <xf numFmtId="0" fontId="59" fillId="33" borderId="49" xfId="77" applyFont="1" applyFill="1" applyBorder="1" applyAlignment="1">
      <alignment horizontal="center"/>
    </xf>
    <xf numFmtId="0" fontId="23" fillId="0" borderId="17" xfId="13" applyBorder="1"/>
    <xf numFmtId="0" fontId="59" fillId="33" borderId="17" xfId="77" applyFont="1" applyFill="1" applyBorder="1" applyAlignment="1">
      <alignment horizontal="center"/>
    </xf>
    <xf numFmtId="0" fontId="59" fillId="32" borderId="17" xfId="77" applyFont="1" applyFill="1" applyBorder="1" applyAlignment="1">
      <alignment horizontal="center"/>
    </xf>
    <xf numFmtId="0" fontId="26" fillId="0" borderId="48" xfId="77" applyBorder="1" applyAlignment="1">
      <alignment horizontal="center"/>
    </xf>
    <xf numFmtId="0" fontId="65" fillId="0" borderId="0" xfId="1" applyNumberFormat="1" applyFont="1" applyFill="1" applyBorder="1" applyProtection="1">
      <protection locked="0"/>
    </xf>
    <xf numFmtId="0" fontId="23" fillId="0" borderId="0" xfId="0" applyFont="1" applyAlignment="1">
      <alignment wrapText="1"/>
    </xf>
    <xf numFmtId="0" fontId="66" fillId="0" borderId="1" xfId="0" applyFont="1" applyBorder="1"/>
    <xf numFmtId="0" fontId="68" fillId="0" borderId="62" xfId="0" applyFont="1" applyBorder="1" applyAlignment="1">
      <alignment horizontal="center" vertical="center" wrapText="1"/>
    </xf>
    <xf numFmtId="0" fontId="68" fillId="0" borderId="63" xfId="0" applyFont="1" applyBorder="1" applyAlignment="1">
      <alignment horizontal="center" vertical="center" wrapText="1"/>
    </xf>
    <xf numFmtId="0" fontId="68" fillId="0" borderId="66" xfId="0" applyFont="1" applyBorder="1" applyAlignment="1">
      <alignment horizontal="center" vertical="center" wrapText="1"/>
    </xf>
    <xf numFmtId="0" fontId="70" fillId="35" borderId="62" xfId="0" applyFont="1" applyFill="1" applyBorder="1" applyAlignment="1">
      <alignment horizontal="center" vertical="center"/>
    </xf>
    <xf numFmtId="0" fontId="70" fillId="35" borderId="63" xfId="0" applyFont="1" applyFill="1" applyBorder="1" applyAlignment="1">
      <alignment horizontal="center" vertical="center"/>
    </xf>
    <xf numFmtId="0" fontId="70" fillId="0" borderId="69" xfId="0" applyFont="1" applyBorder="1" applyAlignment="1">
      <alignment horizontal="left" vertical="center"/>
    </xf>
    <xf numFmtId="0" fontId="70" fillId="0" borderId="66" xfId="0" applyFont="1" applyBorder="1" applyAlignment="1">
      <alignment horizontal="center" vertical="center"/>
    </xf>
    <xf numFmtId="0" fontId="70" fillId="30" borderId="66" xfId="0" applyFont="1" applyFill="1" applyBorder="1" applyAlignment="1">
      <alignment horizontal="center" vertical="center"/>
    </xf>
    <xf numFmtId="0" fontId="70" fillId="0" borderId="65" xfId="0" applyFont="1" applyBorder="1" applyAlignment="1">
      <alignment horizontal="left" vertical="center" wrapText="1"/>
    </xf>
    <xf numFmtId="0" fontId="70" fillId="0" borderId="69" xfId="0" applyFont="1" applyBorder="1" applyAlignment="1">
      <alignment horizontal="left" vertical="center" wrapText="1"/>
    </xf>
    <xf numFmtId="0" fontId="70" fillId="35" borderId="62" xfId="0" applyFont="1" applyFill="1" applyBorder="1" applyAlignment="1">
      <alignment horizontal="left" vertical="center"/>
    </xf>
    <xf numFmtId="0" fontId="26" fillId="0" borderId="51" xfId="77" applyBorder="1" applyAlignment="1">
      <alignment horizontal="center"/>
    </xf>
    <xf numFmtId="14" fontId="26" fillId="0" borderId="51" xfId="77" applyNumberFormat="1" applyBorder="1" applyAlignment="1">
      <alignment horizontal="center"/>
    </xf>
    <xf numFmtId="0" fontId="26" fillId="0" borderId="61" xfId="77" applyBorder="1" applyAlignment="1">
      <alignment horizontal="center"/>
    </xf>
    <xf numFmtId="0" fontId="26" fillId="0" borderId="43" xfId="77" applyBorder="1" applyAlignment="1">
      <alignment horizontal="center"/>
    </xf>
    <xf numFmtId="2" fontId="26" fillId="0" borderId="59" xfId="77" applyNumberFormat="1" applyBorder="1" applyAlignment="1">
      <alignment horizontal="center"/>
    </xf>
    <xf numFmtId="2" fontId="26" fillId="0" borderId="51" xfId="77" applyNumberFormat="1" applyBorder="1" applyAlignment="1">
      <alignment horizontal="center"/>
    </xf>
    <xf numFmtId="167" fontId="23" fillId="0" borderId="43" xfId="13" applyNumberFormat="1" applyBorder="1" applyAlignment="1">
      <alignment horizontal="center"/>
    </xf>
    <xf numFmtId="14" fontId="26" fillId="0" borderId="52" xfId="77" applyNumberFormat="1" applyBorder="1" applyAlignment="1">
      <alignment horizontal="center"/>
    </xf>
    <xf numFmtId="0" fontId="26" fillId="0" borderId="72" xfId="77" applyBorder="1" applyAlignment="1">
      <alignment horizontal="center"/>
    </xf>
    <xf numFmtId="0" fontId="26" fillId="0" borderId="73" xfId="77" applyBorder="1" applyAlignment="1">
      <alignment horizontal="center"/>
    </xf>
    <xf numFmtId="0" fontId="26" fillId="0" borderId="42" xfId="77" applyBorder="1" applyAlignment="1">
      <alignment horizontal="center"/>
    </xf>
    <xf numFmtId="2" fontId="26" fillId="0" borderId="74" xfId="77" applyNumberFormat="1" applyBorder="1" applyAlignment="1">
      <alignment horizontal="center"/>
    </xf>
    <xf numFmtId="167" fontId="23" fillId="0" borderId="42" xfId="13" applyNumberFormat="1" applyBorder="1" applyAlignment="1">
      <alignment horizontal="center"/>
    </xf>
    <xf numFmtId="0" fontId="26" fillId="0" borderId="75" xfId="77" applyBorder="1" applyAlignment="1">
      <alignment horizontal="center"/>
    </xf>
    <xf numFmtId="14" fontId="26" fillId="0" borderId="75" xfId="77" applyNumberFormat="1" applyBorder="1" applyAlignment="1">
      <alignment horizontal="center"/>
    </xf>
    <xf numFmtId="0" fontId="26" fillId="0" borderId="77" xfId="77" applyBorder="1" applyAlignment="1">
      <alignment horizontal="center"/>
    </xf>
    <xf numFmtId="0" fontId="26" fillId="0" borderId="70" xfId="77" applyBorder="1" applyAlignment="1">
      <alignment horizontal="center"/>
    </xf>
    <xf numFmtId="0" fontId="26" fillId="0" borderId="79" xfId="77" applyBorder="1" applyAlignment="1">
      <alignment horizontal="center"/>
    </xf>
    <xf numFmtId="2" fontId="26" fillId="0" borderId="81" xfId="77" applyNumberFormat="1" applyBorder="1" applyAlignment="1">
      <alignment horizontal="center"/>
    </xf>
    <xf numFmtId="2" fontId="26" fillId="0" borderId="75" xfId="77" applyNumberFormat="1" applyBorder="1" applyAlignment="1">
      <alignment horizontal="center"/>
    </xf>
    <xf numFmtId="167" fontId="23" fillId="0" borderId="79" xfId="13" applyNumberFormat="1" applyBorder="1" applyAlignment="1">
      <alignment horizontal="center"/>
    </xf>
    <xf numFmtId="0" fontId="23" fillId="0" borderId="76" xfId="13" applyBorder="1"/>
    <xf numFmtId="0" fontId="26" fillId="0" borderId="82" xfId="77" applyBorder="1" applyAlignment="1">
      <alignment horizontal="center"/>
    </xf>
    <xf numFmtId="0" fontId="26" fillId="0" borderId="83" xfId="77" applyBorder="1" applyAlignment="1">
      <alignment horizontal="center"/>
    </xf>
    <xf numFmtId="0" fontId="26" fillId="0" borderId="84" xfId="77" applyBorder="1" applyAlignment="1">
      <alignment horizontal="center"/>
    </xf>
    <xf numFmtId="0" fontId="26" fillId="0" borderId="85" xfId="77" applyBorder="1" applyAlignment="1">
      <alignment horizontal="center"/>
    </xf>
    <xf numFmtId="0" fontId="26" fillId="0" borderId="54" xfId="77" applyBorder="1" applyAlignment="1">
      <alignment horizontal="center"/>
    </xf>
    <xf numFmtId="0" fontId="26" fillId="0" borderId="86" xfId="77" applyBorder="1" applyAlignment="1">
      <alignment horizontal="center"/>
    </xf>
    <xf numFmtId="0" fontId="26" fillId="0" borderId="17" xfId="77" applyBorder="1"/>
    <xf numFmtId="0" fontId="26" fillId="0" borderId="79" xfId="77" applyBorder="1"/>
    <xf numFmtId="0" fontId="26" fillId="0" borderId="42" xfId="77" applyBorder="1"/>
    <xf numFmtId="2" fontId="26" fillId="0" borderId="17" xfId="77" applyNumberFormat="1" applyBorder="1" applyAlignment="1">
      <alignment horizontal="center"/>
    </xf>
    <xf numFmtId="2" fontId="26" fillId="0" borderId="42" xfId="77" applyNumberFormat="1" applyBorder="1" applyAlignment="1">
      <alignment horizontal="center"/>
    </xf>
    <xf numFmtId="2" fontId="26" fillId="0" borderId="79" xfId="77" applyNumberFormat="1" applyBorder="1" applyAlignment="1">
      <alignment horizontal="center"/>
    </xf>
    <xf numFmtId="0" fontId="26" fillId="0" borderId="89" xfId="77" applyBorder="1" applyAlignment="1">
      <alignment horizontal="center"/>
    </xf>
    <xf numFmtId="14" fontId="26" fillId="0" borderId="89" xfId="77" applyNumberFormat="1" applyBorder="1" applyAlignment="1">
      <alignment horizontal="center"/>
    </xf>
    <xf numFmtId="0" fontId="26" fillId="0" borderId="87" xfId="77" applyBorder="1" applyAlignment="1">
      <alignment horizontal="center"/>
    </xf>
    <xf numFmtId="0" fontId="26" fillId="0" borderId="90" xfId="77" applyBorder="1" applyAlignment="1">
      <alignment horizontal="center"/>
    </xf>
    <xf numFmtId="0" fontId="26" fillId="0" borderId="91" xfId="77" applyBorder="1" applyAlignment="1">
      <alignment horizontal="center"/>
    </xf>
    <xf numFmtId="2" fontId="26" fillId="0" borderId="92" xfId="77" applyNumberFormat="1" applyBorder="1" applyAlignment="1">
      <alignment horizontal="center"/>
    </xf>
    <xf numFmtId="0" fontId="23" fillId="0" borderId="93" xfId="13" applyBorder="1"/>
    <xf numFmtId="0" fontId="26" fillId="0" borderId="94" xfId="77" applyBorder="1" applyAlignment="1">
      <alignment horizontal="center"/>
    </xf>
    <xf numFmtId="0" fontId="70" fillId="0" borderId="0" xfId="0" applyFont="1"/>
    <xf numFmtId="0" fontId="26" fillId="0" borderId="0" xfId="82" applyNumberFormat="1" applyFont="1" applyFill="1" applyBorder="1" applyAlignment="1"/>
    <xf numFmtId="0" fontId="62" fillId="33" borderId="17" xfId="13" applyFont="1" applyFill="1" applyBorder="1" applyAlignment="1">
      <alignment horizontal="center" vertical="center"/>
    </xf>
    <xf numFmtId="0" fontId="23" fillId="0" borderId="0" xfId="13" applyAlignment="1">
      <alignment vertical="center"/>
    </xf>
    <xf numFmtId="14" fontId="63" fillId="31" borderId="17" xfId="13" applyNumberFormat="1" applyFont="1" applyFill="1" applyBorder="1" applyAlignment="1">
      <alignment horizontal="center" vertical="center"/>
    </xf>
    <xf numFmtId="14" fontId="63" fillId="0" borderId="17" xfId="13" applyNumberFormat="1" applyFont="1" applyBorder="1" applyAlignment="1">
      <alignment horizontal="center" vertical="center"/>
    </xf>
    <xf numFmtId="0" fontId="63" fillId="0" borderId="17" xfId="13" applyFont="1" applyBorder="1" applyAlignment="1">
      <alignment horizontal="center" vertical="center"/>
    </xf>
    <xf numFmtId="0" fontId="63" fillId="0" borderId="17" xfId="13" applyFont="1" applyBorder="1" applyAlignment="1">
      <alignment horizontal="center" vertical="center" wrapText="1"/>
    </xf>
    <xf numFmtId="0" fontId="23" fillId="0" borderId="0" xfId="13" applyAlignment="1">
      <alignment horizontal="center" vertical="center"/>
    </xf>
    <xf numFmtId="14" fontId="63" fillId="0" borderId="17" xfId="13" applyNumberFormat="1" applyFont="1" applyBorder="1" applyAlignment="1">
      <alignment horizontal="center" vertical="center" wrapText="1"/>
    </xf>
    <xf numFmtId="0" fontId="0" fillId="34" borderId="0" xfId="0" applyFill="1"/>
    <xf numFmtId="0" fontId="59" fillId="0" borderId="0" xfId="0" applyFont="1" applyAlignment="1">
      <alignment horizontal="left" vertical="center"/>
    </xf>
    <xf numFmtId="0" fontId="0" fillId="30" borderId="43" xfId="0" applyFill="1" applyBorder="1"/>
    <xf numFmtId="0" fontId="0" fillId="30" borderId="97" xfId="0" applyFill="1" applyBorder="1"/>
    <xf numFmtId="0" fontId="0" fillId="30" borderId="42" xfId="0" applyFill="1" applyBorder="1"/>
    <xf numFmtId="0" fontId="0" fillId="32" borderId="43" xfId="0" applyFill="1" applyBorder="1"/>
    <xf numFmtId="0" fontId="0" fillId="32" borderId="97" xfId="0" applyFill="1" applyBorder="1"/>
    <xf numFmtId="0" fontId="0" fillId="32" borderId="42" xfId="0" applyFill="1" applyBorder="1"/>
    <xf numFmtId="0" fontId="26" fillId="0" borderId="0" xfId="0" applyFont="1"/>
    <xf numFmtId="0" fontId="26" fillId="0" borderId="12" xfId="0" applyFont="1" applyBorder="1"/>
    <xf numFmtId="0" fontId="4" fillId="0" borderId="1" xfId="0" applyFont="1" applyBorder="1" applyAlignment="1" applyProtection="1">
      <alignment horizontal="left" vertical="center" wrapText="1"/>
      <protection locked="0"/>
    </xf>
    <xf numFmtId="0" fontId="8" fillId="0" borderId="0" xfId="9" applyFont="1" applyAlignment="1">
      <alignment horizontal="left"/>
    </xf>
    <xf numFmtId="0" fontId="8" fillId="0" borderId="1" xfId="9" applyFont="1" applyBorder="1" applyAlignment="1">
      <alignment horizontal="left" vertical="center"/>
    </xf>
    <xf numFmtId="0" fontId="9" fillId="0" borderId="2" xfId="9" applyFont="1" applyBorder="1" applyAlignment="1">
      <alignment horizontal="left"/>
    </xf>
    <xf numFmtId="0" fontId="8" fillId="0" borderId="3" xfId="9" applyFont="1" applyBorder="1" applyAlignment="1">
      <alignment horizontal="left"/>
    </xf>
    <xf numFmtId="0" fontId="10" fillId="0" borderId="4" xfId="9" applyFont="1" applyBorder="1" applyAlignment="1">
      <alignment horizontal="left"/>
    </xf>
    <xf numFmtId="0" fontId="13" fillId="0" borderId="1" xfId="9" applyFont="1" applyBorder="1" applyAlignment="1">
      <alignment horizontal="left" vertical="center" wrapText="1"/>
    </xf>
    <xf numFmtId="0" fontId="8" fillId="0" borderId="1" xfId="9" applyFont="1" applyBorder="1" applyAlignment="1">
      <alignment horizontal="left" vertical="center" wrapText="1"/>
    </xf>
    <xf numFmtId="0" fontId="4" fillId="0" borderId="1" xfId="9" applyBorder="1" applyAlignment="1">
      <alignment horizontal="left" vertical="center" wrapText="1"/>
    </xf>
    <xf numFmtId="0" fontId="70" fillId="30" borderId="67" xfId="0" applyFont="1" applyFill="1" applyBorder="1" applyAlignment="1">
      <alignment horizontal="center" vertical="center"/>
    </xf>
    <xf numFmtId="0" fontId="70" fillId="30" borderId="69" xfId="0" applyFont="1" applyFill="1" applyBorder="1" applyAlignment="1">
      <alignment horizontal="center" vertical="center"/>
    </xf>
    <xf numFmtId="0" fontId="70" fillId="0" borderId="67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67" fillId="0" borderId="0" xfId="0" applyFont="1" applyAlignment="1">
      <alignment horizontal="center"/>
    </xf>
    <xf numFmtId="0" fontId="69" fillId="0" borderId="67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wrapText="1"/>
    </xf>
    <xf numFmtId="0" fontId="69" fillId="0" borderId="64" xfId="0" applyFont="1" applyBorder="1" applyAlignment="1">
      <alignment horizontal="center" vertical="center" wrapText="1"/>
    </xf>
    <xf numFmtId="0" fontId="70" fillId="0" borderId="68" xfId="0" applyFont="1" applyBorder="1" applyAlignment="1">
      <alignment horizontal="center" vertical="center" wrapText="1"/>
    </xf>
    <xf numFmtId="0" fontId="70" fillId="0" borderId="65" xfId="0" applyFont="1" applyBorder="1" applyAlignment="1">
      <alignment horizontal="center" vertical="center" wrapText="1"/>
    </xf>
    <xf numFmtId="0" fontId="70" fillId="0" borderId="64" xfId="0" applyFont="1" applyBorder="1" applyAlignment="1">
      <alignment horizontal="center" vertical="center" wrapText="1"/>
    </xf>
    <xf numFmtId="49" fontId="60" fillId="31" borderId="56" xfId="77" applyNumberFormat="1" applyFont="1" applyFill="1" applyBorder="1" applyAlignment="1">
      <alignment horizontal="center"/>
    </xf>
    <xf numFmtId="49" fontId="60" fillId="31" borderId="40" xfId="77" applyNumberFormat="1" applyFont="1" applyFill="1" applyBorder="1" applyAlignment="1">
      <alignment horizontal="center"/>
    </xf>
    <xf numFmtId="49" fontId="60" fillId="31" borderId="54" xfId="77" applyNumberFormat="1" applyFont="1" applyFill="1" applyBorder="1" applyAlignment="1">
      <alignment horizontal="center"/>
    </xf>
    <xf numFmtId="49" fontId="60" fillId="31" borderId="37" xfId="77" applyNumberFormat="1" applyFont="1" applyFill="1" applyBorder="1" applyAlignment="1">
      <alignment horizontal="center"/>
    </xf>
    <xf numFmtId="0" fontId="23" fillId="0" borderId="17" xfId="13" applyBorder="1" applyAlignment="1">
      <alignment horizontal="center"/>
    </xf>
    <xf numFmtId="0" fontId="64" fillId="31" borderId="50" xfId="13" applyFont="1" applyFill="1" applyBorder="1" applyAlignment="1">
      <alignment horizontal="center"/>
    </xf>
    <xf numFmtId="0" fontId="64" fillId="31" borderId="55" xfId="13" applyFont="1" applyFill="1" applyBorder="1" applyAlignment="1">
      <alignment horizontal="center"/>
    </xf>
    <xf numFmtId="0" fontId="34" fillId="31" borderId="17" xfId="13" applyFont="1" applyFill="1" applyBorder="1" applyAlignment="1">
      <alignment horizontal="center"/>
    </xf>
    <xf numFmtId="0" fontId="34" fillId="31" borderId="41" xfId="13" applyFont="1" applyFill="1" applyBorder="1" applyAlignment="1">
      <alignment horizontal="center"/>
    </xf>
    <xf numFmtId="0" fontId="26" fillId="0" borderId="37" xfId="77" applyBorder="1" applyAlignment="1">
      <alignment horizontal="center"/>
    </xf>
    <xf numFmtId="0" fontId="26" fillId="0" borderId="47" xfId="77" applyBorder="1" applyAlignment="1">
      <alignment horizontal="center"/>
    </xf>
    <xf numFmtId="0" fontId="23" fillId="0" borderId="79" xfId="13" applyBorder="1" applyAlignment="1">
      <alignment horizontal="center"/>
    </xf>
    <xf numFmtId="0" fontId="23" fillId="0" borderId="42" xfId="13" applyBorder="1" applyAlignment="1">
      <alignment horizontal="center"/>
    </xf>
    <xf numFmtId="0" fontId="26" fillId="0" borderId="41" xfId="77" applyBorder="1" applyAlignment="1">
      <alignment horizontal="center"/>
    </xf>
    <xf numFmtId="0" fontId="26" fillId="0" borderId="57" xfId="77" applyBorder="1" applyAlignment="1">
      <alignment horizontal="center"/>
    </xf>
    <xf numFmtId="0" fontId="26" fillId="0" borderId="30" xfId="77" applyBorder="1" applyAlignment="1">
      <alignment horizontal="center"/>
    </xf>
    <xf numFmtId="0" fontId="26" fillId="0" borderId="71" xfId="77" applyBorder="1" applyAlignment="1">
      <alignment horizontal="center"/>
    </xf>
    <xf numFmtId="0" fontId="26" fillId="0" borderId="80" xfId="77" applyBorder="1" applyAlignment="1">
      <alignment horizontal="center"/>
    </xf>
    <xf numFmtId="0" fontId="26" fillId="0" borderId="81" xfId="77" applyBorder="1" applyAlignment="1">
      <alignment horizontal="center"/>
    </xf>
    <xf numFmtId="0" fontId="23" fillId="0" borderId="43" xfId="13" applyBorder="1" applyAlignment="1">
      <alignment horizontal="center"/>
    </xf>
    <xf numFmtId="0" fontId="26" fillId="0" borderId="72" xfId="77" applyBorder="1" applyAlignment="1">
      <alignment horizontal="center"/>
    </xf>
    <xf numFmtId="0" fontId="26" fillId="0" borderId="55" xfId="77" applyBorder="1" applyAlignment="1">
      <alignment horizontal="center"/>
    </xf>
    <xf numFmtId="0" fontId="26" fillId="0" borderId="48" xfId="77" applyBorder="1" applyAlignment="1">
      <alignment horizontal="center"/>
    </xf>
    <xf numFmtId="0" fontId="26" fillId="0" borderId="58" xfId="77" applyBorder="1" applyAlignment="1">
      <alignment horizontal="center"/>
    </xf>
    <xf numFmtId="0" fontId="26" fillId="0" borderId="70" xfId="77" applyBorder="1" applyAlignment="1">
      <alignment horizontal="center"/>
    </xf>
    <xf numFmtId="0" fontId="26" fillId="0" borderId="78" xfId="77" applyBorder="1" applyAlignment="1">
      <alignment horizontal="center"/>
    </xf>
    <xf numFmtId="0" fontId="26" fillId="0" borderId="87" xfId="77" applyBorder="1" applyAlignment="1">
      <alignment horizontal="center"/>
    </xf>
    <xf numFmtId="0" fontId="26" fillId="0" borderId="88" xfId="77" applyBorder="1" applyAlignment="1">
      <alignment horizontal="center"/>
    </xf>
    <xf numFmtId="0" fontId="0" fillId="0" borderId="0" xfId="0" applyAlignment="1">
      <alignment horizontal="center" vertical="center" wrapText="1"/>
    </xf>
    <xf numFmtId="1" fontId="72" fillId="0" borderId="43" xfId="0" applyNumberFormat="1" applyFont="1" applyBorder="1" applyAlignment="1">
      <alignment horizontal="center" vertical="center" wrapText="1"/>
    </xf>
    <xf numFmtId="1" fontId="72" fillId="0" borderId="97" xfId="0" applyNumberFormat="1" applyFont="1" applyBorder="1" applyAlignment="1">
      <alignment horizontal="center" vertical="center" wrapText="1"/>
    </xf>
    <xf numFmtId="1" fontId="72" fillId="0" borderId="42" xfId="0" applyNumberFormat="1" applyFont="1" applyBorder="1" applyAlignment="1">
      <alignment horizontal="center" vertical="center" wrapText="1"/>
    </xf>
    <xf numFmtId="0" fontId="0" fillId="0" borderId="9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1" fontId="72" fillId="36" borderId="43" xfId="0" applyNumberFormat="1" applyFont="1" applyFill="1" applyBorder="1" applyAlignment="1">
      <alignment horizontal="center" vertical="center" wrapText="1"/>
    </xf>
    <xf numFmtId="1" fontId="72" fillId="0" borderId="97" xfId="0" applyNumberFormat="1" applyFont="1" applyBorder="1"/>
    <xf numFmtId="1" fontId="72" fillId="0" borderId="42" xfId="0" applyNumberFormat="1" applyFont="1" applyBorder="1"/>
    <xf numFmtId="1" fontId="72" fillId="0" borderId="99" xfId="0" applyNumberFormat="1" applyFont="1" applyBorder="1" applyAlignment="1">
      <alignment horizontal="center" vertical="center" wrapText="1"/>
    </xf>
    <xf numFmtId="1" fontId="72" fillId="0" borderId="102" xfId="0" applyNumberFormat="1" applyFont="1" applyBorder="1"/>
    <xf numFmtId="1" fontId="72" fillId="0" borderId="104" xfId="0" applyNumberFormat="1" applyFont="1" applyBorder="1"/>
    <xf numFmtId="0" fontId="0" fillId="0" borderId="96" xfId="0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1" fontId="72" fillId="36" borderId="31" xfId="0" applyNumberFormat="1" applyFont="1" applyFill="1" applyBorder="1" applyAlignment="1">
      <alignment horizontal="center" vertical="center" wrapText="1"/>
    </xf>
    <xf numFmtId="1" fontId="72" fillId="0" borderId="33" xfId="0" applyNumberFormat="1" applyFont="1" applyBorder="1" applyAlignment="1">
      <alignment horizontal="center" vertical="center" wrapText="1"/>
    </xf>
    <xf numFmtId="1" fontId="72" fillId="0" borderId="35" xfId="0" applyNumberFormat="1" applyFont="1" applyBorder="1" applyAlignment="1">
      <alignment horizontal="center" vertical="center" wrapText="1"/>
    </xf>
    <xf numFmtId="1" fontId="72" fillId="30" borderId="30" xfId="0" applyNumberFormat="1" applyFont="1" applyFill="1" applyBorder="1" applyAlignment="1">
      <alignment horizontal="center" vertical="center" wrapText="1"/>
    </xf>
    <xf numFmtId="1" fontId="72" fillId="30" borderId="32" xfId="0" applyNumberFormat="1" applyFont="1" applyFill="1" applyBorder="1" applyAlignment="1">
      <alignment horizontal="center" vertical="center" wrapText="1"/>
    </xf>
    <xf numFmtId="1" fontId="72" fillId="30" borderId="34" xfId="0" applyNumberFormat="1" applyFont="1" applyFill="1" applyBorder="1" applyAlignment="1">
      <alignment horizontal="center" vertical="center" wrapText="1"/>
    </xf>
    <xf numFmtId="0" fontId="0" fillId="0" borderId="100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105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0" fontId="0" fillId="0" borderId="102" xfId="0" applyBorder="1" applyAlignment="1">
      <alignment horizontal="center" vertical="center" wrapText="1"/>
    </xf>
    <xf numFmtId="0" fontId="0" fillId="0" borderId="107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1" fontId="72" fillId="37" borderId="43" xfId="0" applyNumberFormat="1" applyFont="1" applyFill="1" applyBorder="1" applyAlignment="1">
      <alignment horizontal="center" vertical="center" wrapText="1"/>
    </xf>
    <xf numFmtId="1" fontId="72" fillId="37" borderId="97" xfId="0" applyNumberFormat="1" applyFont="1" applyFill="1" applyBorder="1" applyAlignment="1">
      <alignment horizontal="center" vertical="center" wrapText="1"/>
    </xf>
    <xf numFmtId="1" fontId="72" fillId="37" borderId="42" xfId="0" applyNumberFormat="1" applyFont="1" applyFill="1" applyBorder="1" applyAlignment="1">
      <alignment horizontal="center" vertical="center" wrapText="1"/>
    </xf>
    <xf numFmtId="0" fontId="26" fillId="0" borderId="3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72" fillId="36" borderId="98" xfId="0" applyNumberFormat="1" applyFont="1" applyFill="1" applyBorder="1" applyAlignment="1">
      <alignment horizontal="center" vertical="center" wrapText="1"/>
    </xf>
    <xf numFmtId="1" fontId="72" fillId="0" borderId="101" xfId="0" applyNumberFormat="1" applyFont="1" applyBorder="1"/>
    <xf numFmtId="1" fontId="72" fillId="0" borderId="103" xfId="0" applyNumberFormat="1" applyFont="1" applyBorder="1"/>
    <xf numFmtId="1" fontId="72" fillId="38" borderId="43" xfId="0" applyNumberFormat="1" applyFont="1" applyFill="1" applyBorder="1" applyAlignment="1">
      <alignment horizontal="center" vertical="center" wrapText="1"/>
    </xf>
    <xf numFmtId="1" fontId="72" fillId="38" borderId="97" xfId="0" applyNumberFormat="1" applyFont="1" applyFill="1" applyBorder="1" applyAlignment="1">
      <alignment horizontal="center" vertical="center" wrapText="1"/>
    </xf>
    <xf numFmtId="1" fontId="72" fillId="38" borderId="42" xfId="0" applyNumberFormat="1" applyFont="1" applyFill="1" applyBorder="1" applyAlignment="1">
      <alignment horizontal="center" vertical="center" wrapText="1"/>
    </xf>
    <xf numFmtId="1" fontId="72" fillId="32" borderId="43" xfId="0" applyNumberFormat="1" applyFont="1" applyFill="1" applyBorder="1" applyAlignment="1">
      <alignment horizontal="center" vertical="center" wrapText="1"/>
    </xf>
    <xf numFmtId="1" fontId="72" fillId="32" borderId="97" xfId="0" applyNumberFormat="1" applyFont="1" applyFill="1" applyBorder="1" applyAlignment="1">
      <alignment horizontal="center" vertical="center" wrapText="1"/>
    </xf>
    <xf numFmtId="1" fontId="72" fillId="32" borderId="42" xfId="0" applyNumberFormat="1" applyFont="1" applyFill="1" applyBorder="1" applyAlignment="1">
      <alignment horizontal="center" vertical="center" wrapText="1"/>
    </xf>
    <xf numFmtId="14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6" fillId="34" borderId="17" xfId="0" applyFont="1" applyFill="1" applyBorder="1" applyAlignment="1">
      <alignment horizontal="center" vertical="center"/>
    </xf>
    <xf numFmtId="0" fontId="0" fillId="34" borderId="17" xfId="0" applyFill="1" applyBorder="1" applyAlignment="1">
      <alignment horizontal="center" vertical="center"/>
    </xf>
    <xf numFmtId="1" fontId="72" fillId="30" borderId="43" xfId="0" applyNumberFormat="1" applyFont="1" applyFill="1" applyBorder="1" applyAlignment="1">
      <alignment horizontal="center" vertical="center" wrapText="1"/>
    </xf>
    <xf numFmtId="1" fontId="72" fillId="30" borderId="97" xfId="0" applyNumberFormat="1" applyFont="1" applyFill="1" applyBorder="1" applyAlignment="1">
      <alignment horizontal="center" vertical="center" wrapText="1"/>
    </xf>
    <xf numFmtId="1" fontId="72" fillId="30" borderId="42" xfId="0" applyNumberFormat="1" applyFont="1" applyFill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/>
    </xf>
    <xf numFmtId="1" fontId="72" fillId="0" borderId="0" xfId="0" applyNumberFormat="1" applyFont="1" applyAlignment="1">
      <alignment horizontal="center" vertical="center" wrapText="1"/>
    </xf>
    <xf numFmtId="0" fontId="26" fillId="0" borderId="46" xfId="0" applyFont="1" applyBorder="1" applyAlignment="1">
      <alignment horizontal="center"/>
    </xf>
    <xf numFmtId="0" fontId="72" fillId="0" borderId="0" xfId="0" applyFont="1" applyAlignment="1">
      <alignment horizontal="center" vertical="center" wrapText="1"/>
    </xf>
  </cellXfs>
  <cellStyles count="108">
    <cellStyle name="20 % - Accent1 2" xfId="14" xr:uid="{00000000-0005-0000-0000-000000000000}"/>
    <cellStyle name="20 % - Accent1 3" xfId="15" xr:uid="{00000000-0005-0000-0000-000001000000}"/>
    <cellStyle name="20 % - Accent2 2" xfId="16" xr:uid="{00000000-0005-0000-0000-000002000000}"/>
    <cellStyle name="20 % - Accent2 3" xfId="17" xr:uid="{00000000-0005-0000-0000-000003000000}"/>
    <cellStyle name="20 % - Accent3 2" xfId="18" xr:uid="{00000000-0005-0000-0000-000004000000}"/>
    <cellStyle name="20 % - Accent3 3" xfId="19" xr:uid="{00000000-0005-0000-0000-000005000000}"/>
    <cellStyle name="20 % - Accent4 2" xfId="20" xr:uid="{00000000-0005-0000-0000-000006000000}"/>
    <cellStyle name="20 % - Accent4 3" xfId="21" xr:uid="{00000000-0005-0000-0000-000007000000}"/>
    <cellStyle name="20 % - Accent5 2" xfId="22" xr:uid="{00000000-0005-0000-0000-000008000000}"/>
    <cellStyle name="20 % - Accent5 3" xfId="23" xr:uid="{00000000-0005-0000-0000-000009000000}"/>
    <cellStyle name="20 % - Accent6 2" xfId="24" xr:uid="{00000000-0005-0000-0000-00000A000000}"/>
    <cellStyle name="20 % - Accent6 3" xfId="25" xr:uid="{00000000-0005-0000-0000-00000B000000}"/>
    <cellStyle name="40 % - Accent1 2" xfId="26" xr:uid="{00000000-0005-0000-0000-00000C000000}"/>
    <cellStyle name="40 % - Accent1 3" xfId="27" xr:uid="{00000000-0005-0000-0000-00000D000000}"/>
    <cellStyle name="40 % - Accent2 2" xfId="28" xr:uid="{00000000-0005-0000-0000-00000E000000}"/>
    <cellStyle name="40 % - Accent2 3" xfId="29" xr:uid="{00000000-0005-0000-0000-00000F000000}"/>
    <cellStyle name="40 % - Accent3 2" xfId="30" xr:uid="{00000000-0005-0000-0000-000010000000}"/>
    <cellStyle name="40 % - Accent3 3" xfId="31" xr:uid="{00000000-0005-0000-0000-000011000000}"/>
    <cellStyle name="40 % - Accent4 2" xfId="32" xr:uid="{00000000-0005-0000-0000-000012000000}"/>
    <cellStyle name="40 % - Accent4 3" xfId="33" xr:uid="{00000000-0005-0000-0000-000013000000}"/>
    <cellStyle name="40 % - Accent5 2" xfId="34" xr:uid="{00000000-0005-0000-0000-000014000000}"/>
    <cellStyle name="40 % - Accent5 3" xfId="35" xr:uid="{00000000-0005-0000-0000-000015000000}"/>
    <cellStyle name="40 % - Accent6 2" xfId="36" xr:uid="{00000000-0005-0000-0000-000016000000}"/>
    <cellStyle name="40 % - Accent6 3" xfId="37" xr:uid="{00000000-0005-0000-0000-000017000000}"/>
    <cellStyle name="60 % - Accent1 2" xfId="38" xr:uid="{00000000-0005-0000-0000-000018000000}"/>
    <cellStyle name="60 % - Accent1 3" xfId="39" xr:uid="{00000000-0005-0000-0000-000019000000}"/>
    <cellStyle name="60 % - Accent2 2" xfId="40" xr:uid="{00000000-0005-0000-0000-00001A000000}"/>
    <cellStyle name="60 % - Accent2 3" xfId="41" xr:uid="{00000000-0005-0000-0000-00001B000000}"/>
    <cellStyle name="60 % - Accent3 2" xfId="42" xr:uid="{00000000-0005-0000-0000-00001C000000}"/>
    <cellStyle name="60 % - Accent3 3" xfId="43" xr:uid="{00000000-0005-0000-0000-00001D000000}"/>
    <cellStyle name="60 % - Accent4 2" xfId="44" xr:uid="{00000000-0005-0000-0000-00001E000000}"/>
    <cellStyle name="60 % - Accent4 3" xfId="45" xr:uid="{00000000-0005-0000-0000-00001F000000}"/>
    <cellStyle name="60 % - Accent5 2" xfId="46" xr:uid="{00000000-0005-0000-0000-000020000000}"/>
    <cellStyle name="60 % - Accent5 3" xfId="47" xr:uid="{00000000-0005-0000-0000-000021000000}"/>
    <cellStyle name="60 % - Accent6 2" xfId="48" xr:uid="{00000000-0005-0000-0000-000022000000}"/>
    <cellStyle name="60 % - Accent6 3" xfId="49" xr:uid="{00000000-0005-0000-0000-000023000000}"/>
    <cellStyle name="Accent1 2" xfId="50" xr:uid="{00000000-0005-0000-0000-000024000000}"/>
    <cellStyle name="Accent1 3" xfId="51" xr:uid="{00000000-0005-0000-0000-000025000000}"/>
    <cellStyle name="Accent2 2" xfId="52" xr:uid="{00000000-0005-0000-0000-000026000000}"/>
    <cellStyle name="Accent2 3" xfId="53" xr:uid="{00000000-0005-0000-0000-000027000000}"/>
    <cellStyle name="Accent3 2" xfId="54" xr:uid="{00000000-0005-0000-0000-000028000000}"/>
    <cellStyle name="Accent3 3" xfId="55" xr:uid="{00000000-0005-0000-0000-000029000000}"/>
    <cellStyle name="Accent4 2" xfId="56" xr:uid="{00000000-0005-0000-0000-00002A000000}"/>
    <cellStyle name="Accent4 3" xfId="57" xr:uid="{00000000-0005-0000-0000-00002B000000}"/>
    <cellStyle name="Accent5 2" xfId="58" xr:uid="{00000000-0005-0000-0000-00002C000000}"/>
    <cellStyle name="Accent5 3" xfId="59" xr:uid="{00000000-0005-0000-0000-00002D000000}"/>
    <cellStyle name="Accent6 2" xfId="60" xr:uid="{00000000-0005-0000-0000-00002E000000}"/>
    <cellStyle name="Accent6 3" xfId="61" xr:uid="{00000000-0005-0000-0000-00002F000000}"/>
    <cellStyle name="Avertissement 2" xfId="62" xr:uid="{00000000-0005-0000-0000-000030000000}"/>
    <cellStyle name="Avertissement 3" xfId="63" xr:uid="{00000000-0005-0000-0000-000031000000}"/>
    <cellStyle name="Calcul 2" xfId="64" xr:uid="{00000000-0005-0000-0000-000032000000}"/>
    <cellStyle name="Calcul 3" xfId="65" xr:uid="{00000000-0005-0000-0000-000033000000}"/>
    <cellStyle name="Cellule liée 2" xfId="66" xr:uid="{00000000-0005-0000-0000-000034000000}"/>
    <cellStyle name="Cellule liée 3" xfId="67" xr:uid="{00000000-0005-0000-0000-000035000000}"/>
    <cellStyle name="Commentaire 2" xfId="68" xr:uid="{00000000-0005-0000-0000-000036000000}"/>
    <cellStyle name="Commentaire 3" xfId="69" xr:uid="{00000000-0005-0000-0000-000037000000}"/>
    <cellStyle name="Entrée 2" xfId="70" xr:uid="{00000000-0005-0000-0000-000038000000}"/>
    <cellStyle name="Entrée 3" xfId="71" xr:uid="{00000000-0005-0000-0000-000039000000}"/>
    <cellStyle name="Insatisfaisant 2" xfId="72" xr:uid="{00000000-0005-0000-0000-00003A000000}"/>
    <cellStyle name="Insatisfaisant 3" xfId="73" xr:uid="{00000000-0005-0000-0000-00003B000000}"/>
    <cellStyle name="Lien hypertexte" xfId="1" builtinId="8"/>
    <cellStyle name="Lien hypertexte 2" xfId="2" xr:uid="{00000000-0005-0000-0000-00003D000000}"/>
    <cellStyle name="Lien hypertexte 3" xfId="3" xr:uid="{00000000-0005-0000-0000-00003E000000}"/>
    <cellStyle name="Lien hypertexte 4" xfId="4" xr:uid="{00000000-0005-0000-0000-00003F000000}"/>
    <cellStyle name="Milliers 2" xfId="74" xr:uid="{00000000-0005-0000-0000-000040000000}"/>
    <cellStyle name="Neutre 2" xfId="75" xr:uid="{00000000-0005-0000-0000-000041000000}"/>
    <cellStyle name="Neutre 3" xfId="76" xr:uid="{00000000-0005-0000-0000-000042000000}"/>
    <cellStyle name="Normal" xfId="0" builtinId="0"/>
    <cellStyle name="Normal 10" xfId="5" xr:uid="{00000000-0005-0000-0000-000044000000}"/>
    <cellStyle name="Normal 2" xfId="6" xr:uid="{00000000-0005-0000-0000-000045000000}"/>
    <cellStyle name="Normal 2 2" xfId="77" xr:uid="{00000000-0005-0000-0000-000046000000}"/>
    <cellStyle name="Normal 2 2 2" xfId="78" xr:uid="{00000000-0005-0000-0000-000047000000}"/>
    <cellStyle name="Normal 2 2 3" xfId="79" xr:uid="{00000000-0005-0000-0000-000048000000}"/>
    <cellStyle name="Normal 2 2 3 2" xfId="80" xr:uid="{00000000-0005-0000-0000-000049000000}"/>
    <cellStyle name="Normal 2 2 4" xfId="81" xr:uid="{00000000-0005-0000-0000-00004A000000}"/>
    <cellStyle name="Normal 2 3" xfId="82" xr:uid="{00000000-0005-0000-0000-00004B000000}"/>
    <cellStyle name="Normal 3" xfId="7" xr:uid="{00000000-0005-0000-0000-00004C000000}"/>
    <cellStyle name="Normal 3 2" xfId="8" xr:uid="{00000000-0005-0000-0000-00004D000000}"/>
    <cellStyle name="Normal 3 3" xfId="83" xr:uid="{00000000-0005-0000-0000-00004E000000}"/>
    <cellStyle name="Normal 4" xfId="9" xr:uid="{00000000-0005-0000-0000-00004F000000}"/>
    <cellStyle name="Normal 4 2" xfId="84" xr:uid="{00000000-0005-0000-0000-000050000000}"/>
    <cellStyle name="Normal 4 3" xfId="85" xr:uid="{00000000-0005-0000-0000-000051000000}"/>
    <cellStyle name="Normal 5" xfId="10" xr:uid="{00000000-0005-0000-0000-000052000000}"/>
    <cellStyle name="Normal 6" xfId="13" xr:uid="{00000000-0005-0000-0000-000053000000}"/>
    <cellStyle name="Normal 7" xfId="12" xr:uid="{00000000-0005-0000-0000-000054000000}"/>
    <cellStyle name="Normal 8" xfId="86" xr:uid="{00000000-0005-0000-0000-000055000000}"/>
    <cellStyle name="Normal 8 2" xfId="87" xr:uid="{00000000-0005-0000-0000-000056000000}"/>
    <cellStyle name="Normalny 2" xfId="11" xr:uid="{00000000-0005-0000-0000-000057000000}"/>
    <cellStyle name="Satisfaisant 2" xfId="88" xr:uid="{00000000-0005-0000-0000-000058000000}"/>
    <cellStyle name="Satisfaisant 3" xfId="89" xr:uid="{00000000-0005-0000-0000-000059000000}"/>
    <cellStyle name="Sortie 2" xfId="90" xr:uid="{00000000-0005-0000-0000-00005A000000}"/>
    <cellStyle name="Sortie 3" xfId="91" xr:uid="{00000000-0005-0000-0000-00005B000000}"/>
    <cellStyle name="Texte explicatif 2" xfId="92" xr:uid="{00000000-0005-0000-0000-00005C000000}"/>
    <cellStyle name="Texte explicatif 3" xfId="93" xr:uid="{00000000-0005-0000-0000-00005D000000}"/>
    <cellStyle name="Titre 2" xfId="94" xr:uid="{00000000-0005-0000-0000-00005E000000}"/>
    <cellStyle name="Titre 3" xfId="95" xr:uid="{00000000-0005-0000-0000-00005F000000}"/>
    <cellStyle name="Titre 1 2" xfId="96" xr:uid="{00000000-0005-0000-0000-000060000000}"/>
    <cellStyle name="Titre 1 3" xfId="97" xr:uid="{00000000-0005-0000-0000-000061000000}"/>
    <cellStyle name="Titre 2 2" xfId="98" xr:uid="{00000000-0005-0000-0000-000062000000}"/>
    <cellStyle name="Titre 2 3" xfId="99" xr:uid="{00000000-0005-0000-0000-000063000000}"/>
    <cellStyle name="Titre 3 2" xfId="100" xr:uid="{00000000-0005-0000-0000-000064000000}"/>
    <cellStyle name="Titre 3 3" xfId="101" xr:uid="{00000000-0005-0000-0000-000065000000}"/>
    <cellStyle name="Titre 4 2" xfId="102" xr:uid="{00000000-0005-0000-0000-000066000000}"/>
    <cellStyle name="Titre 4 3" xfId="103" xr:uid="{00000000-0005-0000-0000-000067000000}"/>
    <cellStyle name="Total 2" xfId="104" xr:uid="{00000000-0005-0000-0000-000068000000}"/>
    <cellStyle name="Total 3" xfId="105" xr:uid="{00000000-0005-0000-0000-000069000000}"/>
    <cellStyle name="Vérification 2" xfId="106" xr:uid="{00000000-0005-0000-0000-00006A000000}"/>
    <cellStyle name="Vérification 3" xfId="107" xr:uid="{00000000-0005-0000-0000-00006B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0000"/>
      <rgbColor rgb="00008000"/>
      <rgbColor rgb="00000080"/>
      <rgbColor rgb="00808000"/>
      <rgbColor rgb="00800080"/>
      <rgbColor rgb="00008080"/>
      <rgbColor rgb="00FAC090"/>
      <rgbColor rgb="00808080"/>
      <rgbColor rgb="009999FF"/>
      <rgbColor rgb="00993366"/>
      <rgbColor rgb="00FCD5B5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00B0F0"/>
      <rgbColor rgb="0099CC00"/>
      <rgbColor rgb="00FFCC00"/>
      <rgbColor rgb="00FF9900"/>
      <rgbColor rgb="00FF6600"/>
      <rgbColor rgb="00666699"/>
      <rgbColor rgb="00969696"/>
      <rgbColor rgb="0017375E"/>
      <rgbColor rgb="00339966"/>
      <rgbColor rgb="00003300"/>
      <rgbColor rgb="00333300"/>
      <rgbColor rgb="00993300"/>
      <rgbColor rgb="00993366"/>
      <rgbColor rgb="00333399"/>
      <rgbColor rgb="001A1A1A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 sz="1600" b="1" i="0" u="none" strike="noStrike" baseline="0">
                <a:effectLst/>
              </a:rPr>
              <a:t>% moyen de feuilles comportant des dégâts de gel (notation les 19 et 23/11/2012 au stade B6) suite aux gels du 28/10/2012 au 31/10/2012 sur des colza au stade B5</a:t>
            </a:r>
            <a:endParaRPr lang="fr-FR" sz="1600"/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invertIfNegative val="0"/>
          <c:cat>
            <c:strLit>
              <c:ptCount val="8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21</c:v>
              </c:pt>
              <c:pt idx="21">
                <c:v>22</c:v>
              </c:pt>
              <c:pt idx="22">
                <c:v>23</c:v>
              </c:pt>
              <c:pt idx="23">
                <c:v>24</c:v>
              </c:pt>
              <c:pt idx="24">
                <c:v>25</c:v>
              </c:pt>
              <c:pt idx="25">
                <c:v>26</c:v>
              </c:pt>
              <c:pt idx="26">
                <c:v>27</c:v>
              </c:pt>
              <c:pt idx="27">
                <c:v>28</c:v>
              </c:pt>
              <c:pt idx="28">
                <c:v>29</c:v>
              </c:pt>
              <c:pt idx="29">
                <c:v>30</c:v>
              </c:pt>
              <c:pt idx="30">
                <c:v>31</c:v>
              </c:pt>
              <c:pt idx="31">
                <c:v>32</c:v>
              </c:pt>
              <c:pt idx="32">
                <c:v>33</c:v>
              </c:pt>
              <c:pt idx="33">
                <c:v>34</c:v>
              </c:pt>
              <c:pt idx="34">
                <c:v>35</c:v>
              </c:pt>
              <c:pt idx="35">
                <c:v>36</c:v>
              </c:pt>
              <c:pt idx="36">
                <c:v>37</c:v>
              </c:pt>
              <c:pt idx="37">
                <c:v>38</c:v>
              </c:pt>
              <c:pt idx="38">
                <c:v>39</c:v>
              </c:pt>
              <c:pt idx="39">
                <c:v>40</c:v>
              </c:pt>
              <c:pt idx="40">
                <c:v>41</c:v>
              </c:pt>
              <c:pt idx="41">
                <c:v>42</c:v>
              </c:pt>
              <c:pt idx="42">
                <c:v>43</c:v>
              </c:pt>
              <c:pt idx="43">
                <c:v>44</c:v>
              </c:pt>
              <c:pt idx="44">
                <c:v>45</c:v>
              </c:pt>
              <c:pt idx="45">
                <c:v>46</c:v>
              </c:pt>
              <c:pt idx="46">
                <c:v>47</c:v>
              </c:pt>
              <c:pt idx="47">
                <c:v>48</c:v>
              </c:pt>
              <c:pt idx="48">
                <c:v>49</c:v>
              </c:pt>
              <c:pt idx="49">
                <c:v>50</c:v>
              </c:pt>
              <c:pt idx="50">
                <c:v>51</c:v>
              </c:pt>
              <c:pt idx="51">
                <c:v>52</c:v>
              </c:pt>
              <c:pt idx="52">
                <c:v>53</c:v>
              </c:pt>
              <c:pt idx="53">
                <c:v>54</c:v>
              </c:pt>
              <c:pt idx="54">
                <c:v>55</c:v>
              </c:pt>
              <c:pt idx="55">
                <c:v>56</c:v>
              </c:pt>
              <c:pt idx="56">
                <c:v>57</c:v>
              </c:pt>
              <c:pt idx="57">
                <c:v>58</c:v>
              </c:pt>
              <c:pt idx="58">
                <c:v>59</c:v>
              </c:pt>
              <c:pt idx="59">
                <c:v>60</c:v>
              </c:pt>
              <c:pt idx="60">
                <c:v>61</c:v>
              </c:pt>
              <c:pt idx="61">
                <c:v>62</c:v>
              </c:pt>
              <c:pt idx="62">
                <c:v>63</c:v>
              </c:pt>
              <c:pt idx="63">
                <c:v>64</c:v>
              </c:pt>
              <c:pt idx="64">
                <c:v>65</c:v>
              </c:pt>
              <c:pt idx="65">
                <c:v>66</c:v>
              </c:pt>
              <c:pt idx="66">
                <c:v>67</c:v>
              </c:pt>
              <c:pt idx="67">
                <c:v>68</c:v>
              </c:pt>
              <c:pt idx="68">
                <c:v>69</c:v>
              </c:pt>
              <c:pt idx="69">
                <c:v>70</c:v>
              </c:pt>
              <c:pt idx="70">
                <c:v>71</c:v>
              </c:pt>
              <c:pt idx="71">
                <c:v>72</c:v>
              </c:pt>
              <c:pt idx="72">
                <c:v>73</c:v>
              </c:pt>
              <c:pt idx="73">
                <c:v>74</c:v>
              </c:pt>
              <c:pt idx="74">
                <c:v>75</c:v>
              </c:pt>
              <c:pt idx="75">
                <c:v>76</c:v>
              </c:pt>
              <c:pt idx="76">
                <c:v>77</c:v>
              </c:pt>
              <c:pt idx="77">
                <c:v>78</c:v>
              </c:pt>
              <c:pt idx="78">
                <c:v>79</c:v>
              </c:pt>
              <c:pt idx="79">
                <c:v>80</c:v>
              </c:pt>
              <c:pt idx="80">
                <c:v>81</c:v>
              </c:pt>
              <c:pt idx="81">
                <c:v>82</c:v>
              </c:pt>
              <c:pt idx="82">
                <c:v>83</c:v>
              </c:pt>
              <c:pt idx="83">
                <c:v>84</c:v>
              </c:pt>
            </c:strLit>
          </c:cat>
          <c:val>
            <c:numLit>
              <c:formatCode>General</c:formatCode>
              <c:ptCount val="84"/>
              <c:pt idx="0">
                <c:v>5.833333333333333</c:v>
              </c:pt>
              <c:pt idx="1">
                <c:v>5.833333333333333</c:v>
              </c:pt>
              <c:pt idx="2">
                <c:v>6</c:v>
              </c:pt>
              <c:pt idx="3">
                <c:v>23.333333333333332</c:v>
              </c:pt>
              <c:pt idx="4">
                <c:v>21.666666666666668</c:v>
              </c:pt>
              <c:pt idx="5">
                <c:v>28.333333333333332</c:v>
              </c:pt>
              <c:pt idx="6">
                <c:v>4.333333333333333</c:v>
              </c:pt>
              <c:pt idx="7">
                <c:v>23.333333333333332</c:v>
              </c:pt>
              <c:pt idx="8">
                <c:v>20</c:v>
              </c:pt>
              <c:pt idx="9">
                <c:v>4.333333333333333</c:v>
              </c:pt>
              <c:pt idx="10">
                <c:v>25</c:v>
              </c:pt>
              <c:pt idx="11">
                <c:v>20</c:v>
              </c:pt>
              <c:pt idx="12">
                <c:v>18.333333333333332</c:v>
              </c:pt>
              <c:pt idx="13">
                <c:v>20</c:v>
              </c:pt>
              <c:pt idx="14">
                <c:v>3.8333333333333335</c:v>
              </c:pt>
              <c:pt idx="15">
                <c:v>13.333333333333334</c:v>
              </c:pt>
              <c:pt idx="16">
                <c:v>16.666666666666668</c:v>
              </c:pt>
              <c:pt idx="17">
                <c:v>6</c:v>
              </c:pt>
              <c:pt idx="18">
                <c:v>6</c:v>
              </c:pt>
              <c:pt idx="19">
                <c:v>21.666666666666668</c:v>
              </c:pt>
              <c:pt idx="20">
                <c:v>15</c:v>
              </c:pt>
              <c:pt idx="21">
                <c:v>5.333333333333333</c:v>
              </c:pt>
              <c:pt idx="22">
                <c:v>6.666666666666667</c:v>
              </c:pt>
              <c:pt idx="23">
                <c:v>28.333333333333332</c:v>
              </c:pt>
              <c:pt idx="24">
                <c:v>25</c:v>
              </c:pt>
              <c:pt idx="25">
                <c:v>15</c:v>
              </c:pt>
              <c:pt idx="26">
                <c:v>20</c:v>
              </c:pt>
              <c:pt idx="27">
                <c:v>21.666666666666668</c:v>
              </c:pt>
              <c:pt idx="28">
                <c:v>6.666666666666667</c:v>
              </c:pt>
              <c:pt idx="29">
                <c:v>21.666666666666668</c:v>
              </c:pt>
              <c:pt idx="30">
                <c:v>15</c:v>
              </c:pt>
              <c:pt idx="31">
                <c:v>25</c:v>
              </c:pt>
              <c:pt idx="32">
                <c:v>7.5</c:v>
              </c:pt>
              <c:pt idx="33">
                <c:v>20</c:v>
              </c:pt>
              <c:pt idx="34">
                <c:v>14.166666666666666</c:v>
              </c:pt>
              <c:pt idx="35">
                <c:v>18.333333333333332</c:v>
              </c:pt>
              <c:pt idx="36">
                <c:v>5.833333333333333</c:v>
              </c:pt>
              <c:pt idx="37">
                <c:v>21.666666666666668</c:v>
              </c:pt>
              <c:pt idx="38">
                <c:v>17.5</c:v>
              </c:pt>
              <c:pt idx="39">
                <c:v>6</c:v>
              </c:pt>
              <c:pt idx="40">
                <c:v>21.666666666666668</c:v>
              </c:pt>
              <c:pt idx="41">
                <c:v>15.833333333333334</c:v>
              </c:pt>
              <c:pt idx="42">
                <c:v>21.666666666666668</c:v>
              </c:pt>
              <c:pt idx="43">
                <c:v>23.333333333333332</c:v>
              </c:pt>
              <c:pt idx="44">
                <c:v>4.5</c:v>
              </c:pt>
              <c:pt idx="45">
                <c:v>23.333333333333332</c:v>
              </c:pt>
              <c:pt idx="46">
                <c:v>6.666666666666667</c:v>
              </c:pt>
              <c:pt idx="47">
                <c:v>5.833333333333333</c:v>
              </c:pt>
              <c:pt idx="48">
                <c:v>9.1666666666666661</c:v>
              </c:pt>
              <c:pt idx="49">
                <c:v>20</c:v>
              </c:pt>
              <c:pt idx="50">
                <c:v>25</c:v>
              </c:pt>
              <c:pt idx="51">
                <c:v>23.333333333333332</c:v>
              </c:pt>
              <c:pt idx="52">
                <c:v>13.333333333333334</c:v>
              </c:pt>
              <c:pt idx="53">
                <c:v>21.666666666666668</c:v>
              </c:pt>
              <c:pt idx="54">
                <c:v>20</c:v>
              </c:pt>
              <c:pt idx="55">
                <c:v>6.666666666666667</c:v>
              </c:pt>
              <c:pt idx="56">
                <c:v>20</c:v>
              </c:pt>
              <c:pt idx="57">
                <c:v>7.5</c:v>
              </c:pt>
              <c:pt idx="58">
                <c:v>15.833333333333334</c:v>
              </c:pt>
              <c:pt idx="59">
                <c:v>20</c:v>
              </c:pt>
              <c:pt idx="60">
                <c:v>18.333333333333332</c:v>
              </c:pt>
              <c:pt idx="61">
                <c:v>26.666666666666668</c:v>
              </c:pt>
              <c:pt idx="62">
                <c:v>9.1666666666666661</c:v>
              </c:pt>
              <c:pt idx="63">
                <c:v>26.666666666666668</c:v>
              </c:pt>
              <c:pt idx="64">
                <c:v>16.666666666666668</c:v>
              </c:pt>
              <c:pt idx="65">
                <c:v>3.6666666666666665</c:v>
              </c:pt>
              <c:pt idx="66">
                <c:v>20</c:v>
              </c:pt>
              <c:pt idx="67">
                <c:v>6.666666666666667</c:v>
              </c:pt>
              <c:pt idx="68">
                <c:v>18.333333333333332</c:v>
              </c:pt>
              <c:pt idx="69">
                <c:v>3</c:v>
              </c:pt>
              <c:pt idx="70">
                <c:v>5.833333333333333</c:v>
              </c:pt>
              <c:pt idx="71">
                <c:v>6.666666666666667</c:v>
              </c:pt>
              <c:pt idx="72">
                <c:v>15</c:v>
              </c:pt>
              <c:pt idx="73">
                <c:v>21.666666666666668</c:v>
              </c:pt>
              <c:pt idx="74">
                <c:v>5.166666666666667</c:v>
              </c:pt>
              <c:pt idx="75">
                <c:v>23.333333333333332</c:v>
              </c:pt>
              <c:pt idx="76">
                <c:v>26.666666666666668</c:v>
              </c:pt>
              <c:pt idx="77">
                <c:v>2.3333333333333335</c:v>
              </c:pt>
              <c:pt idx="78">
                <c:v>7.5</c:v>
              </c:pt>
              <c:pt idx="79">
                <c:v>23.333333333333332</c:v>
              </c:pt>
              <c:pt idx="80">
                <c:v>20</c:v>
              </c:pt>
              <c:pt idx="81">
                <c:v>16.666666666666668</c:v>
              </c:pt>
              <c:pt idx="82">
                <c:v>5</c:v>
              </c:pt>
              <c:pt idx="83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0-CA60-42AC-AD2F-BCAED6C41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839232"/>
        <c:axId val="87896000"/>
      </c:barChart>
      <c:catAx>
        <c:axId val="1198392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87896000"/>
        <c:crosses val="autoZero"/>
        <c:auto val="1"/>
        <c:lblAlgn val="ctr"/>
        <c:lblOffset val="100"/>
        <c:noMultiLvlLbl val="0"/>
      </c:catAx>
      <c:valAx>
        <c:axId val="878960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983923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125950</xdr:colOff>
      <xdr:row>0</xdr:row>
      <xdr:rowOff>62976</xdr:rowOff>
    </xdr:from>
    <xdr:to>
      <xdr:col>20</xdr:col>
      <xdr:colOff>2519</xdr:colOff>
      <xdr:row>28</xdr:row>
      <xdr:rowOff>13068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6</xdr:row>
      <xdr:rowOff>0</xdr:rowOff>
    </xdr:from>
    <xdr:to>
      <xdr:col>10</xdr:col>
      <xdr:colOff>638175</xdr:colOff>
      <xdr:row>11</xdr:row>
      <xdr:rowOff>66675</xdr:rowOff>
    </xdr:to>
    <xdr:pic>
      <xdr:nvPicPr>
        <xdr:cNvPr id="18" name="Picture 5" descr="http://static.freepik.com/photos-libre/orientation-fleche-indiquant-le-nord_17-1210081811.jpg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925402">
          <a:off x="6686550" y="542925"/>
          <a:ext cx="447675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urgi.versailles.inra.fr/Species/Wheat/Sequence-Repository" TargetMode="External"/><Relationship Id="rId1" Type="http://schemas.openxmlformats.org/officeDocument/2006/relationships/hyperlink" Target="mailto:jacques.dupond@email.com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athalie.nesi@rennes.inra.f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95"/>
  <sheetViews>
    <sheetView topLeftCell="A49" zoomScale="90" zoomScaleNormal="90" workbookViewId="0">
      <selection activeCell="C76" sqref="C76"/>
    </sheetView>
  </sheetViews>
  <sheetFormatPr baseColWidth="10" defaultColWidth="11.3984375" defaultRowHeight="12.5"/>
  <cols>
    <col min="1" max="1" width="31.09765625" style="1" customWidth="1"/>
    <col min="2" max="2" width="28.3984375" style="1" customWidth="1"/>
    <col min="3" max="3" width="35" style="1" customWidth="1"/>
    <col min="4" max="4" width="36.296875" style="1" customWidth="1"/>
    <col min="5" max="5" width="31" style="1" customWidth="1"/>
    <col min="6" max="6" width="26.59765625" style="1" customWidth="1"/>
    <col min="7" max="7" width="24.8984375" style="1" customWidth="1"/>
    <col min="8" max="8" width="37.69921875" style="1" customWidth="1"/>
    <col min="9" max="9" width="21.09765625" style="1" customWidth="1"/>
    <col min="10" max="10" width="19" style="1" customWidth="1"/>
    <col min="11" max="11" width="18" style="1" customWidth="1"/>
    <col min="12" max="12" width="20.69921875" style="1" customWidth="1"/>
    <col min="13" max="13" width="23.8984375" style="1" customWidth="1"/>
    <col min="14" max="14" width="27.69921875" style="1" customWidth="1"/>
    <col min="15" max="15" width="28" style="1" customWidth="1"/>
    <col min="16" max="16" width="15.296875" style="1" customWidth="1"/>
    <col min="17" max="17" width="17.3984375" style="1" customWidth="1"/>
    <col min="18" max="18" width="26.3984375" style="1" customWidth="1"/>
    <col min="19" max="19" width="15.59765625" style="1" customWidth="1"/>
    <col min="20" max="20" width="13.59765625" style="1" customWidth="1"/>
    <col min="21" max="21" width="15.8984375" style="1" customWidth="1"/>
    <col min="22" max="23" width="12.59765625" style="1" customWidth="1"/>
    <col min="24" max="24" width="11.3984375" style="1"/>
    <col min="25" max="25" width="12.59765625" style="1" customWidth="1"/>
    <col min="26" max="16384" width="11.3984375" style="1"/>
  </cols>
  <sheetData>
    <row r="1" spans="1:256" ht="13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</row>
    <row r="2" spans="1:256" ht="13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</row>
    <row r="3" spans="1:256" ht="13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</row>
    <row r="4" spans="1:256" ht="13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</row>
    <row r="5" spans="1:256" ht="13">
      <c r="A5" s="267" t="s">
        <v>5</v>
      </c>
      <c r="B5" s="267"/>
      <c r="C5" s="267"/>
      <c r="D5" s="267"/>
      <c r="E5" s="267"/>
      <c r="F5" s="5"/>
      <c r="G5" s="5"/>
      <c r="H5" s="5"/>
      <c r="I5" s="5"/>
      <c r="J5" s="5"/>
      <c r="K5" s="5"/>
      <c r="L5" s="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</row>
    <row r="6" spans="1:25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</row>
    <row r="7" spans="1:256" ht="13">
      <c r="A7" s="268" t="s">
        <v>6</v>
      </c>
      <c r="B7" s="269" t="s">
        <v>7</v>
      </c>
      <c r="C7" s="269"/>
      <c r="D7" s="269"/>
      <c r="E7" s="269"/>
      <c r="F7" s="5"/>
      <c r="G7" s="5"/>
      <c r="H7" s="5"/>
      <c r="I7" s="5"/>
      <c r="J7" s="5"/>
      <c r="K7" s="5"/>
      <c r="L7" s="5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</row>
    <row r="8" spans="1:256" ht="13">
      <c r="A8" s="268"/>
      <c r="B8" s="270" t="s">
        <v>8</v>
      </c>
      <c r="C8" s="270"/>
      <c r="D8" s="270"/>
      <c r="E8" s="270"/>
      <c r="F8" s="5"/>
      <c r="G8" s="5"/>
      <c r="H8" s="5"/>
      <c r="I8" s="5"/>
      <c r="J8" s="5"/>
      <c r="K8" s="5"/>
      <c r="L8" s="5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</row>
    <row r="9" spans="1:256" ht="13">
      <c r="A9" s="268"/>
      <c r="B9" s="271" t="s">
        <v>9</v>
      </c>
      <c r="C9" s="271"/>
      <c r="D9" s="271"/>
      <c r="E9" s="271"/>
      <c r="F9" s="8"/>
      <c r="G9" s="8"/>
      <c r="H9" s="8"/>
      <c r="I9" s="5"/>
      <c r="J9" s="5"/>
      <c r="K9" s="5"/>
      <c r="L9" s="5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</row>
    <row r="10" spans="1:25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</row>
    <row r="11" spans="1:256" ht="13">
      <c r="A11" s="9" t="s">
        <v>10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</row>
    <row r="12" spans="1:256" ht="13">
      <c r="A12" s="9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</row>
    <row r="13" spans="1:256" ht="13">
      <c r="A13" s="10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</row>
    <row r="14" spans="1:256" ht="13">
      <c r="A14" s="11" t="s">
        <v>11</v>
      </c>
      <c r="B14" s="9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</row>
    <row r="15" spans="1:256" ht="13">
      <c r="A15" s="12"/>
      <c r="B15" s="13" t="s">
        <v>13</v>
      </c>
      <c r="C15" s="13" t="s">
        <v>14</v>
      </c>
      <c r="D15" s="14" t="s">
        <v>15</v>
      </c>
      <c r="E15" s="14" t="s">
        <v>16</v>
      </c>
      <c r="F15" s="14" t="s">
        <v>17</v>
      </c>
      <c r="G15" s="14" t="s">
        <v>18</v>
      </c>
      <c r="H15" s="14" t="s">
        <v>19</v>
      </c>
      <c r="I15" s="15" t="s">
        <v>20</v>
      </c>
      <c r="J15" s="16" t="s">
        <v>21</v>
      </c>
      <c r="K15" s="16" t="s">
        <v>22</v>
      </c>
      <c r="L15" s="14" t="s">
        <v>23</v>
      </c>
      <c r="M15" s="14" t="s">
        <v>24</v>
      </c>
      <c r="N15" s="14" t="s">
        <v>25</v>
      </c>
      <c r="O15" s="14" t="s">
        <v>26</v>
      </c>
      <c r="P15" s="14" t="s">
        <v>27</v>
      </c>
      <c r="Q15" s="14" t="s">
        <v>28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</row>
    <row r="16" spans="1:256" s="23" customFormat="1" ht="70.5" customHeight="1">
      <c r="A16" s="17" t="s">
        <v>29</v>
      </c>
      <c r="B16" s="18" t="s">
        <v>30</v>
      </c>
      <c r="C16" s="18" t="s">
        <v>31</v>
      </c>
      <c r="D16" s="19" t="s">
        <v>32</v>
      </c>
      <c r="E16" s="19" t="s">
        <v>33</v>
      </c>
      <c r="F16" s="20" t="s">
        <v>34</v>
      </c>
      <c r="G16" s="18" t="s">
        <v>35</v>
      </c>
      <c r="H16" s="21" t="s">
        <v>36</v>
      </c>
      <c r="I16" s="22" t="s">
        <v>37</v>
      </c>
      <c r="J16" s="22" t="s">
        <v>38</v>
      </c>
      <c r="K16" s="22" t="s">
        <v>39</v>
      </c>
      <c r="L16" s="22" t="s">
        <v>40</v>
      </c>
      <c r="M16" s="22" t="s">
        <v>41</v>
      </c>
      <c r="N16" s="20" t="s">
        <v>42</v>
      </c>
      <c r="O16" s="22" t="s">
        <v>43</v>
      </c>
      <c r="P16" s="22" t="s">
        <v>44</v>
      </c>
      <c r="Q16" s="22" t="s">
        <v>45</v>
      </c>
    </row>
    <row r="17" spans="1:256" ht="25">
      <c r="A17" s="17" t="s">
        <v>46</v>
      </c>
      <c r="B17" s="24" t="s">
        <v>47</v>
      </c>
      <c r="C17" s="24" t="s">
        <v>48</v>
      </c>
      <c r="D17" s="25" t="s">
        <v>49</v>
      </c>
      <c r="E17" s="25" t="s">
        <v>50</v>
      </c>
      <c r="F17" s="25" t="s">
        <v>51</v>
      </c>
      <c r="G17" s="24" t="s">
        <v>52</v>
      </c>
      <c r="H17" s="26">
        <v>2012</v>
      </c>
      <c r="I17" s="25" t="s">
        <v>53</v>
      </c>
      <c r="J17" s="22" t="s">
        <v>54</v>
      </c>
      <c r="K17" s="22" t="s">
        <v>55</v>
      </c>
      <c r="L17" s="22"/>
      <c r="M17" s="22"/>
      <c r="N17" s="27" t="s">
        <v>56</v>
      </c>
      <c r="O17" s="22"/>
      <c r="P17" s="22" t="s">
        <v>57</v>
      </c>
      <c r="Q17" s="22" t="s">
        <v>58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</row>
    <row r="18" spans="1:256" s="30" customFormat="1" ht="37.5">
      <c r="A18" s="17" t="s">
        <v>59</v>
      </c>
      <c r="B18" s="19" t="s">
        <v>60</v>
      </c>
      <c r="C18" s="19" t="s">
        <v>60</v>
      </c>
      <c r="D18" s="19" t="s">
        <v>61</v>
      </c>
      <c r="E18" s="19" t="s">
        <v>61</v>
      </c>
      <c r="F18" s="19" t="s">
        <v>60</v>
      </c>
      <c r="G18" s="19" t="s">
        <v>60</v>
      </c>
      <c r="H18" s="28" t="s">
        <v>60</v>
      </c>
      <c r="I18" s="19" t="s">
        <v>62</v>
      </c>
      <c r="J18" s="19" t="s">
        <v>60</v>
      </c>
      <c r="K18" s="19" t="s">
        <v>60</v>
      </c>
      <c r="L18" s="29" t="s">
        <v>60</v>
      </c>
      <c r="M18" s="29" t="s">
        <v>60</v>
      </c>
      <c r="N18" s="29" t="s">
        <v>60</v>
      </c>
      <c r="O18" s="29" t="s">
        <v>60</v>
      </c>
      <c r="P18" s="29" t="s">
        <v>60</v>
      </c>
      <c r="Q18" s="29" t="s">
        <v>60</v>
      </c>
    </row>
    <row r="19" spans="1:256" ht="13">
      <c r="A19" s="31"/>
      <c r="B19" s="32"/>
      <c r="C19" s="32"/>
      <c r="D19" s="32"/>
      <c r="E19" s="32"/>
      <c r="F19" s="32"/>
      <c r="G19" s="32"/>
      <c r="H19" s="32"/>
      <c r="I19" s="33"/>
      <c r="J19" s="33"/>
      <c r="K19" s="33"/>
      <c r="L19" s="33"/>
      <c r="M19" s="33"/>
      <c r="N19" s="33"/>
      <c r="O19" s="33"/>
      <c r="P19" s="5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</row>
    <row r="20" spans="1:256">
      <c r="A20" s="34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</row>
    <row r="21" spans="1:256" s="37" customFormat="1" ht="12.75" customHeight="1">
      <c r="A21" s="35" t="s">
        <v>63</v>
      </c>
      <c r="B21" s="36" t="s">
        <v>64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</row>
    <row r="22" spans="1:256" ht="13">
      <c r="A22" s="38"/>
      <c r="B22" s="13" t="s">
        <v>65</v>
      </c>
      <c r="C22" s="14" t="s">
        <v>66</v>
      </c>
      <c r="D22" s="14" t="s">
        <v>67</v>
      </c>
      <c r="E22" s="14" t="s">
        <v>68</v>
      </c>
      <c r="F22" s="39" t="s">
        <v>69</v>
      </c>
      <c r="G22" s="39" t="s">
        <v>70</v>
      </c>
      <c r="H22" s="40" t="s">
        <v>71</v>
      </c>
      <c r="I22" s="14" t="s">
        <v>72</v>
      </c>
      <c r="J22" s="14" t="s">
        <v>73</v>
      </c>
      <c r="K22" s="14" t="s">
        <v>74</v>
      </c>
      <c r="L22" s="14" t="s">
        <v>75</v>
      </c>
      <c r="M22" s="14" t="s">
        <v>76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</row>
    <row r="23" spans="1:256" ht="75">
      <c r="A23" s="41" t="s">
        <v>29</v>
      </c>
      <c r="B23" s="18" t="s">
        <v>77</v>
      </c>
      <c r="C23" s="22" t="s">
        <v>78</v>
      </c>
      <c r="D23" s="22" t="s">
        <v>79</v>
      </c>
      <c r="E23" s="22" t="s">
        <v>80</v>
      </c>
      <c r="F23" s="42" t="s">
        <v>81</v>
      </c>
      <c r="G23" s="42" t="s">
        <v>82</v>
      </c>
      <c r="H23" s="42" t="s">
        <v>83</v>
      </c>
      <c r="I23" s="22" t="s">
        <v>84</v>
      </c>
      <c r="J23" s="22" t="s">
        <v>85</v>
      </c>
      <c r="K23" s="22" t="s">
        <v>86</v>
      </c>
      <c r="L23" s="19" t="s">
        <v>87</v>
      </c>
      <c r="M23" s="22" t="s">
        <v>88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</row>
    <row r="24" spans="1:256" ht="13">
      <c r="A24" s="43" t="s">
        <v>89</v>
      </c>
      <c r="B24" s="24" t="s">
        <v>90</v>
      </c>
      <c r="C24" s="22"/>
      <c r="D24" s="22"/>
      <c r="E24" s="22"/>
      <c r="F24" s="44"/>
      <c r="G24" s="44"/>
      <c r="H24" s="44" t="s">
        <v>91</v>
      </c>
      <c r="I24" s="22" t="s">
        <v>92</v>
      </c>
      <c r="J24" s="22" t="s">
        <v>93</v>
      </c>
      <c r="K24" s="22"/>
      <c r="L24" s="22"/>
      <c r="M24" s="22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</row>
    <row r="25" spans="1:256" ht="50">
      <c r="A25" s="17" t="s">
        <v>59</v>
      </c>
      <c r="B25" s="19" t="s">
        <v>60</v>
      </c>
      <c r="C25" s="19" t="s">
        <v>62</v>
      </c>
      <c r="D25" s="19" t="s">
        <v>62</v>
      </c>
      <c r="E25" s="45" t="s">
        <v>62</v>
      </c>
      <c r="F25" s="46" t="s">
        <v>60</v>
      </c>
      <c r="G25" s="46" t="s">
        <v>60</v>
      </c>
      <c r="H25" s="46" t="s">
        <v>60</v>
      </c>
      <c r="I25" s="19" t="s">
        <v>94</v>
      </c>
      <c r="J25" s="45" t="s">
        <v>60</v>
      </c>
      <c r="K25" s="45" t="s">
        <v>60</v>
      </c>
      <c r="L25" s="19" t="s">
        <v>60</v>
      </c>
      <c r="M25" s="19" t="s">
        <v>60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</row>
    <row r="26" spans="1:256" ht="13">
      <c r="A26" s="31"/>
      <c r="B26" s="30"/>
      <c r="D26" s="47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</row>
    <row r="27" spans="1:256">
      <c r="A27" s="5"/>
      <c r="B27" s="48"/>
      <c r="C27" s="5"/>
      <c r="D27" s="5"/>
      <c r="E27" s="5"/>
      <c r="F27" s="5"/>
      <c r="G27" s="5"/>
      <c r="H27" s="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</row>
    <row r="28" spans="1:256" ht="13">
      <c r="A28" s="11" t="s">
        <v>95</v>
      </c>
      <c r="B28" s="9" t="s">
        <v>96</v>
      </c>
      <c r="C28" s="5"/>
      <c r="D28" s="5"/>
      <c r="E28" s="5"/>
      <c r="F28" s="5"/>
      <c r="G28" s="5"/>
      <c r="H28" s="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</row>
    <row r="29" spans="1:256" ht="13">
      <c r="A29" s="38"/>
      <c r="B29" s="49" t="s">
        <v>97</v>
      </c>
      <c r="C29" s="49" t="s">
        <v>98</v>
      </c>
      <c r="D29" s="49" t="s">
        <v>99</v>
      </c>
      <c r="E29" s="50" t="s">
        <v>100</v>
      </c>
      <c r="F29" s="50" t="s">
        <v>101</v>
      </c>
      <c r="G29" s="49" t="s">
        <v>102</v>
      </c>
      <c r="H29" s="49" t="s">
        <v>103</v>
      </c>
      <c r="I29" s="50" t="s">
        <v>104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</row>
    <row r="30" spans="1:256" ht="63.75" customHeight="1">
      <c r="A30" s="17" t="s">
        <v>29</v>
      </c>
      <c r="B30" s="19" t="s">
        <v>105</v>
      </c>
      <c r="C30" s="19" t="s">
        <v>106</v>
      </c>
      <c r="D30" s="19" t="s">
        <v>107</v>
      </c>
      <c r="E30" s="19" t="s">
        <v>108</v>
      </c>
      <c r="F30" s="19" t="s">
        <v>109</v>
      </c>
      <c r="G30" s="19" t="s">
        <v>110</v>
      </c>
      <c r="H30" s="19" t="s">
        <v>111</v>
      </c>
      <c r="I30" s="19" t="s">
        <v>112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</row>
    <row r="31" spans="1:256" ht="12.75" customHeight="1">
      <c r="A31" s="43" t="s">
        <v>89</v>
      </c>
      <c r="B31" s="19" t="s">
        <v>113</v>
      </c>
      <c r="C31" s="19" t="s">
        <v>114</v>
      </c>
      <c r="D31" s="19" t="s">
        <v>115</v>
      </c>
      <c r="E31" s="19" t="s">
        <v>116</v>
      </c>
      <c r="F31" s="19" t="s">
        <v>117</v>
      </c>
      <c r="G31" s="51" t="s">
        <v>118</v>
      </c>
      <c r="H31" s="19" t="s">
        <v>119</v>
      </c>
      <c r="I31" s="19" t="s">
        <v>120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</row>
    <row r="32" spans="1:256" ht="13">
      <c r="A32" s="17" t="s">
        <v>59</v>
      </c>
      <c r="B32" s="19" t="s">
        <v>60</v>
      </c>
      <c r="C32" s="19" t="s">
        <v>60</v>
      </c>
      <c r="D32" s="19" t="s">
        <v>60</v>
      </c>
      <c r="E32" s="52" t="s">
        <v>121</v>
      </c>
      <c r="F32" s="52" t="s">
        <v>122</v>
      </c>
      <c r="G32" s="19" t="s">
        <v>60</v>
      </c>
      <c r="H32" s="19" t="s">
        <v>60</v>
      </c>
      <c r="I32" s="19" t="s">
        <v>60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</row>
    <row r="33" spans="1:256" s="53" customFormat="1" ht="13">
      <c r="A33" s="31"/>
      <c r="B33" s="23"/>
      <c r="C33" s="23"/>
      <c r="D33" s="23"/>
      <c r="E33" s="1"/>
      <c r="F33" s="1"/>
      <c r="G33" s="1"/>
      <c r="H33" s="1"/>
      <c r="I33" s="1"/>
    </row>
    <row r="34" spans="1:256" ht="13">
      <c r="A34" s="54"/>
      <c r="B34" s="32"/>
      <c r="C34" s="32"/>
      <c r="D34" s="32"/>
      <c r="E34" s="5"/>
      <c r="F34" s="5"/>
      <c r="G34" s="32"/>
      <c r="H34" s="32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</row>
    <row r="35" spans="1:256" ht="13">
      <c r="A35" s="55" t="s">
        <v>123</v>
      </c>
      <c r="B35" s="56" t="s">
        <v>124</v>
      </c>
      <c r="C35" s="32"/>
      <c r="D35" s="32"/>
      <c r="E35" s="5"/>
      <c r="F35" s="5"/>
      <c r="G35" s="32"/>
      <c r="H35" s="32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</row>
    <row r="36" spans="1:256" ht="13">
      <c r="A36"/>
      <c r="B36" s="56" t="s">
        <v>125</v>
      </c>
      <c r="C36" s="32"/>
      <c r="D36" s="32"/>
      <c r="E36" s="5"/>
      <c r="F36" s="5"/>
      <c r="G36" s="32"/>
      <c r="H36" s="32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</row>
    <row r="37" spans="1:256" ht="13">
      <c r="A37" s="38"/>
      <c r="B37" s="13" t="s">
        <v>126</v>
      </c>
      <c r="C37" s="13" t="s">
        <v>127</v>
      </c>
      <c r="D37" s="14" t="s">
        <v>128</v>
      </c>
      <c r="E37" s="14" t="s">
        <v>29</v>
      </c>
      <c r="F37" s="14" t="s">
        <v>129</v>
      </c>
      <c r="G37" s="14" t="s">
        <v>130</v>
      </c>
      <c r="H37" s="57" t="s">
        <v>131</v>
      </c>
      <c r="I37" s="14" t="s">
        <v>74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</row>
    <row r="38" spans="1:256" ht="63.75" customHeight="1">
      <c r="A38" s="17" t="s">
        <v>29</v>
      </c>
      <c r="B38" s="22" t="s">
        <v>132</v>
      </c>
      <c r="C38" s="58" t="s">
        <v>133</v>
      </c>
      <c r="D38" s="19" t="s">
        <v>134</v>
      </c>
      <c r="E38" s="18" t="s">
        <v>135</v>
      </c>
      <c r="F38" s="19" t="s">
        <v>136</v>
      </c>
      <c r="G38" s="18" t="s">
        <v>137</v>
      </c>
      <c r="H38" s="59" t="s">
        <v>138</v>
      </c>
      <c r="I38" s="22" t="s">
        <v>139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</row>
    <row r="39" spans="1:256" ht="12.75" customHeight="1">
      <c r="A39" s="43" t="s">
        <v>89</v>
      </c>
      <c r="B39" s="44" t="s">
        <v>140</v>
      </c>
      <c r="C39" s="60" t="s">
        <v>141</v>
      </c>
      <c r="D39" s="60" t="s">
        <v>142</v>
      </c>
      <c r="E39" s="19"/>
      <c r="F39" s="19" t="s">
        <v>143</v>
      </c>
      <c r="G39" s="19"/>
      <c r="H39" s="61"/>
      <c r="I39" s="1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</row>
    <row r="40" spans="1:256" ht="13">
      <c r="A40" s="17" t="s">
        <v>59</v>
      </c>
      <c r="B40" s="44" t="s">
        <v>60</v>
      </c>
      <c r="C40" s="19" t="s">
        <v>60</v>
      </c>
      <c r="D40" s="19" t="s">
        <v>60</v>
      </c>
      <c r="E40" s="19" t="s">
        <v>60</v>
      </c>
      <c r="F40" s="19" t="s">
        <v>60</v>
      </c>
      <c r="G40" s="19" t="s">
        <v>60</v>
      </c>
      <c r="H40" s="28" t="s">
        <v>60</v>
      </c>
      <c r="I40" s="19" t="s">
        <v>60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</row>
    <row r="41" spans="1:256" ht="13">
      <c r="A41" s="31"/>
      <c r="B41" s="32"/>
      <c r="C41" s="32"/>
      <c r="D41" s="32"/>
      <c r="E41" s="5"/>
      <c r="F41" s="5"/>
      <c r="G41" s="32"/>
      <c r="H41" s="32"/>
      <c r="I41" s="32"/>
      <c r="J41" s="32"/>
      <c r="K41" s="32"/>
      <c r="L41" s="32"/>
      <c r="M41" s="5"/>
      <c r="N41" s="32"/>
      <c r="O41" s="32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</row>
    <row r="42" spans="1:256" ht="13">
      <c r="A42" s="54"/>
      <c r="B42" s="32"/>
      <c r="C42" s="32"/>
      <c r="D42" s="32"/>
      <c r="E42" s="5"/>
      <c r="F42" s="5"/>
      <c r="G42" s="32"/>
      <c r="H42" s="32"/>
      <c r="I42" s="32"/>
      <c r="J42" s="32"/>
      <c r="K42" s="32"/>
      <c r="L42" s="32"/>
      <c r="M42" s="5"/>
      <c r="N42" s="32"/>
      <c r="O42" s="3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</row>
    <row r="43" spans="1:256" ht="13">
      <c r="A43" s="55" t="s">
        <v>144</v>
      </c>
      <c r="B43" s="56" t="s">
        <v>145</v>
      </c>
      <c r="C43" s="32"/>
      <c r="D43" s="32"/>
      <c r="E43" s="5"/>
      <c r="F43" s="32"/>
      <c r="G43" s="32"/>
      <c r="H43" s="32"/>
      <c r="I43" s="5"/>
      <c r="J43" s="32"/>
      <c r="K43" s="3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</row>
    <row r="44" spans="1:256" ht="13">
      <c r="A44" s="38"/>
      <c r="B44" s="62" t="s">
        <v>146</v>
      </c>
      <c r="C44" s="62" t="s">
        <v>147</v>
      </c>
      <c r="D44" s="62" t="s">
        <v>148</v>
      </c>
      <c r="E44" s="63" t="s">
        <v>149</v>
      </c>
      <c r="F44" s="62" t="s">
        <v>150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</row>
    <row r="45" spans="1:256" ht="63.75" customHeight="1">
      <c r="A45" s="17" t="s">
        <v>29</v>
      </c>
      <c r="B45" s="19" t="s">
        <v>151</v>
      </c>
      <c r="C45" s="19" t="s">
        <v>152</v>
      </c>
      <c r="D45" s="19" t="s">
        <v>153</v>
      </c>
      <c r="E45" s="64" t="s">
        <v>154</v>
      </c>
      <c r="F45" s="19" t="s">
        <v>155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</row>
    <row r="46" spans="1:256" ht="12.75" customHeight="1">
      <c r="A46" s="43" t="s">
        <v>89</v>
      </c>
      <c r="B46" s="65" t="s">
        <v>156</v>
      </c>
      <c r="C46" s="60" t="s">
        <v>157</v>
      </c>
      <c r="D46" s="60" t="s">
        <v>158</v>
      </c>
      <c r="E46" s="64"/>
      <c r="F46" s="60" t="s">
        <v>159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</row>
    <row r="47" spans="1:256" ht="13">
      <c r="A47" s="17" t="s">
        <v>59</v>
      </c>
      <c r="B47" s="19" t="s">
        <v>60</v>
      </c>
      <c r="C47" s="19" t="s">
        <v>60</v>
      </c>
      <c r="D47" s="19" t="s">
        <v>60</v>
      </c>
      <c r="E47" s="64" t="s">
        <v>60</v>
      </c>
      <c r="F47" s="52" t="s">
        <v>60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</row>
    <row r="48" spans="1:256" ht="13">
      <c r="A48" s="31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</row>
    <row r="49" spans="1:256" s="67" customFormat="1" ht="12.75" customHeight="1">
      <c r="A49" s="66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</row>
    <row r="50" spans="1:256" ht="12.75" customHeight="1">
      <c r="A50" s="68" t="s">
        <v>160</v>
      </c>
      <c r="B50" s="36" t="s">
        <v>161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</row>
    <row r="51" spans="1:256" ht="12.75" customHeight="1">
      <c r="A51" s="66"/>
      <c r="B51" s="36" t="s">
        <v>162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</row>
    <row r="52" spans="1:256" ht="13">
      <c r="A52" s="38"/>
      <c r="B52" s="13" t="s">
        <v>163</v>
      </c>
      <c r="C52" s="13" t="s">
        <v>164</v>
      </c>
      <c r="D52" s="13" t="s">
        <v>165</v>
      </c>
      <c r="E52" s="14" t="s">
        <v>166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</row>
    <row r="53" spans="1:256" ht="63.75" customHeight="1">
      <c r="A53" s="17" t="s">
        <v>29</v>
      </c>
      <c r="B53" s="19" t="s">
        <v>167</v>
      </c>
      <c r="C53" s="19" t="s">
        <v>168</v>
      </c>
      <c r="D53" s="19" t="s">
        <v>169</v>
      </c>
      <c r="E53" s="19" t="s">
        <v>170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</row>
    <row r="54" spans="1:256" ht="37.5">
      <c r="A54" s="43" t="s">
        <v>89</v>
      </c>
      <c r="B54" s="44" t="s">
        <v>171</v>
      </c>
      <c r="C54" s="44" t="s">
        <v>172</v>
      </c>
      <c r="D54" s="44" t="s">
        <v>173</v>
      </c>
      <c r="E54" s="65" t="s">
        <v>174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</row>
    <row r="55" spans="1:256" ht="13">
      <c r="A55" s="17" t="s">
        <v>59</v>
      </c>
      <c r="B55" s="19" t="s">
        <v>60</v>
      </c>
      <c r="C55" s="19" t="s">
        <v>60</v>
      </c>
      <c r="D55" s="19" t="s">
        <v>60</v>
      </c>
      <c r="E55" s="52" t="s">
        <v>60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</row>
    <row r="56" spans="1:256" s="37" customFormat="1" ht="13">
      <c r="A56" s="31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</row>
    <row r="57" spans="1:256" ht="12.75" customHeight="1">
      <c r="A57" s="66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</row>
    <row r="58" spans="1:256" ht="12.75" customHeight="1">
      <c r="A58" s="68" t="s">
        <v>175</v>
      </c>
      <c r="B58" s="36" t="s">
        <v>176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</row>
    <row r="59" spans="1:256" ht="12.75" customHeight="1">
      <c r="A59" s="66"/>
      <c r="B59" s="36" t="s">
        <v>177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</row>
    <row r="60" spans="1:256" ht="13">
      <c r="A60" s="38"/>
      <c r="B60" s="13" t="s">
        <v>178</v>
      </c>
      <c r="C60" s="14" t="s">
        <v>179</v>
      </c>
      <c r="D60" s="14" t="s">
        <v>29</v>
      </c>
      <c r="E60" s="14" t="s">
        <v>180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</row>
    <row r="61" spans="1:256" ht="63.75" customHeight="1">
      <c r="A61" s="17" t="s">
        <v>29</v>
      </c>
      <c r="B61" s="19" t="s">
        <v>181</v>
      </c>
      <c r="C61" s="19" t="s">
        <v>182</v>
      </c>
      <c r="D61" s="19" t="s">
        <v>183</v>
      </c>
      <c r="E61" s="17" t="s">
        <v>184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</row>
    <row r="62" spans="1:256" ht="13.15" customHeight="1">
      <c r="A62" s="272" t="s">
        <v>89</v>
      </c>
      <c r="B62" s="19" t="s">
        <v>185</v>
      </c>
      <c r="C62" s="19" t="s">
        <v>186</v>
      </c>
      <c r="D62" s="19"/>
      <c r="E62" s="19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</row>
    <row r="63" spans="1:256">
      <c r="A63" s="272"/>
      <c r="B63" s="44" t="s">
        <v>187</v>
      </c>
      <c r="C63" s="44" t="s">
        <v>187</v>
      </c>
      <c r="D63"/>
      <c r="E63" s="44" t="s">
        <v>185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</row>
    <row r="64" spans="1:256" ht="13">
      <c r="A64" s="17" t="s">
        <v>59</v>
      </c>
      <c r="B64" s="19" t="s">
        <v>60</v>
      </c>
      <c r="C64" s="19" t="s">
        <v>60</v>
      </c>
      <c r="D64" s="19" t="s">
        <v>60</v>
      </c>
      <c r="E64" s="52" t="s">
        <v>60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</row>
    <row r="65" spans="1:256" s="37" customFormat="1" ht="13">
      <c r="A65" s="31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</row>
    <row r="66" spans="1:256" s="37" customFormat="1" ht="12.75" customHeight="1">
      <c r="A66" s="66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</row>
    <row r="67" spans="1:256" ht="12.75" customHeight="1">
      <c r="A67" s="68" t="s">
        <v>188</v>
      </c>
      <c r="B67" s="36" t="s">
        <v>189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</row>
    <row r="68" spans="1:256" ht="13">
      <c r="A68" s="38"/>
      <c r="B68" s="69" t="s">
        <v>150</v>
      </c>
      <c r="C68" s="15" t="s">
        <v>190</v>
      </c>
      <c r="D68" s="15" t="s">
        <v>191</v>
      </c>
      <c r="E68" s="70" t="s">
        <v>21</v>
      </c>
      <c r="F68" s="70" t="s">
        <v>22</v>
      </c>
      <c r="G68" s="70" t="s">
        <v>192</v>
      </c>
      <c r="H68" s="16" t="s">
        <v>193</v>
      </c>
      <c r="I68" s="71" t="s">
        <v>194</v>
      </c>
      <c r="J68" s="14" t="s">
        <v>195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</row>
    <row r="69" spans="1:256" ht="52.9" customHeight="1">
      <c r="A69" s="273" t="s">
        <v>29</v>
      </c>
      <c r="B69" s="274" t="s">
        <v>196</v>
      </c>
      <c r="C69" s="72" t="s">
        <v>197</v>
      </c>
      <c r="D69" s="72" t="s">
        <v>198</v>
      </c>
      <c r="E69" s="266" t="s">
        <v>199</v>
      </c>
      <c r="F69" s="266" t="s">
        <v>200</v>
      </c>
      <c r="G69" s="266" t="s">
        <v>201</v>
      </c>
      <c r="H69" s="266" t="s">
        <v>202</v>
      </c>
      <c r="I69" s="73" t="s">
        <v>203</v>
      </c>
      <c r="J69" s="72" t="s">
        <v>203</v>
      </c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</row>
    <row r="70" spans="1:256" ht="38">
      <c r="A70" s="273"/>
      <c r="B70" s="274"/>
      <c r="C70" s="74" t="s">
        <v>204</v>
      </c>
      <c r="D70" s="74" t="s">
        <v>205</v>
      </c>
      <c r="E70" s="266"/>
      <c r="F70" s="266"/>
      <c r="G70" s="266"/>
      <c r="H70" s="266"/>
      <c r="I70" s="74" t="s">
        <v>206</v>
      </c>
      <c r="J70" s="74" t="s">
        <v>207</v>
      </c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</row>
    <row r="71" spans="1:256" ht="26">
      <c r="A71" s="43" t="s">
        <v>89</v>
      </c>
      <c r="B71" s="60" t="s">
        <v>159</v>
      </c>
      <c r="C71" s="74" t="s">
        <v>208</v>
      </c>
      <c r="D71" s="74" t="s">
        <v>209</v>
      </c>
      <c r="E71" s="19">
        <v>1</v>
      </c>
      <c r="F71" s="44">
        <v>3</v>
      </c>
      <c r="G71" s="44"/>
      <c r="H71" s="44"/>
      <c r="I71" s="74" t="s">
        <v>210</v>
      </c>
      <c r="J71" s="74" t="s">
        <v>211</v>
      </c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</row>
    <row r="72" spans="1:256" ht="13">
      <c r="A72" s="17" t="s">
        <v>59</v>
      </c>
      <c r="B72" s="19" t="s">
        <v>60</v>
      </c>
      <c r="C72" s="19" t="s">
        <v>60</v>
      </c>
      <c r="D72" s="19" t="s">
        <v>60</v>
      </c>
      <c r="E72" s="52" t="s">
        <v>60</v>
      </c>
      <c r="F72" s="52" t="s">
        <v>60</v>
      </c>
      <c r="G72" s="44" t="s">
        <v>62</v>
      </c>
      <c r="H72" s="44" t="s">
        <v>62</v>
      </c>
      <c r="I72" s="75" t="s">
        <v>212</v>
      </c>
      <c r="J72" s="44" t="s">
        <v>213</v>
      </c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</row>
    <row r="73" spans="1:256" ht="13">
      <c r="A73" s="54"/>
      <c r="B73" s="32"/>
      <c r="C73" s="32"/>
      <c r="D73" s="32"/>
      <c r="E73" s="5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</row>
    <row r="74" spans="1:256" ht="13">
      <c r="A74" s="31"/>
      <c r="B74" s="30"/>
      <c r="D74" s="47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</row>
    <row r="75" spans="1:256" ht="13">
      <c r="A75" s="76" t="s">
        <v>214</v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</row>
    <row r="76" spans="1:256" s="80" customFormat="1" ht="13">
      <c r="A76" s="77"/>
      <c r="B76" s="78" t="s">
        <v>215</v>
      </c>
      <c r="C76" s="79" t="s">
        <v>216</v>
      </c>
      <c r="D76" s="78" t="s">
        <v>217</v>
      </c>
      <c r="E76" s="79" t="s">
        <v>218</v>
      </c>
      <c r="F76" s="79" t="s">
        <v>219</v>
      </c>
      <c r="G76" s="79" t="s">
        <v>29</v>
      </c>
    </row>
    <row r="77" spans="1:256" s="83" customFormat="1" ht="25">
      <c r="A77" s="81" t="s">
        <v>29</v>
      </c>
      <c r="B77" s="42" t="s">
        <v>220</v>
      </c>
      <c r="C77" s="42" t="s">
        <v>221</v>
      </c>
      <c r="D77" s="42" t="s">
        <v>222</v>
      </c>
      <c r="E77" s="42" t="s">
        <v>223</v>
      </c>
      <c r="F77" s="82" t="s">
        <v>224</v>
      </c>
      <c r="G77" s="42" t="s">
        <v>225</v>
      </c>
    </row>
    <row r="78" spans="1:256" s="80" customFormat="1" ht="37.5">
      <c r="A78" s="84" t="s">
        <v>46</v>
      </c>
      <c r="B78" s="85" t="s">
        <v>226</v>
      </c>
      <c r="C78" s="86" t="s">
        <v>227</v>
      </c>
      <c r="D78" s="42" t="s">
        <v>228</v>
      </c>
      <c r="E78" s="46">
        <v>39</v>
      </c>
      <c r="F78" s="87">
        <v>40568</v>
      </c>
      <c r="G78" s="46"/>
    </row>
    <row r="79" spans="1:256" ht="37.5">
      <c r="A79" s="81" t="s">
        <v>59</v>
      </c>
      <c r="B79" s="42" t="s">
        <v>60</v>
      </c>
      <c r="C79" s="42" t="s">
        <v>60</v>
      </c>
      <c r="D79" s="42" t="s">
        <v>229</v>
      </c>
      <c r="E79" s="46" t="s">
        <v>62</v>
      </c>
      <c r="F79" s="46" t="s">
        <v>230</v>
      </c>
      <c r="G79" s="42" t="s">
        <v>60</v>
      </c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</row>
    <row r="80" spans="1:256" ht="13">
      <c r="A80" s="88"/>
      <c r="B80" s="83"/>
      <c r="C80" s="83"/>
      <c r="D80" s="83"/>
      <c r="E80" s="80"/>
      <c r="F80" s="80"/>
      <c r="G80" s="83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</row>
    <row r="81" spans="1:256">
      <c r="A81" s="34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</row>
    <row r="82" spans="1:256" s="37" customFormat="1" ht="12.75" customHeight="1">
      <c r="A82" s="68" t="s">
        <v>231</v>
      </c>
      <c r="B82" s="36" t="s">
        <v>232</v>
      </c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</row>
    <row r="83" spans="1:256">
      <c r="A83" s="38"/>
      <c r="B83" s="89" t="s">
        <v>233</v>
      </c>
      <c r="C83" s="89" t="s">
        <v>234</v>
      </c>
      <c r="D83" s="89" t="s">
        <v>235</v>
      </c>
      <c r="E83"/>
      <c r="F83"/>
      <c r="G83"/>
      <c r="H83"/>
      <c r="I83"/>
      <c r="J83"/>
    </row>
    <row r="84" spans="1:256" ht="38.25" customHeight="1">
      <c r="A84" s="41" t="s">
        <v>29</v>
      </c>
      <c r="B84" s="20" t="s">
        <v>236</v>
      </c>
      <c r="C84" s="20" t="s">
        <v>237</v>
      </c>
      <c r="D84" s="20" t="s">
        <v>238</v>
      </c>
      <c r="E84"/>
      <c r="F84"/>
      <c r="G84"/>
      <c r="H84"/>
      <c r="I84"/>
      <c r="J84"/>
    </row>
    <row r="85" spans="1:256" ht="13">
      <c r="A85" s="43" t="s">
        <v>89</v>
      </c>
      <c r="B85" s="27">
        <v>1</v>
      </c>
      <c r="C85" s="90">
        <v>3</v>
      </c>
      <c r="D85" s="27" t="s">
        <v>239</v>
      </c>
      <c r="E85"/>
      <c r="F85"/>
      <c r="G85"/>
      <c r="H85"/>
      <c r="I85"/>
      <c r="J85"/>
    </row>
    <row r="86" spans="1:256" ht="137.5">
      <c r="A86" s="17" t="s">
        <v>59</v>
      </c>
      <c r="B86" s="42" t="s">
        <v>240</v>
      </c>
      <c r="C86" s="42" t="s">
        <v>241</v>
      </c>
      <c r="D86" s="42" t="s">
        <v>242</v>
      </c>
      <c r="E86"/>
      <c r="F86"/>
      <c r="G86"/>
      <c r="H86"/>
      <c r="I86"/>
      <c r="J86"/>
    </row>
    <row r="89" spans="1:256" ht="12.75" customHeight="1"/>
    <row r="90" spans="1:256" ht="12.75" customHeight="1"/>
    <row r="92" spans="1:256" ht="12.75" customHeight="1"/>
    <row r="93" spans="1:256" ht="12.75" customHeight="1"/>
    <row r="95" spans="1:256" ht="12.75" customHeight="1"/>
  </sheetData>
  <sheetProtection selectLockedCells="1" selectUnlockedCells="1"/>
  <mergeCells count="12">
    <mergeCell ref="H69:H70"/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</mergeCells>
  <hyperlinks>
    <hyperlink ref="G31" r:id="rId1" xr:uid="{00000000-0004-0000-0000-000000000000}"/>
    <hyperlink ref="C78" r:id="rId2" xr:uid="{00000000-0004-0000-0000-000001000000}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0"/>
  </sheetPr>
  <dimension ref="A1:W4"/>
  <sheetViews>
    <sheetView zoomScale="95" zoomScaleNormal="95" workbookViewId="0">
      <selection activeCell="C3" sqref="C3"/>
    </sheetView>
  </sheetViews>
  <sheetFormatPr baseColWidth="10" defaultColWidth="12.8984375" defaultRowHeight="12.5"/>
  <cols>
    <col min="1" max="1" width="18" style="91" bestFit="1" customWidth="1"/>
    <col min="2" max="2" width="10.59765625" style="91" customWidth="1"/>
    <col min="3" max="3" width="15.8984375" style="92" customWidth="1"/>
    <col min="4" max="4" width="13.8984375" style="92" customWidth="1"/>
    <col min="5" max="5" width="12.3984375" style="92" customWidth="1"/>
    <col min="6" max="6" width="15.8984375" style="92" customWidth="1"/>
    <col min="7" max="7" width="22.296875" style="92" customWidth="1"/>
    <col min="8" max="8" width="6.296875" style="92" customWidth="1"/>
    <col min="9" max="9" width="7.3984375" style="93" bestFit="1" customWidth="1"/>
    <col min="10" max="10" width="4" style="93" bestFit="1" customWidth="1"/>
    <col min="11" max="11" width="19.296875" style="92" customWidth="1"/>
    <col min="12" max="13" width="12.3984375" style="92" customWidth="1"/>
    <col min="14" max="14" width="17" style="92" customWidth="1"/>
    <col min="15" max="15" width="8.69921875" style="92" customWidth="1"/>
    <col min="16" max="16" width="13.59765625" style="92" customWidth="1"/>
  </cols>
  <sheetData>
    <row r="1" spans="1:23" ht="13.5" thickBot="1">
      <c r="A1" s="94" t="s">
        <v>13</v>
      </c>
      <c r="B1" s="94" t="s">
        <v>14</v>
      </c>
      <c r="C1" s="95" t="s">
        <v>15</v>
      </c>
      <c r="D1" s="95" t="s">
        <v>16</v>
      </c>
      <c r="E1" s="95" t="s">
        <v>17</v>
      </c>
      <c r="F1" s="95" t="s">
        <v>18</v>
      </c>
      <c r="G1" s="95" t="s">
        <v>19</v>
      </c>
      <c r="H1" s="95" t="s">
        <v>20</v>
      </c>
      <c r="I1" s="96" t="s">
        <v>21</v>
      </c>
      <c r="J1" s="96" t="s">
        <v>22</v>
      </c>
      <c r="K1" s="95" t="s">
        <v>23</v>
      </c>
      <c r="L1" s="172" t="s">
        <v>24</v>
      </c>
      <c r="M1" s="95" t="s">
        <v>25</v>
      </c>
      <c r="N1" s="95" t="s">
        <v>26</v>
      </c>
      <c r="O1" s="95" t="s">
        <v>27</v>
      </c>
      <c r="P1" s="95" t="s">
        <v>28</v>
      </c>
    </row>
    <row r="2" spans="1:23" ht="14.5">
      <c r="A2" s="91" t="s">
        <v>7730</v>
      </c>
      <c r="B2" s="91" t="s">
        <v>7731</v>
      </c>
      <c r="C2" s="147" t="s">
        <v>8049</v>
      </c>
      <c r="D2" s="147" t="s">
        <v>7793</v>
      </c>
      <c r="G2" s="92" t="s">
        <v>8048</v>
      </c>
      <c r="I2" s="93" t="s">
        <v>55</v>
      </c>
      <c r="J2" s="93" t="s">
        <v>54</v>
      </c>
      <c r="L2" s="246" t="s">
        <v>7803</v>
      </c>
      <c r="N2" s="92" t="s">
        <v>7736</v>
      </c>
    </row>
    <row r="3" spans="1:23">
      <c r="R3" s="148"/>
      <c r="S3" s="148"/>
      <c r="T3" s="149"/>
      <c r="U3" s="149"/>
      <c r="V3" s="149"/>
      <c r="W3" s="149"/>
    </row>
    <row r="4" spans="1:23">
      <c r="R4" s="150"/>
      <c r="S4" s="150"/>
      <c r="T4" s="150"/>
      <c r="U4" s="150"/>
      <c r="V4" s="150"/>
      <c r="W4" s="150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0"/>
  </sheetPr>
  <dimension ref="A1:L2"/>
  <sheetViews>
    <sheetView workbookViewId="0">
      <selection activeCell="J8" sqref="J8"/>
    </sheetView>
  </sheetViews>
  <sheetFormatPr baseColWidth="10" defaultColWidth="10.69921875" defaultRowHeight="12.5"/>
  <cols>
    <col min="1" max="1" width="11.8984375" style="97" customWidth="1"/>
    <col min="2" max="2" width="9.09765625" style="92" customWidth="1"/>
    <col min="3" max="3" width="11" style="92" customWidth="1"/>
    <col min="4" max="4" width="10.09765625" style="92" customWidth="1"/>
    <col min="5" max="5" width="10.3984375" style="92" customWidth="1"/>
    <col min="6" max="6" width="6.59765625" style="92" customWidth="1"/>
    <col min="7" max="7" width="25.09765625" style="97" customWidth="1"/>
    <col min="8" max="8" width="11.296875" style="92" customWidth="1"/>
    <col min="9" max="9" width="12.09765625" style="92" customWidth="1"/>
    <col min="10" max="10" width="10.3984375" style="92" customWidth="1"/>
    <col min="11" max="11" width="19.296875" style="92" customWidth="1"/>
    <col min="12" max="12" width="22.3984375" style="92" customWidth="1"/>
  </cols>
  <sheetData>
    <row r="1" spans="1:12" s="76" customFormat="1" ht="13">
      <c r="A1" s="98" t="s">
        <v>65</v>
      </c>
      <c r="B1" s="99" t="s">
        <v>66</v>
      </c>
      <c r="C1" s="99" t="s">
        <v>67</v>
      </c>
      <c r="D1" s="99" t="s">
        <v>68</v>
      </c>
      <c r="E1" s="99" t="s">
        <v>69</v>
      </c>
      <c r="F1" s="99" t="s">
        <v>70</v>
      </c>
      <c r="G1" s="98" t="s">
        <v>71</v>
      </c>
      <c r="H1" s="99" t="s">
        <v>72</v>
      </c>
      <c r="I1" s="99" t="s">
        <v>73</v>
      </c>
      <c r="J1" s="99" t="s">
        <v>74</v>
      </c>
      <c r="K1" s="100" t="s">
        <v>75</v>
      </c>
      <c r="L1" s="100" t="s">
        <v>76</v>
      </c>
    </row>
    <row r="2" spans="1:12">
      <c r="A2" s="97" t="s">
        <v>7741</v>
      </c>
      <c r="B2" s="264" t="s">
        <v>8050</v>
      </c>
      <c r="C2" s="265" t="s">
        <v>8051</v>
      </c>
      <c r="G2" s="97" t="s">
        <v>7742</v>
      </c>
      <c r="H2" s="192"/>
      <c r="I2" s="192"/>
      <c r="J2" s="264" t="s">
        <v>7743</v>
      </c>
      <c r="K2" s="26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0"/>
  </sheetPr>
  <dimension ref="A1:X10"/>
  <sheetViews>
    <sheetView zoomScale="95" zoomScaleNormal="95" workbookViewId="0">
      <selection activeCell="B7" sqref="B7"/>
    </sheetView>
  </sheetViews>
  <sheetFormatPr baseColWidth="10" defaultColWidth="10.69921875" defaultRowHeight="12.5"/>
  <cols>
    <col min="1" max="1" width="16.3984375" style="101" bestFit="1" customWidth="1"/>
    <col min="2" max="2" width="10.59765625" style="101" bestFit="1" customWidth="1"/>
    <col min="3" max="3" width="10.69921875" style="101" bestFit="1" customWidth="1"/>
    <col min="4" max="4" width="12.69921875" style="92" bestFit="1" customWidth="1"/>
    <col min="5" max="5" width="4.69921875" style="92" bestFit="1" customWidth="1"/>
    <col min="6" max="6" width="29.8984375" style="101" bestFit="1" customWidth="1"/>
    <col min="7" max="7" width="10.3984375" style="101" bestFit="1" customWidth="1"/>
    <col min="8" max="8" width="11.3984375" style="92" bestFit="1" customWidth="1"/>
  </cols>
  <sheetData>
    <row r="1" spans="1:24" ht="13">
      <c r="A1" s="94" t="s">
        <v>97</v>
      </c>
      <c r="B1" s="94" t="s">
        <v>98</v>
      </c>
      <c r="C1" s="94" t="s">
        <v>99</v>
      </c>
      <c r="D1" s="95" t="s">
        <v>100</v>
      </c>
      <c r="E1" s="102" t="s">
        <v>101</v>
      </c>
      <c r="F1" s="94" t="s">
        <v>102</v>
      </c>
      <c r="G1" s="94" t="s">
        <v>103</v>
      </c>
      <c r="H1" s="95" t="s">
        <v>104</v>
      </c>
    </row>
    <row r="2" spans="1:24">
      <c r="A2" s="103" t="s">
        <v>113</v>
      </c>
      <c r="B2" s="103" t="s">
        <v>7732</v>
      </c>
      <c r="C2" s="103" t="s">
        <v>7733</v>
      </c>
      <c r="F2" s="190" t="s">
        <v>7734</v>
      </c>
      <c r="G2" s="103" t="s">
        <v>119</v>
      </c>
      <c r="H2" s="191" t="s">
        <v>7735</v>
      </c>
    </row>
    <row r="3" spans="1:24">
      <c r="B3" s="101" t="s">
        <v>7737</v>
      </c>
      <c r="C3" s="101" t="s">
        <v>7738</v>
      </c>
      <c r="D3"/>
      <c r="E3"/>
      <c r="F3" s="101" t="s">
        <v>7739</v>
      </c>
      <c r="G3" s="101" t="s">
        <v>7740</v>
      </c>
      <c r="H3" s="156"/>
    </row>
    <row r="4" spans="1:24">
      <c r="B4" s="101" t="s">
        <v>7744</v>
      </c>
      <c r="C4" s="101" t="s">
        <v>7745</v>
      </c>
      <c r="D4" s="156"/>
      <c r="E4"/>
      <c r="F4" s="101" t="s">
        <v>7746</v>
      </c>
      <c r="G4" s="101" t="s">
        <v>7740</v>
      </c>
      <c r="H4" s="156"/>
    </row>
    <row r="8" spans="1:24" ht="13">
      <c r="K8" s="151"/>
      <c r="L8" s="152"/>
      <c r="M8" s="152"/>
      <c r="N8" s="152"/>
      <c r="O8" s="149"/>
      <c r="P8" s="153"/>
      <c r="Q8" s="149"/>
      <c r="R8" s="152"/>
      <c r="S8" s="152"/>
      <c r="T8" s="152"/>
      <c r="U8" s="149"/>
      <c r="V8" s="152"/>
      <c r="W8" s="152"/>
      <c r="X8" s="149"/>
    </row>
    <row r="9" spans="1:24">
      <c r="L9" s="154"/>
      <c r="M9" s="154"/>
      <c r="N9" s="155"/>
      <c r="Q9" s="156"/>
      <c r="R9" s="156"/>
      <c r="S9" s="156"/>
      <c r="T9" s="157"/>
      <c r="U9" s="156"/>
      <c r="V9" s="156"/>
      <c r="W9" s="156"/>
      <c r="X9" s="157"/>
    </row>
    <row r="10" spans="1:24">
      <c r="K10" s="156"/>
      <c r="L10" s="154"/>
      <c r="M10" s="154"/>
      <c r="N10" s="155"/>
      <c r="O10" s="156"/>
      <c r="Q10" s="156"/>
      <c r="R10" s="156"/>
      <c r="S10" s="156"/>
      <c r="T10" s="157"/>
      <c r="U10" s="156"/>
      <c r="V10" s="156"/>
      <c r="W10" s="156"/>
      <c r="X10" s="157"/>
    </row>
  </sheetData>
  <sheetProtection selectLockedCells="1" selectUnlockedCells="1"/>
  <dataValidations count="1">
    <dataValidation type="list" allowBlank="1" showErrorMessage="1" sqref="G2" xr:uid="{00000000-0002-0000-0300-000000000000}">
      <formula1>InstitutionName</formula1>
      <formula2>0</formula2>
    </dataValidation>
  </dataValidations>
  <hyperlinks>
    <hyperlink ref="F2" r:id="rId1" xr:uid="{00000000-0004-0000-0300-000000000000}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0"/>
  </sheetPr>
  <dimension ref="A1:H48"/>
  <sheetViews>
    <sheetView topLeftCell="B1" zoomScale="70" zoomScaleNormal="70" workbookViewId="0">
      <selection activeCell="H43" sqref="H43"/>
    </sheetView>
  </sheetViews>
  <sheetFormatPr baseColWidth="10" defaultColWidth="12.69921875" defaultRowHeight="12.5"/>
  <cols>
    <col min="1" max="1" width="41.3984375" style="101" customWidth="1"/>
    <col min="2" max="2" width="30.296875" style="101" bestFit="1" customWidth="1"/>
    <col min="3" max="3" width="28.09765625" style="92" bestFit="1" customWidth="1"/>
    <col min="4" max="4" width="85.296875" style="92" bestFit="1" customWidth="1"/>
    <col min="5" max="5" width="17.296875" style="92" customWidth="1"/>
    <col min="6" max="6" width="49.59765625" style="92" customWidth="1"/>
    <col min="7" max="7" width="15.3984375" style="92" customWidth="1"/>
    <col min="8" max="8" width="10.3984375" style="92" customWidth="1"/>
    <col min="9" max="16384" width="12.69921875" style="104"/>
  </cols>
  <sheetData>
    <row r="1" spans="1:8" s="76" customFormat="1" ht="13.5" thickBot="1">
      <c r="A1" s="128" t="s">
        <v>126</v>
      </c>
      <c r="B1" s="128" t="s">
        <v>127</v>
      </c>
      <c r="C1" s="129" t="s">
        <v>128</v>
      </c>
      <c r="D1" s="130" t="s">
        <v>29</v>
      </c>
      <c r="E1" s="130" t="s">
        <v>129</v>
      </c>
      <c r="F1" s="130" t="s">
        <v>130</v>
      </c>
      <c r="G1" s="102" t="s">
        <v>131</v>
      </c>
      <c r="H1" s="102" t="s">
        <v>74</v>
      </c>
    </row>
    <row r="2" spans="1:8" s="113" customFormat="1" ht="100.5" thickBot="1">
      <c r="A2" s="138" t="s">
        <v>244</v>
      </c>
      <c r="B2" s="138" t="s">
        <v>7449</v>
      </c>
      <c r="C2" s="139" t="s">
        <v>7450</v>
      </c>
      <c r="D2" s="140" t="s">
        <v>7451</v>
      </c>
      <c r="E2" s="140" t="s">
        <v>7452</v>
      </c>
      <c r="F2" s="140" t="s">
        <v>7453</v>
      </c>
      <c r="G2" s="141"/>
      <c r="H2" s="141"/>
    </row>
    <row r="3" spans="1:8" ht="39">
      <c r="A3" s="131" t="s">
        <v>244</v>
      </c>
      <c r="B3" s="131" t="s">
        <v>7454</v>
      </c>
      <c r="C3" s="132" t="s">
        <v>7455</v>
      </c>
      <c r="D3" s="133" t="s">
        <v>7456</v>
      </c>
      <c r="E3" s="133" t="s">
        <v>7457</v>
      </c>
      <c r="F3" s="134" t="s">
        <v>7458</v>
      </c>
      <c r="G3" s="135"/>
      <c r="H3" s="135"/>
    </row>
    <row r="4" spans="1:8" ht="39">
      <c r="A4" s="131" t="s">
        <v>244</v>
      </c>
      <c r="B4" s="131" t="s">
        <v>7459</v>
      </c>
      <c r="C4" s="132" t="s">
        <v>7460</v>
      </c>
      <c r="D4" s="133" t="s">
        <v>7461</v>
      </c>
      <c r="E4" s="133" t="s">
        <v>246</v>
      </c>
      <c r="F4" s="134" t="s">
        <v>7462</v>
      </c>
      <c r="G4" s="135"/>
      <c r="H4" s="135"/>
    </row>
    <row r="5" spans="1:8" ht="78">
      <c r="A5" s="131" t="s">
        <v>244</v>
      </c>
      <c r="B5" s="131" t="s">
        <v>7463</v>
      </c>
      <c r="C5" s="132" t="s">
        <v>7464</v>
      </c>
      <c r="D5" s="133" t="s">
        <v>7465</v>
      </c>
      <c r="E5" s="133" t="s">
        <v>247</v>
      </c>
      <c r="F5" s="134" t="s">
        <v>7466</v>
      </c>
      <c r="G5" s="135"/>
      <c r="H5" s="135"/>
    </row>
    <row r="6" spans="1:8" ht="39">
      <c r="A6" s="131" t="s">
        <v>244</v>
      </c>
      <c r="B6" s="131" t="s">
        <v>7467</v>
      </c>
      <c r="C6" s="132" t="s">
        <v>7468</v>
      </c>
      <c r="D6" s="133" t="s">
        <v>7469</v>
      </c>
      <c r="E6" s="133" t="s">
        <v>247</v>
      </c>
      <c r="F6" s="134" t="s">
        <v>7470</v>
      </c>
      <c r="G6" s="135"/>
      <c r="H6" s="135"/>
    </row>
    <row r="7" spans="1:8" ht="13">
      <c r="A7" s="131" t="s">
        <v>244</v>
      </c>
      <c r="B7" s="131" t="s">
        <v>254</v>
      </c>
      <c r="C7" s="132" t="s">
        <v>7442</v>
      </c>
      <c r="D7" s="133" t="s">
        <v>7471</v>
      </c>
      <c r="E7" s="133" t="s">
        <v>7472</v>
      </c>
      <c r="F7" s="134" t="s">
        <v>7473</v>
      </c>
      <c r="G7" s="135"/>
      <c r="H7" s="135"/>
    </row>
    <row r="8" spans="1:8" ht="39">
      <c r="A8" s="131" t="s">
        <v>244</v>
      </c>
      <c r="B8" s="131" t="s">
        <v>7474</v>
      </c>
      <c r="C8" s="132" t="s">
        <v>7475</v>
      </c>
      <c r="D8" s="133" t="s">
        <v>7476</v>
      </c>
      <c r="E8" s="133" t="s">
        <v>245</v>
      </c>
      <c r="F8" s="134" t="s">
        <v>7477</v>
      </c>
      <c r="G8" s="135"/>
      <c r="H8" s="135"/>
    </row>
    <row r="9" spans="1:8" ht="26">
      <c r="A9" s="131" t="s">
        <v>244</v>
      </c>
      <c r="B9" s="131" t="s">
        <v>7478</v>
      </c>
      <c r="C9" s="132" t="s">
        <v>7479</v>
      </c>
      <c r="D9" s="133" t="s">
        <v>7480</v>
      </c>
      <c r="E9" s="133" t="s">
        <v>7457</v>
      </c>
      <c r="F9" s="134" t="s">
        <v>7481</v>
      </c>
      <c r="G9" s="135"/>
      <c r="H9" s="135"/>
    </row>
    <row r="10" spans="1:8" ht="13">
      <c r="A10" s="131" t="s">
        <v>244</v>
      </c>
      <c r="B10" s="131" t="s">
        <v>253</v>
      </c>
      <c r="C10" s="132" t="s">
        <v>7441</v>
      </c>
      <c r="D10" s="133" t="s">
        <v>7482</v>
      </c>
      <c r="E10" s="133" t="s">
        <v>7472</v>
      </c>
      <c r="F10" s="134" t="s">
        <v>7483</v>
      </c>
      <c r="G10" s="135"/>
      <c r="H10" s="135"/>
    </row>
    <row r="11" spans="1:8" ht="13">
      <c r="A11" s="131" t="s">
        <v>244</v>
      </c>
      <c r="B11" s="131" t="s">
        <v>251</v>
      </c>
      <c r="C11" s="132" t="s">
        <v>7484</v>
      </c>
      <c r="D11" s="133" t="s">
        <v>7485</v>
      </c>
      <c r="E11" s="133" t="s">
        <v>7486</v>
      </c>
      <c r="F11" s="134" t="s">
        <v>7487</v>
      </c>
      <c r="G11" s="135"/>
      <c r="H11" s="135"/>
    </row>
    <row r="12" spans="1:8" ht="39">
      <c r="A12" s="131" t="s">
        <v>244</v>
      </c>
      <c r="B12" s="131" t="s">
        <v>248</v>
      </c>
      <c r="C12" s="132" t="s">
        <v>7488</v>
      </c>
      <c r="D12" s="133" t="s">
        <v>7489</v>
      </c>
      <c r="E12" s="133" t="s">
        <v>7472</v>
      </c>
      <c r="F12" s="134" t="s">
        <v>7490</v>
      </c>
      <c r="G12" s="135"/>
      <c r="H12" s="135"/>
    </row>
    <row r="13" spans="1:8" ht="39">
      <c r="A13" s="131" t="s">
        <v>244</v>
      </c>
      <c r="B13" s="131" t="s">
        <v>7491</v>
      </c>
      <c r="C13" s="132" t="s">
        <v>7492</v>
      </c>
      <c r="D13" s="133" t="s">
        <v>7493</v>
      </c>
      <c r="E13" s="133" t="s">
        <v>7472</v>
      </c>
      <c r="F13" s="134" t="s">
        <v>7494</v>
      </c>
      <c r="G13" s="135"/>
      <c r="H13" s="135"/>
    </row>
    <row r="14" spans="1:8" ht="60.75" customHeight="1">
      <c r="A14" s="131" t="s">
        <v>244</v>
      </c>
      <c r="B14" s="131" t="s">
        <v>249</v>
      </c>
      <c r="C14" s="132" t="s">
        <v>7495</v>
      </c>
      <c r="D14" s="133" t="s">
        <v>7496</v>
      </c>
      <c r="E14" s="133" t="s">
        <v>250</v>
      </c>
      <c r="F14" s="134" t="s">
        <v>7601</v>
      </c>
      <c r="G14" s="135"/>
      <c r="H14" s="135"/>
    </row>
    <row r="15" spans="1:8" ht="26">
      <c r="A15" s="131" t="s">
        <v>244</v>
      </c>
      <c r="B15" s="131" t="s">
        <v>7602</v>
      </c>
      <c r="C15" s="132" t="s">
        <v>7497</v>
      </c>
      <c r="D15" s="133" t="s">
        <v>7498</v>
      </c>
      <c r="E15" s="133" t="s">
        <v>143</v>
      </c>
      <c r="F15" s="134" t="s">
        <v>7499</v>
      </c>
      <c r="G15" s="135"/>
      <c r="H15" s="135"/>
    </row>
    <row r="16" spans="1:8" ht="57.5">
      <c r="A16" s="131" t="s">
        <v>244</v>
      </c>
      <c r="B16" s="131" t="s">
        <v>7500</v>
      </c>
      <c r="C16" s="132" t="s">
        <v>7501</v>
      </c>
      <c r="D16" s="133" t="s">
        <v>7502</v>
      </c>
      <c r="E16" s="133" t="s">
        <v>7503</v>
      </c>
      <c r="F16" s="134" t="s">
        <v>7504</v>
      </c>
      <c r="G16" s="135"/>
      <c r="H16" s="136"/>
    </row>
    <row r="17" spans="1:8" ht="34.5">
      <c r="A17" s="131" t="s">
        <v>244</v>
      </c>
      <c r="B17" s="131" t="s">
        <v>7505</v>
      </c>
      <c r="C17" s="132" t="s">
        <v>7506</v>
      </c>
      <c r="D17" s="133" t="s">
        <v>7507</v>
      </c>
      <c r="E17" s="133" t="s">
        <v>7508</v>
      </c>
      <c r="F17" s="134" t="s">
        <v>7504</v>
      </c>
      <c r="G17" s="135"/>
      <c r="H17" s="135"/>
    </row>
    <row r="18" spans="1:8" ht="34.5">
      <c r="A18" s="131" t="s">
        <v>244</v>
      </c>
      <c r="B18" s="131" t="s">
        <v>7509</v>
      </c>
      <c r="C18" s="132" t="s">
        <v>7510</v>
      </c>
      <c r="D18" s="133" t="s">
        <v>7511</v>
      </c>
      <c r="E18" s="133" t="s">
        <v>7508</v>
      </c>
      <c r="F18" s="134" t="s">
        <v>7504</v>
      </c>
      <c r="G18" s="135"/>
      <c r="H18" s="135"/>
    </row>
    <row r="19" spans="1:8" ht="117">
      <c r="A19" s="142" t="s">
        <v>244</v>
      </c>
      <c r="B19" s="142" t="s">
        <v>7512</v>
      </c>
      <c r="C19" s="132" t="s">
        <v>7513</v>
      </c>
      <c r="D19" s="133" t="s">
        <v>7514</v>
      </c>
      <c r="E19" s="133" t="s">
        <v>7508</v>
      </c>
      <c r="F19" s="143" t="s">
        <v>7515</v>
      </c>
      <c r="G19" s="135"/>
      <c r="H19" s="135"/>
    </row>
    <row r="20" spans="1:8" ht="34.5">
      <c r="A20" s="131" t="s">
        <v>244</v>
      </c>
      <c r="B20" s="131" t="s">
        <v>7516</v>
      </c>
      <c r="C20" s="132" t="s">
        <v>7517</v>
      </c>
      <c r="D20" s="137" t="s">
        <v>7518</v>
      </c>
      <c r="E20" s="133" t="s">
        <v>7508</v>
      </c>
      <c r="F20" s="134" t="s">
        <v>7504</v>
      </c>
      <c r="G20" s="135"/>
      <c r="H20" s="135"/>
    </row>
    <row r="21" spans="1:8" ht="34.5">
      <c r="A21" s="131" t="s">
        <v>244</v>
      </c>
      <c r="B21" s="131" t="s">
        <v>7519</v>
      </c>
      <c r="C21" s="132" t="s">
        <v>7520</v>
      </c>
      <c r="D21" s="133" t="s">
        <v>7521</v>
      </c>
      <c r="E21" s="133" t="s">
        <v>7508</v>
      </c>
      <c r="F21" s="134" t="s">
        <v>7504</v>
      </c>
      <c r="G21" s="135"/>
      <c r="H21" s="135"/>
    </row>
    <row r="22" spans="1:8" ht="34.5">
      <c r="A22" s="131" t="s">
        <v>244</v>
      </c>
      <c r="B22" s="131" t="s">
        <v>7522</v>
      </c>
      <c r="C22" s="132" t="s">
        <v>7523</v>
      </c>
      <c r="D22" s="133" t="s">
        <v>7524</v>
      </c>
      <c r="E22" s="133" t="s">
        <v>7508</v>
      </c>
      <c r="F22" s="134" t="s">
        <v>7504</v>
      </c>
      <c r="G22" s="135"/>
      <c r="H22" s="135"/>
    </row>
    <row r="23" spans="1:8" ht="91">
      <c r="A23" s="131" t="s">
        <v>244</v>
      </c>
      <c r="B23" s="131" t="s">
        <v>7525</v>
      </c>
      <c r="C23" s="132" t="s">
        <v>7526</v>
      </c>
      <c r="D23" s="133" t="s">
        <v>7527</v>
      </c>
      <c r="E23" s="133" t="s">
        <v>7508</v>
      </c>
      <c r="F23" s="134" t="s">
        <v>7528</v>
      </c>
      <c r="G23" s="135"/>
      <c r="H23" s="135"/>
    </row>
    <row r="24" spans="1:8" ht="34.5">
      <c r="A24" s="131" t="s">
        <v>244</v>
      </c>
      <c r="B24" s="131" t="s">
        <v>7529</v>
      </c>
      <c r="C24" s="132" t="s">
        <v>7530</v>
      </c>
      <c r="D24" s="133" t="s">
        <v>7531</v>
      </c>
      <c r="E24" s="133" t="s">
        <v>7508</v>
      </c>
      <c r="F24" s="134" t="s">
        <v>7504</v>
      </c>
      <c r="G24" s="135"/>
      <c r="H24" s="136"/>
    </row>
    <row r="25" spans="1:8" ht="91">
      <c r="A25" s="131" t="s">
        <v>244</v>
      </c>
      <c r="B25" s="131" t="s">
        <v>7532</v>
      </c>
      <c r="C25" s="132" t="s">
        <v>7533</v>
      </c>
      <c r="D25" s="133" t="s">
        <v>7534</v>
      </c>
      <c r="E25" s="133" t="s">
        <v>7508</v>
      </c>
      <c r="F25" s="134" t="s">
        <v>7535</v>
      </c>
      <c r="G25" s="135"/>
      <c r="H25" s="136"/>
    </row>
    <row r="26" spans="1:8" ht="39">
      <c r="A26" s="131" t="s">
        <v>244</v>
      </c>
      <c r="B26" s="131" t="s">
        <v>7536</v>
      </c>
      <c r="C26" s="132" t="s">
        <v>7537</v>
      </c>
      <c r="D26" s="133" t="s">
        <v>7538</v>
      </c>
      <c r="E26" s="133" t="s">
        <v>247</v>
      </c>
      <c r="F26" s="134" t="s">
        <v>7539</v>
      </c>
      <c r="G26" s="135"/>
      <c r="H26" s="136"/>
    </row>
    <row r="27" spans="1:8" ht="13">
      <c r="A27" s="131" t="s">
        <v>244</v>
      </c>
      <c r="B27" s="131" t="s">
        <v>7540</v>
      </c>
      <c r="C27" s="132" t="s">
        <v>7541</v>
      </c>
      <c r="D27" s="133" t="s">
        <v>7542</v>
      </c>
      <c r="E27" s="133" t="s">
        <v>7543</v>
      </c>
      <c r="F27" s="134" t="s">
        <v>7544</v>
      </c>
      <c r="G27" s="135"/>
      <c r="H27" s="136"/>
    </row>
    <row r="28" spans="1:8" ht="13">
      <c r="A28" s="131" t="s">
        <v>244</v>
      </c>
      <c r="B28" s="131" t="s">
        <v>7545</v>
      </c>
      <c r="C28" s="132" t="s">
        <v>7546</v>
      </c>
      <c r="D28" s="133" t="s">
        <v>7547</v>
      </c>
      <c r="E28" s="133" t="s">
        <v>7543</v>
      </c>
      <c r="F28" s="134" t="s">
        <v>7544</v>
      </c>
      <c r="G28" s="135"/>
      <c r="H28" s="136"/>
    </row>
    <row r="29" spans="1:8" ht="13">
      <c r="A29" s="131" t="s">
        <v>244</v>
      </c>
      <c r="B29" s="131" t="s">
        <v>7548</v>
      </c>
      <c r="C29" s="132" t="s">
        <v>7549</v>
      </c>
      <c r="D29" s="133" t="s">
        <v>7550</v>
      </c>
      <c r="E29" s="133" t="s">
        <v>7543</v>
      </c>
      <c r="F29" s="134" t="s">
        <v>7544</v>
      </c>
      <c r="G29" s="135"/>
      <c r="H29" s="136"/>
    </row>
    <row r="30" spans="1:8" ht="13">
      <c r="A30" s="131" t="s">
        <v>244</v>
      </c>
      <c r="B30" s="131" t="s">
        <v>7551</v>
      </c>
      <c r="C30" s="132" t="s">
        <v>7552</v>
      </c>
      <c r="D30" s="133" t="s">
        <v>7553</v>
      </c>
      <c r="E30" s="133" t="s">
        <v>7543</v>
      </c>
      <c r="F30" s="134" t="s">
        <v>7544</v>
      </c>
      <c r="G30" s="135"/>
      <c r="H30" s="136"/>
    </row>
    <row r="31" spans="1:8" ht="13">
      <c r="A31" s="131" t="s">
        <v>244</v>
      </c>
      <c r="B31" s="131" t="s">
        <v>7554</v>
      </c>
      <c r="C31" s="132" t="s">
        <v>7555</v>
      </c>
      <c r="D31" s="133" t="s">
        <v>7556</v>
      </c>
      <c r="E31" s="133" t="s">
        <v>7543</v>
      </c>
      <c r="F31" s="134" t="s">
        <v>7544</v>
      </c>
      <c r="G31" s="135"/>
      <c r="H31" s="136"/>
    </row>
    <row r="32" spans="1:8" ht="13">
      <c r="A32" s="131" t="s">
        <v>244</v>
      </c>
      <c r="B32" s="131" t="s">
        <v>7557</v>
      </c>
      <c r="C32" s="132" t="s">
        <v>7558</v>
      </c>
      <c r="D32" s="133" t="s">
        <v>7559</v>
      </c>
      <c r="E32" s="133" t="s">
        <v>7543</v>
      </c>
      <c r="F32" s="134" t="s">
        <v>7544</v>
      </c>
      <c r="G32" s="135"/>
      <c r="H32" s="136"/>
    </row>
    <row r="33" spans="1:8" ht="23">
      <c r="A33" s="131" t="s">
        <v>244</v>
      </c>
      <c r="B33" s="131" t="s">
        <v>252</v>
      </c>
      <c r="C33" s="132" t="s">
        <v>7560</v>
      </c>
      <c r="D33" s="133" t="s">
        <v>7561</v>
      </c>
      <c r="E33" s="133" t="s">
        <v>7562</v>
      </c>
      <c r="F33" s="134" t="s">
        <v>7544</v>
      </c>
      <c r="G33" s="135"/>
      <c r="H33" s="136"/>
    </row>
    <row r="34" spans="1:8" ht="23">
      <c r="A34" s="131" t="s">
        <v>244</v>
      </c>
      <c r="B34" s="131" t="s">
        <v>7563</v>
      </c>
      <c r="C34" s="132" t="s">
        <v>7564</v>
      </c>
      <c r="D34" s="133" t="s">
        <v>7565</v>
      </c>
      <c r="E34" s="133" t="s">
        <v>7562</v>
      </c>
      <c r="F34" s="134" t="s">
        <v>7544</v>
      </c>
      <c r="G34" s="135"/>
      <c r="H34" s="136"/>
    </row>
    <row r="35" spans="1:8" ht="13">
      <c r="A35" s="131" t="s">
        <v>244</v>
      </c>
      <c r="B35" s="131" t="s">
        <v>7566</v>
      </c>
      <c r="C35" s="132" t="s">
        <v>7446</v>
      </c>
      <c r="D35" s="133" t="s">
        <v>7567</v>
      </c>
      <c r="E35" s="133" t="s">
        <v>7568</v>
      </c>
      <c r="F35" s="134" t="s">
        <v>7544</v>
      </c>
      <c r="G35" s="135"/>
      <c r="H35" s="136"/>
    </row>
    <row r="36" spans="1:8" ht="13">
      <c r="A36" s="131" t="s">
        <v>244</v>
      </c>
      <c r="B36" s="131" t="s">
        <v>7569</v>
      </c>
      <c r="C36" s="132" t="s">
        <v>7570</v>
      </c>
      <c r="D36" s="133" t="s">
        <v>7571</v>
      </c>
      <c r="E36" s="133" t="s">
        <v>247</v>
      </c>
      <c r="F36" s="134" t="s">
        <v>7544</v>
      </c>
      <c r="G36" s="135"/>
      <c r="H36" s="135"/>
    </row>
    <row r="37" spans="1:8" ht="23">
      <c r="A37" s="131" t="s">
        <v>244</v>
      </c>
      <c r="B37" s="131" t="s">
        <v>7572</v>
      </c>
      <c r="C37" s="132" t="s">
        <v>7573</v>
      </c>
      <c r="D37" s="133" t="s">
        <v>7574</v>
      </c>
      <c r="E37" s="133" t="s">
        <v>7562</v>
      </c>
      <c r="F37" s="134" t="s">
        <v>7544</v>
      </c>
      <c r="G37" s="135"/>
      <c r="H37" s="135"/>
    </row>
    <row r="38" spans="1:8" ht="13">
      <c r="A38" s="131" t="s">
        <v>244</v>
      </c>
      <c r="B38" s="131" t="s">
        <v>7575</v>
      </c>
      <c r="C38" s="132" t="s">
        <v>7576</v>
      </c>
      <c r="D38" s="133" t="s">
        <v>7577</v>
      </c>
      <c r="E38" s="133" t="s">
        <v>247</v>
      </c>
      <c r="F38" s="134" t="s">
        <v>7578</v>
      </c>
      <c r="G38" s="135"/>
      <c r="H38" s="135"/>
    </row>
    <row r="39" spans="1:8" ht="78">
      <c r="A39" s="131" t="s">
        <v>244</v>
      </c>
      <c r="B39" s="131" t="s">
        <v>7579</v>
      </c>
      <c r="C39" s="132" t="s">
        <v>7580</v>
      </c>
      <c r="D39" s="133" t="s">
        <v>7581</v>
      </c>
      <c r="E39" s="133" t="s">
        <v>247</v>
      </c>
      <c r="F39" s="134" t="s">
        <v>7582</v>
      </c>
      <c r="G39" s="135"/>
      <c r="H39" s="135"/>
    </row>
    <row r="40" spans="1:8" ht="65">
      <c r="A40" s="131" t="s">
        <v>244</v>
      </c>
      <c r="B40" s="131" t="s">
        <v>7583</v>
      </c>
      <c r="C40" s="132" t="s">
        <v>7445</v>
      </c>
      <c r="D40" s="133" t="s">
        <v>7584</v>
      </c>
      <c r="E40" s="133" t="s">
        <v>247</v>
      </c>
      <c r="F40" s="134" t="s">
        <v>7585</v>
      </c>
      <c r="G40" s="135"/>
      <c r="H40" s="135"/>
    </row>
    <row r="41" spans="1:8" ht="34.5">
      <c r="A41" s="131" t="s">
        <v>244</v>
      </c>
      <c r="B41" s="131" t="s">
        <v>7586</v>
      </c>
      <c r="C41" s="132" t="s">
        <v>7587</v>
      </c>
      <c r="D41" s="133" t="s">
        <v>7588</v>
      </c>
      <c r="E41" s="133" t="s">
        <v>7589</v>
      </c>
      <c r="F41" s="134" t="s">
        <v>7590</v>
      </c>
      <c r="G41" s="135"/>
      <c r="H41" s="135"/>
    </row>
    <row r="42" spans="1:8" ht="34.5">
      <c r="A42" s="131" t="s">
        <v>244</v>
      </c>
      <c r="B42" s="131" t="s">
        <v>7443</v>
      </c>
      <c r="C42" s="132" t="s">
        <v>7444</v>
      </c>
      <c r="D42" s="133" t="s">
        <v>7591</v>
      </c>
      <c r="E42" s="133" t="s">
        <v>7592</v>
      </c>
      <c r="F42" s="134" t="s">
        <v>7590</v>
      </c>
      <c r="G42" s="135"/>
      <c r="H42" s="135"/>
    </row>
    <row r="43" spans="1:8" ht="34.5">
      <c r="A43" s="131" t="s">
        <v>244</v>
      </c>
      <c r="B43" s="131" t="s">
        <v>7593</v>
      </c>
      <c r="C43" s="132" t="s">
        <v>7594</v>
      </c>
      <c r="D43" s="133" t="s">
        <v>7595</v>
      </c>
      <c r="E43" s="133" t="s">
        <v>7596</v>
      </c>
      <c r="F43" s="134" t="s">
        <v>7590</v>
      </c>
      <c r="G43" s="135"/>
      <c r="H43" s="135" t="s">
        <v>8045</v>
      </c>
    </row>
    <row r="44" spans="1:8" ht="117">
      <c r="A44" s="131" t="s">
        <v>244</v>
      </c>
      <c r="B44" s="131" t="s">
        <v>7597</v>
      </c>
      <c r="C44" s="132" t="s">
        <v>7598</v>
      </c>
      <c r="D44" s="133" t="s">
        <v>7599</v>
      </c>
      <c r="E44" s="133" t="s">
        <v>7457</v>
      </c>
      <c r="F44" s="134" t="s">
        <v>7600</v>
      </c>
      <c r="G44" s="144"/>
      <c r="H44" s="144"/>
    </row>
    <row r="45" spans="1:8">
      <c r="A45" s="145"/>
      <c r="B45" s="145"/>
      <c r="C45" s="146"/>
      <c r="D45" s="146"/>
      <c r="E45" s="146"/>
      <c r="F45" s="146"/>
    </row>
    <row r="48" spans="1:8" ht="25.5" customHeight="1"/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0"/>
  </sheetPr>
  <dimension ref="A1:E81"/>
  <sheetViews>
    <sheetView zoomScale="95" zoomScaleNormal="95" workbookViewId="0">
      <selection activeCell="D78" sqref="D78"/>
    </sheetView>
  </sheetViews>
  <sheetFormatPr baseColWidth="10" defaultColWidth="12.69921875" defaultRowHeight="12.5"/>
  <cols>
    <col min="1" max="1" width="21.8984375" style="101" customWidth="1"/>
    <col min="2" max="2" width="24.3984375" style="101" customWidth="1"/>
    <col min="3" max="3" width="26" style="101" customWidth="1"/>
    <col min="4" max="4" width="18.59765625" style="105" customWidth="1"/>
    <col min="5" max="5" width="12.09765625" style="101" bestFit="1" customWidth="1"/>
    <col min="6" max="16384" width="12.69921875" style="104"/>
  </cols>
  <sheetData>
    <row r="1" spans="1:5" s="76" customFormat="1" ht="13.5" thickBot="1">
      <c r="A1" s="94" t="s">
        <v>146</v>
      </c>
      <c r="B1" s="94" t="s">
        <v>147</v>
      </c>
      <c r="C1" s="94" t="s">
        <v>148</v>
      </c>
      <c r="D1" s="106" t="s">
        <v>149</v>
      </c>
      <c r="E1" s="94" t="s">
        <v>150</v>
      </c>
    </row>
    <row r="2" spans="1:5">
      <c r="A2" s="107" t="s">
        <v>255</v>
      </c>
      <c r="B2" s="101" t="s">
        <v>7804</v>
      </c>
      <c r="C2" s="103" t="s">
        <v>7804</v>
      </c>
      <c r="D2" s="108"/>
      <c r="E2" s="103" t="s">
        <v>7804</v>
      </c>
    </row>
    <row r="3" spans="1:5">
      <c r="A3" s="107" t="s">
        <v>255</v>
      </c>
      <c r="B3" s="101" t="s">
        <v>7805</v>
      </c>
      <c r="C3" s="101" t="s">
        <v>7805</v>
      </c>
      <c r="E3" s="101" t="s">
        <v>7805</v>
      </c>
    </row>
    <row r="4" spans="1:5">
      <c r="A4" s="107" t="s">
        <v>255</v>
      </c>
      <c r="B4" s="101" t="s">
        <v>7806</v>
      </c>
      <c r="C4" s="101" t="s">
        <v>7806</v>
      </c>
      <c r="E4" s="101" t="s">
        <v>7806</v>
      </c>
    </row>
    <row r="5" spans="1:5">
      <c r="A5" s="107" t="s">
        <v>255</v>
      </c>
      <c r="B5" s="101" t="s">
        <v>7807</v>
      </c>
      <c r="C5" s="101" t="s">
        <v>7807</v>
      </c>
      <c r="E5" s="101" t="s">
        <v>7807</v>
      </c>
    </row>
    <row r="6" spans="1:5">
      <c r="A6" s="107" t="s">
        <v>255</v>
      </c>
      <c r="B6" s="101" t="s">
        <v>7808</v>
      </c>
      <c r="C6" s="101" t="s">
        <v>7808</v>
      </c>
      <c r="E6" s="101" t="s">
        <v>7808</v>
      </c>
    </row>
    <row r="7" spans="1:5">
      <c r="A7" s="107" t="s">
        <v>255</v>
      </c>
      <c r="B7" s="101" t="s">
        <v>7809</v>
      </c>
      <c r="C7" s="101" t="s">
        <v>7809</v>
      </c>
      <c r="E7" s="101" t="s">
        <v>7809</v>
      </c>
    </row>
    <row r="8" spans="1:5">
      <c r="A8" s="107" t="s">
        <v>255</v>
      </c>
      <c r="B8" s="101" t="s">
        <v>7810</v>
      </c>
      <c r="C8" s="101" t="s">
        <v>7810</v>
      </c>
      <c r="E8" s="101" t="s">
        <v>7810</v>
      </c>
    </row>
    <row r="9" spans="1:5">
      <c r="A9" s="107" t="s">
        <v>255</v>
      </c>
      <c r="B9" s="101" t="s">
        <v>7811</v>
      </c>
      <c r="C9" s="101" t="s">
        <v>7811</v>
      </c>
      <c r="E9" s="101" t="s">
        <v>7811</v>
      </c>
    </row>
    <row r="10" spans="1:5">
      <c r="A10" s="107" t="s">
        <v>255</v>
      </c>
      <c r="B10" s="101" t="s">
        <v>7812</v>
      </c>
      <c r="C10" s="101" t="s">
        <v>7812</v>
      </c>
      <c r="E10" s="101" t="s">
        <v>7812</v>
      </c>
    </row>
    <row r="11" spans="1:5">
      <c r="A11" s="107" t="s">
        <v>255</v>
      </c>
      <c r="B11" s="101" t="s">
        <v>7813</v>
      </c>
      <c r="C11" s="101" t="s">
        <v>7813</v>
      </c>
      <c r="E11" s="101" t="s">
        <v>7813</v>
      </c>
    </row>
    <row r="12" spans="1:5">
      <c r="A12" s="107" t="s">
        <v>255</v>
      </c>
      <c r="B12" s="101" t="s">
        <v>7814</v>
      </c>
      <c r="C12" s="101" t="s">
        <v>7814</v>
      </c>
      <c r="E12" s="101" t="s">
        <v>7814</v>
      </c>
    </row>
    <row r="13" spans="1:5">
      <c r="A13" s="107" t="s">
        <v>255</v>
      </c>
      <c r="B13" s="101" t="s">
        <v>7815</v>
      </c>
      <c r="C13" s="101" t="s">
        <v>7815</v>
      </c>
      <c r="E13" s="101" t="s">
        <v>7815</v>
      </c>
    </row>
    <row r="14" spans="1:5">
      <c r="A14" s="107" t="s">
        <v>255</v>
      </c>
      <c r="B14" s="101" t="s">
        <v>7816</v>
      </c>
      <c r="C14" s="101" t="s">
        <v>7816</v>
      </c>
      <c r="E14" s="101" t="s">
        <v>7816</v>
      </c>
    </row>
    <row r="15" spans="1:5">
      <c r="A15" s="107" t="s">
        <v>255</v>
      </c>
      <c r="B15" s="101" t="s">
        <v>7817</v>
      </c>
      <c r="C15" s="101" t="s">
        <v>7817</v>
      </c>
      <c r="E15" s="101" t="s">
        <v>7817</v>
      </c>
    </row>
    <row r="16" spans="1:5">
      <c r="A16" s="107" t="s">
        <v>255</v>
      </c>
      <c r="B16" s="101" t="s">
        <v>7818</v>
      </c>
      <c r="C16" s="101" t="s">
        <v>7818</v>
      </c>
      <c r="E16" s="101" t="s">
        <v>7818</v>
      </c>
    </row>
    <row r="17" spans="1:5">
      <c r="A17" s="107" t="s">
        <v>255</v>
      </c>
      <c r="B17" s="101" t="s">
        <v>7819</v>
      </c>
      <c r="C17" s="101" t="s">
        <v>7819</v>
      </c>
      <c r="E17" s="101" t="s">
        <v>7819</v>
      </c>
    </row>
    <row r="18" spans="1:5">
      <c r="A18" s="107" t="s">
        <v>255</v>
      </c>
      <c r="B18" s="101" t="s">
        <v>7820</v>
      </c>
      <c r="C18" s="101" t="s">
        <v>7820</v>
      </c>
      <c r="E18" s="101" t="s">
        <v>7820</v>
      </c>
    </row>
    <row r="19" spans="1:5">
      <c r="A19" s="107" t="s">
        <v>255</v>
      </c>
      <c r="B19" s="101" t="s">
        <v>7821</v>
      </c>
      <c r="C19" s="101" t="s">
        <v>7821</v>
      </c>
      <c r="E19" s="101" t="s">
        <v>7821</v>
      </c>
    </row>
    <row r="20" spans="1:5">
      <c r="A20" s="107" t="s">
        <v>255</v>
      </c>
      <c r="B20" s="101" t="s">
        <v>7822</v>
      </c>
      <c r="C20" s="101" t="s">
        <v>7822</v>
      </c>
      <c r="E20" s="101" t="s">
        <v>7822</v>
      </c>
    </row>
    <row r="21" spans="1:5">
      <c r="A21" s="107" t="s">
        <v>255</v>
      </c>
      <c r="B21" s="101" t="s">
        <v>7823</v>
      </c>
      <c r="C21" s="101" t="s">
        <v>7823</v>
      </c>
      <c r="E21" s="101" t="s">
        <v>7823</v>
      </c>
    </row>
    <row r="22" spans="1:5">
      <c r="A22" s="107" t="s">
        <v>255</v>
      </c>
      <c r="B22" s="101" t="s">
        <v>7824</v>
      </c>
      <c r="C22" s="101" t="s">
        <v>7824</v>
      </c>
      <c r="E22" s="101" t="s">
        <v>7824</v>
      </c>
    </row>
    <row r="23" spans="1:5">
      <c r="A23" s="107" t="s">
        <v>255</v>
      </c>
      <c r="B23" s="101" t="s">
        <v>7825</v>
      </c>
      <c r="C23" s="101" t="s">
        <v>7825</v>
      </c>
      <c r="E23" s="101" t="s">
        <v>7825</v>
      </c>
    </row>
    <row r="24" spans="1:5">
      <c r="A24" s="107" t="s">
        <v>255</v>
      </c>
      <c r="B24" s="101" t="s">
        <v>7826</v>
      </c>
      <c r="C24" s="101" t="s">
        <v>7826</v>
      </c>
      <c r="E24" s="101" t="s">
        <v>7826</v>
      </c>
    </row>
    <row r="25" spans="1:5">
      <c r="A25" s="107" t="s">
        <v>255</v>
      </c>
      <c r="B25" s="101" t="s">
        <v>7827</v>
      </c>
      <c r="C25" s="101" t="s">
        <v>7827</v>
      </c>
      <c r="E25" s="101" t="s">
        <v>7827</v>
      </c>
    </row>
    <row r="26" spans="1:5">
      <c r="A26" s="107" t="s">
        <v>255</v>
      </c>
      <c r="B26" s="101" t="s">
        <v>7828</v>
      </c>
      <c r="C26" s="101" t="s">
        <v>7828</v>
      </c>
      <c r="E26" s="101" t="s">
        <v>7828</v>
      </c>
    </row>
    <row r="27" spans="1:5">
      <c r="A27" s="107" t="s">
        <v>255</v>
      </c>
      <c r="B27" s="101" t="s">
        <v>7829</v>
      </c>
      <c r="C27" s="101" t="s">
        <v>7829</v>
      </c>
      <c r="E27" s="101" t="s">
        <v>7829</v>
      </c>
    </row>
    <row r="28" spans="1:5">
      <c r="A28" s="107" t="s">
        <v>255</v>
      </c>
      <c r="B28" s="101" t="s">
        <v>7830</v>
      </c>
      <c r="C28" s="101" t="s">
        <v>7830</v>
      </c>
      <c r="E28" s="101" t="s">
        <v>7830</v>
      </c>
    </row>
    <row r="29" spans="1:5">
      <c r="A29" s="107" t="s">
        <v>255</v>
      </c>
      <c r="B29" s="101" t="s">
        <v>7831</v>
      </c>
      <c r="C29" s="101" t="s">
        <v>7831</v>
      </c>
      <c r="E29" s="101" t="s">
        <v>7831</v>
      </c>
    </row>
    <row r="30" spans="1:5">
      <c r="A30" s="107" t="s">
        <v>255</v>
      </c>
      <c r="B30" s="101" t="s">
        <v>7832</v>
      </c>
      <c r="C30" s="101" t="s">
        <v>7832</v>
      </c>
      <c r="E30" s="101" t="s">
        <v>7832</v>
      </c>
    </row>
    <row r="31" spans="1:5">
      <c r="A31" s="107" t="s">
        <v>255</v>
      </c>
      <c r="B31" s="101" t="s">
        <v>7833</v>
      </c>
      <c r="C31" s="101" t="s">
        <v>7833</v>
      </c>
      <c r="E31" s="101" t="s">
        <v>7833</v>
      </c>
    </row>
    <row r="32" spans="1:5">
      <c r="A32" s="107" t="s">
        <v>255</v>
      </c>
      <c r="B32" s="101" t="s">
        <v>7834</v>
      </c>
      <c r="C32" s="101" t="s">
        <v>7834</v>
      </c>
      <c r="E32" s="101" t="s">
        <v>7834</v>
      </c>
    </row>
    <row r="33" spans="1:5">
      <c r="A33" s="107" t="s">
        <v>255</v>
      </c>
      <c r="B33" s="101" t="s">
        <v>7835</v>
      </c>
      <c r="C33" s="101" t="s">
        <v>7835</v>
      </c>
      <c r="E33" s="101" t="s">
        <v>7835</v>
      </c>
    </row>
    <row r="34" spans="1:5">
      <c r="A34" s="107" t="s">
        <v>255</v>
      </c>
      <c r="B34" s="101" t="s">
        <v>7836</v>
      </c>
      <c r="C34" s="101" t="s">
        <v>7836</v>
      </c>
      <c r="E34" s="101" t="s">
        <v>7836</v>
      </c>
    </row>
    <row r="35" spans="1:5">
      <c r="A35" s="107" t="s">
        <v>255</v>
      </c>
      <c r="B35" s="101" t="s">
        <v>7837</v>
      </c>
      <c r="C35" s="101" t="s">
        <v>7837</v>
      </c>
      <c r="E35" s="101" t="s">
        <v>7837</v>
      </c>
    </row>
    <row r="36" spans="1:5">
      <c r="A36" s="107" t="s">
        <v>255</v>
      </c>
      <c r="B36" s="101" t="s">
        <v>7838</v>
      </c>
      <c r="C36" s="101" t="s">
        <v>7838</v>
      </c>
      <c r="E36" s="101" t="s">
        <v>7838</v>
      </c>
    </row>
    <row r="37" spans="1:5">
      <c r="A37" s="107" t="s">
        <v>255</v>
      </c>
      <c r="B37" s="101" t="s">
        <v>7839</v>
      </c>
      <c r="C37" s="101" t="s">
        <v>7839</v>
      </c>
      <c r="E37" s="101" t="s">
        <v>7839</v>
      </c>
    </row>
    <row r="38" spans="1:5">
      <c r="A38" s="107" t="s">
        <v>255</v>
      </c>
      <c r="B38" s="101" t="s">
        <v>7840</v>
      </c>
      <c r="C38" s="101" t="s">
        <v>7840</v>
      </c>
      <c r="E38" s="101" t="s">
        <v>7840</v>
      </c>
    </row>
    <row r="39" spans="1:5">
      <c r="A39" s="107" t="s">
        <v>255</v>
      </c>
      <c r="B39" s="101" t="s">
        <v>7841</v>
      </c>
      <c r="C39" s="101" t="s">
        <v>7841</v>
      </c>
      <c r="E39" s="101" t="s">
        <v>7841</v>
      </c>
    </row>
    <row r="40" spans="1:5">
      <c r="A40" s="107" t="s">
        <v>255</v>
      </c>
      <c r="B40" s="101" t="s">
        <v>7842</v>
      </c>
      <c r="C40" s="101" t="s">
        <v>7842</v>
      </c>
      <c r="E40" s="101" t="s">
        <v>7842</v>
      </c>
    </row>
    <row r="41" spans="1:5">
      <c r="A41" s="107" t="s">
        <v>255</v>
      </c>
      <c r="B41" s="101" t="s">
        <v>7843</v>
      </c>
      <c r="C41" s="101" t="s">
        <v>7843</v>
      </c>
      <c r="E41" s="101" t="s">
        <v>7843</v>
      </c>
    </row>
    <row r="42" spans="1:5">
      <c r="A42" s="107" t="s">
        <v>255</v>
      </c>
      <c r="B42" s="101" t="s">
        <v>7844</v>
      </c>
      <c r="C42" s="101" t="s">
        <v>7844</v>
      </c>
      <c r="E42" s="101" t="s">
        <v>7844</v>
      </c>
    </row>
    <row r="43" spans="1:5">
      <c r="A43" s="107" t="s">
        <v>255</v>
      </c>
      <c r="B43" s="101" t="s">
        <v>7845</v>
      </c>
      <c r="C43" s="101" t="s">
        <v>7845</v>
      </c>
      <c r="E43" s="101" t="s">
        <v>7845</v>
      </c>
    </row>
    <row r="44" spans="1:5">
      <c r="A44" s="107" t="s">
        <v>255</v>
      </c>
      <c r="B44" s="101" t="s">
        <v>7846</v>
      </c>
      <c r="C44" s="101" t="s">
        <v>7846</v>
      </c>
      <c r="E44" s="101" t="s">
        <v>7846</v>
      </c>
    </row>
    <row r="45" spans="1:5">
      <c r="A45" s="107" t="s">
        <v>255</v>
      </c>
      <c r="B45" s="101" t="s">
        <v>7847</v>
      </c>
      <c r="C45" s="101" t="s">
        <v>7847</v>
      </c>
      <c r="E45" s="101" t="s">
        <v>7847</v>
      </c>
    </row>
    <row r="46" spans="1:5">
      <c r="A46" s="107" t="s">
        <v>255</v>
      </c>
      <c r="B46" s="101" t="s">
        <v>7848</v>
      </c>
      <c r="C46" s="101" t="s">
        <v>7848</v>
      </c>
      <c r="E46" s="101" t="s">
        <v>7848</v>
      </c>
    </row>
    <row r="47" spans="1:5">
      <c r="A47" s="107" t="s">
        <v>255</v>
      </c>
      <c r="B47" s="101" t="s">
        <v>7849</v>
      </c>
      <c r="C47" s="101" t="s">
        <v>7849</v>
      </c>
      <c r="E47" s="101" t="s">
        <v>7849</v>
      </c>
    </row>
    <row r="48" spans="1:5">
      <c r="A48" s="107" t="s">
        <v>255</v>
      </c>
      <c r="B48" s="101" t="s">
        <v>7850</v>
      </c>
      <c r="C48" s="101" t="s">
        <v>7850</v>
      </c>
      <c r="E48" s="101" t="s">
        <v>7850</v>
      </c>
    </row>
    <row r="49" spans="1:5">
      <c r="A49" s="107" t="s">
        <v>255</v>
      </c>
      <c r="B49" s="101" t="s">
        <v>7851</v>
      </c>
      <c r="C49" s="101" t="s">
        <v>7851</v>
      </c>
      <c r="E49" s="101" t="s">
        <v>7851</v>
      </c>
    </row>
    <row r="50" spans="1:5">
      <c r="A50" s="107" t="s">
        <v>255</v>
      </c>
      <c r="B50" s="101" t="s">
        <v>7852</v>
      </c>
      <c r="C50" s="101" t="s">
        <v>7852</v>
      </c>
      <c r="E50" s="101" t="s">
        <v>7852</v>
      </c>
    </row>
    <row r="51" spans="1:5">
      <c r="A51" s="107" t="s">
        <v>255</v>
      </c>
      <c r="B51" s="101" t="s">
        <v>7853</v>
      </c>
      <c r="C51" s="101" t="s">
        <v>7853</v>
      </c>
      <c r="E51" s="101" t="s">
        <v>7853</v>
      </c>
    </row>
    <row r="52" spans="1:5">
      <c r="A52" s="107" t="s">
        <v>255</v>
      </c>
      <c r="B52" s="101" t="s">
        <v>7854</v>
      </c>
      <c r="C52" s="101" t="s">
        <v>7854</v>
      </c>
      <c r="E52" s="101" t="s">
        <v>7854</v>
      </c>
    </row>
    <row r="53" spans="1:5">
      <c r="A53" s="107" t="s">
        <v>255</v>
      </c>
      <c r="B53" s="101" t="s">
        <v>7855</v>
      </c>
      <c r="C53" s="101" t="s">
        <v>7855</v>
      </c>
      <c r="E53" s="101" t="s">
        <v>7855</v>
      </c>
    </row>
    <row r="54" spans="1:5">
      <c r="A54" s="107" t="s">
        <v>255</v>
      </c>
      <c r="B54" s="101" t="s">
        <v>7856</v>
      </c>
      <c r="C54" s="101" t="s">
        <v>7856</v>
      </c>
      <c r="E54" s="101" t="s">
        <v>7856</v>
      </c>
    </row>
    <row r="55" spans="1:5">
      <c r="A55" s="107" t="s">
        <v>255</v>
      </c>
      <c r="B55" s="101" t="s">
        <v>7857</v>
      </c>
      <c r="C55" s="101" t="s">
        <v>7857</v>
      </c>
      <c r="E55" s="101" t="s">
        <v>7857</v>
      </c>
    </row>
    <row r="56" spans="1:5">
      <c r="A56" s="107" t="s">
        <v>255</v>
      </c>
      <c r="B56" s="101" t="s">
        <v>7858</v>
      </c>
      <c r="C56" s="101" t="s">
        <v>7858</v>
      </c>
      <c r="E56" s="101" t="s">
        <v>7858</v>
      </c>
    </row>
    <row r="57" spans="1:5">
      <c r="A57" s="107" t="s">
        <v>255</v>
      </c>
      <c r="B57" s="101" t="s">
        <v>7859</v>
      </c>
      <c r="C57" s="101" t="s">
        <v>7859</v>
      </c>
      <c r="E57" s="101" t="s">
        <v>7859</v>
      </c>
    </row>
    <row r="58" spans="1:5">
      <c r="A58" s="107" t="s">
        <v>255</v>
      </c>
      <c r="B58" s="101" t="s">
        <v>7860</v>
      </c>
      <c r="C58" s="101" t="s">
        <v>7860</v>
      </c>
      <c r="E58" s="101" t="s">
        <v>7860</v>
      </c>
    </row>
    <row r="59" spans="1:5">
      <c r="A59" s="107" t="s">
        <v>255</v>
      </c>
      <c r="B59" s="101" t="s">
        <v>7861</v>
      </c>
      <c r="C59" s="101" t="s">
        <v>7861</v>
      </c>
      <c r="E59" s="101" t="s">
        <v>7861</v>
      </c>
    </row>
    <row r="60" spans="1:5">
      <c r="A60" s="107" t="s">
        <v>255</v>
      </c>
      <c r="B60" s="101" t="s">
        <v>7862</v>
      </c>
      <c r="C60" s="101" t="s">
        <v>7862</v>
      </c>
      <c r="E60" s="101" t="s">
        <v>7862</v>
      </c>
    </row>
    <row r="61" spans="1:5">
      <c r="A61" s="107" t="s">
        <v>255</v>
      </c>
      <c r="B61" s="101" t="s">
        <v>7863</v>
      </c>
      <c r="C61" s="101" t="s">
        <v>7863</v>
      </c>
      <c r="E61" s="101" t="s">
        <v>7863</v>
      </c>
    </row>
    <row r="62" spans="1:5">
      <c r="A62" s="107" t="s">
        <v>255</v>
      </c>
      <c r="B62" s="101" t="s">
        <v>7864</v>
      </c>
      <c r="C62" s="101" t="s">
        <v>7864</v>
      </c>
      <c r="E62" s="101" t="s">
        <v>7864</v>
      </c>
    </row>
    <row r="63" spans="1:5">
      <c r="A63" s="107" t="s">
        <v>255</v>
      </c>
      <c r="B63" s="101" t="s">
        <v>7865</v>
      </c>
      <c r="C63" s="101" t="s">
        <v>7865</v>
      </c>
      <c r="E63" s="101" t="s">
        <v>7865</v>
      </c>
    </row>
    <row r="64" spans="1:5">
      <c r="A64" s="107" t="s">
        <v>255</v>
      </c>
      <c r="B64" s="101" t="s">
        <v>7866</v>
      </c>
      <c r="C64" s="101" t="s">
        <v>7866</v>
      </c>
      <c r="E64" s="101" t="s">
        <v>7866</v>
      </c>
    </row>
    <row r="65" spans="1:5">
      <c r="A65" s="107" t="s">
        <v>255</v>
      </c>
      <c r="B65" s="101" t="s">
        <v>7867</v>
      </c>
      <c r="C65" s="101" t="s">
        <v>7867</v>
      </c>
      <c r="E65" s="101" t="s">
        <v>7867</v>
      </c>
    </row>
    <row r="66" spans="1:5">
      <c r="A66" s="107" t="s">
        <v>255</v>
      </c>
      <c r="B66" s="101" t="s">
        <v>7868</v>
      </c>
      <c r="C66" s="101" t="s">
        <v>7868</v>
      </c>
      <c r="E66" s="101" t="s">
        <v>7868</v>
      </c>
    </row>
    <row r="67" spans="1:5">
      <c r="A67" s="107" t="s">
        <v>255</v>
      </c>
      <c r="B67" s="101" t="s">
        <v>7869</v>
      </c>
      <c r="C67" s="101" t="s">
        <v>7869</v>
      </c>
      <c r="E67" s="101" t="s">
        <v>7869</v>
      </c>
    </row>
    <row r="68" spans="1:5">
      <c r="A68" s="107" t="s">
        <v>255</v>
      </c>
      <c r="B68" s="101" t="s">
        <v>7870</v>
      </c>
      <c r="C68" s="101" t="s">
        <v>7870</v>
      </c>
      <c r="E68" s="101" t="s">
        <v>7870</v>
      </c>
    </row>
    <row r="69" spans="1:5">
      <c r="A69" s="107" t="s">
        <v>255</v>
      </c>
      <c r="B69" s="101" t="s">
        <v>7871</v>
      </c>
      <c r="C69" s="101" t="s">
        <v>7871</v>
      </c>
      <c r="E69" s="101" t="s">
        <v>7871</v>
      </c>
    </row>
    <row r="70" spans="1:5">
      <c r="A70" s="107" t="s">
        <v>255</v>
      </c>
      <c r="B70" s="101" t="s">
        <v>7872</v>
      </c>
      <c r="C70" s="101" t="s">
        <v>7872</v>
      </c>
      <c r="E70" s="101" t="s">
        <v>7872</v>
      </c>
    </row>
    <row r="71" spans="1:5">
      <c r="A71" s="107" t="s">
        <v>255</v>
      </c>
      <c r="B71" s="101" t="s">
        <v>7873</v>
      </c>
      <c r="C71" s="101" t="s">
        <v>7873</v>
      </c>
      <c r="E71" s="101" t="s">
        <v>7873</v>
      </c>
    </row>
    <row r="72" spans="1:5">
      <c r="A72" s="107" t="s">
        <v>255</v>
      </c>
      <c r="B72" s="101" t="s">
        <v>7874</v>
      </c>
      <c r="C72" s="101" t="s">
        <v>7874</v>
      </c>
      <c r="E72" s="101" t="s">
        <v>7874</v>
      </c>
    </row>
    <row r="73" spans="1:5">
      <c r="A73" s="107" t="s">
        <v>255</v>
      </c>
      <c r="B73" s="101" t="s">
        <v>7875</v>
      </c>
      <c r="C73" s="101" t="s">
        <v>7875</v>
      </c>
      <c r="E73" s="101" t="s">
        <v>7875</v>
      </c>
    </row>
    <row r="74" spans="1:5">
      <c r="A74" s="107" t="s">
        <v>255</v>
      </c>
      <c r="B74" s="101" t="s">
        <v>7876</v>
      </c>
      <c r="C74" s="101" t="s">
        <v>7876</v>
      </c>
      <c r="E74" s="101" t="s">
        <v>7876</v>
      </c>
    </row>
    <row r="75" spans="1:5">
      <c r="A75" s="107" t="s">
        <v>255</v>
      </c>
      <c r="B75" s="101" t="s">
        <v>7877</v>
      </c>
      <c r="C75" s="101" t="s">
        <v>7877</v>
      </c>
      <c r="E75" s="101" t="s">
        <v>7877</v>
      </c>
    </row>
    <row r="76" spans="1:5">
      <c r="A76" s="107" t="s">
        <v>255</v>
      </c>
      <c r="B76" s="101" t="s">
        <v>7878</v>
      </c>
      <c r="C76" s="101" t="s">
        <v>7878</v>
      </c>
      <c r="E76" s="101" t="s">
        <v>7878</v>
      </c>
    </row>
    <row r="77" spans="1:5">
      <c r="A77" s="107" t="s">
        <v>255</v>
      </c>
      <c r="B77" s="101" t="s">
        <v>7879</v>
      </c>
      <c r="C77" s="101" t="s">
        <v>7879</v>
      </c>
      <c r="E77" s="101" t="s">
        <v>7879</v>
      </c>
    </row>
    <row r="78" spans="1:5">
      <c r="A78" s="107" t="s">
        <v>255</v>
      </c>
      <c r="B78" s="101" t="s">
        <v>7880</v>
      </c>
      <c r="C78" s="101" t="s">
        <v>7880</v>
      </c>
      <c r="E78" s="101" t="s">
        <v>7880</v>
      </c>
    </row>
    <row r="79" spans="1:5">
      <c r="A79" s="107" t="s">
        <v>255</v>
      </c>
      <c r="B79" s="101" t="s">
        <v>7881</v>
      </c>
      <c r="C79" s="101" t="s">
        <v>7881</v>
      </c>
      <c r="E79" s="101" t="s">
        <v>7881</v>
      </c>
    </row>
    <row r="80" spans="1:5">
      <c r="A80" s="107" t="s">
        <v>255</v>
      </c>
      <c r="B80" s="101" t="s">
        <v>7447</v>
      </c>
      <c r="C80" s="101" t="s">
        <v>7882</v>
      </c>
      <c r="E80" s="101" t="s">
        <v>7447</v>
      </c>
    </row>
    <row r="81" spans="1:5">
      <c r="A81" s="107" t="s">
        <v>255</v>
      </c>
      <c r="B81" s="101" t="s">
        <v>7448</v>
      </c>
      <c r="C81" s="101" t="s">
        <v>7883</v>
      </c>
      <c r="E81" s="101" t="s">
        <v>7448</v>
      </c>
    </row>
  </sheetData>
  <sheetProtection selectLockedCells="1" selectUnlockedCells="1"/>
  <dataValidations count="2">
    <dataValidation type="list" allowBlank="1" showErrorMessage="1" sqref="D2:D17" xr:uid="{00000000-0002-0000-0500-000000000000}">
      <formula1>HoldingInstitution</formula1>
      <formula2>0</formula2>
    </dataValidation>
    <dataValidation type="list" allowBlank="1" showErrorMessage="1" sqref="A2:A81" xr:uid="{00000000-0002-0000-0500-000001000000}">
      <formula1>TaxonScientificName</formula1>
      <formula2>0</formula2>
    </dataValidation>
  </dataValidation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9"/>
  </sheetPr>
  <dimension ref="A1:J6"/>
  <sheetViews>
    <sheetView zoomScale="89" zoomScaleNormal="89" workbookViewId="0">
      <selection activeCell="D4" sqref="D4"/>
    </sheetView>
  </sheetViews>
  <sheetFormatPr baseColWidth="10" defaultColWidth="10.69921875" defaultRowHeight="12.5"/>
  <cols>
    <col min="1" max="1" width="7.3984375" style="101" customWidth="1"/>
    <col min="2" max="2" width="11.69921875" style="101" customWidth="1"/>
    <col min="3" max="3" width="12.8984375" style="101" bestFit="1" customWidth="1"/>
    <col min="4" max="4" width="23.59765625" style="92" bestFit="1" customWidth="1"/>
    <col min="9" max="9" width="58.3984375" bestFit="1" customWidth="1"/>
  </cols>
  <sheetData>
    <row r="1" spans="1:10" ht="13">
      <c r="A1" s="94" t="s">
        <v>163</v>
      </c>
      <c r="B1" s="94" t="s">
        <v>164</v>
      </c>
      <c r="C1" s="94" t="s">
        <v>165</v>
      </c>
      <c r="D1" s="95" t="s">
        <v>166</v>
      </c>
      <c r="G1" s="158"/>
      <c r="H1" s="158"/>
      <c r="I1" s="149"/>
      <c r="J1" s="158"/>
    </row>
    <row r="2" spans="1:10">
      <c r="A2" s="103" t="s">
        <v>256</v>
      </c>
      <c r="B2" s="103" t="s">
        <v>257</v>
      </c>
      <c r="C2" s="103" t="s">
        <v>258</v>
      </c>
      <c r="D2" s="92" t="s">
        <v>8046</v>
      </c>
      <c r="J2" s="159"/>
    </row>
    <row r="3" spans="1:10">
      <c r="A3" s="101" t="s">
        <v>256</v>
      </c>
      <c r="B3" s="101" t="s">
        <v>259</v>
      </c>
      <c r="C3" s="101" t="s">
        <v>260</v>
      </c>
      <c r="D3" s="92" t="s">
        <v>8047</v>
      </c>
      <c r="J3" s="159"/>
    </row>
    <row r="4" spans="1:10">
      <c r="J4" s="159"/>
    </row>
    <row r="5" spans="1:10">
      <c r="G5" s="114"/>
      <c r="H5" s="114"/>
      <c r="J5" s="159"/>
    </row>
    <row r="6" spans="1:10">
      <c r="G6" s="158"/>
      <c r="H6" s="158"/>
      <c r="I6" s="149"/>
      <c r="J6" s="15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9"/>
  </sheetPr>
  <dimension ref="A1:D4"/>
  <sheetViews>
    <sheetView zoomScale="95" zoomScaleNormal="95" workbookViewId="0">
      <selection activeCell="B5" sqref="B5"/>
    </sheetView>
  </sheetViews>
  <sheetFormatPr baseColWidth="10" defaultColWidth="12.8984375" defaultRowHeight="12.5"/>
  <cols>
    <col min="1" max="1" width="13.296875" style="101" customWidth="1"/>
    <col min="2" max="2" width="13.69921875" style="92" customWidth="1"/>
    <col min="3" max="3" width="12.3984375" style="92" customWidth="1"/>
    <col min="4" max="4" width="13" style="92" customWidth="1"/>
  </cols>
  <sheetData>
    <row r="1" spans="1:4" ht="13">
      <c r="A1" s="94" t="s">
        <v>178</v>
      </c>
      <c r="B1" s="95" t="s">
        <v>179</v>
      </c>
      <c r="C1" s="95" t="s">
        <v>29</v>
      </c>
      <c r="D1" s="95" t="s">
        <v>180</v>
      </c>
    </row>
    <row r="2" spans="1:4">
      <c r="A2" s="103" t="s">
        <v>261</v>
      </c>
      <c r="B2" s="92" t="s">
        <v>261</v>
      </c>
    </row>
    <row r="3" spans="1:4">
      <c r="A3" s="109" t="s">
        <v>262</v>
      </c>
      <c r="B3" s="110" t="s">
        <v>263</v>
      </c>
      <c r="D3" s="92" t="s">
        <v>261</v>
      </c>
    </row>
    <row r="4" spans="1:4">
      <c r="A4" s="101" t="s">
        <v>7672</v>
      </c>
      <c r="B4" s="92" t="s">
        <v>7673</v>
      </c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9"/>
  </sheetPr>
  <dimension ref="A1:CM505"/>
  <sheetViews>
    <sheetView tabSelected="1" zoomScale="95" zoomScaleNormal="95" workbookViewId="0">
      <pane xSplit="8" ySplit="1" topLeftCell="W2" activePane="bottomRight" state="frozen"/>
      <selection pane="topRight" activeCell="I1" sqref="I1"/>
      <selection pane="bottomLeft" activeCell="A2" sqref="A2"/>
      <selection pane="bottomRight" activeCell="CK3" sqref="CK3"/>
    </sheetView>
  </sheetViews>
  <sheetFormatPr baseColWidth="10" defaultColWidth="11.296875" defaultRowHeight="12.5"/>
  <cols>
    <col min="1" max="1" width="12.09765625" style="126" bestFit="1" customWidth="1"/>
    <col min="2" max="2" width="8.09765625" bestFit="1" customWidth="1"/>
    <col min="3" max="3" width="5.296875" bestFit="1" customWidth="1"/>
    <col min="4" max="4" width="9" bestFit="1" customWidth="1"/>
    <col min="5" max="5" width="7.09765625" style="93" bestFit="1" customWidth="1"/>
    <col min="6" max="6" width="7" style="93" bestFit="1" customWidth="1"/>
    <col min="7" max="7" width="5.3984375" style="93" bestFit="1" customWidth="1"/>
    <col min="8" max="8" width="5.296875" style="93" bestFit="1" customWidth="1"/>
    <col min="9" max="9" width="18.09765625" style="92" bestFit="1" customWidth="1"/>
    <col min="10" max="10" width="17.59765625" style="92" bestFit="1" customWidth="1"/>
    <col min="11" max="11" width="17.296875" style="92" bestFit="1" customWidth="1"/>
    <col min="12" max="12" width="16.69921875" bestFit="1" customWidth="1"/>
    <col min="13" max="13" width="20.8984375" style="111" bestFit="1" customWidth="1"/>
    <col min="14" max="14" width="20.296875" style="111" bestFit="1" customWidth="1"/>
    <col min="15" max="15" width="12.09765625" style="111" bestFit="1" customWidth="1"/>
    <col min="16" max="16" width="7.69921875" style="125" bestFit="1" customWidth="1"/>
    <col min="17" max="17" width="9.59765625" style="125" bestFit="1" customWidth="1"/>
    <col min="18" max="18" width="9" style="125" bestFit="1" customWidth="1"/>
    <col min="19" max="19" width="9.296875" style="125" bestFit="1" customWidth="1"/>
    <col min="20" max="20" width="11.09765625" style="125" bestFit="1" customWidth="1"/>
    <col min="21" max="21" width="16.8984375" style="111" bestFit="1" customWidth="1"/>
    <col min="22" max="22" width="16.296875" style="111" bestFit="1" customWidth="1"/>
    <col min="23" max="23" width="16" style="125" bestFit="1" customWidth="1"/>
    <col min="24" max="24" width="15.296875" style="125" bestFit="1" customWidth="1"/>
    <col min="25" max="25" width="9.69921875" style="111" bestFit="1" customWidth="1"/>
    <col min="26" max="26" width="9.09765625" style="111" bestFit="1" customWidth="1"/>
    <col min="27" max="27" width="12.296875" style="125" bestFit="1" customWidth="1"/>
    <col min="28" max="28" width="11" style="125" bestFit="1" customWidth="1"/>
    <col min="29" max="29" width="10" style="111" bestFit="1" customWidth="1"/>
    <col min="30" max="30" width="10.59765625" style="111" bestFit="1" customWidth="1"/>
    <col min="31" max="31" width="15.09765625" style="111" bestFit="1" customWidth="1"/>
    <col min="32" max="32" width="14.3984375" style="125" bestFit="1" customWidth="1"/>
    <col min="33" max="33" width="16.69921875" style="111" bestFit="1" customWidth="1"/>
    <col min="34" max="34" width="10.296875" style="111" bestFit="1" customWidth="1"/>
    <col min="35" max="35" width="17" style="125" bestFit="1" customWidth="1"/>
    <col min="36" max="36" width="16.3984375" style="125" bestFit="1" customWidth="1"/>
    <col min="37" max="37" width="18.8984375" style="111" bestFit="1" customWidth="1"/>
    <col min="38" max="38" width="18.09765625" style="111" bestFit="1" customWidth="1"/>
    <col min="39" max="39" width="18.59765625" style="125" bestFit="1" customWidth="1"/>
    <col min="40" max="40" width="18" style="125" bestFit="1" customWidth="1"/>
    <col min="41" max="41" width="18.59765625" style="111" bestFit="1" customWidth="1"/>
    <col min="42" max="42" width="18" style="111" bestFit="1" customWidth="1"/>
    <col min="43" max="43" width="20.296875" style="125" bestFit="1" customWidth="1"/>
    <col min="44" max="44" width="19.69921875" style="125" bestFit="1" customWidth="1"/>
    <col min="45" max="45" width="24.59765625" style="111" bestFit="1" customWidth="1"/>
    <col min="46" max="46" width="23.69921875" style="111" bestFit="1" customWidth="1"/>
    <col min="47" max="47" width="19" style="125" bestFit="1" customWidth="1"/>
    <col min="48" max="48" width="18.296875" style="125" bestFit="1" customWidth="1"/>
    <col min="49" max="49" width="19" style="111" bestFit="1" customWidth="1"/>
    <col min="50" max="50" width="18.296875" style="111" bestFit="1" customWidth="1"/>
    <col min="51" max="51" width="25" style="125" bestFit="1" customWidth="1"/>
    <col min="52" max="52" width="24.296875" style="125" bestFit="1" customWidth="1"/>
    <col min="53" max="53" width="19" style="111" bestFit="1" customWidth="1"/>
    <col min="54" max="54" width="18.296875" style="111" bestFit="1" customWidth="1"/>
    <col min="55" max="55" width="30.69921875" style="125" bestFit="1" customWidth="1"/>
    <col min="56" max="56" width="30" style="125" bestFit="1" customWidth="1"/>
    <col min="57" max="57" width="13.69921875" style="125" bestFit="1" customWidth="1"/>
    <col min="58" max="58" width="13.09765625" style="125" bestFit="1" customWidth="1"/>
    <col min="59" max="59" width="13.69921875" style="125" bestFit="1" customWidth="1"/>
    <col min="60" max="60" width="13.09765625" style="125" bestFit="1" customWidth="1"/>
    <col min="61" max="61" width="15.296875" style="125" bestFit="1" customWidth="1"/>
    <col min="62" max="62" width="14.09765625" style="125" bestFit="1" customWidth="1"/>
    <col min="63" max="63" width="14.8984375" style="125" bestFit="1" customWidth="1"/>
    <col min="64" max="64" width="14.09765625" style="125" bestFit="1" customWidth="1"/>
    <col min="65" max="65" width="12.09765625" style="111" bestFit="1" customWidth="1"/>
    <col min="66" max="66" width="11.59765625" style="111" bestFit="1" customWidth="1"/>
    <col min="67" max="67" width="15.09765625" style="125" bestFit="1" customWidth="1"/>
    <col min="68" max="68" width="14.3984375" style="125" bestFit="1" customWidth="1"/>
    <col min="69" max="69" width="16.59765625" style="111" bestFit="1" customWidth="1"/>
    <col min="70" max="70" width="16" style="111" bestFit="1" customWidth="1"/>
    <col min="71" max="71" width="10.69921875" style="125" bestFit="1" customWidth="1"/>
    <col min="72" max="72" width="9.8984375" style="125" bestFit="1" customWidth="1"/>
    <col min="73" max="74" width="10.296875" style="111" bestFit="1" customWidth="1"/>
    <col min="75" max="75" width="14.3984375" style="111" bestFit="1" customWidth="1"/>
    <col min="76" max="76" width="9.69921875" style="111" bestFit="1" customWidth="1"/>
    <col min="77" max="77" width="21.69921875" style="111" bestFit="1" customWidth="1"/>
    <col min="78" max="78" width="21" style="111" bestFit="1" customWidth="1"/>
    <col min="79" max="79" width="14.69921875" style="111" bestFit="1" customWidth="1"/>
    <col min="80" max="80" width="14" style="111" bestFit="1" customWidth="1"/>
    <col min="81" max="81" width="22.59765625" style="111" bestFit="1" customWidth="1"/>
    <col min="82" max="82" width="22" style="111" bestFit="1" customWidth="1"/>
    <col min="83" max="83" width="20.8984375" style="111" bestFit="1" customWidth="1"/>
    <col min="84" max="84" width="20.296875" style="111" bestFit="1" customWidth="1"/>
    <col min="85" max="85" width="18.09765625" style="111" bestFit="1" customWidth="1"/>
    <col min="86" max="86" width="17.59765625" style="111" bestFit="1" customWidth="1"/>
    <col min="87" max="87" width="7.09765625" style="111" bestFit="1" customWidth="1"/>
    <col min="88" max="88" width="6.59765625" style="111" bestFit="1" customWidth="1"/>
    <col min="89" max="89" width="9.69921875" style="111" bestFit="1" customWidth="1"/>
    <col min="90" max="90" width="15.296875" style="111" bestFit="1" customWidth="1"/>
    <col min="91" max="91" width="14.69921875" style="111" bestFit="1" customWidth="1"/>
    <col min="92" max="16384" width="11.296875" style="112"/>
  </cols>
  <sheetData>
    <row r="1" spans="1:91" ht="13.5" thickBot="1">
      <c r="A1" s="127" t="s">
        <v>150</v>
      </c>
      <c r="B1" s="95" t="s">
        <v>171</v>
      </c>
      <c r="C1" s="95" t="s">
        <v>187</v>
      </c>
      <c r="D1" s="95" t="s">
        <v>264</v>
      </c>
      <c r="E1" s="93" t="s">
        <v>21</v>
      </c>
      <c r="F1" s="93" t="s">
        <v>22</v>
      </c>
      <c r="G1" s="96" t="s">
        <v>192</v>
      </c>
      <c r="H1" s="96" t="s">
        <v>193</v>
      </c>
      <c r="I1" s="113" t="s">
        <v>7603</v>
      </c>
      <c r="J1" s="113" t="s">
        <v>7604</v>
      </c>
      <c r="K1" s="113" t="s">
        <v>7605</v>
      </c>
      <c r="L1" s="113" t="s">
        <v>7606</v>
      </c>
      <c r="M1" s="113" t="s">
        <v>7607</v>
      </c>
      <c r="N1" s="113" t="s">
        <v>7608</v>
      </c>
      <c r="O1" s="113" t="s">
        <v>7609</v>
      </c>
      <c r="P1" s="113" t="s">
        <v>7610</v>
      </c>
      <c r="Q1" s="113" t="s">
        <v>7611</v>
      </c>
      <c r="R1" s="113" t="s">
        <v>7612</v>
      </c>
      <c r="S1" s="113" t="s">
        <v>274</v>
      </c>
      <c r="T1" s="113" t="s">
        <v>275</v>
      </c>
      <c r="U1" s="113" t="s">
        <v>7613</v>
      </c>
      <c r="V1" s="113" t="s">
        <v>7614</v>
      </c>
      <c r="W1" s="113" t="s">
        <v>7615</v>
      </c>
      <c r="X1" s="113" t="s">
        <v>7616</v>
      </c>
      <c r="Y1" s="113" t="s">
        <v>272</v>
      </c>
      <c r="Z1" s="113" t="s">
        <v>273</v>
      </c>
      <c r="AA1" s="113" t="s">
        <v>268</v>
      </c>
      <c r="AB1" s="113" t="s">
        <v>269</v>
      </c>
      <c r="AC1" s="113" t="s">
        <v>265</v>
      </c>
      <c r="AD1" s="113" t="s">
        <v>7617</v>
      </c>
      <c r="AE1" s="113" t="s">
        <v>7618</v>
      </c>
      <c r="AF1" s="113" t="s">
        <v>7619</v>
      </c>
      <c r="AG1" s="113" t="s">
        <v>266</v>
      </c>
      <c r="AH1" s="113" t="s">
        <v>267</v>
      </c>
      <c r="AI1" s="113" t="s">
        <v>7620</v>
      </c>
      <c r="AJ1" s="113" t="s">
        <v>7621</v>
      </c>
      <c r="AK1" s="113" t="s">
        <v>7623</v>
      </c>
      <c r="AL1" s="113" t="s">
        <v>7622</v>
      </c>
      <c r="AM1" s="113" t="s">
        <v>7624</v>
      </c>
      <c r="AN1" s="113" t="s">
        <v>7625</v>
      </c>
      <c r="AO1" s="113" t="s">
        <v>7626</v>
      </c>
      <c r="AP1" s="113" t="s">
        <v>7627</v>
      </c>
      <c r="AQ1" s="113" t="s">
        <v>7628</v>
      </c>
      <c r="AR1" s="113" t="s">
        <v>7629</v>
      </c>
      <c r="AS1" s="113" t="s">
        <v>7630</v>
      </c>
      <c r="AT1" s="113" t="s">
        <v>7631</v>
      </c>
      <c r="AU1" s="113" t="s">
        <v>7632</v>
      </c>
      <c r="AV1" s="113" t="s">
        <v>7633</v>
      </c>
      <c r="AW1" s="113" t="s">
        <v>7634</v>
      </c>
      <c r="AX1" s="113" t="s">
        <v>7635</v>
      </c>
      <c r="AY1" s="113" t="s">
        <v>7636</v>
      </c>
      <c r="AZ1" s="113" t="s">
        <v>7637</v>
      </c>
      <c r="BA1" s="113" t="s">
        <v>7639</v>
      </c>
      <c r="BB1" s="113" t="s">
        <v>7638</v>
      </c>
      <c r="BC1" s="113" t="s">
        <v>7640</v>
      </c>
      <c r="BD1" s="113" t="s">
        <v>7641</v>
      </c>
      <c r="BE1" s="113" t="s">
        <v>7642</v>
      </c>
      <c r="BF1" s="113" t="s">
        <v>7643</v>
      </c>
      <c r="BG1" s="113" t="s">
        <v>7644</v>
      </c>
      <c r="BH1" s="113" t="s">
        <v>7645</v>
      </c>
      <c r="BI1" s="113" t="s">
        <v>7646</v>
      </c>
      <c r="BJ1" s="113" t="s">
        <v>7647</v>
      </c>
      <c r="BK1" s="113" t="s">
        <v>7648</v>
      </c>
      <c r="BL1" s="113" t="s">
        <v>7649</v>
      </c>
      <c r="BM1" s="113" t="s">
        <v>7650</v>
      </c>
      <c r="BN1" s="113" t="s">
        <v>7651</v>
      </c>
      <c r="BO1" s="113" t="s">
        <v>7652</v>
      </c>
      <c r="BP1" s="113" t="s">
        <v>7653</v>
      </c>
      <c r="BQ1" s="113" t="s">
        <v>7654</v>
      </c>
      <c r="BR1" s="113" t="s">
        <v>7655</v>
      </c>
      <c r="BS1" s="113" t="s">
        <v>270</v>
      </c>
      <c r="BT1" s="113" t="s">
        <v>271</v>
      </c>
      <c r="BU1" s="113" t="s">
        <v>7656</v>
      </c>
      <c r="BV1" s="113" t="s">
        <v>7657</v>
      </c>
      <c r="BW1" s="113" t="s">
        <v>7658</v>
      </c>
      <c r="BX1" s="113" t="s">
        <v>7659</v>
      </c>
      <c r="BY1" s="113" t="s">
        <v>7660</v>
      </c>
      <c r="BZ1" s="113" t="s">
        <v>7661</v>
      </c>
      <c r="CA1" s="113" t="s">
        <v>7662</v>
      </c>
      <c r="CB1" s="113" t="s">
        <v>7663</v>
      </c>
      <c r="CC1" s="113" t="s">
        <v>7664</v>
      </c>
      <c r="CD1" s="113" t="s">
        <v>7665</v>
      </c>
      <c r="CE1" s="113" t="s">
        <v>7666</v>
      </c>
      <c r="CF1" s="113" t="s">
        <v>7667</v>
      </c>
      <c r="CG1" s="113" t="s">
        <v>7668</v>
      </c>
      <c r="CH1" s="113" t="s">
        <v>7669</v>
      </c>
      <c r="CI1" s="113" t="s">
        <v>7586</v>
      </c>
      <c r="CJ1" s="113" t="s">
        <v>7443</v>
      </c>
      <c r="CK1" s="113" t="s">
        <v>7593</v>
      </c>
      <c r="CL1" s="113" t="s">
        <v>7670</v>
      </c>
      <c r="CM1" s="113" t="s">
        <v>7671</v>
      </c>
    </row>
    <row r="2" spans="1:91">
      <c r="A2" s="126" t="s">
        <v>7447</v>
      </c>
      <c r="B2" t="s">
        <v>257</v>
      </c>
      <c r="C2" t="s">
        <v>405</v>
      </c>
      <c r="D2">
        <v>1</v>
      </c>
      <c r="E2" s="93">
        <v>6</v>
      </c>
      <c r="F2" s="93">
        <v>2</v>
      </c>
      <c r="K2" s="92">
        <v>5</v>
      </c>
      <c r="L2" s="159">
        <v>41569</v>
      </c>
      <c r="S2" s="111">
        <v>1743.0450000000001</v>
      </c>
      <c r="T2" s="125">
        <v>41527</v>
      </c>
      <c r="U2" s="111">
        <v>10.8</v>
      </c>
      <c r="Y2" s="111">
        <v>809.41399999999999</v>
      </c>
      <c r="Z2" s="125">
        <v>41527</v>
      </c>
      <c r="AA2" s="111" t="s">
        <v>7718</v>
      </c>
      <c r="AB2" s="125">
        <v>41527</v>
      </c>
      <c r="AE2">
        <v>40.07</v>
      </c>
      <c r="AF2" s="125">
        <v>41527</v>
      </c>
      <c r="AG2" s="111" t="s">
        <v>7718</v>
      </c>
      <c r="AH2" s="125">
        <v>41527</v>
      </c>
      <c r="AI2" s="111">
        <v>140</v>
      </c>
      <c r="AJ2" s="125">
        <v>41527</v>
      </c>
      <c r="BS2" s="111">
        <v>43.5</v>
      </c>
      <c r="BT2" s="125">
        <v>41527</v>
      </c>
      <c r="BU2">
        <v>20.2</v>
      </c>
      <c r="BV2" s="125">
        <v>41527</v>
      </c>
      <c r="CC2" s="111">
        <v>12.1</v>
      </c>
      <c r="CD2" s="125">
        <v>41527</v>
      </c>
      <c r="CG2" s="111">
        <v>3.35</v>
      </c>
      <c r="CH2" s="125">
        <v>41527</v>
      </c>
      <c r="CK2" s="111">
        <v>5</v>
      </c>
    </row>
    <row r="3" spans="1:91">
      <c r="A3" s="126" t="s">
        <v>7447</v>
      </c>
      <c r="B3" t="s">
        <v>259</v>
      </c>
      <c r="C3" t="s">
        <v>405</v>
      </c>
      <c r="D3">
        <v>1</v>
      </c>
      <c r="E3" s="93">
        <v>2</v>
      </c>
      <c r="F3" s="93">
        <v>29</v>
      </c>
      <c r="K3" s="92">
        <v>5</v>
      </c>
      <c r="L3" s="159">
        <v>41569</v>
      </c>
      <c r="S3" s="111">
        <v>2164.8690000000001</v>
      </c>
      <c r="T3" s="125">
        <v>41527</v>
      </c>
      <c r="U3" s="111">
        <v>10.8</v>
      </c>
      <c r="Y3" s="111">
        <v>1030.8900000000001</v>
      </c>
      <c r="Z3" s="125">
        <v>41527</v>
      </c>
      <c r="AA3" s="111" t="s">
        <v>7718</v>
      </c>
      <c r="AB3" s="125">
        <v>41527</v>
      </c>
      <c r="AE3">
        <v>49.09</v>
      </c>
      <c r="AF3" s="125">
        <v>41527</v>
      </c>
      <c r="AG3" s="111" t="s">
        <v>7718</v>
      </c>
      <c r="AH3" s="125">
        <v>41527</v>
      </c>
      <c r="AI3" s="111">
        <v>150</v>
      </c>
      <c r="AJ3" s="125">
        <v>41527</v>
      </c>
      <c r="BS3" s="111">
        <v>44.1</v>
      </c>
      <c r="BT3" s="125">
        <v>41527</v>
      </c>
      <c r="BU3">
        <v>21</v>
      </c>
      <c r="BV3" s="125">
        <v>41527</v>
      </c>
      <c r="CC3" s="111">
        <v>12.9</v>
      </c>
      <c r="CD3" s="125">
        <v>41527</v>
      </c>
      <c r="CG3" s="111">
        <v>2.16</v>
      </c>
      <c r="CH3" s="125">
        <v>41527</v>
      </c>
      <c r="CK3" s="111">
        <v>10</v>
      </c>
    </row>
    <row r="4" spans="1:91">
      <c r="A4" s="126" t="s">
        <v>7447</v>
      </c>
      <c r="B4" t="s">
        <v>257</v>
      </c>
      <c r="C4" t="s">
        <v>7794</v>
      </c>
      <c r="D4">
        <v>1</v>
      </c>
      <c r="E4" s="93">
        <v>1</v>
      </c>
      <c r="F4" s="93">
        <v>45</v>
      </c>
      <c r="K4" s="92">
        <v>5</v>
      </c>
      <c r="L4" s="159">
        <v>41569</v>
      </c>
      <c r="S4" s="111">
        <v>1920.848</v>
      </c>
      <c r="T4" s="125">
        <v>41527</v>
      </c>
      <c r="U4" s="111">
        <v>10.8</v>
      </c>
      <c r="Y4" s="111">
        <v>819.50400000000002</v>
      </c>
      <c r="Z4" s="125">
        <v>41527</v>
      </c>
      <c r="AA4" s="111" t="s">
        <v>7718</v>
      </c>
      <c r="AB4" s="125">
        <v>41527</v>
      </c>
      <c r="AE4">
        <v>43.36</v>
      </c>
      <c r="AF4" s="125">
        <v>41527</v>
      </c>
      <c r="AG4" s="111" t="s">
        <v>7718</v>
      </c>
      <c r="AH4" s="125">
        <v>41527</v>
      </c>
      <c r="AI4" s="111">
        <v>150</v>
      </c>
      <c r="AJ4" s="125">
        <v>41527</v>
      </c>
      <c r="BS4" s="111">
        <v>44.3</v>
      </c>
      <c r="BT4" s="125">
        <v>41527</v>
      </c>
      <c r="BU4">
        <v>18.899999999999999</v>
      </c>
      <c r="BV4" s="125">
        <v>41527</v>
      </c>
      <c r="CC4" s="111">
        <v>8.1</v>
      </c>
      <c r="CD4" s="125">
        <v>41527</v>
      </c>
      <c r="CG4" s="111">
        <v>1.63</v>
      </c>
      <c r="CH4" s="125">
        <v>41527</v>
      </c>
      <c r="CK4" s="111">
        <v>5</v>
      </c>
    </row>
    <row r="5" spans="1:91">
      <c r="A5" s="126" t="s">
        <v>7447</v>
      </c>
      <c r="B5" t="s">
        <v>259</v>
      </c>
      <c r="C5" t="s">
        <v>7794</v>
      </c>
      <c r="D5">
        <v>1</v>
      </c>
      <c r="E5" s="93">
        <v>5</v>
      </c>
      <c r="F5" s="93">
        <v>44</v>
      </c>
      <c r="K5" s="92">
        <v>3</v>
      </c>
      <c r="L5" s="159">
        <v>41569</v>
      </c>
      <c r="S5" s="111">
        <v>2146.998</v>
      </c>
      <c r="T5" s="125">
        <v>41527</v>
      </c>
      <c r="U5" s="111">
        <v>10.8</v>
      </c>
      <c r="Y5" s="111">
        <v>1004.241</v>
      </c>
      <c r="Z5" s="125">
        <v>41527</v>
      </c>
      <c r="AA5" s="111" t="s">
        <v>7718</v>
      </c>
      <c r="AB5" s="125">
        <v>41527</v>
      </c>
      <c r="AE5">
        <v>49.47</v>
      </c>
      <c r="AF5" s="125">
        <v>41527</v>
      </c>
      <c r="AG5" s="111" t="s">
        <v>7718</v>
      </c>
      <c r="AH5" s="125">
        <v>41527</v>
      </c>
      <c r="AI5" s="111">
        <v>155</v>
      </c>
      <c r="AJ5" s="125">
        <v>41527</v>
      </c>
      <c r="BS5" s="111">
        <v>43.4</v>
      </c>
      <c r="BT5" s="125">
        <v>41527</v>
      </c>
      <c r="BU5">
        <v>20.3</v>
      </c>
      <c r="BV5" s="125">
        <v>41527</v>
      </c>
      <c r="CC5" s="111">
        <v>7.5</v>
      </c>
      <c r="CD5" s="125">
        <v>41527</v>
      </c>
      <c r="CG5" s="111">
        <v>0.77</v>
      </c>
      <c r="CH5" s="125">
        <v>41527</v>
      </c>
      <c r="CK5" s="111">
        <v>5</v>
      </c>
    </row>
    <row r="6" spans="1:91">
      <c r="A6" s="126" t="s">
        <v>7447</v>
      </c>
      <c r="B6" t="s">
        <v>257</v>
      </c>
      <c r="C6" t="s">
        <v>7795</v>
      </c>
      <c r="D6">
        <v>1</v>
      </c>
      <c r="E6" s="93">
        <v>6</v>
      </c>
      <c r="F6" s="93">
        <v>78</v>
      </c>
      <c r="K6" s="92">
        <v>5</v>
      </c>
      <c r="L6" s="159">
        <v>41569</v>
      </c>
      <c r="S6" s="111">
        <v>1701.5630000000001</v>
      </c>
      <c r="T6" s="125">
        <v>41527</v>
      </c>
      <c r="U6" s="111">
        <v>10.8</v>
      </c>
      <c r="Y6" s="111">
        <v>733.63099999999997</v>
      </c>
      <c r="Z6" s="125">
        <v>41527</v>
      </c>
      <c r="AA6" s="111">
        <v>79854.469849999994</v>
      </c>
      <c r="AB6" s="125">
        <v>41527</v>
      </c>
      <c r="AE6">
        <v>38.409999999999997</v>
      </c>
      <c r="AF6" s="125">
        <v>41527</v>
      </c>
      <c r="AG6" s="111">
        <v>4.8099999999999996</v>
      </c>
      <c r="AH6" s="125">
        <v>41527</v>
      </c>
      <c r="AI6" s="111">
        <v>135</v>
      </c>
      <c r="AJ6" s="125">
        <v>41527</v>
      </c>
      <c r="BS6" s="111">
        <v>44.3</v>
      </c>
      <c r="BT6" s="125">
        <v>41527</v>
      </c>
      <c r="BU6">
        <v>19.100000000000001</v>
      </c>
      <c r="BV6" s="125">
        <v>41527</v>
      </c>
      <c r="CC6" s="111">
        <v>6.5</v>
      </c>
      <c r="CD6" s="125">
        <v>41527</v>
      </c>
      <c r="CG6" s="111">
        <v>0.9</v>
      </c>
      <c r="CH6" s="125">
        <v>41527</v>
      </c>
      <c r="CK6" s="111">
        <v>5</v>
      </c>
    </row>
    <row r="7" spans="1:91">
      <c r="A7" s="126" t="s">
        <v>7447</v>
      </c>
      <c r="B7" t="s">
        <v>259</v>
      </c>
      <c r="C7" t="s">
        <v>7795</v>
      </c>
      <c r="D7">
        <v>1</v>
      </c>
      <c r="E7" s="93">
        <v>2</v>
      </c>
      <c r="F7" s="93">
        <v>65</v>
      </c>
      <c r="K7" s="92">
        <v>5</v>
      </c>
      <c r="L7" s="159">
        <v>41569</v>
      </c>
      <c r="S7" s="111">
        <v>2520.2559999999999</v>
      </c>
      <c r="T7" s="125">
        <v>41527</v>
      </c>
      <c r="U7" s="111">
        <v>10.8</v>
      </c>
      <c r="Y7" s="111">
        <v>1283.904</v>
      </c>
      <c r="Z7" s="125">
        <v>41527</v>
      </c>
      <c r="AA7" s="111">
        <v>126468.0851</v>
      </c>
      <c r="AB7" s="125">
        <v>41527</v>
      </c>
      <c r="AE7">
        <v>59.44</v>
      </c>
      <c r="AF7" s="125">
        <v>41527</v>
      </c>
      <c r="AG7" s="111">
        <v>4.7</v>
      </c>
      <c r="AH7" s="125">
        <v>41527</v>
      </c>
      <c r="AI7" s="111">
        <v>150</v>
      </c>
      <c r="AJ7" s="125">
        <v>41527</v>
      </c>
      <c r="BS7" s="111">
        <v>42.4</v>
      </c>
      <c r="BT7" s="125">
        <v>41527</v>
      </c>
      <c r="BU7">
        <v>21.6</v>
      </c>
      <c r="BV7" s="125">
        <v>41527</v>
      </c>
      <c r="CC7" s="111">
        <v>8.9</v>
      </c>
      <c r="CD7" s="125">
        <v>41527</v>
      </c>
      <c r="CG7" s="111">
        <v>4.1500000000000004</v>
      </c>
      <c r="CH7" s="125">
        <v>41527</v>
      </c>
      <c r="CK7" s="111">
        <v>5</v>
      </c>
    </row>
    <row r="8" spans="1:91">
      <c r="A8" s="126" t="s">
        <v>7447</v>
      </c>
      <c r="B8" t="s">
        <v>257</v>
      </c>
      <c r="C8" t="s">
        <v>405</v>
      </c>
      <c r="D8">
        <v>2</v>
      </c>
      <c r="E8" s="93">
        <v>6</v>
      </c>
      <c r="F8" s="93">
        <v>13</v>
      </c>
      <c r="K8" s="92">
        <v>5</v>
      </c>
      <c r="L8" s="159">
        <v>41569</v>
      </c>
      <c r="S8" s="111">
        <v>1725.126</v>
      </c>
      <c r="T8" s="125">
        <v>41527</v>
      </c>
      <c r="U8" s="111">
        <v>10.8</v>
      </c>
      <c r="Y8" s="111">
        <v>757.18200000000002</v>
      </c>
      <c r="Z8" s="125">
        <v>41527</v>
      </c>
      <c r="AA8" s="111" t="s">
        <v>7718</v>
      </c>
      <c r="AB8" s="125">
        <v>41527</v>
      </c>
      <c r="AE8">
        <v>39.03</v>
      </c>
      <c r="AF8" s="125">
        <v>41527</v>
      </c>
      <c r="AG8" s="111" t="s">
        <v>7718</v>
      </c>
      <c r="AH8" s="125">
        <v>41527</v>
      </c>
      <c r="AI8" s="111">
        <v>145</v>
      </c>
      <c r="AJ8" s="125">
        <v>41527</v>
      </c>
      <c r="BS8" s="111">
        <v>44.2</v>
      </c>
      <c r="BT8" s="125">
        <v>41527</v>
      </c>
      <c r="BU8">
        <v>19.399999999999999</v>
      </c>
      <c r="BV8" s="125">
        <v>41527</v>
      </c>
      <c r="CC8" s="111">
        <v>7.1</v>
      </c>
      <c r="CD8" s="125">
        <v>41527</v>
      </c>
      <c r="CG8" s="111">
        <v>2.4500000000000002</v>
      </c>
      <c r="CH8" s="125">
        <v>41527</v>
      </c>
      <c r="CK8" s="111">
        <v>5</v>
      </c>
    </row>
    <row r="9" spans="1:91">
      <c r="A9" s="126" t="s">
        <v>7447</v>
      </c>
      <c r="B9" t="s">
        <v>259</v>
      </c>
      <c r="C9" t="s">
        <v>405</v>
      </c>
      <c r="D9">
        <v>2</v>
      </c>
      <c r="E9" s="93">
        <v>2</v>
      </c>
      <c r="F9" s="93">
        <v>18</v>
      </c>
      <c r="K9" s="92">
        <v>5</v>
      </c>
      <c r="L9" s="159">
        <v>41569</v>
      </c>
      <c r="S9" s="111">
        <v>2078.2820000000002</v>
      </c>
      <c r="T9" s="125">
        <v>41527</v>
      </c>
      <c r="U9" s="111">
        <v>10.8</v>
      </c>
      <c r="Y9" s="111">
        <v>998.154</v>
      </c>
      <c r="Z9" s="125">
        <v>41527</v>
      </c>
      <c r="AA9" s="111" t="s">
        <v>7718</v>
      </c>
      <c r="AB9" s="125">
        <v>41527</v>
      </c>
      <c r="AE9">
        <v>48.22</v>
      </c>
      <c r="AF9" s="125">
        <v>41527</v>
      </c>
      <c r="AG9" s="111" t="s">
        <v>7718</v>
      </c>
      <c r="AH9" s="125">
        <v>41527</v>
      </c>
      <c r="AI9" s="111">
        <v>145</v>
      </c>
      <c r="AJ9" s="125">
        <v>41527</v>
      </c>
      <c r="BS9" s="111">
        <v>43.1</v>
      </c>
      <c r="BT9" s="125">
        <v>41527</v>
      </c>
      <c r="BU9">
        <v>20.7</v>
      </c>
      <c r="BV9" s="125">
        <v>41527</v>
      </c>
      <c r="CC9" s="111">
        <v>7.2</v>
      </c>
      <c r="CD9" s="125">
        <v>41527</v>
      </c>
      <c r="CG9" s="111">
        <v>1.34</v>
      </c>
      <c r="CH9" s="125">
        <v>41527</v>
      </c>
      <c r="CK9" s="111">
        <v>5</v>
      </c>
    </row>
    <row r="10" spans="1:91">
      <c r="A10" s="126" t="s">
        <v>7447</v>
      </c>
      <c r="B10" t="s">
        <v>257</v>
      </c>
      <c r="C10" t="s">
        <v>7794</v>
      </c>
      <c r="D10">
        <v>2</v>
      </c>
      <c r="E10" s="93">
        <v>3</v>
      </c>
      <c r="F10" s="93">
        <v>35</v>
      </c>
      <c r="K10" s="92">
        <v>5</v>
      </c>
      <c r="L10" s="159">
        <v>41569</v>
      </c>
      <c r="S10" s="111">
        <v>1936.7280000000001</v>
      </c>
      <c r="T10" s="125">
        <v>41527</v>
      </c>
      <c r="U10" s="111">
        <v>10.8</v>
      </c>
      <c r="Y10" s="111">
        <v>833.14200000000005</v>
      </c>
      <c r="Z10" s="125">
        <v>41527</v>
      </c>
      <c r="AA10" s="111" t="s">
        <v>7718</v>
      </c>
      <c r="AB10" s="125">
        <v>41527</v>
      </c>
      <c r="AE10">
        <v>43.62</v>
      </c>
      <c r="AF10" s="125">
        <v>41527</v>
      </c>
      <c r="AG10" s="111" t="s">
        <v>7718</v>
      </c>
      <c r="AH10" s="125">
        <v>41527</v>
      </c>
      <c r="AI10" s="111">
        <v>160</v>
      </c>
      <c r="AJ10" s="125">
        <v>41527</v>
      </c>
      <c r="BS10" s="111">
        <v>44.4</v>
      </c>
      <c r="BT10" s="125">
        <v>41527</v>
      </c>
      <c r="BU10">
        <v>19.100000000000001</v>
      </c>
      <c r="BV10" s="125">
        <v>41527</v>
      </c>
      <c r="CC10" s="111">
        <v>9.6</v>
      </c>
      <c r="CD10" s="125">
        <v>41527</v>
      </c>
      <c r="CG10" s="111">
        <v>2.85</v>
      </c>
      <c r="CH10" s="125">
        <v>41527</v>
      </c>
      <c r="CK10" s="111">
        <v>10</v>
      </c>
    </row>
    <row r="11" spans="1:91">
      <c r="A11" s="126" t="s">
        <v>7447</v>
      </c>
      <c r="B11" t="s">
        <v>259</v>
      </c>
      <c r="C11" t="s">
        <v>7794</v>
      </c>
      <c r="D11">
        <v>2</v>
      </c>
      <c r="E11" s="93">
        <v>5</v>
      </c>
      <c r="F11" s="93">
        <v>49</v>
      </c>
      <c r="K11" s="92">
        <v>5</v>
      </c>
      <c r="L11" s="159">
        <v>41569</v>
      </c>
      <c r="S11" s="111">
        <v>2209.6799999999998</v>
      </c>
      <c r="T11" s="125">
        <v>41527</v>
      </c>
      <c r="U11" s="111">
        <v>10.8</v>
      </c>
      <c r="Y11" s="111">
        <v>1053.69</v>
      </c>
      <c r="Z11" s="125">
        <v>41527</v>
      </c>
      <c r="AA11" s="111" t="s">
        <v>7718</v>
      </c>
      <c r="AB11" s="125">
        <v>41527</v>
      </c>
      <c r="AE11">
        <v>51.15</v>
      </c>
      <c r="AF11" s="125">
        <v>41527</v>
      </c>
      <c r="AG11" s="111" t="s">
        <v>7718</v>
      </c>
      <c r="AH11" s="125">
        <v>41527</v>
      </c>
      <c r="AI11" s="111">
        <v>150</v>
      </c>
      <c r="AJ11" s="125">
        <v>41527</v>
      </c>
      <c r="BS11" s="111">
        <v>43.2</v>
      </c>
      <c r="BT11" s="125">
        <v>41527</v>
      </c>
      <c r="BU11">
        <v>20.6</v>
      </c>
      <c r="BV11" s="125">
        <v>41527</v>
      </c>
      <c r="CC11" s="111">
        <v>7.5</v>
      </c>
      <c r="CD11" s="125">
        <v>41527</v>
      </c>
      <c r="CG11" s="111">
        <v>1.2</v>
      </c>
      <c r="CH11" s="125">
        <v>41527</v>
      </c>
      <c r="CK11" s="111">
        <v>5</v>
      </c>
    </row>
    <row r="12" spans="1:91">
      <c r="A12" s="126" t="s">
        <v>7447</v>
      </c>
      <c r="B12" t="s">
        <v>257</v>
      </c>
      <c r="C12" t="s">
        <v>7795</v>
      </c>
      <c r="D12">
        <v>2</v>
      </c>
      <c r="E12" s="93">
        <v>4</v>
      </c>
      <c r="F12" s="93">
        <v>79</v>
      </c>
      <c r="K12" s="92">
        <v>5</v>
      </c>
      <c r="L12" s="159">
        <v>41569</v>
      </c>
      <c r="S12" s="111">
        <v>2001.4739999999999</v>
      </c>
      <c r="T12" s="125">
        <v>41527</v>
      </c>
      <c r="U12" s="111">
        <v>10.8</v>
      </c>
      <c r="Y12" s="111">
        <v>849.38400000000001</v>
      </c>
      <c r="Z12" s="125">
        <v>41527</v>
      </c>
      <c r="AA12" s="111">
        <v>94125</v>
      </c>
      <c r="AB12" s="125">
        <v>41527</v>
      </c>
      <c r="AE12">
        <v>45.18</v>
      </c>
      <c r="AF12" s="125">
        <v>41527</v>
      </c>
      <c r="AG12" s="111">
        <v>4.8</v>
      </c>
      <c r="AH12" s="125">
        <v>41527</v>
      </c>
      <c r="AI12" s="111">
        <v>140</v>
      </c>
      <c r="AJ12" s="125">
        <v>41527</v>
      </c>
      <c r="BS12" s="111">
        <v>44.3</v>
      </c>
      <c r="BT12" s="125">
        <v>41527</v>
      </c>
      <c r="BU12">
        <v>18.8</v>
      </c>
      <c r="BV12" s="125">
        <v>41527</v>
      </c>
      <c r="CC12" s="111">
        <v>6.6</v>
      </c>
      <c r="CD12" s="125">
        <v>41527</v>
      </c>
      <c r="CG12" s="111">
        <v>1.37</v>
      </c>
      <c r="CH12" s="125">
        <v>41527</v>
      </c>
      <c r="CK12" s="111">
        <v>5</v>
      </c>
    </row>
    <row r="13" spans="1:91">
      <c r="A13" s="126" t="s">
        <v>7447</v>
      </c>
      <c r="B13" t="s">
        <v>259</v>
      </c>
      <c r="C13" t="s">
        <v>7795</v>
      </c>
      <c r="D13">
        <v>2</v>
      </c>
      <c r="E13" s="93">
        <v>2</v>
      </c>
      <c r="F13" s="93">
        <v>66</v>
      </c>
      <c r="K13" s="92">
        <v>5</v>
      </c>
      <c r="L13" s="159">
        <v>41569</v>
      </c>
      <c r="S13" s="111">
        <v>2155.9859999999999</v>
      </c>
      <c r="T13" s="125">
        <v>41527</v>
      </c>
      <c r="U13" s="111">
        <v>10.8</v>
      </c>
      <c r="Y13" s="111">
        <v>1037.5050000000001</v>
      </c>
      <c r="Z13" s="125">
        <v>41527</v>
      </c>
      <c r="AA13" s="111">
        <v>108838.70970000001</v>
      </c>
      <c r="AB13" s="125">
        <v>41527</v>
      </c>
      <c r="AE13">
        <v>50.61</v>
      </c>
      <c r="AF13" s="125">
        <v>41527</v>
      </c>
      <c r="AG13" s="111">
        <v>4.6500000000000004</v>
      </c>
      <c r="AH13" s="125">
        <v>41527</v>
      </c>
      <c r="AI13" s="111">
        <v>140</v>
      </c>
      <c r="AJ13" s="125">
        <v>41527</v>
      </c>
      <c r="BS13" s="111">
        <v>42.6</v>
      </c>
      <c r="BT13" s="125">
        <v>41527</v>
      </c>
      <c r="BU13">
        <v>20.5</v>
      </c>
      <c r="BV13" s="125">
        <v>41527</v>
      </c>
      <c r="CC13" s="111">
        <v>8.6</v>
      </c>
      <c r="CD13" s="125">
        <v>41527</v>
      </c>
      <c r="CG13" s="111">
        <v>2.02</v>
      </c>
      <c r="CH13" s="125">
        <v>41527</v>
      </c>
      <c r="CK13" s="111">
        <v>5</v>
      </c>
    </row>
    <row r="14" spans="1:91">
      <c r="A14" s="126" t="s">
        <v>7447</v>
      </c>
      <c r="B14" t="s">
        <v>257</v>
      </c>
      <c r="C14" t="s">
        <v>405</v>
      </c>
      <c r="D14">
        <v>3</v>
      </c>
      <c r="E14" s="93">
        <v>4</v>
      </c>
      <c r="F14" s="93">
        <v>15</v>
      </c>
      <c r="K14" s="92">
        <v>5</v>
      </c>
      <c r="L14" s="159">
        <v>41569</v>
      </c>
      <c r="S14" s="111">
        <v>1991.8320000000001</v>
      </c>
      <c r="T14" s="125">
        <v>41527</v>
      </c>
      <c r="U14" s="111">
        <v>10.8</v>
      </c>
      <c r="Y14" s="111">
        <v>828.81600000000003</v>
      </c>
      <c r="Z14" s="125">
        <v>41527</v>
      </c>
      <c r="AA14" s="111" t="s">
        <v>7718</v>
      </c>
      <c r="AB14" s="125">
        <v>41527</v>
      </c>
      <c r="AE14">
        <v>44.56</v>
      </c>
      <c r="AF14" s="125">
        <v>41527</v>
      </c>
      <c r="AG14" s="111" t="s">
        <v>7718</v>
      </c>
      <c r="AH14" s="125">
        <v>41527</v>
      </c>
      <c r="AI14" s="111">
        <v>145</v>
      </c>
      <c r="AJ14" s="125">
        <v>41527</v>
      </c>
      <c r="BS14" s="111">
        <v>44.7</v>
      </c>
      <c r="BT14" s="125">
        <v>41527</v>
      </c>
      <c r="BU14">
        <v>18.600000000000001</v>
      </c>
      <c r="BV14" s="125">
        <v>41527</v>
      </c>
      <c r="CC14" s="111">
        <v>6.7</v>
      </c>
      <c r="CD14" s="125">
        <v>41527</v>
      </c>
      <c r="CG14" s="111">
        <v>1.27</v>
      </c>
      <c r="CH14" s="125">
        <v>41527</v>
      </c>
      <c r="CK14" s="111">
        <v>5</v>
      </c>
    </row>
    <row r="15" spans="1:91">
      <c r="A15" s="126" t="s">
        <v>7447</v>
      </c>
      <c r="B15" t="s">
        <v>259</v>
      </c>
      <c r="C15" t="s">
        <v>405</v>
      </c>
      <c r="D15">
        <v>3</v>
      </c>
      <c r="E15" s="93">
        <v>3</v>
      </c>
      <c r="F15" s="93">
        <v>12</v>
      </c>
      <c r="K15" s="92">
        <v>5</v>
      </c>
      <c r="L15" s="159">
        <v>41569</v>
      </c>
      <c r="S15" s="111">
        <v>2171.7359999999999</v>
      </c>
      <c r="T15" s="125">
        <v>41527</v>
      </c>
      <c r="U15" s="111">
        <v>10.8</v>
      </c>
      <c r="Y15" s="111">
        <v>1030.8240000000001</v>
      </c>
      <c r="Z15" s="125">
        <v>41527</v>
      </c>
      <c r="AA15" s="111" t="s">
        <v>7718</v>
      </c>
      <c r="AB15" s="125">
        <v>41527</v>
      </c>
      <c r="AE15">
        <v>50.04</v>
      </c>
      <c r="AF15" s="125">
        <v>41527</v>
      </c>
      <c r="AG15" s="111" t="s">
        <v>7718</v>
      </c>
      <c r="AH15" s="125">
        <v>41527</v>
      </c>
      <c r="AI15" s="111">
        <v>155</v>
      </c>
      <c r="AJ15" s="125">
        <v>41527</v>
      </c>
      <c r="BS15" s="111">
        <v>43.4</v>
      </c>
      <c r="BT15" s="125">
        <v>41527</v>
      </c>
      <c r="BU15">
        <v>20.6</v>
      </c>
      <c r="BV15" s="125">
        <v>41527</v>
      </c>
      <c r="CC15" s="111">
        <v>7.8</v>
      </c>
      <c r="CD15" s="125">
        <v>41527</v>
      </c>
      <c r="CG15" s="111">
        <v>2.91</v>
      </c>
      <c r="CH15" s="125">
        <v>41527</v>
      </c>
      <c r="CK15" s="111">
        <v>1</v>
      </c>
    </row>
    <row r="16" spans="1:91">
      <c r="A16" s="126" t="s">
        <v>7447</v>
      </c>
      <c r="B16" t="s">
        <v>257</v>
      </c>
      <c r="C16" t="s">
        <v>7794</v>
      </c>
      <c r="D16">
        <v>3</v>
      </c>
      <c r="E16" s="93">
        <v>3</v>
      </c>
      <c r="F16" s="93">
        <v>38</v>
      </c>
      <c r="K16" s="92">
        <v>5</v>
      </c>
      <c r="L16" s="159">
        <v>41569</v>
      </c>
      <c r="S16" s="111">
        <v>1991.586</v>
      </c>
      <c r="T16" s="125">
        <v>41527</v>
      </c>
      <c r="U16" s="111">
        <v>10.8</v>
      </c>
      <c r="Y16" s="111">
        <v>882.11800000000005</v>
      </c>
      <c r="Z16" s="125">
        <v>41527</v>
      </c>
      <c r="AA16" s="111" t="s">
        <v>7718</v>
      </c>
      <c r="AB16" s="125">
        <v>41527</v>
      </c>
      <c r="AE16">
        <v>45.47</v>
      </c>
      <c r="AF16" s="125">
        <v>41527</v>
      </c>
      <c r="AG16" s="111" t="s">
        <v>7718</v>
      </c>
      <c r="AH16" s="125">
        <v>41527</v>
      </c>
      <c r="AI16" s="111">
        <v>160</v>
      </c>
      <c r="AJ16" s="125">
        <v>41527</v>
      </c>
      <c r="BS16" s="111">
        <v>43.8</v>
      </c>
      <c r="BT16" s="125">
        <v>41527</v>
      </c>
      <c r="BU16">
        <v>19.399999999999999</v>
      </c>
      <c r="BV16" s="125">
        <v>41527</v>
      </c>
      <c r="CC16" s="111">
        <v>9.1</v>
      </c>
      <c r="CD16" s="125">
        <v>41527</v>
      </c>
      <c r="CG16" s="111">
        <v>2.91</v>
      </c>
      <c r="CH16" s="125">
        <v>41527</v>
      </c>
      <c r="CK16" s="111">
        <v>10</v>
      </c>
    </row>
    <row r="17" spans="1:89">
      <c r="A17" s="126" t="s">
        <v>7447</v>
      </c>
      <c r="B17" t="s">
        <v>259</v>
      </c>
      <c r="C17" t="s">
        <v>7794</v>
      </c>
      <c r="D17">
        <v>3</v>
      </c>
      <c r="E17" s="93">
        <v>4</v>
      </c>
      <c r="F17" s="93">
        <v>43</v>
      </c>
      <c r="K17" s="92">
        <v>5</v>
      </c>
      <c r="L17" s="159">
        <v>41569</v>
      </c>
      <c r="S17" s="111" t="s">
        <v>7718</v>
      </c>
      <c r="T17" s="125">
        <v>41527</v>
      </c>
      <c r="U17" s="111">
        <v>10.8</v>
      </c>
      <c r="Y17" s="111" t="s">
        <v>7718</v>
      </c>
      <c r="Z17" s="125">
        <v>41527</v>
      </c>
      <c r="AA17" s="111" t="s">
        <v>7718</v>
      </c>
      <c r="AB17" s="125">
        <v>41527</v>
      </c>
      <c r="AE17" t="s">
        <v>7718</v>
      </c>
      <c r="AF17" s="125">
        <v>41527</v>
      </c>
      <c r="AG17" s="111" t="s">
        <v>7718</v>
      </c>
      <c r="AH17" s="125">
        <v>41527</v>
      </c>
      <c r="AI17" s="111">
        <v>150</v>
      </c>
      <c r="AJ17" s="125">
        <v>41527</v>
      </c>
      <c r="BS17" s="111">
        <v>43.1</v>
      </c>
      <c r="BT17" s="125">
        <v>41527</v>
      </c>
      <c r="BU17">
        <v>20.6</v>
      </c>
      <c r="BV17" s="125">
        <v>41527</v>
      </c>
      <c r="CC17" s="111">
        <v>7.8</v>
      </c>
      <c r="CD17" s="125">
        <v>41527</v>
      </c>
      <c r="CG17" s="111">
        <v>1.0900000000000001</v>
      </c>
      <c r="CH17" s="125">
        <v>41527</v>
      </c>
      <c r="CK17" s="111">
        <v>10</v>
      </c>
    </row>
    <row r="18" spans="1:89">
      <c r="A18" s="126" t="s">
        <v>7447</v>
      </c>
      <c r="B18" t="s">
        <v>257</v>
      </c>
      <c r="C18" t="s">
        <v>7795</v>
      </c>
      <c r="D18">
        <v>3</v>
      </c>
      <c r="E18" s="93">
        <v>4</v>
      </c>
      <c r="F18" s="93">
        <v>63</v>
      </c>
      <c r="K18" s="92">
        <v>5</v>
      </c>
      <c r="L18" s="159">
        <v>41569</v>
      </c>
      <c r="S18" s="111">
        <v>2130.9119999999998</v>
      </c>
      <c r="T18" s="125">
        <v>41527</v>
      </c>
      <c r="U18" s="111">
        <v>10.8</v>
      </c>
      <c r="Y18" s="111">
        <v>927.74400000000003</v>
      </c>
      <c r="Z18" s="125">
        <v>41527</v>
      </c>
      <c r="AA18" s="111">
        <v>98612.244900000005</v>
      </c>
      <c r="AB18" s="125">
        <v>41527</v>
      </c>
      <c r="AE18">
        <v>48.32</v>
      </c>
      <c r="AF18" s="125">
        <v>41527</v>
      </c>
      <c r="AG18" s="111">
        <v>4.9000000000000004</v>
      </c>
      <c r="AH18" s="125">
        <v>41527</v>
      </c>
      <c r="AI18" s="111">
        <v>155</v>
      </c>
      <c r="AJ18" s="125">
        <v>41527</v>
      </c>
      <c r="BS18" s="111">
        <v>44.1</v>
      </c>
      <c r="BT18" s="125">
        <v>41527</v>
      </c>
      <c r="BU18">
        <v>19.2</v>
      </c>
      <c r="BV18" s="125">
        <v>41527</v>
      </c>
      <c r="CC18" s="111">
        <v>7.7</v>
      </c>
      <c r="CD18" s="125">
        <v>41527</v>
      </c>
      <c r="CG18" s="111">
        <v>1.48</v>
      </c>
      <c r="CH18" s="125">
        <v>41527</v>
      </c>
      <c r="CK18" s="111">
        <v>5</v>
      </c>
    </row>
    <row r="19" spans="1:89">
      <c r="A19" s="126" t="s">
        <v>7447</v>
      </c>
      <c r="B19" t="s">
        <v>259</v>
      </c>
      <c r="C19" t="s">
        <v>7795</v>
      </c>
      <c r="D19">
        <v>3</v>
      </c>
      <c r="E19" s="93">
        <v>2</v>
      </c>
      <c r="F19" s="93">
        <v>81</v>
      </c>
      <c r="K19" s="92">
        <v>5</v>
      </c>
      <c r="L19" s="159">
        <v>41569</v>
      </c>
      <c r="S19" s="111">
        <v>1934.4949999999999</v>
      </c>
      <c r="T19" s="125">
        <v>41527</v>
      </c>
      <c r="U19" s="111">
        <v>10.8</v>
      </c>
      <c r="Y19" s="111">
        <v>969.54499999999996</v>
      </c>
      <c r="Z19" s="125">
        <v>41527</v>
      </c>
      <c r="AA19" s="111">
        <v>97145.877380000005</v>
      </c>
      <c r="AB19" s="125">
        <v>41527</v>
      </c>
      <c r="AE19">
        <v>45.95</v>
      </c>
      <c r="AF19" s="125">
        <v>41527</v>
      </c>
      <c r="AG19" s="111">
        <v>4.7300000000000004</v>
      </c>
      <c r="AH19" s="125">
        <v>41527</v>
      </c>
      <c r="AI19" s="111">
        <v>145</v>
      </c>
      <c r="AJ19" s="125">
        <v>41527</v>
      </c>
      <c r="BS19" s="111">
        <v>42.1</v>
      </c>
      <c r="BT19" s="125">
        <v>41527</v>
      </c>
      <c r="BU19">
        <v>21.1</v>
      </c>
      <c r="BV19" s="125">
        <v>41527</v>
      </c>
      <c r="CC19" s="111">
        <v>7.5</v>
      </c>
      <c r="CD19" s="125">
        <v>41527</v>
      </c>
      <c r="CG19" s="111">
        <v>1.9</v>
      </c>
      <c r="CH19" s="125">
        <v>41527</v>
      </c>
      <c r="CK19" s="111">
        <v>5</v>
      </c>
    </row>
    <row r="20" spans="1:89">
      <c r="A20" s="126" t="s">
        <v>7448</v>
      </c>
      <c r="B20" t="s">
        <v>257</v>
      </c>
      <c r="C20" t="s">
        <v>405</v>
      </c>
      <c r="D20">
        <v>4</v>
      </c>
      <c r="E20" s="93">
        <v>5</v>
      </c>
      <c r="F20" s="93">
        <v>29</v>
      </c>
      <c r="K20" s="92">
        <v>3</v>
      </c>
      <c r="L20" s="159">
        <v>41569</v>
      </c>
      <c r="S20" s="111">
        <v>1322.3320000000001</v>
      </c>
      <c r="T20" s="125">
        <v>41527</v>
      </c>
      <c r="U20" s="111">
        <v>10.8</v>
      </c>
      <c r="Y20" s="111">
        <v>577.60400000000004</v>
      </c>
      <c r="Z20" s="125">
        <v>41527</v>
      </c>
      <c r="AA20" s="111" t="s">
        <v>7718</v>
      </c>
      <c r="AB20" s="125">
        <v>41527</v>
      </c>
      <c r="AE20">
        <v>29.32</v>
      </c>
      <c r="AF20" s="125">
        <v>41527</v>
      </c>
      <c r="AG20" s="111" t="s">
        <v>7718</v>
      </c>
      <c r="AH20" s="125">
        <v>41527</v>
      </c>
      <c r="AI20" s="111">
        <v>120</v>
      </c>
      <c r="AJ20" s="125">
        <v>41527</v>
      </c>
      <c r="BS20" s="111">
        <v>45.1</v>
      </c>
      <c r="BT20" s="125">
        <v>41527</v>
      </c>
      <c r="BU20">
        <v>19.7</v>
      </c>
      <c r="BV20" s="125">
        <v>41527</v>
      </c>
      <c r="CC20" s="111">
        <v>11.4</v>
      </c>
      <c r="CD20" s="125">
        <v>41527</v>
      </c>
      <c r="CG20" s="111">
        <v>4.92</v>
      </c>
      <c r="CH20" s="125">
        <v>41527</v>
      </c>
      <c r="CK20" s="111">
        <v>30</v>
      </c>
    </row>
    <row r="21" spans="1:89">
      <c r="A21" s="126" t="s">
        <v>7448</v>
      </c>
      <c r="B21" t="s">
        <v>259</v>
      </c>
      <c r="C21" t="s">
        <v>405</v>
      </c>
      <c r="D21">
        <v>4</v>
      </c>
      <c r="E21" s="93">
        <v>1</v>
      </c>
      <c r="F21" s="93">
        <v>20</v>
      </c>
      <c r="K21" s="92">
        <v>7</v>
      </c>
      <c r="L21" s="159">
        <v>41569</v>
      </c>
      <c r="S21" s="111">
        <v>1984.28</v>
      </c>
      <c r="T21" s="125">
        <v>41527</v>
      </c>
      <c r="U21" s="111">
        <v>10.8</v>
      </c>
      <c r="Y21" s="111">
        <v>953.72</v>
      </c>
      <c r="Z21" s="125">
        <v>41527</v>
      </c>
      <c r="AA21" s="111" t="s">
        <v>7718</v>
      </c>
      <c r="AB21" s="125">
        <v>41527</v>
      </c>
      <c r="AE21">
        <v>45.2</v>
      </c>
      <c r="AF21" s="125">
        <v>41527</v>
      </c>
      <c r="AG21" s="111" t="s">
        <v>7718</v>
      </c>
      <c r="AH21" s="125">
        <v>41527</v>
      </c>
      <c r="AI21" s="111">
        <v>125</v>
      </c>
      <c r="AJ21" s="125">
        <v>41527</v>
      </c>
      <c r="BS21" s="111">
        <v>43.9</v>
      </c>
      <c r="BT21" s="125">
        <v>41527</v>
      </c>
      <c r="BU21">
        <v>21.1</v>
      </c>
      <c r="BV21" s="125">
        <v>41527</v>
      </c>
      <c r="CC21" s="111">
        <v>8.6999999999999993</v>
      </c>
      <c r="CD21" s="125">
        <v>41527</v>
      </c>
      <c r="CG21" s="111">
        <v>4.0199999999999996</v>
      </c>
      <c r="CH21" s="125">
        <v>41527</v>
      </c>
      <c r="CK21" s="111">
        <v>20</v>
      </c>
    </row>
    <row r="22" spans="1:89">
      <c r="A22" s="126" t="s">
        <v>7448</v>
      </c>
      <c r="B22" t="s">
        <v>257</v>
      </c>
      <c r="C22" t="s">
        <v>7794</v>
      </c>
      <c r="D22">
        <v>4</v>
      </c>
      <c r="E22" s="93">
        <v>3</v>
      </c>
      <c r="F22" s="93">
        <v>49</v>
      </c>
      <c r="K22" s="92">
        <v>5</v>
      </c>
      <c r="L22" s="159">
        <v>41569</v>
      </c>
      <c r="S22" s="111">
        <v>1804.86</v>
      </c>
      <c r="T22" s="125">
        <v>41527</v>
      </c>
      <c r="U22" s="111">
        <v>10.8</v>
      </c>
      <c r="Y22" s="111">
        <v>817.06500000000005</v>
      </c>
      <c r="Z22" s="125">
        <v>41527</v>
      </c>
      <c r="AA22" s="111" t="s">
        <v>7718</v>
      </c>
      <c r="AB22" s="125">
        <v>41527</v>
      </c>
      <c r="AE22">
        <v>40.65</v>
      </c>
      <c r="AF22" s="125">
        <v>41527</v>
      </c>
      <c r="AG22" s="111" t="s">
        <v>7718</v>
      </c>
      <c r="AH22" s="125">
        <v>41527</v>
      </c>
      <c r="AI22" s="111">
        <v>125</v>
      </c>
      <c r="AJ22" s="125">
        <v>41527</v>
      </c>
      <c r="BS22" s="111">
        <v>44.4</v>
      </c>
      <c r="BT22" s="125">
        <v>41527</v>
      </c>
      <c r="BU22">
        <v>20.100000000000001</v>
      </c>
      <c r="BV22" s="125">
        <v>41527</v>
      </c>
      <c r="CC22" s="111">
        <v>11.8</v>
      </c>
      <c r="CD22" s="125">
        <v>41527</v>
      </c>
      <c r="CG22" s="111">
        <v>11.2</v>
      </c>
      <c r="CH22" s="125">
        <v>41527</v>
      </c>
      <c r="CK22" s="111">
        <v>20</v>
      </c>
    </row>
    <row r="23" spans="1:89">
      <c r="A23" s="126" t="s">
        <v>7448</v>
      </c>
      <c r="B23" t="s">
        <v>259</v>
      </c>
      <c r="C23" t="s">
        <v>7794</v>
      </c>
      <c r="D23">
        <v>4</v>
      </c>
      <c r="E23" s="93">
        <v>6</v>
      </c>
      <c r="F23" s="93">
        <v>52</v>
      </c>
      <c r="K23" s="92">
        <v>5</v>
      </c>
      <c r="L23" s="159">
        <v>41569</v>
      </c>
      <c r="S23" s="111">
        <v>1898.7750000000001</v>
      </c>
      <c r="T23" s="125">
        <v>41527</v>
      </c>
      <c r="U23" s="111">
        <v>10.8</v>
      </c>
      <c r="Y23" s="111">
        <v>942.84</v>
      </c>
      <c r="Z23" s="125">
        <v>41527</v>
      </c>
      <c r="AA23" s="111" t="s">
        <v>7718</v>
      </c>
      <c r="AB23" s="125">
        <v>41527</v>
      </c>
      <c r="AE23">
        <v>43.65</v>
      </c>
      <c r="AF23" s="125">
        <v>41527</v>
      </c>
      <c r="AG23" s="111" t="s">
        <v>7718</v>
      </c>
      <c r="AH23" s="125">
        <v>41527</v>
      </c>
      <c r="AI23" s="111">
        <v>110</v>
      </c>
      <c r="AJ23" s="125">
        <v>41527</v>
      </c>
      <c r="BS23" s="111">
        <v>43.5</v>
      </c>
      <c r="BT23" s="125">
        <v>41527</v>
      </c>
      <c r="BU23">
        <v>21.6</v>
      </c>
      <c r="BV23" s="125">
        <v>41527</v>
      </c>
      <c r="CC23" s="111">
        <v>7.8</v>
      </c>
      <c r="CD23" s="125">
        <v>41527</v>
      </c>
      <c r="CG23" s="111">
        <v>3.85</v>
      </c>
      <c r="CH23" s="125">
        <v>41527</v>
      </c>
      <c r="CK23" s="111">
        <v>20</v>
      </c>
    </row>
    <row r="24" spans="1:89">
      <c r="A24" s="126" t="s">
        <v>7448</v>
      </c>
      <c r="B24" t="s">
        <v>257</v>
      </c>
      <c r="C24" t="s">
        <v>7795</v>
      </c>
      <c r="D24">
        <v>4</v>
      </c>
      <c r="E24" s="93">
        <v>5</v>
      </c>
      <c r="F24" s="93">
        <v>84</v>
      </c>
      <c r="K24" s="92">
        <v>5</v>
      </c>
      <c r="L24" s="159">
        <v>41569</v>
      </c>
      <c r="S24" s="111">
        <v>1663.8689999999999</v>
      </c>
      <c r="T24" s="125">
        <v>41527</v>
      </c>
      <c r="U24" s="111">
        <v>10.8</v>
      </c>
      <c r="Y24" s="111">
        <v>712.56200000000001</v>
      </c>
      <c r="Z24" s="125">
        <v>41527</v>
      </c>
      <c r="AA24" s="111">
        <v>80725.274730000005</v>
      </c>
      <c r="AB24" s="125">
        <v>41527</v>
      </c>
      <c r="AE24">
        <v>36.729999999999997</v>
      </c>
      <c r="AF24" s="125">
        <v>41527</v>
      </c>
      <c r="AG24" s="111">
        <v>4.55</v>
      </c>
      <c r="AH24" s="125">
        <v>41527</v>
      </c>
      <c r="AI24" s="111">
        <v>120</v>
      </c>
      <c r="AJ24" s="125">
        <v>41527</v>
      </c>
      <c r="BS24" s="111">
        <v>45.3</v>
      </c>
      <c r="BT24" s="125">
        <v>41527</v>
      </c>
      <c r="BU24">
        <v>19.399999999999999</v>
      </c>
      <c r="BV24" s="125">
        <v>41527</v>
      </c>
      <c r="CC24" s="111">
        <v>7.4</v>
      </c>
      <c r="CD24" s="125">
        <v>41527</v>
      </c>
      <c r="CG24" s="111">
        <v>2.29</v>
      </c>
      <c r="CH24" s="125">
        <v>41527</v>
      </c>
      <c r="CK24" s="111">
        <v>20</v>
      </c>
    </row>
    <row r="25" spans="1:89">
      <c r="A25" s="126" t="s">
        <v>7448</v>
      </c>
      <c r="B25" t="s">
        <v>259</v>
      </c>
      <c r="C25" t="s">
        <v>7795</v>
      </c>
      <c r="D25">
        <v>4</v>
      </c>
      <c r="E25" s="93">
        <v>1</v>
      </c>
      <c r="F25" s="93">
        <v>65</v>
      </c>
      <c r="K25" s="92">
        <v>5</v>
      </c>
      <c r="L25" s="159">
        <v>41569</v>
      </c>
      <c r="S25" s="111">
        <v>1782</v>
      </c>
      <c r="T25" s="125">
        <v>41527</v>
      </c>
      <c r="U25" s="111">
        <v>10.8</v>
      </c>
      <c r="Y25" s="111">
        <v>895.125</v>
      </c>
      <c r="Z25" s="125">
        <v>41527</v>
      </c>
      <c r="AA25" s="111">
        <v>90859.030840000007</v>
      </c>
      <c r="AB25" s="125">
        <v>41527</v>
      </c>
      <c r="AE25">
        <v>41.25</v>
      </c>
      <c r="AF25" s="125">
        <v>41527</v>
      </c>
      <c r="AG25" s="111">
        <v>4.54</v>
      </c>
      <c r="AH25" s="125">
        <v>41527</v>
      </c>
      <c r="AI25" s="111">
        <v>125</v>
      </c>
      <c r="AJ25" s="125">
        <v>41527</v>
      </c>
      <c r="BS25" s="111">
        <v>43.2</v>
      </c>
      <c r="BT25" s="125">
        <v>41527</v>
      </c>
      <c r="BU25">
        <v>21.7</v>
      </c>
      <c r="BV25" s="125">
        <v>41527</v>
      </c>
      <c r="CC25" s="111">
        <v>8.5</v>
      </c>
      <c r="CD25" s="125">
        <v>41527</v>
      </c>
      <c r="CG25" s="111">
        <v>3.96</v>
      </c>
      <c r="CH25" s="125">
        <v>41527</v>
      </c>
      <c r="CK25" s="111">
        <v>30</v>
      </c>
    </row>
    <row r="26" spans="1:89">
      <c r="A26" s="126" t="s">
        <v>7448</v>
      </c>
      <c r="B26" t="s">
        <v>257</v>
      </c>
      <c r="C26" t="s">
        <v>405</v>
      </c>
      <c r="D26">
        <v>5</v>
      </c>
      <c r="E26" s="93">
        <v>6</v>
      </c>
      <c r="F26" s="93">
        <v>20</v>
      </c>
      <c r="K26" s="92">
        <v>5</v>
      </c>
      <c r="L26" s="159">
        <v>41569</v>
      </c>
      <c r="S26" s="111">
        <v>1453.2239999999999</v>
      </c>
      <c r="T26" s="125">
        <v>41527</v>
      </c>
      <c r="U26" s="111">
        <v>10.8</v>
      </c>
      <c r="Y26" s="111">
        <v>628.76800000000003</v>
      </c>
      <c r="Z26" s="125">
        <v>41527</v>
      </c>
      <c r="AA26" s="111" t="s">
        <v>7718</v>
      </c>
      <c r="AB26" s="125">
        <v>41527</v>
      </c>
      <c r="AE26">
        <v>32.08</v>
      </c>
      <c r="AF26" s="125">
        <v>41527</v>
      </c>
      <c r="AG26" s="111" t="s">
        <v>7718</v>
      </c>
      <c r="AH26" s="125">
        <v>41527</v>
      </c>
      <c r="AI26" s="111">
        <v>110</v>
      </c>
      <c r="AJ26" s="125">
        <v>41527</v>
      </c>
      <c r="BS26" s="111">
        <v>45.3</v>
      </c>
      <c r="BT26" s="125">
        <v>41527</v>
      </c>
      <c r="BU26">
        <v>19.600000000000001</v>
      </c>
      <c r="BV26" s="125">
        <v>41527</v>
      </c>
      <c r="CC26" s="111">
        <v>7.5</v>
      </c>
      <c r="CD26" s="125">
        <v>41527</v>
      </c>
      <c r="CG26" s="111">
        <v>8.9700000000000006</v>
      </c>
      <c r="CH26" s="125">
        <v>41527</v>
      </c>
      <c r="CK26" s="111">
        <v>20</v>
      </c>
    </row>
    <row r="27" spans="1:89">
      <c r="A27" s="126" t="s">
        <v>7448</v>
      </c>
      <c r="B27" t="s">
        <v>259</v>
      </c>
      <c r="C27" t="s">
        <v>405</v>
      </c>
      <c r="D27">
        <v>5</v>
      </c>
      <c r="E27" s="93">
        <v>1</v>
      </c>
      <c r="F27" s="93">
        <v>21</v>
      </c>
      <c r="K27" s="92">
        <v>7</v>
      </c>
      <c r="L27" s="159">
        <v>41569</v>
      </c>
      <c r="S27" s="111">
        <v>2023.308</v>
      </c>
      <c r="T27" s="125">
        <v>41527</v>
      </c>
      <c r="U27" s="111">
        <v>10.8</v>
      </c>
      <c r="Y27" s="111">
        <v>975.19799999999998</v>
      </c>
      <c r="Z27" s="125">
        <v>41527</v>
      </c>
      <c r="AA27" s="111" t="s">
        <v>7718</v>
      </c>
      <c r="AB27" s="125">
        <v>41527</v>
      </c>
      <c r="AE27">
        <v>45.57</v>
      </c>
      <c r="AF27" s="125">
        <v>41527</v>
      </c>
      <c r="AG27" s="111" t="s">
        <v>7718</v>
      </c>
      <c r="AH27" s="125">
        <v>41527</v>
      </c>
      <c r="AI27" s="111">
        <v>130</v>
      </c>
      <c r="AJ27" s="125">
        <v>41527</v>
      </c>
      <c r="BS27" s="111">
        <v>44.4</v>
      </c>
      <c r="BT27" s="125">
        <v>41527</v>
      </c>
      <c r="BU27">
        <v>21.4</v>
      </c>
      <c r="BV27" s="125">
        <v>41527</v>
      </c>
      <c r="CC27" s="111">
        <v>8.6</v>
      </c>
      <c r="CD27" s="125">
        <v>41527</v>
      </c>
      <c r="CG27" s="111">
        <v>2.2599999999999998</v>
      </c>
      <c r="CH27" s="125">
        <v>41527</v>
      </c>
      <c r="CK27" s="111">
        <v>30</v>
      </c>
    </row>
    <row r="28" spans="1:89">
      <c r="A28" s="126" t="s">
        <v>7448</v>
      </c>
      <c r="B28" t="s">
        <v>257</v>
      </c>
      <c r="C28" t="s">
        <v>7794</v>
      </c>
      <c r="D28">
        <v>5</v>
      </c>
      <c r="E28" s="93">
        <v>3</v>
      </c>
      <c r="F28" s="93">
        <v>40</v>
      </c>
      <c r="K28" s="92">
        <v>5</v>
      </c>
      <c r="L28" s="159">
        <v>41569</v>
      </c>
      <c r="S28" s="111">
        <v>1725.71</v>
      </c>
      <c r="T28" s="125">
        <v>41527</v>
      </c>
      <c r="U28" s="111">
        <v>10.8</v>
      </c>
      <c r="Y28" s="111">
        <v>779.47799999999995</v>
      </c>
      <c r="Z28" s="125">
        <v>41527</v>
      </c>
      <c r="AA28" s="111" t="s">
        <v>7718</v>
      </c>
      <c r="AB28" s="125">
        <v>41527</v>
      </c>
      <c r="AE28">
        <v>38.78</v>
      </c>
      <c r="AF28" s="125">
        <v>41527</v>
      </c>
      <c r="AG28" s="111" t="s">
        <v>7718</v>
      </c>
      <c r="AH28" s="125">
        <v>41527</v>
      </c>
      <c r="AI28" s="111">
        <v>125</v>
      </c>
      <c r="AJ28" s="125">
        <v>41527</v>
      </c>
      <c r="BS28" s="111">
        <v>44.5</v>
      </c>
      <c r="BT28" s="125">
        <v>41527</v>
      </c>
      <c r="BU28">
        <v>20.100000000000001</v>
      </c>
      <c r="BV28" s="125">
        <v>41527</v>
      </c>
      <c r="CC28" s="111">
        <v>10.3</v>
      </c>
      <c r="CD28" s="125">
        <v>41527</v>
      </c>
      <c r="CG28" s="111">
        <v>5.8</v>
      </c>
      <c r="CH28" s="125">
        <v>41527</v>
      </c>
      <c r="CK28" s="111">
        <v>20</v>
      </c>
    </row>
    <row r="29" spans="1:89">
      <c r="A29" s="126" t="s">
        <v>7448</v>
      </c>
      <c r="B29" t="s">
        <v>259</v>
      </c>
      <c r="C29" t="s">
        <v>7794</v>
      </c>
      <c r="D29">
        <v>5</v>
      </c>
      <c r="E29" s="93">
        <v>4</v>
      </c>
      <c r="F29" s="93">
        <v>55</v>
      </c>
      <c r="K29" s="92">
        <v>5</v>
      </c>
      <c r="L29" s="159">
        <v>41569</v>
      </c>
      <c r="S29" s="111">
        <v>1757.98</v>
      </c>
      <c r="T29" s="125">
        <v>41527</v>
      </c>
      <c r="U29" s="111">
        <v>10.8</v>
      </c>
      <c r="Y29" s="111">
        <v>881.02</v>
      </c>
      <c r="Z29" s="125">
        <v>41527</v>
      </c>
      <c r="AA29" s="111" t="s">
        <v>7718</v>
      </c>
      <c r="AB29" s="125">
        <v>41527</v>
      </c>
      <c r="AE29">
        <v>40.6</v>
      </c>
      <c r="AF29" s="125">
        <v>41527</v>
      </c>
      <c r="AG29" s="111" t="s">
        <v>7718</v>
      </c>
      <c r="AH29" s="125">
        <v>41527</v>
      </c>
      <c r="AI29" s="111">
        <v>130</v>
      </c>
      <c r="AJ29" s="125">
        <v>41527</v>
      </c>
      <c r="BS29" s="111">
        <v>43.3</v>
      </c>
      <c r="BT29" s="125">
        <v>41527</v>
      </c>
      <c r="BU29">
        <v>21.7</v>
      </c>
      <c r="BV29" s="125">
        <v>41527</v>
      </c>
      <c r="CC29" s="111">
        <v>5.8</v>
      </c>
      <c r="CD29" s="125">
        <v>41527</v>
      </c>
      <c r="CG29" s="111">
        <v>4.54</v>
      </c>
      <c r="CH29" s="125">
        <v>41527</v>
      </c>
      <c r="CK29" s="111">
        <v>20</v>
      </c>
    </row>
    <row r="30" spans="1:89">
      <c r="A30" s="126" t="s">
        <v>7448</v>
      </c>
      <c r="B30" t="s">
        <v>257</v>
      </c>
      <c r="C30" t="s">
        <v>7795</v>
      </c>
      <c r="D30">
        <v>5</v>
      </c>
      <c r="E30" s="93">
        <v>6</v>
      </c>
      <c r="F30" s="93">
        <v>65</v>
      </c>
      <c r="K30" s="92">
        <v>5</v>
      </c>
      <c r="L30" s="159">
        <v>41569</v>
      </c>
      <c r="S30" s="111">
        <v>1571.31</v>
      </c>
      <c r="T30" s="125">
        <v>41527</v>
      </c>
      <c r="U30" s="111">
        <v>10.8</v>
      </c>
      <c r="Y30" s="111">
        <v>725.22</v>
      </c>
      <c r="Z30" s="125">
        <v>41527</v>
      </c>
      <c r="AA30" s="111">
        <v>83647.058820000006</v>
      </c>
      <c r="AB30" s="125">
        <v>41527</v>
      </c>
      <c r="AE30">
        <v>35.549999999999997</v>
      </c>
      <c r="AF30" s="125">
        <v>41527</v>
      </c>
      <c r="AG30" s="111">
        <v>4.25</v>
      </c>
      <c r="AH30" s="125">
        <v>41527</v>
      </c>
      <c r="AI30" s="111">
        <v>115</v>
      </c>
      <c r="AJ30" s="125">
        <v>41527</v>
      </c>
      <c r="BS30" s="111">
        <v>44.2</v>
      </c>
      <c r="BT30" s="125">
        <v>41527</v>
      </c>
      <c r="BU30">
        <v>20.399999999999999</v>
      </c>
      <c r="BV30" s="125">
        <v>41527</v>
      </c>
      <c r="CC30" s="111">
        <v>7.9</v>
      </c>
      <c r="CD30" s="125">
        <v>41527</v>
      </c>
      <c r="CG30" s="111">
        <v>2.17</v>
      </c>
      <c r="CH30" s="125">
        <v>41527</v>
      </c>
      <c r="CK30" s="111">
        <v>20</v>
      </c>
    </row>
    <row r="31" spans="1:89">
      <c r="A31" s="126" t="s">
        <v>7448</v>
      </c>
      <c r="B31" t="s">
        <v>259</v>
      </c>
      <c r="C31" t="s">
        <v>7795</v>
      </c>
      <c r="D31">
        <v>5</v>
      </c>
      <c r="E31" s="93">
        <v>3</v>
      </c>
      <c r="F31" s="93">
        <v>75</v>
      </c>
      <c r="K31" s="92">
        <v>5</v>
      </c>
      <c r="L31" s="159">
        <v>41569</v>
      </c>
      <c r="S31" s="111">
        <v>1974.03</v>
      </c>
      <c r="T31" s="125">
        <v>41527</v>
      </c>
      <c r="U31" s="111">
        <v>10.8</v>
      </c>
      <c r="Y31" s="111">
        <v>962.05600000000004</v>
      </c>
      <c r="Z31" s="125">
        <v>41527</v>
      </c>
      <c r="AA31" s="111">
        <v>106276.3466</v>
      </c>
      <c r="AB31" s="125">
        <v>41527</v>
      </c>
      <c r="AE31">
        <v>45.38</v>
      </c>
      <c r="AF31" s="125">
        <v>41527</v>
      </c>
      <c r="AG31" s="111">
        <v>4.2699999999999996</v>
      </c>
      <c r="AH31" s="125">
        <v>41527</v>
      </c>
      <c r="AI31" s="111">
        <v>130</v>
      </c>
      <c r="AJ31" s="125">
        <v>41527</v>
      </c>
      <c r="BS31" s="111">
        <v>43.5</v>
      </c>
      <c r="BT31" s="125">
        <v>41527</v>
      </c>
      <c r="BU31">
        <v>21.2</v>
      </c>
      <c r="BV31" s="125">
        <v>41527</v>
      </c>
      <c r="CC31" s="111">
        <v>9.1</v>
      </c>
      <c r="CD31" s="125">
        <v>41527</v>
      </c>
      <c r="CG31" s="111">
        <v>6.85</v>
      </c>
      <c r="CH31" s="125">
        <v>41527</v>
      </c>
      <c r="CK31" s="111">
        <v>20</v>
      </c>
    </row>
    <row r="32" spans="1:89">
      <c r="A32" s="126" t="s">
        <v>7448</v>
      </c>
      <c r="B32" t="s">
        <v>257</v>
      </c>
      <c r="C32" t="s">
        <v>405</v>
      </c>
      <c r="D32">
        <v>6</v>
      </c>
      <c r="E32" s="93">
        <v>4</v>
      </c>
      <c r="F32" s="93">
        <v>24</v>
      </c>
      <c r="K32" s="92">
        <v>5</v>
      </c>
      <c r="L32" s="159">
        <v>41569</v>
      </c>
      <c r="S32" s="111">
        <v>1344.5250000000001</v>
      </c>
      <c r="T32" s="125">
        <v>41527</v>
      </c>
      <c r="U32" s="111">
        <v>10.8</v>
      </c>
      <c r="Y32" s="111">
        <v>593.95500000000004</v>
      </c>
      <c r="Z32" s="125">
        <v>41527</v>
      </c>
      <c r="AA32" s="111" t="s">
        <v>7718</v>
      </c>
      <c r="AB32" s="125">
        <v>41527</v>
      </c>
      <c r="AE32">
        <v>29.55</v>
      </c>
      <c r="AF32" s="125">
        <v>41527</v>
      </c>
      <c r="AG32" s="111" t="s">
        <v>7718</v>
      </c>
      <c r="AH32" s="125">
        <v>41527</v>
      </c>
      <c r="AI32" s="111">
        <v>120</v>
      </c>
      <c r="AJ32" s="125">
        <v>41527</v>
      </c>
      <c r="BS32" s="111">
        <v>45.5</v>
      </c>
      <c r="BT32" s="125">
        <v>41527</v>
      </c>
      <c r="BU32">
        <v>20.100000000000001</v>
      </c>
      <c r="BV32" s="125">
        <v>41527</v>
      </c>
      <c r="CC32" s="111">
        <v>7.8</v>
      </c>
      <c r="CD32" s="125">
        <v>41527</v>
      </c>
      <c r="CG32" s="111">
        <v>2.91</v>
      </c>
      <c r="CH32" s="125">
        <v>41527</v>
      </c>
      <c r="CK32" s="111">
        <v>30</v>
      </c>
    </row>
    <row r="33" spans="1:89">
      <c r="A33" s="126" t="s">
        <v>7448</v>
      </c>
      <c r="B33" t="s">
        <v>259</v>
      </c>
      <c r="C33" t="s">
        <v>405</v>
      </c>
      <c r="D33">
        <v>6</v>
      </c>
      <c r="E33" s="93">
        <v>3</v>
      </c>
      <c r="F33" s="93">
        <v>10</v>
      </c>
      <c r="K33" s="92">
        <v>5</v>
      </c>
      <c r="L33" s="159">
        <v>41569</v>
      </c>
      <c r="S33" s="111">
        <v>1820.972</v>
      </c>
      <c r="T33" s="125">
        <v>41527</v>
      </c>
      <c r="U33" s="111">
        <v>10.8</v>
      </c>
      <c r="Y33" s="111">
        <v>879.37599999999998</v>
      </c>
      <c r="Z33" s="125">
        <v>41527</v>
      </c>
      <c r="AA33" s="111" t="s">
        <v>7718</v>
      </c>
      <c r="AB33" s="125">
        <v>41527</v>
      </c>
      <c r="AE33">
        <v>41.48</v>
      </c>
      <c r="AF33" s="125">
        <v>41527</v>
      </c>
      <c r="AG33" s="111" t="s">
        <v>7718</v>
      </c>
      <c r="AH33" s="125">
        <v>41527</v>
      </c>
      <c r="AI33" s="111">
        <v>130</v>
      </c>
      <c r="AJ33" s="125">
        <v>41527</v>
      </c>
      <c r="BS33" s="111">
        <v>43.9</v>
      </c>
      <c r="BT33" s="125">
        <v>41527</v>
      </c>
      <c r="BU33">
        <v>21.2</v>
      </c>
      <c r="BV33" s="125">
        <v>41527</v>
      </c>
      <c r="CC33" s="111">
        <v>8.4</v>
      </c>
      <c r="CD33" s="125">
        <v>41527</v>
      </c>
      <c r="CG33" s="111">
        <v>4.03</v>
      </c>
      <c r="CH33" s="125">
        <v>41527</v>
      </c>
      <c r="CK33" s="111">
        <v>30</v>
      </c>
    </row>
    <row r="34" spans="1:89">
      <c r="A34" s="126" t="s">
        <v>7448</v>
      </c>
      <c r="B34" t="s">
        <v>257</v>
      </c>
      <c r="C34" t="s">
        <v>7794</v>
      </c>
      <c r="D34">
        <v>6</v>
      </c>
      <c r="E34" s="93">
        <v>2</v>
      </c>
      <c r="F34" s="93">
        <v>34</v>
      </c>
      <c r="K34" s="92">
        <v>7</v>
      </c>
      <c r="L34" s="159">
        <v>41569</v>
      </c>
      <c r="S34" s="111">
        <v>1834.02</v>
      </c>
      <c r="T34" s="125">
        <v>41527</v>
      </c>
      <c r="U34" s="111">
        <v>10.8</v>
      </c>
      <c r="Y34" s="111">
        <v>815.58</v>
      </c>
      <c r="Z34" s="125">
        <v>41527</v>
      </c>
      <c r="AA34" s="111" t="s">
        <v>7718</v>
      </c>
      <c r="AB34" s="125">
        <v>41527</v>
      </c>
      <c r="AE34">
        <v>41.4</v>
      </c>
      <c r="AF34" s="125">
        <v>41527</v>
      </c>
      <c r="AG34" s="111" t="s">
        <v>7718</v>
      </c>
      <c r="AH34" s="125">
        <v>41527</v>
      </c>
      <c r="AI34" s="111">
        <v>120</v>
      </c>
      <c r="AJ34" s="125">
        <v>41527</v>
      </c>
      <c r="BS34" s="111">
        <v>44.3</v>
      </c>
      <c r="BT34" s="125">
        <v>41527</v>
      </c>
      <c r="BU34">
        <v>19.7</v>
      </c>
      <c r="BV34" s="125">
        <v>41527</v>
      </c>
      <c r="CC34" s="111">
        <v>8.4</v>
      </c>
      <c r="CD34" s="125">
        <v>41527</v>
      </c>
      <c r="CG34" s="111">
        <v>3.07</v>
      </c>
      <c r="CH34" s="125">
        <v>41527</v>
      </c>
      <c r="CK34" s="111">
        <v>30</v>
      </c>
    </row>
    <row r="35" spans="1:89">
      <c r="A35" s="126" t="s">
        <v>7448</v>
      </c>
      <c r="B35" t="s">
        <v>259</v>
      </c>
      <c r="C35" t="s">
        <v>7794</v>
      </c>
      <c r="D35">
        <v>6</v>
      </c>
      <c r="E35" s="93">
        <v>5</v>
      </c>
      <c r="F35" s="93">
        <v>43</v>
      </c>
      <c r="K35" s="92">
        <v>5</v>
      </c>
      <c r="L35" s="159">
        <v>41569</v>
      </c>
      <c r="S35" s="111">
        <v>1896.912</v>
      </c>
      <c r="T35" s="125">
        <v>41527</v>
      </c>
      <c r="U35" s="111">
        <v>10.8</v>
      </c>
      <c r="Y35" s="111">
        <v>935.28300000000002</v>
      </c>
      <c r="Z35" s="125">
        <v>41527</v>
      </c>
      <c r="AA35" s="111" t="s">
        <v>7718</v>
      </c>
      <c r="AB35" s="125">
        <v>41527</v>
      </c>
      <c r="AE35">
        <v>43.91</v>
      </c>
      <c r="AF35" s="125">
        <v>41527</v>
      </c>
      <c r="AG35" s="111" t="s">
        <v>7718</v>
      </c>
      <c r="AH35" s="125">
        <v>41527</v>
      </c>
      <c r="AI35" s="111">
        <v>125</v>
      </c>
      <c r="AJ35" s="125">
        <v>41527</v>
      </c>
      <c r="BS35" s="111">
        <v>43.2</v>
      </c>
      <c r="BT35" s="125">
        <v>41527</v>
      </c>
      <c r="BU35">
        <v>21.3</v>
      </c>
      <c r="BV35" s="125">
        <v>41527</v>
      </c>
      <c r="CC35" s="111">
        <v>7.9</v>
      </c>
      <c r="CD35" s="125">
        <v>41527</v>
      </c>
      <c r="CG35" s="111">
        <v>2.81</v>
      </c>
      <c r="CH35" s="125">
        <v>41527</v>
      </c>
      <c r="CK35" s="111">
        <v>30</v>
      </c>
    </row>
    <row r="36" spans="1:89">
      <c r="A36" s="126" t="s">
        <v>7448</v>
      </c>
      <c r="B36" t="s">
        <v>257</v>
      </c>
      <c r="C36" t="s">
        <v>7795</v>
      </c>
      <c r="D36">
        <v>6</v>
      </c>
      <c r="E36" s="93">
        <v>6</v>
      </c>
      <c r="F36" s="93">
        <v>69</v>
      </c>
      <c r="K36" s="92">
        <v>5</v>
      </c>
      <c r="L36" s="159">
        <v>41569</v>
      </c>
      <c r="S36" s="111">
        <v>1500.3</v>
      </c>
      <c r="T36" s="125">
        <v>41527</v>
      </c>
      <c r="U36" s="111">
        <v>10.8</v>
      </c>
      <c r="Y36" s="111">
        <v>686.80399999999997</v>
      </c>
      <c r="Z36" s="125">
        <v>41527</v>
      </c>
      <c r="AA36" s="111">
        <v>77175.925929999998</v>
      </c>
      <c r="AB36" s="125">
        <v>41527</v>
      </c>
      <c r="AE36">
        <v>33.340000000000003</v>
      </c>
      <c r="AF36" s="125">
        <v>41527</v>
      </c>
      <c r="AG36" s="111">
        <v>4.32</v>
      </c>
      <c r="AH36" s="125">
        <v>41527</v>
      </c>
      <c r="AI36" s="111">
        <v>110</v>
      </c>
      <c r="AJ36" s="125">
        <v>41527</v>
      </c>
      <c r="BS36" s="111">
        <v>45</v>
      </c>
      <c r="BT36" s="125">
        <v>41527</v>
      </c>
      <c r="BU36">
        <v>20.6</v>
      </c>
      <c r="BV36" s="125">
        <v>41527</v>
      </c>
      <c r="CC36" s="111">
        <v>5.9</v>
      </c>
      <c r="CD36" s="125">
        <v>41527</v>
      </c>
      <c r="CG36" s="111">
        <v>2.3199999999999998</v>
      </c>
      <c r="CH36" s="125">
        <v>41527</v>
      </c>
      <c r="CK36" s="111">
        <v>20</v>
      </c>
    </row>
    <row r="37" spans="1:89">
      <c r="A37" s="126" t="s">
        <v>7448</v>
      </c>
      <c r="B37" t="s">
        <v>259</v>
      </c>
      <c r="C37" t="s">
        <v>7795</v>
      </c>
      <c r="D37">
        <v>6</v>
      </c>
      <c r="E37" s="93">
        <v>2</v>
      </c>
      <c r="F37" s="93">
        <v>79</v>
      </c>
      <c r="K37" s="92">
        <v>5</v>
      </c>
      <c r="L37" s="159">
        <v>41569</v>
      </c>
      <c r="S37" s="111">
        <v>1952.83</v>
      </c>
      <c r="T37" s="125">
        <v>41527</v>
      </c>
      <c r="U37" s="111">
        <v>10.8</v>
      </c>
      <c r="Y37" s="111">
        <v>983.18</v>
      </c>
      <c r="Z37" s="125">
        <v>41527</v>
      </c>
      <c r="AA37" s="111">
        <v>102968.0365</v>
      </c>
      <c r="AB37" s="125">
        <v>41527</v>
      </c>
      <c r="AE37">
        <v>45.1</v>
      </c>
      <c r="AF37" s="125">
        <v>41527</v>
      </c>
      <c r="AG37" s="111">
        <v>4.38</v>
      </c>
      <c r="AH37" s="125">
        <v>41527</v>
      </c>
      <c r="AI37" s="111">
        <v>125</v>
      </c>
      <c r="AJ37" s="125">
        <v>41527</v>
      </c>
      <c r="BS37" s="111">
        <v>43.3</v>
      </c>
      <c r="BT37" s="125">
        <v>41527</v>
      </c>
      <c r="BU37">
        <v>21.8</v>
      </c>
      <c r="BV37" s="125">
        <v>41527</v>
      </c>
      <c r="CC37" s="111">
        <v>8.3000000000000007</v>
      </c>
      <c r="CD37" s="125">
        <v>41527</v>
      </c>
      <c r="CG37" s="111">
        <v>5.5</v>
      </c>
      <c r="CH37" s="125">
        <v>41527</v>
      </c>
      <c r="CK37" s="111">
        <v>30</v>
      </c>
    </row>
    <row r="38" spans="1:89">
      <c r="A38" s="126" t="s">
        <v>7804</v>
      </c>
      <c r="B38" t="s">
        <v>257</v>
      </c>
      <c r="C38" t="s">
        <v>405</v>
      </c>
      <c r="D38">
        <v>7</v>
      </c>
      <c r="E38" s="93">
        <v>5</v>
      </c>
      <c r="F38" s="93">
        <v>16</v>
      </c>
      <c r="K38" s="92">
        <v>5</v>
      </c>
      <c r="L38" s="159">
        <v>41569</v>
      </c>
      <c r="S38" s="111">
        <v>1369.3889999999999</v>
      </c>
      <c r="T38" s="125">
        <v>41527</v>
      </c>
      <c r="U38" s="111">
        <v>10.8</v>
      </c>
      <c r="Y38" s="111">
        <v>673.47</v>
      </c>
      <c r="Z38" s="125">
        <v>41527</v>
      </c>
      <c r="AA38" s="111" t="s">
        <v>7718</v>
      </c>
      <c r="AB38" s="125">
        <v>41527</v>
      </c>
      <c r="AE38">
        <v>32.07</v>
      </c>
      <c r="AF38" s="125">
        <v>41527</v>
      </c>
      <c r="AG38" s="111" t="s">
        <v>7718</v>
      </c>
      <c r="AH38" s="125">
        <v>41527</v>
      </c>
      <c r="AI38" s="111">
        <v>125</v>
      </c>
      <c r="AJ38" s="125">
        <v>41527</v>
      </c>
      <c r="BS38" s="111">
        <v>42.7</v>
      </c>
      <c r="BT38" s="125">
        <v>41527</v>
      </c>
      <c r="BU38">
        <v>21</v>
      </c>
      <c r="BV38" s="125">
        <v>41527</v>
      </c>
      <c r="CC38" s="111">
        <v>6.7</v>
      </c>
      <c r="CD38" s="125">
        <v>41527</v>
      </c>
      <c r="CG38" s="111">
        <v>6.79</v>
      </c>
      <c r="CH38" s="125">
        <v>41527</v>
      </c>
      <c r="CK38" s="111">
        <v>5</v>
      </c>
    </row>
    <row r="39" spans="1:89">
      <c r="A39" s="126" t="s">
        <v>7804</v>
      </c>
      <c r="B39" t="s">
        <v>259</v>
      </c>
      <c r="C39" t="s">
        <v>405</v>
      </c>
      <c r="D39">
        <v>7</v>
      </c>
      <c r="E39" s="93">
        <v>2</v>
      </c>
      <c r="F39" s="93">
        <v>27</v>
      </c>
      <c r="K39" s="92">
        <v>7</v>
      </c>
      <c r="L39" s="159">
        <v>41569</v>
      </c>
      <c r="S39" s="111">
        <v>1555.13</v>
      </c>
      <c r="T39" s="125">
        <v>41527</v>
      </c>
      <c r="U39" s="111">
        <v>10.8</v>
      </c>
      <c r="Y39" s="111">
        <v>887.56200000000001</v>
      </c>
      <c r="Z39" s="125">
        <v>41527</v>
      </c>
      <c r="AA39" s="111" t="s">
        <v>7718</v>
      </c>
      <c r="AB39" s="125">
        <v>41527</v>
      </c>
      <c r="AE39">
        <v>37.93</v>
      </c>
      <c r="AF39" s="125">
        <v>41527</v>
      </c>
      <c r="AG39" s="111" t="s">
        <v>7718</v>
      </c>
      <c r="AH39" s="125">
        <v>41527</v>
      </c>
      <c r="AI39" s="111">
        <v>125</v>
      </c>
      <c r="AJ39" s="125">
        <v>41527</v>
      </c>
      <c r="BS39" s="111">
        <v>41</v>
      </c>
      <c r="BT39" s="125">
        <v>41527</v>
      </c>
      <c r="BU39">
        <v>23.4</v>
      </c>
      <c r="BV39" s="125">
        <v>41527</v>
      </c>
      <c r="CC39" s="111">
        <v>13.8</v>
      </c>
      <c r="CD39" s="125">
        <v>41527</v>
      </c>
      <c r="CG39" s="111">
        <v>5.84</v>
      </c>
      <c r="CH39" s="125">
        <v>41527</v>
      </c>
      <c r="CK39" s="111">
        <v>5</v>
      </c>
    </row>
    <row r="40" spans="1:89">
      <c r="A40" s="126" t="s">
        <v>7804</v>
      </c>
      <c r="B40" t="s">
        <v>257</v>
      </c>
      <c r="C40" t="s">
        <v>7794</v>
      </c>
      <c r="D40">
        <v>7</v>
      </c>
      <c r="E40" s="93">
        <v>1</v>
      </c>
      <c r="F40" s="93">
        <v>48</v>
      </c>
      <c r="K40" s="92">
        <v>7</v>
      </c>
      <c r="L40" s="159">
        <v>41569</v>
      </c>
      <c r="S40" s="111">
        <v>1735.0309999999999</v>
      </c>
      <c r="T40" s="125">
        <v>41527</v>
      </c>
      <c r="U40" s="111">
        <v>10.8</v>
      </c>
      <c r="Y40" s="111">
        <v>829.44899999999996</v>
      </c>
      <c r="Z40" s="125">
        <v>41527</v>
      </c>
      <c r="AA40" s="111" t="s">
        <v>7718</v>
      </c>
      <c r="AB40" s="125">
        <v>41527</v>
      </c>
      <c r="AE40">
        <v>40.07</v>
      </c>
      <c r="AF40" s="125">
        <v>41527</v>
      </c>
      <c r="AG40" s="111" t="s">
        <v>7718</v>
      </c>
      <c r="AH40" s="125">
        <v>41527</v>
      </c>
      <c r="AI40" s="111">
        <v>130</v>
      </c>
      <c r="AJ40" s="125">
        <v>41527</v>
      </c>
      <c r="BS40" s="111">
        <v>43.3</v>
      </c>
      <c r="BT40" s="125">
        <v>41527</v>
      </c>
      <c r="BU40">
        <v>20.7</v>
      </c>
      <c r="BV40" s="125">
        <v>41527</v>
      </c>
      <c r="CC40" s="111">
        <v>8.6999999999999993</v>
      </c>
      <c r="CD40" s="125">
        <v>41527</v>
      </c>
      <c r="CG40" s="111">
        <v>3.04</v>
      </c>
      <c r="CH40" s="125">
        <v>41527</v>
      </c>
      <c r="CK40" s="111">
        <v>1</v>
      </c>
    </row>
    <row r="41" spans="1:89">
      <c r="A41" s="126" t="s">
        <v>7804</v>
      </c>
      <c r="B41" t="s">
        <v>259</v>
      </c>
      <c r="C41" t="s">
        <v>7794</v>
      </c>
      <c r="D41">
        <v>7</v>
      </c>
      <c r="E41" s="93">
        <v>4</v>
      </c>
      <c r="F41" s="93">
        <v>46</v>
      </c>
      <c r="K41" s="92">
        <v>5</v>
      </c>
      <c r="L41" s="159">
        <v>41569</v>
      </c>
      <c r="S41" s="111">
        <v>1889.4949999999999</v>
      </c>
      <c r="T41" s="125">
        <v>41527</v>
      </c>
      <c r="U41" s="111">
        <v>10.8</v>
      </c>
      <c r="Y41" s="111">
        <v>1028.9780000000001</v>
      </c>
      <c r="Z41" s="125">
        <v>41527</v>
      </c>
      <c r="AA41" s="111" t="s">
        <v>7718</v>
      </c>
      <c r="AB41" s="125">
        <v>41527</v>
      </c>
      <c r="AE41">
        <v>45.53</v>
      </c>
      <c r="AF41" s="125">
        <v>41527</v>
      </c>
      <c r="AG41" s="111" t="s">
        <v>7718</v>
      </c>
      <c r="AH41" s="125">
        <v>41527</v>
      </c>
      <c r="AI41" s="111">
        <v>135</v>
      </c>
      <c r="AJ41" s="125">
        <v>41527</v>
      </c>
      <c r="BS41" s="111">
        <v>41.5</v>
      </c>
      <c r="BT41" s="125">
        <v>41527</v>
      </c>
      <c r="BU41">
        <v>22.6</v>
      </c>
      <c r="BV41" s="125">
        <v>41527</v>
      </c>
      <c r="CC41" s="111">
        <v>8</v>
      </c>
      <c r="CD41" s="125">
        <v>41527</v>
      </c>
      <c r="CG41" s="111">
        <v>4.76</v>
      </c>
      <c r="CH41" s="125">
        <v>41527</v>
      </c>
      <c r="CK41" s="111">
        <v>5</v>
      </c>
    </row>
    <row r="42" spans="1:89">
      <c r="A42" s="126" t="s">
        <v>7804</v>
      </c>
      <c r="B42" t="s">
        <v>257</v>
      </c>
      <c r="C42" t="s">
        <v>7795</v>
      </c>
      <c r="D42">
        <v>7</v>
      </c>
      <c r="E42" s="93">
        <v>6</v>
      </c>
      <c r="F42" s="93">
        <v>66</v>
      </c>
      <c r="K42" s="92">
        <v>3</v>
      </c>
      <c r="L42" s="159">
        <v>41569</v>
      </c>
      <c r="S42" s="111">
        <v>1068.48</v>
      </c>
      <c r="T42" s="125">
        <v>41527</v>
      </c>
      <c r="U42" s="111">
        <v>10.8</v>
      </c>
      <c r="Y42" s="111">
        <v>549.50400000000002</v>
      </c>
      <c r="Z42" s="125">
        <v>41527</v>
      </c>
      <c r="AA42" s="111">
        <v>51084.337350000002</v>
      </c>
      <c r="AB42" s="125">
        <v>41527</v>
      </c>
      <c r="AE42">
        <v>25.44</v>
      </c>
      <c r="AF42" s="125">
        <v>41527</v>
      </c>
      <c r="AG42" s="111">
        <v>4.9800000000000004</v>
      </c>
      <c r="AH42" s="125">
        <v>41527</v>
      </c>
      <c r="AI42" s="111">
        <v>120</v>
      </c>
      <c r="AJ42" s="125">
        <v>41527</v>
      </c>
      <c r="BS42" s="111">
        <v>42</v>
      </c>
      <c r="BT42" s="125">
        <v>41527</v>
      </c>
      <c r="BU42">
        <v>21.6</v>
      </c>
      <c r="BV42" s="125">
        <v>41527</v>
      </c>
      <c r="CC42" s="111">
        <v>6.8</v>
      </c>
      <c r="CD42" s="125">
        <v>41527</v>
      </c>
      <c r="CG42" s="111">
        <v>3.36</v>
      </c>
      <c r="CH42" s="125">
        <v>41527</v>
      </c>
      <c r="CK42" s="111">
        <v>5</v>
      </c>
    </row>
    <row r="43" spans="1:89">
      <c r="A43" s="126" t="s">
        <v>7804</v>
      </c>
      <c r="B43" t="s">
        <v>259</v>
      </c>
      <c r="C43" t="s">
        <v>7795</v>
      </c>
      <c r="D43">
        <v>7</v>
      </c>
      <c r="E43" s="93">
        <v>3</v>
      </c>
      <c r="F43" s="93">
        <v>77</v>
      </c>
      <c r="K43" s="92">
        <v>7</v>
      </c>
      <c r="L43" s="159">
        <v>41569</v>
      </c>
      <c r="S43" s="111">
        <v>1645.816</v>
      </c>
      <c r="T43" s="125">
        <v>41527</v>
      </c>
      <c r="U43" s="111">
        <v>10.8</v>
      </c>
      <c r="Y43" s="111">
        <v>925.52</v>
      </c>
      <c r="Z43" s="125">
        <v>41527</v>
      </c>
      <c r="AA43" s="111">
        <v>76501.901140000002</v>
      </c>
      <c r="AB43" s="125">
        <v>41527</v>
      </c>
      <c r="AE43">
        <v>40.24</v>
      </c>
      <c r="AF43" s="125">
        <v>41527</v>
      </c>
      <c r="AG43" s="111">
        <v>5.26</v>
      </c>
      <c r="AH43" s="125">
        <v>41527</v>
      </c>
      <c r="AI43" s="111">
        <v>140</v>
      </c>
      <c r="AJ43" s="125">
        <v>41527</v>
      </c>
      <c r="BS43" s="111">
        <v>40.9</v>
      </c>
      <c r="BT43" s="125">
        <v>41527</v>
      </c>
      <c r="BU43">
        <v>23</v>
      </c>
      <c r="BV43" s="125">
        <v>41527</v>
      </c>
      <c r="CC43" s="111">
        <v>7.8</v>
      </c>
      <c r="CD43" s="125">
        <v>41527</v>
      </c>
      <c r="CG43" s="111">
        <v>3.67</v>
      </c>
      <c r="CH43" s="125">
        <v>41527</v>
      </c>
      <c r="CK43" s="111">
        <v>5</v>
      </c>
    </row>
    <row r="44" spans="1:89">
      <c r="A44" s="126" t="s">
        <v>7805</v>
      </c>
      <c r="B44" t="s">
        <v>257</v>
      </c>
      <c r="C44" t="s">
        <v>405</v>
      </c>
      <c r="D44">
        <v>8</v>
      </c>
      <c r="E44" s="93">
        <v>5</v>
      </c>
      <c r="F44" s="93">
        <v>19</v>
      </c>
      <c r="K44" s="92">
        <v>5</v>
      </c>
      <c r="L44" s="159">
        <v>41569</v>
      </c>
      <c r="S44" s="111">
        <v>1581.22</v>
      </c>
      <c r="T44" s="125">
        <v>41527</v>
      </c>
      <c r="U44" s="111">
        <v>10.8</v>
      </c>
      <c r="Y44" s="111">
        <v>653.94000000000005</v>
      </c>
      <c r="Z44" s="125">
        <v>41527</v>
      </c>
      <c r="AA44" s="111" t="s">
        <v>7718</v>
      </c>
      <c r="AB44" s="125">
        <v>41527</v>
      </c>
      <c r="AE44">
        <v>34.6</v>
      </c>
      <c r="AF44" s="125">
        <v>41527</v>
      </c>
      <c r="AG44" s="111" t="s">
        <v>7718</v>
      </c>
      <c r="AH44" s="125">
        <v>41527</v>
      </c>
      <c r="AI44" s="111">
        <v>120</v>
      </c>
      <c r="AJ44" s="125">
        <v>41527</v>
      </c>
      <c r="BS44" s="111">
        <v>45.7</v>
      </c>
      <c r="BT44" s="125">
        <v>41527</v>
      </c>
      <c r="BU44">
        <v>18.899999999999999</v>
      </c>
      <c r="BV44" s="125">
        <v>41527</v>
      </c>
      <c r="CC44" s="111">
        <v>7</v>
      </c>
      <c r="CD44" s="125">
        <v>41527</v>
      </c>
      <c r="CG44" s="111">
        <v>6.62</v>
      </c>
      <c r="CH44" s="125">
        <v>41527</v>
      </c>
      <c r="CK44" s="111">
        <v>20</v>
      </c>
    </row>
    <row r="45" spans="1:89">
      <c r="A45" s="126" t="s">
        <v>7805</v>
      </c>
      <c r="B45" t="s">
        <v>259</v>
      </c>
      <c r="C45" t="s">
        <v>405</v>
      </c>
      <c r="D45">
        <v>8</v>
      </c>
      <c r="E45" s="93">
        <v>2</v>
      </c>
      <c r="F45" s="93">
        <v>9</v>
      </c>
      <c r="K45" s="92">
        <v>5</v>
      </c>
      <c r="L45" s="159">
        <v>41569</v>
      </c>
      <c r="S45" s="111">
        <v>2116.4</v>
      </c>
      <c r="T45" s="125">
        <v>41527</v>
      </c>
      <c r="U45" s="111">
        <v>10.8</v>
      </c>
      <c r="Y45" s="111">
        <v>1014.91</v>
      </c>
      <c r="Z45" s="125">
        <v>41527</v>
      </c>
      <c r="AA45" s="111" t="s">
        <v>7718</v>
      </c>
      <c r="AB45" s="125">
        <v>41527</v>
      </c>
      <c r="AE45">
        <v>48.1</v>
      </c>
      <c r="AF45" s="125">
        <v>41527</v>
      </c>
      <c r="AG45" s="111" t="s">
        <v>7718</v>
      </c>
      <c r="AH45" s="125">
        <v>41527</v>
      </c>
      <c r="AI45" s="111">
        <v>130</v>
      </c>
      <c r="AJ45" s="125">
        <v>41527</v>
      </c>
      <c r="BS45" s="111">
        <v>44</v>
      </c>
      <c r="BT45" s="125">
        <v>41527</v>
      </c>
      <c r="BU45">
        <v>21.1</v>
      </c>
      <c r="BV45" s="125">
        <v>41527</v>
      </c>
      <c r="CC45" s="111">
        <v>8.4</v>
      </c>
      <c r="CD45" s="125">
        <v>41527</v>
      </c>
      <c r="CG45" s="111">
        <v>2</v>
      </c>
      <c r="CH45" s="125">
        <v>41527</v>
      </c>
      <c r="CK45" s="111">
        <v>30</v>
      </c>
    </row>
    <row r="46" spans="1:89">
      <c r="A46" s="126" t="s">
        <v>7805</v>
      </c>
      <c r="B46" t="s">
        <v>257</v>
      </c>
      <c r="C46" t="s">
        <v>7794</v>
      </c>
      <c r="D46">
        <v>8</v>
      </c>
      <c r="E46" s="93">
        <v>1</v>
      </c>
      <c r="F46" s="93">
        <v>57</v>
      </c>
      <c r="K46" s="92">
        <v>5</v>
      </c>
      <c r="L46" s="159">
        <v>41569</v>
      </c>
      <c r="S46" s="111">
        <v>1773.3309999999999</v>
      </c>
      <c r="T46" s="125">
        <v>41527</v>
      </c>
      <c r="U46" s="111">
        <v>10.8</v>
      </c>
      <c r="Y46" s="111">
        <v>867.97699999999998</v>
      </c>
      <c r="Z46" s="125">
        <v>41527</v>
      </c>
      <c r="AA46" s="111" t="s">
        <v>7718</v>
      </c>
      <c r="AB46" s="125">
        <v>41527</v>
      </c>
      <c r="AE46">
        <v>41.53</v>
      </c>
      <c r="AF46" s="125">
        <v>41527</v>
      </c>
      <c r="AG46" s="111" t="s">
        <v>7718</v>
      </c>
      <c r="AH46" s="125">
        <v>41527</v>
      </c>
      <c r="AI46" s="111">
        <v>120</v>
      </c>
      <c r="AJ46" s="125">
        <v>41527</v>
      </c>
      <c r="BS46" s="111">
        <v>42.7</v>
      </c>
      <c r="BT46" s="125">
        <v>41527</v>
      </c>
      <c r="BU46">
        <v>20.9</v>
      </c>
      <c r="BV46" s="125">
        <v>41527</v>
      </c>
      <c r="CC46" s="111">
        <v>8</v>
      </c>
      <c r="CD46" s="125">
        <v>41527</v>
      </c>
      <c r="CG46" s="111">
        <v>3.78</v>
      </c>
      <c r="CH46" s="125">
        <v>41527</v>
      </c>
      <c r="CK46" s="111">
        <v>20</v>
      </c>
    </row>
    <row r="47" spans="1:89">
      <c r="A47" s="126" t="s">
        <v>7805</v>
      </c>
      <c r="B47" t="s">
        <v>259</v>
      </c>
      <c r="C47" t="s">
        <v>7794</v>
      </c>
      <c r="D47">
        <v>8</v>
      </c>
      <c r="E47" s="93">
        <v>5</v>
      </c>
      <c r="F47" s="93">
        <v>47</v>
      </c>
      <c r="K47" s="92">
        <v>5</v>
      </c>
      <c r="L47" s="159">
        <v>41569</v>
      </c>
      <c r="S47" s="111">
        <v>2120.36</v>
      </c>
      <c r="T47" s="125">
        <v>41527</v>
      </c>
      <c r="U47" s="111">
        <v>10.8</v>
      </c>
      <c r="Y47" s="111">
        <v>1002.352</v>
      </c>
      <c r="Z47" s="125">
        <v>41527</v>
      </c>
      <c r="AA47" s="111" t="s">
        <v>7718</v>
      </c>
      <c r="AB47" s="125">
        <v>41527</v>
      </c>
      <c r="AE47">
        <v>48.19</v>
      </c>
      <c r="AF47" s="125">
        <v>41527</v>
      </c>
      <c r="AG47" s="111" t="s">
        <v>7718</v>
      </c>
      <c r="AH47" s="125">
        <v>41527</v>
      </c>
      <c r="AI47" s="111">
        <v>125</v>
      </c>
      <c r="AJ47" s="125">
        <v>41527</v>
      </c>
      <c r="BS47" s="111">
        <v>44</v>
      </c>
      <c r="BT47" s="125">
        <v>41527</v>
      </c>
      <c r="BU47">
        <v>20.8</v>
      </c>
      <c r="BV47" s="125">
        <v>41527</v>
      </c>
      <c r="CC47" s="111">
        <v>7.4</v>
      </c>
      <c r="CD47" s="125">
        <v>41527</v>
      </c>
      <c r="CG47" s="111">
        <v>2.54</v>
      </c>
      <c r="CH47" s="125">
        <v>41527</v>
      </c>
      <c r="CK47" s="111">
        <v>20</v>
      </c>
    </row>
    <row r="48" spans="1:89">
      <c r="A48" s="126" t="s">
        <v>7805</v>
      </c>
      <c r="B48" t="s">
        <v>257</v>
      </c>
      <c r="C48" t="s">
        <v>7795</v>
      </c>
      <c r="D48">
        <v>8</v>
      </c>
      <c r="E48" s="93">
        <v>4</v>
      </c>
      <c r="F48" s="93">
        <v>87</v>
      </c>
      <c r="K48" s="92">
        <v>5</v>
      </c>
      <c r="L48" s="159">
        <v>41569</v>
      </c>
      <c r="S48" s="111">
        <v>1265.731</v>
      </c>
      <c r="T48" s="125">
        <v>41527</v>
      </c>
      <c r="U48" s="111">
        <v>10.8</v>
      </c>
      <c r="Y48" s="111">
        <v>555.34299999999996</v>
      </c>
      <c r="Z48" s="125">
        <v>41527</v>
      </c>
      <c r="AA48" s="111">
        <v>61282.608699999997</v>
      </c>
      <c r="AB48" s="125">
        <v>41527</v>
      </c>
      <c r="AE48">
        <v>28.19</v>
      </c>
      <c r="AF48" s="125">
        <v>41527</v>
      </c>
      <c r="AG48" s="111">
        <v>4.5999999999999996</v>
      </c>
      <c r="AH48" s="125">
        <v>41527</v>
      </c>
      <c r="AI48" s="111">
        <v>120</v>
      </c>
      <c r="AJ48" s="125">
        <v>41527</v>
      </c>
      <c r="BS48" s="111">
        <v>44.9</v>
      </c>
      <c r="BT48" s="125">
        <v>41527</v>
      </c>
      <c r="BU48">
        <v>19.7</v>
      </c>
      <c r="BV48" s="125">
        <v>41527</v>
      </c>
      <c r="CC48" s="111">
        <v>8.9</v>
      </c>
      <c r="CD48" s="125">
        <v>41527</v>
      </c>
      <c r="CG48" s="111">
        <v>4.12</v>
      </c>
      <c r="CH48" s="125">
        <v>41527</v>
      </c>
      <c r="CK48" s="111">
        <v>20</v>
      </c>
    </row>
    <row r="49" spans="1:89">
      <c r="A49" s="126" t="s">
        <v>7805</v>
      </c>
      <c r="B49" t="s">
        <v>259</v>
      </c>
      <c r="C49" t="s">
        <v>7795</v>
      </c>
      <c r="D49">
        <v>8</v>
      </c>
      <c r="E49" s="93">
        <v>1</v>
      </c>
      <c r="F49" s="93">
        <v>87</v>
      </c>
      <c r="K49" s="92">
        <v>5</v>
      </c>
      <c r="L49" s="159">
        <v>41569</v>
      </c>
      <c r="S49" s="111">
        <v>1349.568</v>
      </c>
      <c r="T49" s="125">
        <v>41527</v>
      </c>
      <c r="U49" s="111">
        <v>10.8</v>
      </c>
      <c r="Y49" s="111">
        <v>659.16399999999999</v>
      </c>
      <c r="Z49" s="125">
        <v>41527</v>
      </c>
      <c r="AA49" s="111">
        <v>66752.136750000005</v>
      </c>
      <c r="AB49" s="125">
        <v>41527</v>
      </c>
      <c r="AE49">
        <v>31.24</v>
      </c>
      <c r="AF49" s="125">
        <v>41527</v>
      </c>
      <c r="AG49" s="111">
        <v>4.68</v>
      </c>
      <c r="AH49" s="125">
        <v>41527</v>
      </c>
      <c r="AI49" s="111">
        <v>130</v>
      </c>
      <c r="AJ49" s="125">
        <v>41527</v>
      </c>
      <c r="BS49" s="111">
        <v>43.2</v>
      </c>
      <c r="BT49" s="125">
        <v>41527</v>
      </c>
      <c r="BU49">
        <v>21.1</v>
      </c>
      <c r="BV49" s="125">
        <v>41527</v>
      </c>
      <c r="CC49" s="111">
        <v>10.199999999999999</v>
      </c>
      <c r="CD49" s="125">
        <v>41527</v>
      </c>
      <c r="CG49" s="111">
        <v>4.07</v>
      </c>
      <c r="CH49" s="125">
        <v>41527</v>
      </c>
      <c r="CK49" s="111">
        <v>30</v>
      </c>
    </row>
    <row r="50" spans="1:89">
      <c r="A50" s="126" t="s">
        <v>7806</v>
      </c>
      <c r="B50" t="s">
        <v>257</v>
      </c>
      <c r="C50" t="s">
        <v>405</v>
      </c>
      <c r="D50">
        <v>9</v>
      </c>
      <c r="E50" s="93">
        <v>6</v>
      </c>
      <c r="F50" s="93">
        <v>7</v>
      </c>
      <c r="K50" s="92">
        <v>5</v>
      </c>
      <c r="L50" s="159">
        <v>41569</v>
      </c>
      <c r="S50" s="111">
        <v>1246.5239999999999</v>
      </c>
      <c r="T50" s="125">
        <v>41527</v>
      </c>
      <c r="U50" s="111">
        <v>10.8</v>
      </c>
      <c r="Y50" s="111">
        <v>591.81299999999999</v>
      </c>
      <c r="Z50" s="125">
        <v>41527</v>
      </c>
      <c r="AA50" s="111" t="s">
        <v>7718</v>
      </c>
      <c r="AB50" s="125">
        <v>41527</v>
      </c>
      <c r="AE50">
        <v>28.59</v>
      </c>
      <c r="AF50" s="125">
        <v>41527</v>
      </c>
      <c r="AG50" s="111" t="s">
        <v>7718</v>
      </c>
      <c r="AH50" s="125">
        <v>41527</v>
      </c>
      <c r="AI50" s="111">
        <v>115</v>
      </c>
      <c r="AJ50" s="125">
        <v>41527</v>
      </c>
      <c r="BS50" s="111">
        <v>43.6</v>
      </c>
      <c r="BT50" s="125">
        <v>41527</v>
      </c>
      <c r="BU50">
        <v>20.7</v>
      </c>
      <c r="BV50" s="125">
        <v>41527</v>
      </c>
      <c r="CC50" s="111">
        <v>8.3000000000000007</v>
      </c>
      <c r="CD50" s="125">
        <v>41527</v>
      </c>
      <c r="CG50" s="111">
        <v>9.85</v>
      </c>
      <c r="CH50" s="125">
        <v>41527</v>
      </c>
      <c r="CK50" s="111">
        <v>10</v>
      </c>
    </row>
    <row r="51" spans="1:89">
      <c r="A51" s="126" t="s">
        <v>7806</v>
      </c>
      <c r="B51" t="s">
        <v>259</v>
      </c>
      <c r="C51" t="s">
        <v>405</v>
      </c>
      <c r="D51">
        <v>9</v>
      </c>
      <c r="E51" s="93">
        <v>3</v>
      </c>
      <c r="F51" s="93">
        <v>3</v>
      </c>
      <c r="K51" s="92">
        <v>5</v>
      </c>
      <c r="L51" s="159">
        <v>41569</v>
      </c>
      <c r="S51" s="111">
        <v>1673.9580000000001</v>
      </c>
      <c r="T51" s="125">
        <v>41527</v>
      </c>
      <c r="U51" s="111">
        <v>10.8</v>
      </c>
      <c r="Y51" s="111">
        <v>877.95</v>
      </c>
      <c r="Z51" s="125">
        <v>41527</v>
      </c>
      <c r="AA51" s="111" t="s">
        <v>7718</v>
      </c>
      <c r="AB51" s="125">
        <v>41527</v>
      </c>
      <c r="AE51">
        <v>39.020000000000003</v>
      </c>
      <c r="AF51" s="125">
        <v>41527</v>
      </c>
      <c r="AG51" s="111" t="s">
        <v>7718</v>
      </c>
      <c r="AH51" s="125">
        <v>41527</v>
      </c>
      <c r="AI51" s="111">
        <v>140</v>
      </c>
      <c r="AJ51" s="125">
        <v>41527</v>
      </c>
      <c r="BS51" s="111">
        <v>42.9</v>
      </c>
      <c r="BT51" s="125">
        <v>41527</v>
      </c>
      <c r="BU51">
        <v>22.5</v>
      </c>
      <c r="BV51" s="125">
        <v>41527</v>
      </c>
      <c r="CC51" s="111">
        <v>13.8</v>
      </c>
      <c r="CD51" s="125">
        <v>41527</v>
      </c>
      <c r="CG51" s="111">
        <v>4.2300000000000004</v>
      </c>
      <c r="CH51" s="125">
        <v>41527</v>
      </c>
      <c r="CK51" s="111">
        <v>20</v>
      </c>
    </row>
    <row r="52" spans="1:89">
      <c r="A52" s="126" t="s">
        <v>7806</v>
      </c>
      <c r="B52" t="s">
        <v>257</v>
      </c>
      <c r="C52" t="s">
        <v>7794</v>
      </c>
      <c r="D52">
        <v>9</v>
      </c>
      <c r="E52" s="93">
        <v>3</v>
      </c>
      <c r="F52" s="93">
        <v>51</v>
      </c>
      <c r="K52" s="92">
        <v>5</v>
      </c>
      <c r="L52" s="159">
        <v>41569</v>
      </c>
      <c r="S52" s="111">
        <v>1594.0160000000001</v>
      </c>
      <c r="T52" s="125">
        <v>41527</v>
      </c>
      <c r="U52" s="111">
        <v>10.8</v>
      </c>
      <c r="Y52" s="111">
        <v>764.10400000000004</v>
      </c>
      <c r="Z52" s="125">
        <v>41527</v>
      </c>
      <c r="AA52" s="111" t="s">
        <v>7718</v>
      </c>
      <c r="AB52" s="125">
        <v>41527</v>
      </c>
      <c r="AE52">
        <v>36.56</v>
      </c>
      <c r="AF52" s="125">
        <v>41527</v>
      </c>
      <c r="AG52" s="111" t="s">
        <v>7718</v>
      </c>
      <c r="AH52" s="125">
        <v>41527</v>
      </c>
      <c r="AI52" s="111">
        <v>140</v>
      </c>
      <c r="AJ52" s="125">
        <v>41527</v>
      </c>
      <c r="BS52" s="111">
        <v>43.6</v>
      </c>
      <c r="BT52" s="125">
        <v>41527</v>
      </c>
      <c r="BU52">
        <v>20.9</v>
      </c>
      <c r="BV52" s="125">
        <v>41527</v>
      </c>
      <c r="CC52" s="111">
        <v>11</v>
      </c>
      <c r="CD52" s="125">
        <v>41527</v>
      </c>
      <c r="CG52" s="111">
        <v>8.4600000000000009</v>
      </c>
      <c r="CH52" s="125">
        <v>41527</v>
      </c>
      <c r="CK52" s="111">
        <v>30</v>
      </c>
    </row>
    <row r="53" spans="1:89">
      <c r="A53" s="126" t="s">
        <v>7806</v>
      </c>
      <c r="B53" t="s">
        <v>259</v>
      </c>
      <c r="C53" t="s">
        <v>7794</v>
      </c>
      <c r="D53">
        <v>9</v>
      </c>
      <c r="E53" s="93">
        <v>5</v>
      </c>
      <c r="F53" s="93">
        <v>37</v>
      </c>
      <c r="K53" s="92">
        <v>5</v>
      </c>
      <c r="L53" s="159">
        <v>41569</v>
      </c>
      <c r="S53" s="111">
        <v>1470.432</v>
      </c>
      <c r="T53" s="125">
        <v>41527</v>
      </c>
      <c r="U53" s="111">
        <v>10.8</v>
      </c>
      <c r="Y53" s="111">
        <v>752.55600000000004</v>
      </c>
      <c r="Z53" s="125">
        <v>41527</v>
      </c>
      <c r="AA53" s="111" t="s">
        <v>7718</v>
      </c>
      <c r="AB53" s="125">
        <v>41527</v>
      </c>
      <c r="AE53">
        <v>34.68</v>
      </c>
      <c r="AF53" s="125">
        <v>41527</v>
      </c>
      <c r="AG53" s="111" t="s">
        <v>7718</v>
      </c>
      <c r="AH53" s="125">
        <v>41527</v>
      </c>
      <c r="AI53" s="111">
        <v>130</v>
      </c>
      <c r="AJ53" s="125">
        <v>41527</v>
      </c>
      <c r="BS53" s="111">
        <v>42.4</v>
      </c>
      <c r="BT53" s="125">
        <v>41527</v>
      </c>
      <c r="BU53">
        <v>21.7</v>
      </c>
      <c r="BV53" s="125">
        <v>41527</v>
      </c>
      <c r="CC53" s="111">
        <v>7.9</v>
      </c>
      <c r="CD53" s="125">
        <v>41527</v>
      </c>
      <c r="CG53" s="111">
        <v>2.56</v>
      </c>
      <c r="CH53" s="125">
        <v>41527</v>
      </c>
      <c r="CK53" s="111">
        <v>30</v>
      </c>
    </row>
    <row r="54" spans="1:89">
      <c r="A54" s="126" t="s">
        <v>7806</v>
      </c>
      <c r="B54" t="s">
        <v>257</v>
      </c>
      <c r="C54" t="s">
        <v>7795</v>
      </c>
      <c r="D54">
        <v>9</v>
      </c>
      <c r="E54" s="93">
        <v>5</v>
      </c>
      <c r="F54" s="93">
        <v>82</v>
      </c>
      <c r="K54" s="92">
        <v>5</v>
      </c>
      <c r="L54" s="159">
        <v>41569</v>
      </c>
      <c r="S54" s="111">
        <v>1275.96</v>
      </c>
      <c r="T54" s="125">
        <v>41527</v>
      </c>
      <c r="U54" s="111">
        <v>10.8</v>
      </c>
      <c r="Y54" s="111">
        <v>614.46</v>
      </c>
      <c r="Z54" s="125">
        <v>41527</v>
      </c>
      <c r="AA54" s="111">
        <v>62686.567159999999</v>
      </c>
      <c r="AB54" s="125">
        <v>41527</v>
      </c>
      <c r="AE54">
        <v>29.4</v>
      </c>
      <c r="AF54" s="125">
        <v>41527</v>
      </c>
      <c r="AG54" s="111">
        <v>4.6900000000000004</v>
      </c>
      <c r="AH54" s="125">
        <v>41527</v>
      </c>
      <c r="AI54" s="111">
        <v>125</v>
      </c>
      <c r="AJ54" s="125">
        <v>41527</v>
      </c>
      <c r="BS54" s="111">
        <v>43.4</v>
      </c>
      <c r="BT54" s="125">
        <v>41527</v>
      </c>
      <c r="BU54">
        <v>20.9</v>
      </c>
      <c r="BV54" s="125">
        <v>41527</v>
      </c>
      <c r="CC54" s="111">
        <v>7.1</v>
      </c>
      <c r="CD54" s="125">
        <v>41527</v>
      </c>
      <c r="CG54" s="111">
        <v>3.51</v>
      </c>
      <c r="CH54" s="125">
        <v>41527</v>
      </c>
      <c r="CK54" s="111">
        <v>10</v>
      </c>
    </row>
    <row r="55" spans="1:89">
      <c r="A55" s="126" t="s">
        <v>7806</v>
      </c>
      <c r="B55" t="s">
        <v>259</v>
      </c>
      <c r="C55" t="s">
        <v>7795</v>
      </c>
      <c r="D55">
        <v>9</v>
      </c>
      <c r="E55" s="93">
        <v>1</v>
      </c>
      <c r="F55" s="93">
        <v>74</v>
      </c>
      <c r="K55" s="92">
        <v>5</v>
      </c>
      <c r="L55" s="159">
        <v>41569</v>
      </c>
      <c r="S55" s="111">
        <v>1242.298</v>
      </c>
      <c r="T55" s="125">
        <v>41527</v>
      </c>
      <c r="U55" s="111">
        <v>10.8</v>
      </c>
      <c r="Y55" s="111">
        <v>749.71600000000001</v>
      </c>
      <c r="Z55" s="125">
        <v>41527</v>
      </c>
      <c r="AA55" s="111">
        <v>67641.921400000007</v>
      </c>
      <c r="AB55" s="125">
        <v>41527</v>
      </c>
      <c r="AE55">
        <v>30.98</v>
      </c>
      <c r="AF55" s="125">
        <v>41527</v>
      </c>
      <c r="AG55" s="111">
        <v>4.58</v>
      </c>
      <c r="AH55" s="125">
        <v>41527</v>
      </c>
      <c r="AI55" s="111">
        <v>130</v>
      </c>
      <c r="AJ55" s="125">
        <v>41527</v>
      </c>
      <c r="BS55" s="111">
        <v>40.1</v>
      </c>
      <c r="BT55" s="125">
        <v>41527</v>
      </c>
      <c r="BU55">
        <v>24.2</v>
      </c>
      <c r="BV55" s="125">
        <v>41527</v>
      </c>
      <c r="CC55" s="111">
        <v>12.3</v>
      </c>
      <c r="CD55" s="125">
        <v>41527</v>
      </c>
      <c r="CG55" s="111">
        <v>11.69</v>
      </c>
      <c r="CH55" s="125">
        <v>41527</v>
      </c>
      <c r="CK55" s="111">
        <v>20</v>
      </c>
    </row>
    <row r="56" spans="1:89">
      <c r="A56" s="126" t="s">
        <v>7807</v>
      </c>
      <c r="B56" t="s">
        <v>257</v>
      </c>
      <c r="C56" t="s">
        <v>405</v>
      </c>
      <c r="D56">
        <v>10</v>
      </c>
      <c r="E56" s="93">
        <v>4</v>
      </c>
      <c r="F56" s="93">
        <v>26</v>
      </c>
      <c r="K56" s="92">
        <v>5</v>
      </c>
      <c r="L56" s="159">
        <v>41569</v>
      </c>
      <c r="S56" s="111">
        <v>1606.462</v>
      </c>
      <c r="T56" s="125">
        <v>41527</v>
      </c>
      <c r="U56" s="111">
        <v>10.8</v>
      </c>
      <c r="Y56" s="111">
        <v>701.71400000000006</v>
      </c>
      <c r="Z56" s="125">
        <v>41527</v>
      </c>
      <c r="AA56" s="111" t="s">
        <v>7718</v>
      </c>
      <c r="AB56" s="125">
        <v>41527</v>
      </c>
      <c r="AE56">
        <v>35.619999999999997</v>
      </c>
      <c r="AF56" s="125">
        <v>41527</v>
      </c>
      <c r="AG56" s="111" t="s">
        <v>7718</v>
      </c>
      <c r="AH56" s="125">
        <v>41527</v>
      </c>
      <c r="AI56" s="111">
        <v>135</v>
      </c>
      <c r="AJ56" s="125">
        <v>41527</v>
      </c>
      <c r="BS56" s="111">
        <v>45.1</v>
      </c>
      <c r="BT56" s="125">
        <v>41527</v>
      </c>
      <c r="BU56">
        <v>19.7</v>
      </c>
      <c r="BV56" s="125">
        <v>41527</v>
      </c>
      <c r="CC56" s="111">
        <v>10.1</v>
      </c>
      <c r="CD56" s="125">
        <v>41527</v>
      </c>
      <c r="CG56" s="111">
        <v>1.91</v>
      </c>
      <c r="CH56" s="125">
        <v>41527</v>
      </c>
      <c r="CK56" s="111">
        <v>5</v>
      </c>
    </row>
    <row r="57" spans="1:89">
      <c r="A57" s="126" t="s">
        <v>7807</v>
      </c>
      <c r="B57" t="s">
        <v>259</v>
      </c>
      <c r="C57" t="s">
        <v>405</v>
      </c>
      <c r="D57">
        <v>10</v>
      </c>
      <c r="E57" s="93">
        <v>1</v>
      </c>
      <c r="F57" s="93">
        <v>26</v>
      </c>
      <c r="K57" s="92">
        <v>5</v>
      </c>
      <c r="L57" s="159">
        <v>41569</v>
      </c>
      <c r="S57" s="111">
        <v>1893.29</v>
      </c>
      <c r="T57" s="125">
        <v>41527</v>
      </c>
      <c r="U57" s="111">
        <v>10.8</v>
      </c>
      <c r="Y57" s="111">
        <v>977.46600000000001</v>
      </c>
      <c r="Z57" s="125">
        <v>41527</v>
      </c>
      <c r="AA57" s="111" t="s">
        <v>7718</v>
      </c>
      <c r="AB57" s="125">
        <v>41527</v>
      </c>
      <c r="AE57">
        <v>44.03</v>
      </c>
      <c r="AF57" s="125">
        <v>41527</v>
      </c>
      <c r="AG57" s="111" t="s">
        <v>7718</v>
      </c>
      <c r="AH57" s="125">
        <v>41527</v>
      </c>
      <c r="AI57" s="111">
        <v>135</v>
      </c>
      <c r="AJ57" s="125">
        <v>41527</v>
      </c>
      <c r="BS57" s="111">
        <v>43</v>
      </c>
      <c r="BT57" s="125">
        <v>41527</v>
      </c>
      <c r="BU57">
        <v>22.2</v>
      </c>
      <c r="BV57" s="125">
        <v>41527</v>
      </c>
      <c r="CC57" s="111">
        <v>11.4</v>
      </c>
      <c r="CD57" s="125">
        <v>41527</v>
      </c>
      <c r="CG57" s="111">
        <v>3.45</v>
      </c>
      <c r="CH57" s="125">
        <v>41527</v>
      </c>
      <c r="CK57" s="111">
        <v>1</v>
      </c>
    </row>
    <row r="58" spans="1:89">
      <c r="A58" s="126" t="s">
        <v>7807</v>
      </c>
      <c r="B58" t="s">
        <v>257</v>
      </c>
      <c r="C58" t="s">
        <v>7794</v>
      </c>
      <c r="D58">
        <v>10</v>
      </c>
      <c r="E58" s="93">
        <v>2</v>
      </c>
      <c r="F58" s="93">
        <v>55</v>
      </c>
      <c r="K58" s="92">
        <v>5</v>
      </c>
      <c r="L58" s="159">
        <v>41569</v>
      </c>
      <c r="S58" s="111">
        <v>1764.9280000000001</v>
      </c>
      <c r="T58" s="125">
        <v>41527</v>
      </c>
      <c r="U58" s="111">
        <v>10.8</v>
      </c>
      <c r="Y58" s="111">
        <v>809.6</v>
      </c>
      <c r="Z58" s="125">
        <v>41527</v>
      </c>
      <c r="AA58" s="111" t="s">
        <v>7718</v>
      </c>
      <c r="AB58" s="125">
        <v>41527</v>
      </c>
      <c r="AE58">
        <v>40.479999999999997</v>
      </c>
      <c r="AF58" s="125">
        <v>41527</v>
      </c>
      <c r="AG58" s="111" t="s">
        <v>7718</v>
      </c>
      <c r="AH58" s="125">
        <v>41527</v>
      </c>
      <c r="AI58" s="111">
        <v>140</v>
      </c>
      <c r="AJ58" s="125">
        <v>41527</v>
      </c>
      <c r="BS58" s="111">
        <v>43.6</v>
      </c>
      <c r="BT58" s="125">
        <v>41527</v>
      </c>
      <c r="BU58">
        <v>20</v>
      </c>
      <c r="BV58" s="125">
        <v>41527</v>
      </c>
      <c r="CC58" s="111">
        <v>8.1999999999999993</v>
      </c>
      <c r="CD58" s="125">
        <v>41527</v>
      </c>
      <c r="CG58" s="111">
        <v>4.0199999999999996</v>
      </c>
      <c r="CH58" s="125">
        <v>41527</v>
      </c>
      <c r="CK58" s="111">
        <v>5</v>
      </c>
    </row>
    <row r="59" spans="1:89">
      <c r="A59" s="126" t="s">
        <v>7807</v>
      </c>
      <c r="B59" t="s">
        <v>259</v>
      </c>
      <c r="C59" t="s">
        <v>7794</v>
      </c>
      <c r="D59">
        <v>10</v>
      </c>
      <c r="E59" s="93">
        <v>4</v>
      </c>
      <c r="F59" s="93">
        <v>45</v>
      </c>
      <c r="K59" s="92">
        <v>5</v>
      </c>
      <c r="L59" s="159">
        <v>41569</v>
      </c>
      <c r="S59" s="111">
        <v>1992.172</v>
      </c>
      <c r="T59" s="125">
        <v>41527</v>
      </c>
      <c r="U59" s="111">
        <v>10.8</v>
      </c>
      <c r="Y59" s="111">
        <v>1045.7719999999999</v>
      </c>
      <c r="Z59" s="125">
        <v>41527</v>
      </c>
      <c r="AA59" s="111" t="s">
        <v>7718</v>
      </c>
      <c r="AB59" s="125">
        <v>41527</v>
      </c>
      <c r="AE59">
        <v>47.32</v>
      </c>
      <c r="AF59" s="125">
        <v>41527</v>
      </c>
      <c r="AG59" s="111" t="s">
        <v>7718</v>
      </c>
      <c r="AH59" s="125">
        <v>41527</v>
      </c>
      <c r="AI59" s="111">
        <v>140</v>
      </c>
      <c r="AJ59" s="125">
        <v>41527</v>
      </c>
      <c r="BS59" s="111">
        <v>42.1</v>
      </c>
      <c r="BT59" s="125">
        <v>41527</v>
      </c>
      <c r="BU59">
        <v>22.1</v>
      </c>
      <c r="BV59" s="125">
        <v>41527</v>
      </c>
      <c r="CC59" s="111">
        <v>7.6</v>
      </c>
      <c r="CD59" s="125">
        <v>41527</v>
      </c>
      <c r="CG59" s="111">
        <v>2.8</v>
      </c>
      <c r="CH59" s="125">
        <v>41527</v>
      </c>
      <c r="CK59" s="111">
        <v>5</v>
      </c>
    </row>
    <row r="60" spans="1:89">
      <c r="A60" s="126" t="s">
        <v>7807</v>
      </c>
      <c r="B60" t="s">
        <v>257</v>
      </c>
      <c r="C60" t="s">
        <v>7795</v>
      </c>
      <c r="D60">
        <v>10</v>
      </c>
      <c r="E60" s="93">
        <v>4</v>
      </c>
      <c r="F60" s="93">
        <v>65</v>
      </c>
      <c r="K60" s="92">
        <v>5</v>
      </c>
      <c r="L60" s="159">
        <v>41569</v>
      </c>
      <c r="S60" s="111">
        <v>1637.9159999999999</v>
      </c>
      <c r="T60" s="125">
        <v>41527</v>
      </c>
      <c r="U60" s="111">
        <v>10.8</v>
      </c>
      <c r="Y60" s="111">
        <v>807.63599999999997</v>
      </c>
      <c r="Z60" s="125">
        <v>41527</v>
      </c>
      <c r="AA60" s="111">
        <v>78953.974900000001</v>
      </c>
      <c r="AB60" s="125">
        <v>41527</v>
      </c>
      <c r="AE60">
        <v>37.74</v>
      </c>
      <c r="AF60" s="125">
        <v>41527</v>
      </c>
      <c r="AG60" s="111">
        <v>4.78</v>
      </c>
      <c r="AH60" s="125">
        <v>41527</v>
      </c>
      <c r="AI60" s="111">
        <v>130</v>
      </c>
      <c r="AJ60" s="125">
        <v>41527</v>
      </c>
      <c r="BS60" s="111">
        <v>43.4</v>
      </c>
      <c r="BT60" s="125">
        <v>41527</v>
      </c>
      <c r="BU60">
        <v>21.4</v>
      </c>
      <c r="BV60" s="125">
        <v>41527</v>
      </c>
      <c r="CC60" s="111">
        <v>6.9</v>
      </c>
      <c r="CD60" s="125">
        <v>41527</v>
      </c>
      <c r="CG60" s="111">
        <v>1.37</v>
      </c>
      <c r="CH60" s="125">
        <v>41527</v>
      </c>
      <c r="CK60" s="111">
        <v>5</v>
      </c>
    </row>
    <row r="61" spans="1:89">
      <c r="A61" s="126" t="s">
        <v>7807</v>
      </c>
      <c r="B61" t="s">
        <v>259</v>
      </c>
      <c r="C61" t="s">
        <v>7795</v>
      </c>
      <c r="D61">
        <v>10</v>
      </c>
      <c r="E61" s="93">
        <v>2</v>
      </c>
      <c r="F61" s="93">
        <v>60</v>
      </c>
      <c r="K61" s="92">
        <v>5</v>
      </c>
      <c r="L61" s="159">
        <v>41569</v>
      </c>
      <c r="S61" s="111">
        <v>1798.7919999999999</v>
      </c>
      <c r="T61" s="125">
        <v>41527</v>
      </c>
      <c r="U61" s="111">
        <v>10.8</v>
      </c>
      <c r="Y61" s="111">
        <v>1004.18</v>
      </c>
      <c r="Z61" s="125">
        <v>41527</v>
      </c>
      <c r="AA61" s="111">
        <v>87847.082490000001</v>
      </c>
      <c r="AB61" s="125">
        <v>41527</v>
      </c>
      <c r="AE61">
        <v>43.66</v>
      </c>
      <c r="AF61" s="125">
        <v>41527</v>
      </c>
      <c r="AG61" s="111">
        <v>4.97</v>
      </c>
      <c r="AH61" s="125">
        <v>41527</v>
      </c>
      <c r="AI61" s="111">
        <v>135</v>
      </c>
      <c r="AJ61" s="125">
        <v>41527</v>
      </c>
      <c r="BS61" s="111">
        <v>41.2</v>
      </c>
      <c r="BT61" s="125">
        <v>41527</v>
      </c>
      <c r="BU61">
        <v>23</v>
      </c>
      <c r="BV61" s="125">
        <v>41527</v>
      </c>
      <c r="CC61" s="111">
        <v>10.1</v>
      </c>
      <c r="CD61" s="125">
        <v>41527</v>
      </c>
      <c r="CG61" s="111">
        <v>0.93</v>
      </c>
      <c r="CH61" s="125">
        <v>41527</v>
      </c>
      <c r="CK61" s="111">
        <v>5</v>
      </c>
    </row>
    <row r="62" spans="1:89">
      <c r="A62" s="126" t="s">
        <v>7808</v>
      </c>
      <c r="B62" t="s">
        <v>257</v>
      </c>
      <c r="C62" t="s">
        <v>405</v>
      </c>
      <c r="D62">
        <v>11</v>
      </c>
      <c r="E62" s="93">
        <v>6</v>
      </c>
      <c r="F62" s="93">
        <v>5</v>
      </c>
      <c r="K62" s="92">
        <v>5</v>
      </c>
      <c r="L62" s="159">
        <v>41569</v>
      </c>
      <c r="S62" s="111">
        <v>1724.375</v>
      </c>
      <c r="T62" s="125">
        <v>41527</v>
      </c>
      <c r="U62" s="111">
        <v>10.8</v>
      </c>
      <c r="Y62" s="111">
        <v>782.75</v>
      </c>
      <c r="Z62" s="125">
        <v>41527</v>
      </c>
      <c r="AA62" s="111" t="s">
        <v>7718</v>
      </c>
      <c r="AB62" s="125">
        <v>41527</v>
      </c>
      <c r="AE62">
        <v>38.75</v>
      </c>
      <c r="AF62" s="125">
        <v>41527</v>
      </c>
      <c r="AG62" s="111" t="s">
        <v>7718</v>
      </c>
      <c r="AH62" s="125">
        <v>41527</v>
      </c>
      <c r="AI62" s="111">
        <v>120</v>
      </c>
      <c r="AJ62" s="125">
        <v>41527</v>
      </c>
      <c r="BS62" s="111">
        <v>44.5</v>
      </c>
      <c r="BT62" s="125">
        <v>41527</v>
      </c>
      <c r="BU62">
        <v>20.2</v>
      </c>
      <c r="BV62" s="125">
        <v>41527</v>
      </c>
      <c r="CC62" s="111">
        <v>9.5</v>
      </c>
      <c r="CD62" s="125">
        <v>41527</v>
      </c>
      <c r="CG62" s="111">
        <v>4.38</v>
      </c>
      <c r="CH62" s="125">
        <v>41527</v>
      </c>
      <c r="CK62" s="111">
        <v>20</v>
      </c>
    </row>
    <row r="63" spans="1:89">
      <c r="A63" s="126" t="s">
        <v>7808</v>
      </c>
      <c r="B63" t="s">
        <v>259</v>
      </c>
      <c r="C63" t="s">
        <v>405</v>
      </c>
      <c r="D63">
        <v>11</v>
      </c>
      <c r="E63" s="93">
        <v>3</v>
      </c>
      <c r="F63" s="93">
        <v>28</v>
      </c>
      <c r="K63" s="92">
        <v>5</v>
      </c>
      <c r="L63" s="159">
        <v>41569</v>
      </c>
      <c r="S63" s="111">
        <v>1954.0709999999999</v>
      </c>
      <c r="T63" s="125">
        <v>41527</v>
      </c>
      <c r="U63" s="111">
        <v>10.8</v>
      </c>
      <c r="Y63" s="111">
        <v>961.52700000000004</v>
      </c>
      <c r="Z63" s="125">
        <v>41527</v>
      </c>
      <c r="AA63" s="111" t="s">
        <v>7718</v>
      </c>
      <c r="AB63" s="125">
        <v>41527</v>
      </c>
      <c r="AE63">
        <v>44.31</v>
      </c>
      <c r="AF63" s="125">
        <v>41527</v>
      </c>
      <c r="AG63" s="111" t="s">
        <v>7718</v>
      </c>
      <c r="AH63" s="125">
        <v>41527</v>
      </c>
      <c r="AI63" s="111">
        <v>130</v>
      </c>
      <c r="AJ63" s="125">
        <v>41527</v>
      </c>
      <c r="BS63" s="111">
        <v>44.1</v>
      </c>
      <c r="BT63" s="125">
        <v>41527</v>
      </c>
      <c r="BU63">
        <v>21.7</v>
      </c>
      <c r="BV63" s="125">
        <v>41527</v>
      </c>
      <c r="CC63" s="111">
        <v>13.1</v>
      </c>
      <c r="CD63" s="125">
        <v>41527</v>
      </c>
      <c r="CG63" s="111">
        <v>4.28</v>
      </c>
      <c r="CH63" s="125">
        <v>41527</v>
      </c>
      <c r="CK63" s="111">
        <v>10</v>
      </c>
    </row>
    <row r="64" spans="1:89">
      <c r="A64" s="126" t="s">
        <v>7808</v>
      </c>
      <c r="B64" t="s">
        <v>257</v>
      </c>
      <c r="C64" t="s">
        <v>7794</v>
      </c>
      <c r="D64">
        <v>11</v>
      </c>
      <c r="E64" s="93">
        <v>3</v>
      </c>
      <c r="F64" s="93">
        <v>54</v>
      </c>
      <c r="K64" s="92">
        <v>7</v>
      </c>
      <c r="L64" s="159">
        <v>41569</v>
      </c>
      <c r="S64" s="111">
        <v>2015.92</v>
      </c>
      <c r="T64" s="125">
        <v>41527</v>
      </c>
      <c r="U64" s="111">
        <v>10.8</v>
      </c>
      <c r="Y64" s="111">
        <v>894.96</v>
      </c>
      <c r="Z64" s="125">
        <v>41527</v>
      </c>
      <c r="AA64" s="111" t="s">
        <v>7718</v>
      </c>
      <c r="AB64" s="125">
        <v>41527</v>
      </c>
      <c r="AE64">
        <v>45.2</v>
      </c>
      <c r="AF64" s="125">
        <v>41527</v>
      </c>
      <c r="AG64" s="111" t="s">
        <v>7718</v>
      </c>
      <c r="AH64" s="125">
        <v>41527</v>
      </c>
      <c r="AI64" s="111">
        <v>135</v>
      </c>
      <c r="AJ64" s="125">
        <v>41527</v>
      </c>
      <c r="BS64" s="111">
        <v>44.6</v>
      </c>
      <c r="BT64" s="125">
        <v>41527</v>
      </c>
      <c r="BU64">
        <v>19.8</v>
      </c>
      <c r="BV64" s="125">
        <v>41527</v>
      </c>
      <c r="CC64" s="111">
        <v>9.8000000000000007</v>
      </c>
      <c r="CD64" s="125">
        <v>41527</v>
      </c>
      <c r="CG64" s="111">
        <v>5.05</v>
      </c>
      <c r="CH64" s="125">
        <v>41527</v>
      </c>
      <c r="CK64" s="111">
        <v>30</v>
      </c>
    </row>
    <row r="65" spans="1:89">
      <c r="A65" s="126" t="s">
        <v>7808</v>
      </c>
      <c r="B65" t="s">
        <v>259</v>
      </c>
      <c r="C65" t="s">
        <v>7794</v>
      </c>
      <c r="D65">
        <v>11</v>
      </c>
      <c r="E65" s="93">
        <v>4</v>
      </c>
      <c r="F65" s="93">
        <v>48</v>
      </c>
      <c r="K65" s="92">
        <v>5</v>
      </c>
      <c r="L65" s="159">
        <v>41569</v>
      </c>
      <c r="S65" s="111">
        <v>2300.096</v>
      </c>
      <c r="T65" s="125">
        <v>41527</v>
      </c>
      <c r="U65" s="111">
        <v>10.8</v>
      </c>
      <c r="Y65" s="111">
        <v>1110.2080000000001</v>
      </c>
      <c r="Z65" s="125">
        <v>41527</v>
      </c>
      <c r="AA65" s="111" t="s">
        <v>7718</v>
      </c>
      <c r="AB65" s="125">
        <v>41527</v>
      </c>
      <c r="AE65">
        <v>53.12</v>
      </c>
      <c r="AF65" s="125">
        <v>41527</v>
      </c>
      <c r="AG65" s="111" t="s">
        <v>7718</v>
      </c>
      <c r="AH65" s="125">
        <v>41527</v>
      </c>
      <c r="AI65" s="111">
        <v>135</v>
      </c>
      <c r="AJ65" s="125">
        <v>41527</v>
      </c>
      <c r="BS65" s="111">
        <v>43.3</v>
      </c>
      <c r="BT65" s="125">
        <v>41527</v>
      </c>
      <c r="BU65">
        <v>20.9</v>
      </c>
      <c r="BV65" s="125">
        <v>41527</v>
      </c>
      <c r="CC65" s="111">
        <v>7</v>
      </c>
      <c r="CD65" s="125">
        <v>41527</v>
      </c>
      <c r="CG65" s="111">
        <v>2.54</v>
      </c>
      <c r="CH65" s="125">
        <v>41527</v>
      </c>
      <c r="CK65" s="111">
        <v>30</v>
      </c>
    </row>
    <row r="66" spans="1:89">
      <c r="A66" s="126" t="s">
        <v>7808</v>
      </c>
      <c r="B66" t="s">
        <v>257</v>
      </c>
      <c r="C66" t="s">
        <v>7795</v>
      </c>
      <c r="D66">
        <v>11</v>
      </c>
      <c r="E66" s="93">
        <v>4</v>
      </c>
      <c r="F66" s="93">
        <v>81</v>
      </c>
      <c r="K66" s="92">
        <v>5</v>
      </c>
      <c r="L66" s="159">
        <v>41569</v>
      </c>
      <c r="S66" s="111">
        <v>1808.961</v>
      </c>
      <c r="T66" s="125">
        <v>41527</v>
      </c>
      <c r="U66" s="111">
        <v>10.8</v>
      </c>
      <c r="Y66" s="111">
        <v>762.09</v>
      </c>
      <c r="Z66" s="125">
        <v>41527</v>
      </c>
      <c r="AA66" s="111">
        <v>85705.128209999995</v>
      </c>
      <c r="AB66" s="125">
        <v>41527</v>
      </c>
      <c r="AE66">
        <v>40.11</v>
      </c>
      <c r="AF66" s="125">
        <v>41527</v>
      </c>
      <c r="AG66" s="111">
        <v>4.68</v>
      </c>
      <c r="AH66" s="125">
        <v>41527</v>
      </c>
      <c r="AI66" s="111">
        <v>125</v>
      </c>
      <c r="AJ66" s="125">
        <v>41527</v>
      </c>
      <c r="BS66" s="111">
        <v>45.1</v>
      </c>
      <c r="BT66" s="125">
        <v>41527</v>
      </c>
      <c r="BU66">
        <v>19</v>
      </c>
      <c r="BV66" s="125">
        <v>41527</v>
      </c>
      <c r="CC66" s="111">
        <v>6.3</v>
      </c>
      <c r="CD66" s="125">
        <v>41527</v>
      </c>
      <c r="CG66" s="111">
        <v>3.06</v>
      </c>
      <c r="CH66" s="125">
        <v>41527</v>
      </c>
      <c r="CK66" s="111">
        <v>30</v>
      </c>
    </row>
    <row r="67" spans="1:89">
      <c r="A67" s="126" t="s">
        <v>7808</v>
      </c>
      <c r="B67" t="s">
        <v>259</v>
      </c>
      <c r="C67" t="s">
        <v>7795</v>
      </c>
      <c r="D67">
        <v>11</v>
      </c>
      <c r="E67" s="93">
        <v>3</v>
      </c>
      <c r="F67" s="93">
        <v>66</v>
      </c>
      <c r="K67" s="92">
        <v>5</v>
      </c>
      <c r="L67" s="159">
        <v>41569</v>
      </c>
      <c r="S67" s="111">
        <v>2120.3240000000001</v>
      </c>
      <c r="T67" s="125">
        <v>41527</v>
      </c>
      <c r="U67" s="111">
        <v>10.8</v>
      </c>
      <c r="Y67" s="111">
        <v>1038.328</v>
      </c>
      <c r="Z67" s="125">
        <v>41527</v>
      </c>
      <c r="AA67" s="111">
        <v>97625.754530000006</v>
      </c>
      <c r="AB67" s="125">
        <v>41527</v>
      </c>
      <c r="AE67">
        <v>48.52</v>
      </c>
      <c r="AF67" s="125">
        <v>41527</v>
      </c>
      <c r="AG67" s="111">
        <v>4.97</v>
      </c>
      <c r="AH67" s="125">
        <v>41527</v>
      </c>
      <c r="AI67" s="111">
        <v>140</v>
      </c>
      <c r="AJ67" s="125">
        <v>41527</v>
      </c>
      <c r="BS67" s="111">
        <v>43.7</v>
      </c>
      <c r="BT67" s="125">
        <v>41527</v>
      </c>
      <c r="BU67">
        <v>21.4</v>
      </c>
      <c r="BV67" s="125">
        <v>41527</v>
      </c>
      <c r="CC67" s="111">
        <v>7</v>
      </c>
      <c r="CD67" s="125">
        <v>41527</v>
      </c>
      <c r="CG67" s="111">
        <v>1.08</v>
      </c>
      <c r="CH67" s="125">
        <v>41527</v>
      </c>
      <c r="CK67" s="111">
        <v>30</v>
      </c>
    </row>
    <row r="68" spans="1:89">
      <c r="A68" s="126" t="s">
        <v>7809</v>
      </c>
      <c r="B68" t="s">
        <v>257</v>
      </c>
      <c r="C68" t="s">
        <v>405</v>
      </c>
      <c r="D68">
        <v>12</v>
      </c>
      <c r="E68" s="93">
        <v>4</v>
      </c>
      <c r="F68" s="93">
        <v>12</v>
      </c>
      <c r="K68" s="92">
        <v>5</v>
      </c>
      <c r="L68" s="159">
        <v>41569</v>
      </c>
      <c r="S68" s="111">
        <v>1470.192</v>
      </c>
      <c r="T68" s="125">
        <v>41527</v>
      </c>
      <c r="U68" s="111">
        <v>10.8</v>
      </c>
      <c r="Y68" s="111">
        <v>701.37599999999998</v>
      </c>
      <c r="Z68" s="125">
        <v>41527</v>
      </c>
      <c r="AA68" s="111" t="s">
        <v>7718</v>
      </c>
      <c r="AB68" s="125">
        <v>41527</v>
      </c>
      <c r="AE68">
        <v>33.72</v>
      </c>
      <c r="AF68" s="125">
        <v>41527</v>
      </c>
      <c r="AG68" s="111" t="s">
        <v>7718</v>
      </c>
      <c r="AH68" s="125">
        <v>41527</v>
      </c>
      <c r="AI68" s="111">
        <v>120</v>
      </c>
      <c r="AJ68" s="125">
        <v>41527</v>
      </c>
      <c r="BS68" s="111">
        <v>43.6</v>
      </c>
      <c r="BT68" s="125">
        <v>41527</v>
      </c>
      <c r="BU68">
        <v>20.8</v>
      </c>
      <c r="BV68" s="125">
        <v>41527</v>
      </c>
      <c r="CC68" s="111">
        <v>6.8</v>
      </c>
      <c r="CD68" s="125">
        <v>41527</v>
      </c>
      <c r="CG68" s="111">
        <v>1.34</v>
      </c>
      <c r="CH68" s="125">
        <v>41527</v>
      </c>
      <c r="CK68" s="111">
        <v>20</v>
      </c>
    </row>
    <row r="69" spans="1:89">
      <c r="A69" s="126" t="s">
        <v>7809</v>
      </c>
      <c r="B69" t="s">
        <v>259</v>
      </c>
      <c r="C69" t="s">
        <v>405</v>
      </c>
      <c r="D69">
        <v>12</v>
      </c>
      <c r="E69" s="93">
        <v>1</v>
      </c>
      <c r="F69" s="93">
        <v>24</v>
      </c>
      <c r="K69" s="92">
        <v>5</v>
      </c>
      <c r="L69" s="159">
        <v>41569</v>
      </c>
      <c r="S69" s="111">
        <v>1840.32</v>
      </c>
      <c r="T69" s="125">
        <v>41527</v>
      </c>
      <c r="U69" s="111">
        <v>10.8</v>
      </c>
      <c r="Y69" s="111">
        <v>907.38</v>
      </c>
      <c r="Z69" s="125">
        <v>41527</v>
      </c>
      <c r="AA69" s="111" t="s">
        <v>7718</v>
      </c>
      <c r="AB69" s="125">
        <v>41527</v>
      </c>
      <c r="AE69">
        <v>42.6</v>
      </c>
      <c r="AF69" s="125">
        <v>41527</v>
      </c>
      <c r="AG69" s="111" t="s">
        <v>7718</v>
      </c>
      <c r="AH69" s="125">
        <v>41527</v>
      </c>
      <c r="AI69" s="111">
        <v>130</v>
      </c>
      <c r="AJ69" s="125">
        <v>41527</v>
      </c>
      <c r="BS69" s="111">
        <v>43.2</v>
      </c>
      <c r="BT69" s="125">
        <v>41527</v>
      </c>
      <c r="BU69">
        <v>21.3</v>
      </c>
      <c r="BV69" s="125">
        <v>41527</v>
      </c>
      <c r="CC69" s="111">
        <v>9.1999999999999993</v>
      </c>
      <c r="CD69" s="125">
        <v>41527</v>
      </c>
      <c r="CG69" s="111">
        <v>3.88</v>
      </c>
      <c r="CH69" s="125">
        <v>41527</v>
      </c>
      <c r="CK69" s="111">
        <v>20</v>
      </c>
    </row>
    <row r="70" spans="1:89">
      <c r="A70" s="126" t="s">
        <v>7809</v>
      </c>
      <c r="B70" t="s">
        <v>257</v>
      </c>
      <c r="C70" t="s">
        <v>7794</v>
      </c>
      <c r="D70">
        <v>12</v>
      </c>
      <c r="E70" s="93">
        <v>1</v>
      </c>
      <c r="F70" s="93">
        <v>58</v>
      </c>
      <c r="K70" s="92">
        <v>5</v>
      </c>
      <c r="L70" s="159">
        <v>41569</v>
      </c>
      <c r="S70" s="111">
        <v>1723.0909999999999</v>
      </c>
      <c r="T70" s="125">
        <v>41527</v>
      </c>
      <c r="U70" s="111">
        <v>10.8</v>
      </c>
      <c r="Y70" s="111">
        <v>820.14400000000001</v>
      </c>
      <c r="Z70" s="125">
        <v>41527</v>
      </c>
      <c r="AA70" s="111" t="s">
        <v>7718</v>
      </c>
      <c r="AB70" s="125">
        <v>41527</v>
      </c>
      <c r="AE70">
        <v>39.43</v>
      </c>
      <c r="AF70" s="125">
        <v>41527</v>
      </c>
      <c r="AG70" s="111" t="s">
        <v>7718</v>
      </c>
      <c r="AH70" s="125">
        <v>41527</v>
      </c>
      <c r="AI70" s="111">
        <v>130</v>
      </c>
      <c r="AJ70" s="125">
        <v>41527</v>
      </c>
      <c r="BS70" s="111">
        <v>43.7</v>
      </c>
      <c r="BT70" s="125">
        <v>41527</v>
      </c>
      <c r="BU70">
        <v>20.8</v>
      </c>
      <c r="BV70" s="125">
        <v>41527</v>
      </c>
      <c r="CC70" s="111">
        <v>6.1</v>
      </c>
      <c r="CD70" s="125">
        <v>41527</v>
      </c>
      <c r="CG70" s="111">
        <v>1.55</v>
      </c>
      <c r="CH70" s="125">
        <v>41527</v>
      </c>
      <c r="CK70" s="111">
        <v>20</v>
      </c>
    </row>
    <row r="71" spans="1:89">
      <c r="A71" s="126" t="s">
        <v>7809</v>
      </c>
      <c r="B71" t="s">
        <v>259</v>
      </c>
      <c r="C71" t="s">
        <v>7794</v>
      </c>
      <c r="D71">
        <v>12</v>
      </c>
      <c r="E71" s="93">
        <v>5</v>
      </c>
      <c r="F71" s="93">
        <v>57</v>
      </c>
      <c r="K71" s="92">
        <v>5</v>
      </c>
      <c r="L71" s="159">
        <v>41569</v>
      </c>
      <c r="S71" s="111">
        <v>1779.34</v>
      </c>
      <c r="T71" s="125">
        <v>41527</v>
      </c>
      <c r="U71" s="111">
        <v>10.8</v>
      </c>
      <c r="Y71" s="111">
        <v>897.94600000000003</v>
      </c>
      <c r="Z71" s="125">
        <v>41527</v>
      </c>
      <c r="AA71" s="111" t="s">
        <v>7718</v>
      </c>
      <c r="AB71" s="125">
        <v>41527</v>
      </c>
      <c r="AE71">
        <v>41.38</v>
      </c>
      <c r="AF71" s="125">
        <v>41527</v>
      </c>
      <c r="AG71" s="111" t="s">
        <v>7718</v>
      </c>
      <c r="AH71" s="125">
        <v>41527</v>
      </c>
      <c r="AI71" s="111">
        <v>125</v>
      </c>
      <c r="AJ71" s="125">
        <v>41527</v>
      </c>
      <c r="BS71" s="111">
        <v>43</v>
      </c>
      <c r="BT71" s="125">
        <v>41527</v>
      </c>
      <c r="BU71">
        <v>21.7</v>
      </c>
      <c r="BV71" s="125">
        <v>41527</v>
      </c>
      <c r="CC71" s="111">
        <v>5.8</v>
      </c>
      <c r="CD71" s="125">
        <v>41527</v>
      </c>
      <c r="CG71" s="111">
        <v>3.07</v>
      </c>
      <c r="CH71" s="125">
        <v>41527</v>
      </c>
      <c r="CK71" s="111">
        <v>20</v>
      </c>
    </row>
    <row r="72" spans="1:89">
      <c r="A72" s="126" t="s">
        <v>7809</v>
      </c>
      <c r="B72" t="s">
        <v>257</v>
      </c>
      <c r="C72" t="s">
        <v>7795</v>
      </c>
      <c r="D72">
        <v>12</v>
      </c>
      <c r="E72" s="93">
        <v>5</v>
      </c>
      <c r="F72" s="93">
        <v>83</v>
      </c>
      <c r="K72" s="92">
        <v>5</v>
      </c>
      <c r="L72" s="159">
        <v>41569</v>
      </c>
      <c r="S72" s="111">
        <v>1371.9349999999999</v>
      </c>
      <c r="T72" s="125">
        <v>41527</v>
      </c>
      <c r="U72" s="111">
        <v>10.8</v>
      </c>
      <c r="Y72" s="111">
        <v>598.10199999999998</v>
      </c>
      <c r="Z72" s="125">
        <v>41527</v>
      </c>
      <c r="AA72" s="111">
        <v>64363.256780000003</v>
      </c>
      <c r="AB72" s="125">
        <v>41527</v>
      </c>
      <c r="AE72">
        <v>30.83</v>
      </c>
      <c r="AF72" s="125">
        <v>41527</v>
      </c>
      <c r="AG72" s="111">
        <v>4.79</v>
      </c>
      <c r="AH72" s="125">
        <v>41527</v>
      </c>
      <c r="AI72" s="111">
        <v>115</v>
      </c>
      <c r="AJ72" s="125">
        <v>41527</v>
      </c>
      <c r="BS72" s="111">
        <v>44.5</v>
      </c>
      <c r="BT72" s="125">
        <v>41527</v>
      </c>
      <c r="BU72">
        <v>19.399999999999999</v>
      </c>
      <c r="BV72" s="125">
        <v>41527</v>
      </c>
      <c r="CC72" s="111">
        <v>7</v>
      </c>
      <c r="CD72" s="125">
        <v>41527</v>
      </c>
      <c r="CG72" s="111">
        <v>2.4</v>
      </c>
      <c r="CH72" s="125">
        <v>41527</v>
      </c>
      <c r="CK72" s="111">
        <v>20</v>
      </c>
    </row>
    <row r="73" spans="1:89">
      <c r="A73" s="126" t="s">
        <v>7809</v>
      </c>
      <c r="B73" t="s">
        <v>259</v>
      </c>
      <c r="C73" t="s">
        <v>7795</v>
      </c>
      <c r="D73">
        <v>12</v>
      </c>
      <c r="E73" s="93">
        <v>3</v>
      </c>
      <c r="F73" s="93">
        <v>74</v>
      </c>
      <c r="K73" s="92">
        <v>5</v>
      </c>
      <c r="L73" s="159">
        <v>41569</v>
      </c>
      <c r="S73" s="111">
        <v>1620.2860000000001</v>
      </c>
      <c r="T73" s="125">
        <v>41527</v>
      </c>
      <c r="U73" s="111">
        <v>10.8</v>
      </c>
      <c r="Y73" s="111">
        <v>797.04600000000005</v>
      </c>
      <c r="Z73" s="125">
        <v>41527</v>
      </c>
      <c r="AA73" s="111">
        <v>79279.66102</v>
      </c>
      <c r="AB73" s="125">
        <v>41527</v>
      </c>
      <c r="AE73">
        <v>37.42</v>
      </c>
      <c r="AF73" s="125">
        <v>41527</v>
      </c>
      <c r="AG73" s="111">
        <v>4.72</v>
      </c>
      <c r="AH73" s="125">
        <v>41527</v>
      </c>
      <c r="AI73" s="111">
        <v>130</v>
      </c>
      <c r="AJ73" s="125">
        <v>41527</v>
      </c>
      <c r="BS73" s="111">
        <v>43.3</v>
      </c>
      <c r="BT73" s="125">
        <v>41527</v>
      </c>
      <c r="BU73">
        <v>21.3</v>
      </c>
      <c r="BV73" s="125">
        <v>41527</v>
      </c>
      <c r="CC73" s="111">
        <v>8.9</v>
      </c>
      <c r="CD73" s="125">
        <v>41527</v>
      </c>
      <c r="CG73" s="111">
        <v>9.94</v>
      </c>
      <c r="CH73" s="125">
        <v>41527</v>
      </c>
      <c r="CK73" s="111">
        <v>20</v>
      </c>
    </row>
    <row r="74" spans="1:89">
      <c r="A74" s="126" t="s">
        <v>7810</v>
      </c>
      <c r="B74" t="s">
        <v>257</v>
      </c>
      <c r="C74" t="s">
        <v>405</v>
      </c>
      <c r="D74">
        <v>13</v>
      </c>
      <c r="E74" s="93">
        <v>5</v>
      </c>
      <c r="F74" s="93">
        <v>8</v>
      </c>
      <c r="K74" s="92">
        <v>5</v>
      </c>
      <c r="L74" s="159">
        <v>41569</v>
      </c>
      <c r="S74" s="111">
        <v>1782.144</v>
      </c>
      <c r="T74" s="125">
        <v>41527</v>
      </c>
      <c r="U74" s="111">
        <v>10.8</v>
      </c>
      <c r="Y74" s="111">
        <v>802.36800000000005</v>
      </c>
      <c r="Z74" s="125">
        <v>41527</v>
      </c>
      <c r="AA74" s="111" t="s">
        <v>7718</v>
      </c>
      <c r="AB74" s="125">
        <v>41527</v>
      </c>
      <c r="AE74">
        <v>40.32</v>
      </c>
      <c r="AF74" s="125">
        <v>41527</v>
      </c>
      <c r="AG74" s="111" t="s">
        <v>7718</v>
      </c>
      <c r="AH74" s="125">
        <v>41527</v>
      </c>
      <c r="AI74" s="111">
        <v>120</v>
      </c>
      <c r="AJ74" s="125">
        <v>41527</v>
      </c>
      <c r="BS74" s="111">
        <v>44.2</v>
      </c>
      <c r="BT74" s="125">
        <v>41527</v>
      </c>
      <c r="BU74">
        <v>19.899999999999999</v>
      </c>
      <c r="BV74" s="125">
        <v>41527</v>
      </c>
      <c r="CC74" s="111">
        <v>7.8</v>
      </c>
      <c r="CD74" s="125">
        <v>41527</v>
      </c>
      <c r="CG74" s="111">
        <v>2.5</v>
      </c>
      <c r="CH74" s="125">
        <v>41527</v>
      </c>
      <c r="CK74" s="111">
        <v>10</v>
      </c>
    </row>
    <row r="75" spans="1:89">
      <c r="A75" s="126" t="s">
        <v>7810</v>
      </c>
      <c r="B75" t="s">
        <v>259</v>
      </c>
      <c r="C75" t="s">
        <v>405</v>
      </c>
      <c r="D75">
        <v>13</v>
      </c>
      <c r="E75" s="93">
        <v>1</v>
      </c>
      <c r="F75" s="93">
        <v>17</v>
      </c>
      <c r="K75" s="92">
        <v>7</v>
      </c>
      <c r="L75" s="159">
        <v>41569</v>
      </c>
      <c r="S75" s="111">
        <v>2132.6619999999998</v>
      </c>
      <c r="T75" s="125">
        <v>41527</v>
      </c>
      <c r="U75" s="111">
        <v>10.8</v>
      </c>
      <c r="Y75" s="111">
        <v>995.89</v>
      </c>
      <c r="Z75" s="125">
        <v>41527</v>
      </c>
      <c r="AA75" s="111" t="s">
        <v>7718</v>
      </c>
      <c r="AB75" s="125">
        <v>41527</v>
      </c>
      <c r="AE75">
        <v>48.58</v>
      </c>
      <c r="AF75" s="125">
        <v>41527</v>
      </c>
      <c r="AG75" s="111" t="s">
        <v>7718</v>
      </c>
      <c r="AH75" s="125">
        <v>41527</v>
      </c>
      <c r="AI75" s="111">
        <v>135</v>
      </c>
      <c r="AJ75" s="125">
        <v>41527</v>
      </c>
      <c r="BS75" s="111">
        <v>43.9</v>
      </c>
      <c r="BT75" s="125">
        <v>41527</v>
      </c>
      <c r="BU75">
        <v>20.5</v>
      </c>
      <c r="BV75" s="125">
        <v>41527</v>
      </c>
      <c r="CC75" s="111">
        <v>7.3</v>
      </c>
      <c r="CD75" s="125">
        <v>41527</v>
      </c>
      <c r="CG75" s="111">
        <v>3.15</v>
      </c>
      <c r="CH75" s="125">
        <v>41527</v>
      </c>
      <c r="CK75" s="111">
        <v>20</v>
      </c>
    </row>
    <row r="76" spans="1:89">
      <c r="A76" s="126" t="s">
        <v>7810</v>
      </c>
      <c r="B76" t="s">
        <v>257</v>
      </c>
      <c r="C76" t="s">
        <v>7794</v>
      </c>
      <c r="D76">
        <v>13</v>
      </c>
      <c r="E76" s="93">
        <v>2</v>
      </c>
      <c r="F76" s="93">
        <v>44</v>
      </c>
      <c r="K76" s="92">
        <v>5</v>
      </c>
      <c r="L76" s="159">
        <v>41569</v>
      </c>
      <c r="S76" s="111">
        <v>1903.7729999999999</v>
      </c>
      <c r="T76" s="125">
        <v>41527</v>
      </c>
      <c r="U76" s="111">
        <v>10.8</v>
      </c>
      <c r="Y76" s="111">
        <v>813.46900000000005</v>
      </c>
      <c r="Z76" s="125">
        <v>41527</v>
      </c>
      <c r="AA76" s="111" t="s">
        <v>7718</v>
      </c>
      <c r="AB76" s="125">
        <v>41527</v>
      </c>
      <c r="AE76">
        <v>42.59</v>
      </c>
      <c r="AF76" s="125">
        <v>41527</v>
      </c>
      <c r="AG76" s="111" t="s">
        <v>7718</v>
      </c>
      <c r="AH76" s="125">
        <v>41527</v>
      </c>
      <c r="AI76" s="111">
        <v>125</v>
      </c>
      <c r="AJ76" s="125">
        <v>41527</v>
      </c>
      <c r="BS76" s="111">
        <v>44.7</v>
      </c>
      <c r="BT76" s="125">
        <v>41527</v>
      </c>
      <c r="BU76">
        <v>19.100000000000001</v>
      </c>
      <c r="BV76" s="125">
        <v>41527</v>
      </c>
      <c r="CC76" s="111">
        <v>8.5</v>
      </c>
      <c r="CD76" s="125">
        <v>41527</v>
      </c>
      <c r="CG76" s="111">
        <v>3.44</v>
      </c>
      <c r="CH76" s="125">
        <v>41527</v>
      </c>
      <c r="CK76" s="111">
        <v>30</v>
      </c>
    </row>
    <row r="77" spans="1:89">
      <c r="A77" s="126" t="s">
        <v>7810</v>
      </c>
      <c r="B77" t="s">
        <v>259</v>
      </c>
      <c r="C77" t="s">
        <v>7794</v>
      </c>
      <c r="D77">
        <v>13</v>
      </c>
      <c r="E77" s="93">
        <v>5</v>
      </c>
      <c r="F77" s="93">
        <v>45</v>
      </c>
      <c r="K77" s="92">
        <v>3</v>
      </c>
      <c r="L77" s="159">
        <v>41569</v>
      </c>
      <c r="S77" s="111">
        <v>2006.2670000000001</v>
      </c>
      <c r="T77" s="125">
        <v>41527</v>
      </c>
      <c r="U77" s="111">
        <v>10.8</v>
      </c>
      <c r="Y77" s="111">
        <v>945.74599999999998</v>
      </c>
      <c r="Z77" s="125">
        <v>41527</v>
      </c>
      <c r="AA77" s="111" t="s">
        <v>7718</v>
      </c>
      <c r="AB77" s="125">
        <v>41527</v>
      </c>
      <c r="AE77">
        <v>45.91</v>
      </c>
      <c r="AF77" s="125">
        <v>41527</v>
      </c>
      <c r="AG77" s="111" t="s">
        <v>7718</v>
      </c>
      <c r="AH77" s="125">
        <v>41527</v>
      </c>
      <c r="AI77" s="111">
        <v>130</v>
      </c>
      <c r="AJ77" s="125">
        <v>41527</v>
      </c>
      <c r="BS77" s="111">
        <v>43.7</v>
      </c>
      <c r="BT77" s="125">
        <v>41527</v>
      </c>
      <c r="BU77">
        <v>20.6</v>
      </c>
      <c r="BV77" s="125">
        <v>41527</v>
      </c>
      <c r="CC77" s="111">
        <v>7.5</v>
      </c>
      <c r="CD77" s="125">
        <v>41527</v>
      </c>
      <c r="CG77" s="111">
        <v>2.15</v>
      </c>
      <c r="CH77" s="125">
        <v>41527</v>
      </c>
      <c r="CK77" s="111">
        <v>20</v>
      </c>
    </row>
    <row r="78" spans="1:89">
      <c r="A78" s="126" t="s">
        <v>7810</v>
      </c>
      <c r="B78" t="s">
        <v>257</v>
      </c>
      <c r="C78" t="s">
        <v>7795</v>
      </c>
      <c r="D78">
        <v>13</v>
      </c>
      <c r="E78" s="93">
        <v>5</v>
      </c>
      <c r="F78" s="93">
        <v>63</v>
      </c>
      <c r="K78" s="92">
        <v>5</v>
      </c>
      <c r="L78" s="159">
        <v>41569</v>
      </c>
      <c r="S78" s="111">
        <v>1650.87</v>
      </c>
      <c r="T78" s="125">
        <v>41527</v>
      </c>
      <c r="U78" s="111">
        <v>10.8</v>
      </c>
      <c r="Y78" s="111">
        <v>728.32500000000005</v>
      </c>
      <c r="Z78" s="125">
        <v>41527</v>
      </c>
      <c r="AA78" s="111">
        <v>73668.639049999998</v>
      </c>
      <c r="AB78" s="125">
        <v>41527</v>
      </c>
      <c r="AE78">
        <v>37.35</v>
      </c>
      <c r="AF78" s="125">
        <v>41527</v>
      </c>
      <c r="AG78" s="111">
        <v>5.07</v>
      </c>
      <c r="AH78" s="125">
        <v>41527</v>
      </c>
      <c r="AI78" s="111">
        <v>125</v>
      </c>
      <c r="AJ78" s="125">
        <v>41527</v>
      </c>
      <c r="BS78" s="111">
        <v>44.2</v>
      </c>
      <c r="BT78" s="125">
        <v>41527</v>
      </c>
      <c r="BU78">
        <v>19.5</v>
      </c>
      <c r="BV78" s="125">
        <v>41527</v>
      </c>
      <c r="CC78" s="111">
        <v>7.5</v>
      </c>
      <c r="CD78" s="125">
        <v>41527</v>
      </c>
      <c r="CG78" s="111">
        <v>1.33</v>
      </c>
      <c r="CH78" s="125">
        <v>41527</v>
      </c>
      <c r="CK78" s="111">
        <v>10</v>
      </c>
    </row>
    <row r="79" spans="1:89">
      <c r="A79" s="126" t="s">
        <v>7810</v>
      </c>
      <c r="B79" t="s">
        <v>259</v>
      </c>
      <c r="C79" t="s">
        <v>7795</v>
      </c>
      <c r="D79">
        <v>13</v>
      </c>
      <c r="E79" s="93">
        <v>2</v>
      </c>
      <c r="F79" s="93">
        <v>67</v>
      </c>
      <c r="K79" s="92">
        <v>5</v>
      </c>
      <c r="L79" s="159">
        <v>41569</v>
      </c>
      <c r="S79" s="111">
        <v>2141.1849999999999</v>
      </c>
      <c r="T79" s="125">
        <v>41527</v>
      </c>
      <c r="U79" s="111">
        <v>10.8</v>
      </c>
      <c r="Y79" s="111">
        <v>1018.67</v>
      </c>
      <c r="Z79" s="125">
        <v>41527</v>
      </c>
      <c r="AA79" s="111">
        <v>98310.139169999995</v>
      </c>
      <c r="AB79" s="125">
        <v>41527</v>
      </c>
      <c r="AE79">
        <v>49.45</v>
      </c>
      <c r="AF79" s="125">
        <v>41527</v>
      </c>
      <c r="AG79" s="111">
        <v>5.03</v>
      </c>
      <c r="AH79" s="125">
        <v>41527</v>
      </c>
      <c r="AI79" s="111">
        <v>125</v>
      </c>
      <c r="AJ79" s="125">
        <v>41527</v>
      </c>
      <c r="BS79" s="111">
        <v>43.3</v>
      </c>
      <c r="BT79" s="125">
        <v>41527</v>
      </c>
      <c r="BU79">
        <v>20.6</v>
      </c>
      <c r="BV79" s="125">
        <v>41527</v>
      </c>
      <c r="CC79" s="111">
        <v>8.1999999999999993</v>
      </c>
      <c r="CD79" s="125">
        <v>41527</v>
      </c>
      <c r="CG79" s="111">
        <v>2.84</v>
      </c>
      <c r="CH79" s="125">
        <v>41527</v>
      </c>
      <c r="CK79" s="111">
        <v>20</v>
      </c>
    </row>
    <row r="80" spans="1:89">
      <c r="A80" s="126" t="s">
        <v>7811</v>
      </c>
      <c r="B80" t="s">
        <v>257</v>
      </c>
      <c r="C80" t="s">
        <v>405</v>
      </c>
      <c r="D80">
        <v>14</v>
      </c>
      <c r="E80" s="93">
        <v>4</v>
      </c>
      <c r="F80" s="93">
        <v>29</v>
      </c>
      <c r="K80" s="92">
        <v>5</v>
      </c>
      <c r="L80" s="159">
        <v>41569</v>
      </c>
      <c r="S80" s="111">
        <v>1179.2339999999999</v>
      </c>
      <c r="T80" s="125">
        <v>41527</v>
      </c>
      <c r="U80" s="111">
        <v>10.8</v>
      </c>
      <c r="Y80" s="111">
        <v>553.51800000000003</v>
      </c>
      <c r="Z80" s="125">
        <v>41527</v>
      </c>
      <c r="AA80" s="111" t="s">
        <v>7718</v>
      </c>
      <c r="AB80" s="125">
        <v>41527</v>
      </c>
      <c r="AE80">
        <v>26.74</v>
      </c>
      <c r="AF80" s="125">
        <v>41527</v>
      </c>
      <c r="AG80" s="111" t="s">
        <v>7718</v>
      </c>
      <c r="AH80" s="125">
        <v>41527</v>
      </c>
      <c r="AI80" s="111">
        <v>130</v>
      </c>
      <c r="AJ80" s="125">
        <v>41527</v>
      </c>
      <c r="BS80" s="111">
        <v>44.1</v>
      </c>
      <c r="BT80" s="125">
        <v>41527</v>
      </c>
      <c r="BU80">
        <v>20.7</v>
      </c>
      <c r="BV80" s="125">
        <v>41527</v>
      </c>
      <c r="CC80" s="111">
        <v>11.5</v>
      </c>
      <c r="CD80" s="125">
        <v>41527</v>
      </c>
      <c r="CG80" s="111">
        <v>3.99</v>
      </c>
      <c r="CH80" s="125">
        <v>41527</v>
      </c>
      <c r="CK80" s="111">
        <v>30</v>
      </c>
    </row>
    <row r="81" spans="1:89">
      <c r="A81" s="126" t="s">
        <v>7811</v>
      </c>
      <c r="B81" t="s">
        <v>259</v>
      </c>
      <c r="C81" t="s">
        <v>405</v>
      </c>
      <c r="D81">
        <v>14</v>
      </c>
      <c r="E81" s="93">
        <v>2</v>
      </c>
      <c r="F81" s="93">
        <v>26</v>
      </c>
      <c r="K81" s="92">
        <v>5</v>
      </c>
      <c r="L81" s="159">
        <v>41569</v>
      </c>
      <c r="S81" s="111">
        <v>1525.8920000000001</v>
      </c>
      <c r="T81" s="125">
        <v>41527</v>
      </c>
      <c r="U81" s="111">
        <v>10.8</v>
      </c>
      <c r="Y81" s="111">
        <v>768.23199999999997</v>
      </c>
      <c r="Z81" s="125">
        <v>41527</v>
      </c>
      <c r="AA81" s="111" t="s">
        <v>7718</v>
      </c>
      <c r="AB81" s="125">
        <v>41527</v>
      </c>
      <c r="AE81">
        <v>35.24</v>
      </c>
      <c r="AF81" s="125">
        <v>41527</v>
      </c>
      <c r="AG81" s="111" t="s">
        <v>7718</v>
      </c>
      <c r="AH81" s="125">
        <v>41527</v>
      </c>
      <c r="AI81" s="111">
        <v>130</v>
      </c>
      <c r="AJ81" s="125">
        <v>41527</v>
      </c>
      <c r="BS81" s="111">
        <v>43.3</v>
      </c>
      <c r="BT81" s="125">
        <v>41527</v>
      </c>
      <c r="BU81">
        <v>21.8</v>
      </c>
      <c r="BV81" s="125">
        <v>41527</v>
      </c>
      <c r="CC81" s="111">
        <v>12.9</v>
      </c>
      <c r="CD81" s="125">
        <v>41527</v>
      </c>
      <c r="CG81" s="111">
        <v>4.6500000000000004</v>
      </c>
      <c r="CH81" s="125">
        <v>41527</v>
      </c>
      <c r="CK81" s="111">
        <v>10</v>
      </c>
    </row>
    <row r="82" spans="1:89">
      <c r="A82" s="126" t="s">
        <v>7811</v>
      </c>
      <c r="B82" t="s">
        <v>257</v>
      </c>
      <c r="C82" t="s">
        <v>7794</v>
      </c>
      <c r="D82">
        <v>14</v>
      </c>
      <c r="E82" s="93">
        <v>3</v>
      </c>
      <c r="F82" s="93">
        <v>43</v>
      </c>
      <c r="K82" s="92">
        <v>7</v>
      </c>
      <c r="L82" s="159">
        <v>41569</v>
      </c>
      <c r="S82" s="111">
        <v>1425.2840000000001</v>
      </c>
      <c r="T82" s="125">
        <v>41527</v>
      </c>
      <c r="U82" s="111">
        <v>10.8</v>
      </c>
      <c r="Y82" s="111">
        <v>679.952</v>
      </c>
      <c r="Z82" s="125">
        <v>41527</v>
      </c>
      <c r="AA82" s="111" t="s">
        <v>7718</v>
      </c>
      <c r="AB82" s="125">
        <v>41527</v>
      </c>
      <c r="AE82">
        <v>32.69</v>
      </c>
      <c r="AF82" s="125">
        <v>41527</v>
      </c>
      <c r="AG82" s="111" t="s">
        <v>7718</v>
      </c>
      <c r="AH82" s="125">
        <v>41527</v>
      </c>
      <c r="AI82" s="111">
        <v>135</v>
      </c>
      <c r="AJ82" s="125">
        <v>41527</v>
      </c>
      <c r="BS82" s="111">
        <v>43.6</v>
      </c>
      <c r="BT82" s="125">
        <v>41527</v>
      </c>
      <c r="BU82">
        <v>20.8</v>
      </c>
      <c r="BV82" s="125">
        <v>41527</v>
      </c>
      <c r="CC82" s="111">
        <v>11.2</v>
      </c>
      <c r="CD82" s="125">
        <v>41527</v>
      </c>
      <c r="CG82" s="111">
        <v>7.45</v>
      </c>
      <c r="CH82" s="125">
        <v>41527</v>
      </c>
      <c r="CK82" s="111">
        <v>30</v>
      </c>
    </row>
    <row r="83" spans="1:89">
      <c r="A83" s="126" t="s">
        <v>7811</v>
      </c>
      <c r="B83" t="s">
        <v>259</v>
      </c>
      <c r="C83" t="s">
        <v>7794</v>
      </c>
      <c r="D83">
        <v>14</v>
      </c>
      <c r="E83" s="93">
        <v>5</v>
      </c>
      <c r="F83" s="93">
        <v>42</v>
      </c>
      <c r="K83" s="92">
        <v>5</v>
      </c>
      <c r="L83" s="159">
        <v>41569</v>
      </c>
      <c r="S83" s="111">
        <v>1536.924</v>
      </c>
      <c r="T83" s="125">
        <v>41527</v>
      </c>
      <c r="U83" s="111">
        <v>10.8</v>
      </c>
      <c r="Y83" s="111">
        <v>783.03</v>
      </c>
      <c r="Z83" s="125">
        <v>41527</v>
      </c>
      <c r="AA83" s="111" t="s">
        <v>7718</v>
      </c>
      <c r="AB83" s="125">
        <v>41527</v>
      </c>
      <c r="AE83">
        <v>36.42</v>
      </c>
      <c r="AF83" s="125">
        <v>41527</v>
      </c>
      <c r="AG83" s="111" t="s">
        <v>7718</v>
      </c>
      <c r="AH83" s="125">
        <v>41527</v>
      </c>
      <c r="AI83" s="111">
        <v>130</v>
      </c>
      <c r="AJ83" s="125">
        <v>41527</v>
      </c>
      <c r="BS83" s="111">
        <v>42.2</v>
      </c>
      <c r="BT83" s="125">
        <v>41527</v>
      </c>
      <c r="BU83">
        <v>21.5</v>
      </c>
      <c r="BV83" s="125">
        <v>41527</v>
      </c>
      <c r="CC83" s="111">
        <v>7.5</v>
      </c>
      <c r="CD83" s="125">
        <v>41527</v>
      </c>
      <c r="CG83" s="111">
        <v>2.36</v>
      </c>
      <c r="CH83" s="125">
        <v>41527</v>
      </c>
      <c r="CK83" s="111">
        <v>30</v>
      </c>
    </row>
    <row r="84" spans="1:89">
      <c r="A84" s="126" t="s">
        <v>7811</v>
      </c>
      <c r="B84" t="s">
        <v>257</v>
      </c>
      <c r="C84" t="s">
        <v>7795</v>
      </c>
      <c r="D84">
        <v>14</v>
      </c>
      <c r="E84" s="93">
        <v>6</v>
      </c>
      <c r="F84" s="93">
        <v>77</v>
      </c>
      <c r="K84" s="92">
        <v>5</v>
      </c>
      <c r="L84" s="159">
        <v>41569</v>
      </c>
      <c r="S84" s="111">
        <v>895.69</v>
      </c>
      <c r="T84" s="125">
        <v>41527</v>
      </c>
      <c r="U84" s="111">
        <v>10.8</v>
      </c>
      <c r="Y84" s="111">
        <v>454.09399999999999</v>
      </c>
      <c r="Z84" s="125">
        <v>41527</v>
      </c>
      <c r="AA84" s="111">
        <v>45086.580090000003</v>
      </c>
      <c r="AB84" s="125">
        <v>41527</v>
      </c>
      <c r="AE84">
        <v>20.83</v>
      </c>
      <c r="AF84" s="125">
        <v>41527</v>
      </c>
      <c r="AG84" s="111">
        <v>4.62</v>
      </c>
      <c r="AH84" s="125">
        <v>41527</v>
      </c>
      <c r="AI84" s="111">
        <v>120</v>
      </c>
      <c r="AJ84" s="125">
        <v>41527</v>
      </c>
      <c r="BS84" s="111">
        <v>43</v>
      </c>
      <c r="BT84" s="125">
        <v>41527</v>
      </c>
      <c r="BU84">
        <v>21.8</v>
      </c>
      <c r="BV84" s="125">
        <v>41527</v>
      </c>
      <c r="CC84" s="111">
        <v>6.2</v>
      </c>
      <c r="CD84" s="125">
        <v>41527</v>
      </c>
      <c r="CG84" s="111">
        <v>2.72</v>
      </c>
      <c r="CH84" s="125">
        <v>41527</v>
      </c>
      <c r="CK84" s="111">
        <v>10</v>
      </c>
    </row>
    <row r="85" spans="1:89">
      <c r="A85" s="126" t="s">
        <v>7811</v>
      </c>
      <c r="B85" t="s">
        <v>259</v>
      </c>
      <c r="C85" t="s">
        <v>7795</v>
      </c>
      <c r="D85">
        <v>14</v>
      </c>
      <c r="E85" s="93">
        <v>3</v>
      </c>
      <c r="F85" s="93">
        <v>82</v>
      </c>
      <c r="K85" s="92">
        <v>5</v>
      </c>
      <c r="L85" s="159">
        <v>41569</v>
      </c>
      <c r="S85" s="111" t="s">
        <v>7718</v>
      </c>
      <c r="T85" s="125">
        <v>41527</v>
      </c>
      <c r="U85" s="111">
        <v>10.8</v>
      </c>
      <c r="Y85" s="111" t="s">
        <v>7718</v>
      </c>
      <c r="Z85" s="125">
        <v>41527</v>
      </c>
      <c r="AA85" s="111" t="s">
        <v>7718</v>
      </c>
      <c r="AB85" s="125">
        <v>41527</v>
      </c>
      <c r="AE85" t="s">
        <v>7718</v>
      </c>
      <c r="AF85" s="125">
        <v>41527</v>
      </c>
      <c r="AG85" s="111" t="s">
        <v>7718</v>
      </c>
      <c r="AH85" s="125">
        <v>41527</v>
      </c>
      <c r="AI85" s="111">
        <v>135</v>
      </c>
      <c r="AJ85" s="125">
        <v>41527</v>
      </c>
      <c r="BS85" s="111" t="s">
        <v>7718</v>
      </c>
      <c r="BT85" s="125">
        <v>41527</v>
      </c>
      <c r="BU85" t="s">
        <v>7718</v>
      </c>
      <c r="BV85" s="125">
        <v>41527</v>
      </c>
      <c r="CC85" s="111" t="s">
        <v>7718</v>
      </c>
      <c r="CD85" s="125">
        <v>41527</v>
      </c>
      <c r="CG85" s="111">
        <v>4.47</v>
      </c>
      <c r="CH85" s="125">
        <v>41527</v>
      </c>
      <c r="CK85" s="111">
        <v>10</v>
      </c>
    </row>
    <row r="86" spans="1:89">
      <c r="A86" s="126" t="s">
        <v>7812</v>
      </c>
      <c r="B86" t="s">
        <v>257</v>
      </c>
      <c r="C86" t="s">
        <v>405</v>
      </c>
      <c r="D86">
        <v>15</v>
      </c>
      <c r="E86" s="93">
        <v>6</v>
      </c>
      <c r="F86" s="93">
        <v>9</v>
      </c>
      <c r="K86" s="92">
        <v>5</v>
      </c>
      <c r="L86" s="159">
        <v>41569</v>
      </c>
      <c r="S86" s="111">
        <v>1627.527</v>
      </c>
      <c r="T86" s="125">
        <v>41527</v>
      </c>
      <c r="U86" s="111">
        <v>10.8</v>
      </c>
      <c r="Y86" s="111">
        <v>713.63599999999997</v>
      </c>
      <c r="Z86" s="125">
        <v>41527</v>
      </c>
      <c r="AA86" s="111" t="s">
        <v>7718</v>
      </c>
      <c r="AB86" s="125">
        <v>41527</v>
      </c>
      <c r="AE86">
        <v>36.409999999999997</v>
      </c>
      <c r="AF86" s="125">
        <v>41527</v>
      </c>
      <c r="AG86" s="111" t="s">
        <v>7718</v>
      </c>
      <c r="AH86" s="125">
        <v>41527</v>
      </c>
      <c r="AI86" s="111">
        <v>120</v>
      </c>
      <c r="AJ86" s="125">
        <v>41527</v>
      </c>
      <c r="BS86" s="111">
        <v>44.7</v>
      </c>
      <c r="BT86" s="125">
        <v>41527</v>
      </c>
      <c r="BU86">
        <v>19.600000000000001</v>
      </c>
      <c r="BV86" s="125">
        <v>41527</v>
      </c>
      <c r="CC86" s="111">
        <v>8.1</v>
      </c>
      <c r="CD86" s="125">
        <v>41527</v>
      </c>
      <c r="CG86" s="111">
        <v>5.62</v>
      </c>
      <c r="CH86" s="125">
        <v>41527</v>
      </c>
      <c r="CK86" s="111">
        <v>1</v>
      </c>
    </row>
    <row r="87" spans="1:89">
      <c r="A87" s="126" t="s">
        <v>7812</v>
      </c>
      <c r="B87" t="s">
        <v>259</v>
      </c>
      <c r="C87" t="s">
        <v>405</v>
      </c>
      <c r="D87">
        <v>15</v>
      </c>
      <c r="E87" s="93">
        <v>1</v>
      </c>
      <c r="F87" s="93">
        <v>11</v>
      </c>
      <c r="K87" s="92">
        <v>5</v>
      </c>
      <c r="L87" s="159">
        <v>41569</v>
      </c>
      <c r="S87" s="111">
        <v>2321</v>
      </c>
      <c r="T87" s="125">
        <v>41527</v>
      </c>
      <c r="U87" s="111">
        <v>10.8</v>
      </c>
      <c r="Y87" s="111">
        <v>1097.2</v>
      </c>
      <c r="Z87" s="125">
        <v>41527</v>
      </c>
      <c r="AA87" s="111" t="s">
        <v>7718</v>
      </c>
      <c r="AB87" s="125">
        <v>41527</v>
      </c>
      <c r="AE87">
        <v>52.75</v>
      </c>
      <c r="AF87" s="125">
        <v>41527</v>
      </c>
      <c r="AG87" s="111" t="s">
        <v>7718</v>
      </c>
      <c r="AH87" s="125">
        <v>41527</v>
      </c>
      <c r="AI87" s="111">
        <v>145</v>
      </c>
      <c r="AJ87" s="125">
        <v>41527</v>
      </c>
      <c r="BS87" s="111">
        <v>44</v>
      </c>
      <c r="BT87" s="125">
        <v>41527</v>
      </c>
      <c r="BU87">
        <v>20.8</v>
      </c>
      <c r="BV87" s="125">
        <v>41527</v>
      </c>
      <c r="CC87" s="111">
        <v>7.8</v>
      </c>
      <c r="CD87" s="125">
        <v>41527</v>
      </c>
      <c r="CG87" s="111">
        <v>2.91</v>
      </c>
      <c r="CH87" s="125">
        <v>41527</v>
      </c>
      <c r="CK87" s="111">
        <v>1</v>
      </c>
    </row>
    <row r="88" spans="1:89">
      <c r="A88" s="126" t="s">
        <v>7812</v>
      </c>
      <c r="B88" t="s">
        <v>257</v>
      </c>
      <c r="C88" t="s">
        <v>7794</v>
      </c>
      <c r="D88">
        <v>15</v>
      </c>
      <c r="E88" s="93">
        <v>1</v>
      </c>
      <c r="F88" s="93">
        <v>49</v>
      </c>
      <c r="K88" s="92">
        <v>5</v>
      </c>
      <c r="L88" s="159">
        <v>41569</v>
      </c>
      <c r="S88" s="111">
        <v>1995.63</v>
      </c>
      <c r="T88" s="125">
        <v>41527</v>
      </c>
      <c r="U88" s="111">
        <v>10.8</v>
      </c>
      <c r="Y88" s="111">
        <v>833.34</v>
      </c>
      <c r="Z88" s="125">
        <v>41527</v>
      </c>
      <c r="AA88" s="111" t="s">
        <v>7718</v>
      </c>
      <c r="AB88" s="125">
        <v>41527</v>
      </c>
      <c r="AE88">
        <v>43.86</v>
      </c>
      <c r="AF88" s="125">
        <v>41527</v>
      </c>
      <c r="AG88" s="111" t="s">
        <v>7718</v>
      </c>
      <c r="AH88" s="125">
        <v>41527</v>
      </c>
      <c r="AI88" s="111">
        <v>145</v>
      </c>
      <c r="AJ88" s="125">
        <v>41527</v>
      </c>
      <c r="BS88" s="111">
        <v>45.5</v>
      </c>
      <c r="BT88" s="125">
        <v>41527</v>
      </c>
      <c r="BU88">
        <v>19</v>
      </c>
      <c r="BV88" s="125">
        <v>41527</v>
      </c>
      <c r="CC88" s="111">
        <v>9</v>
      </c>
      <c r="CD88" s="125">
        <v>41527</v>
      </c>
      <c r="CG88" s="111">
        <v>3.36</v>
      </c>
      <c r="CH88" s="125">
        <v>41527</v>
      </c>
      <c r="CK88" s="111">
        <v>5</v>
      </c>
    </row>
    <row r="89" spans="1:89">
      <c r="A89" s="126" t="s">
        <v>7812</v>
      </c>
      <c r="B89" t="s">
        <v>259</v>
      </c>
      <c r="C89" t="s">
        <v>7794</v>
      </c>
      <c r="D89">
        <v>15</v>
      </c>
      <c r="E89" s="93">
        <v>4</v>
      </c>
      <c r="F89" s="93">
        <v>47</v>
      </c>
      <c r="K89" s="92">
        <v>5</v>
      </c>
      <c r="L89" s="159">
        <v>41569</v>
      </c>
      <c r="S89" s="111">
        <v>2101.84</v>
      </c>
      <c r="T89" s="125">
        <v>41527</v>
      </c>
      <c r="U89" s="111">
        <v>10.8</v>
      </c>
      <c r="Y89" s="111">
        <v>1016.704</v>
      </c>
      <c r="Z89" s="125">
        <v>41527</v>
      </c>
      <c r="AA89" s="111" t="s">
        <v>7718</v>
      </c>
      <c r="AB89" s="125">
        <v>41527</v>
      </c>
      <c r="AE89">
        <v>48.88</v>
      </c>
      <c r="AF89" s="125">
        <v>41527</v>
      </c>
      <c r="AG89" s="111" t="s">
        <v>7718</v>
      </c>
      <c r="AH89" s="125">
        <v>41527</v>
      </c>
      <c r="AI89" s="111">
        <v>145</v>
      </c>
      <c r="AJ89" s="125">
        <v>41527</v>
      </c>
      <c r="BS89" s="111">
        <v>43</v>
      </c>
      <c r="BT89" s="125">
        <v>41527</v>
      </c>
      <c r="BU89">
        <v>20.8</v>
      </c>
      <c r="BV89" s="125">
        <v>41527</v>
      </c>
      <c r="CC89" s="111">
        <v>7.5</v>
      </c>
      <c r="CD89" s="125">
        <v>41527</v>
      </c>
      <c r="CG89" s="111">
        <v>1.93</v>
      </c>
      <c r="CH89" s="125">
        <v>41527</v>
      </c>
      <c r="CK89" s="111">
        <v>10</v>
      </c>
    </row>
    <row r="90" spans="1:89">
      <c r="A90" s="126" t="s">
        <v>7812</v>
      </c>
      <c r="B90" t="s">
        <v>257</v>
      </c>
      <c r="C90" t="s">
        <v>7795</v>
      </c>
      <c r="D90">
        <v>15</v>
      </c>
      <c r="E90" s="93">
        <v>6</v>
      </c>
      <c r="F90" s="93">
        <v>70</v>
      </c>
      <c r="K90" s="92">
        <v>3</v>
      </c>
      <c r="L90" s="159">
        <v>41569</v>
      </c>
      <c r="S90" s="111">
        <v>1272.5440000000001</v>
      </c>
      <c r="T90" s="125">
        <v>41527</v>
      </c>
      <c r="U90" s="111">
        <v>10.8</v>
      </c>
      <c r="Y90" s="111">
        <v>564.928</v>
      </c>
      <c r="Z90" s="125">
        <v>41527</v>
      </c>
      <c r="AA90" s="111">
        <v>63167.028200000001</v>
      </c>
      <c r="AB90" s="125">
        <v>41527</v>
      </c>
      <c r="AE90">
        <v>29.12</v>
      </c>
      <c r="AF90" s="125">
        <v>41527</v>
      </c>
      <c r="AG90" s="111">
        <v>4.6100000000000003</v>
      </c>
      <c r="AH90" s="125">
        <v>41527</v>
      </c>
      <c r="AI90" s="111">
        <v>115</v>
      </c>
      <c r="AJ90" s="125">
        <v>41527</v>
      </c>
      <c r="BS90" s="111">
        <v>43.7</v>
      </c>
      <c r="BT90" s="125">
        <v>41527</v>
      </c>
      <c r="BU90">
        <v>19.399999999999999</v>
      </c>
      <c r="BV90" s="125">
        <v>41527</v>
      </c>
      <c r="CC90" s="111">
        <v>6.7</v>
      </c>
      <c r="CD90" s="125">
        <v>41527</v>
      </c>
      <c r="CG90" s="111">
        <v>3.99</v>
      </c>
      <c r="CH90" s="125">
        <v>41527</v>
      </c>
      <c r="CK90" s="111">
        <v>5</v>
      </c>
    </row>
    <row r="91" spans="1:89">
      <c r="A91" s="126" t="s">
        <v>7812</v>
      </c>
      <c r="B91" t="s">
        <v>259</v>
      </c>
      <c r="C91" t="s">
        <v>7795</v>
      </c>
      <c r="D91">
        <v>15</v>
      </c>
      <c r="E91" s="93">
        <v>1</v>
      </c>
      <c r="F91" s="93">
        <v>86</v>
      </c>
      <c r="K91" s="92">
        <v>5</v>
      </c>
      <c r="L91" s="159">
        <v>41569</v>
      </c>
      <c r="S91" s="111">
        <v>1940.819</v>
      </c>
      <c r="T91" s="125">
        <v>41527</v>
      </c>
      <c r="U91" s="111">
        <v>10.8</v>
      </c>
      <c r="Y91" s="111">
        <v>893.04200000000003</v>
      </c>
      <c r="Z91" s="125">
        <v>41527</v>
      </c>
      <c r="AA91" s="111">
        <v>92296.450939999995</v>
      </c>
      <c r="AB91" s="125">
        <v>41527</v>
      </c>
      <c r="AE91">
        <v>44.21</v>
      </c>
      <c r="AF91" s="125">
        <v>41527</v>
      </c>
      <c r="AG91" s="111">
        <v>4.79</v>
      </c>
      <c r="AH91" s="125">
        <v>41527</v>
      </c>
      <c r="AI91" s="111">
        <v>140</v>
      </c>
      <c r="AJ91" s="125">
        <v>41527</v>
      </c>
      <c r="BS91" s="111">
        <v>43.9</v>
      </c>
      <c r="BT91" s="125">
        <v>41527</v>
      </c>
      <c r="BU91">
        <v>20.2</v>
      </c>
      <c r="BV91" s="125">
        <v>41527</v>
      </c>
      <c r="CC91" s="111">
        <v>10.3</v>
      </c>
      <c r="CD91" s="125">
        <v>41527</v>
      </c>
      <c r="CG91" s="111">
        <v>2.0699999999999998</v>
      </c>
      <c r="CH91" s="125">
        <v>41527</v>
      </c>
      <c r="CK91" s="111">
        <v>1</v>
      </c>
    </row>
    <row r="92" spans="1:89">
      <c r="A92" s="126" t="s">
        <v>7813</v>
      </c>
      <c r="B92" t="s">
        <v>257</v>
      </c>
      <c r="C92" t="s">
        <v>405</v>
      </c>
      <c r="D92">
        <v>16</v>
      </c>
      <c r="E92" s="93">
        <v>6</v>
      </c>
      <c r="F92" s="93">
        <v>22</v>
      </c>
      <c r="K92" s="92">
        <v>5</v>
      </c>
      <c r="L92" s="159">
        <v>41569</v>
      </c>
      <c r="S92" s="111">
        <v>1824.7460000000001</v>
      </c>
      <c r="T92" s="125">
        <v>41527</v>
      </c>
      <c r="U92" s="111">
        <v>10.8</v>
      </c>
      <c r="Y92" s="111">
        <v>801.10799999999995</v>
      </c>
      <c r="Z92" s="125">
        <v>41527</v>
      </c>
      <c r="AA92" s="111" t="s">
        <v>7718</v>
      </c>
      <c r="AB92" s="125">
        <v>41527</v>
      </c>
      <c r="AE92">
        <v>40.46</v>
      </c>
      <c r="AF92" s="125">
        <v>41527</v>
      </c>
      <c r="AG92" s="111" t="s">
        <v>7718</v>
      </c>
      <c r="AH92" s="125">
        <v>41527</v>
      </c>
      <c r="AI92" s="111">
        <v>135</v>
      </c>
      <c r="AJ92" s="125">
        <v>41527</v>
      </c>
      <c r="BS92" s="111">
        <v>45.1</v>
      </c>
      <c r="BT92" s="125">
        <v>41527</v>
      </c>
      <c r="BU92">
        <v>19.8</v>
      </c>
      <c r="BV92" s="125">
        <v>41527</v>
      </c>
      <c r="CC92" s="111">
        <v>7.9</v>
      </c>
      <c r="CD92" s="125">
        <v>41527</v>
      </c>
      <c r="CG92" s="111">
        <v>2.2999999999999998</v>
      </c>
      <c r="CH92" s="125">
        <v>41527</v>
      </c>
      <c r="CK92" s="111">
        <v>10</v>
      </c>
    </row>
    <row r="93" spans="1:89">
      <c r="A93" s="126" t="s">
        <v>7813</v>
      </c>
      <c r="B93" t="s">
        <v>259</v>
      </c>
      <c r="C93" t="s">
        <v>405</v>
      </c>
      <c r="D93">
        <v>16</v>
      </c>
      <c r="E93" s="93">
        <v>3</v>
      </c>
      <c r="F93" s="93">
        <v>20</v>
      </c>
      <c r="K93" s="92">
        <v>7</v>
      </c>
      <c r="L93" s="159">
        <v>41569</v>
      </c>
      <c r="S93" s="111">
        <v>1742.36</v>
      </c>
      <c r="T93" s="125">
        <v>41527</v>
      </c>
      <c r="U93" s="111">
        <v>10.8</v>
      </c>
      <c r="Y93" s="111">
        <v>899.54399999999998</v>
      </c>
      <c r="Z93" s="125">
        <v>41527</v>
      </c>
      <c r="AA93" s="111" t="s">
        <v>7718</v>
      </c>
      <c r="AB93" s="125">
        <v>41527</v>
      </c>
      <c r="AE93">
        <v>40.520000000000003</v>
      </c>
      <c r="AF93" s="125">
        <v>41527</v>
      </c>
      <c r="AG93" s="111" t="s">
        <v>7718</v>
      </c>
      <c r="AH93" s="125">
        <v>41527</v>
      </c>
      <c r="AI93" s="111">
        <v>145</v>
      </c>
      <c r="AJ93" s="125">
        <v>41527</v>
      </c>
      <c r="BS93" s="111">
        <v>43</v>
      </c>
      <c r="BT93" s="125">
        <v>41527</v>
      </c>
      <c r="BU93">
        <v>22.2</v>
      </c>
      <c r="BV93" s="125">
        <v>41527</v>
      </c>
      <c r="CC93" s="111">
        <v>8.6999999999999993</v>
      </c>
      <c r="CD93" s="125">
        <v>41527</v>
      </c>
      <c r="CG93" s="111">
        <v>2.86</v>
      </c>
      <c r="CH93" s="125">
        <v>41527</v>
      </c>
      <c r="CK93" s="111">
        <v>20</v>
      </c>
    </row>
    <row r="94" spans="1:89">
      <c r="A94" s="126" t="s">
        <v>7813</v>
      </c>
      <c r="B94" t="s">
        <v>257</v>
      </c>
      <c r="C94" t="s">
        <v>7794</v>
      </c>
      <c r="D94">
        <v>16</v>
      </c>
      <c r="E94" s="93">
        <v>3</v>
      </c>
      <c r="F94" s="93">
        <v>58</v>
      </c>
      <c r="K94" s="92">
        <v>5</v>
      </c>
      <c r="L94" s="159">
        <v>41569</v>
      </c>
      <c r="S94" s="111">
        <v>1619.91</v>
      </c>
      <c r="T94" s="125">
        <v>41527</v>
      </c>
      <c r="U94" s="111">
        <v>10.8</v>
      </c>
      <c r="Y94" s="111">
        <v>760.14</v>
      </c>
      <c r="Z94" s="125">
        <v>41527</v>
      </c>
      <c r="AA94" s="111" t="s">
        <v>7718</v>
      </c>
      <c r="AB94" s="125">
        <v>41527</v>
      </c>
      <c r="AE94">
        <v>36.9</v>
      </c>
      <c r="AF94" s="125">
        <v>41527</v>
      </c>
      <c r="AG94" s="111" t="s">
        <v>7718</v>
      </c>
      <c r="AH94" s="125">
        <v>41527</v>
      </c>
      <c r="AI94" s="111">
        <v>150</v>
      </c>
      <c r="AJ94" s="125">
        <v>41527</v>
      </c>
      <c r="BS94" s="111">
        <v>43.9</v>
      </c>
      <c r="BT94" s="125">
        <v>41527</v>
      </c>
      <c r="BU94">
        <v>20.6</v>
      </c>
      <c r="BV94" s="125">
        <v>41527</v>
      </c>
      <c r="CC94" s="111">
        <v>7.4</v>
      </c>
      <c r="CD94" s="125">
        <v>41527</v>
      </c>
      <c r="CG94" s="111">
        <v>3.55</v>
      </c>
      <c r="CH94" s="125">
        <v>41527</v>
      </c>
      <c r="CK94" s="111">
        <v>10</v>
      </c>
    </row>
    <row r="95" spans="1:89">
      <c r="A95" s="126" t="s">
        <v>7813</v>
      </c>
      <c r="B95" t="s">
        <v>259</v>
      </c>
      <c r="C95" t="s">
        <v>7794</v>
      </c>
      <c r="D95">
        <v>16</v>
      </c>
      <c r="E95" s="93">
        <v>4</v>
      </c>
      <c r="F95" s="93">
        <v>56</v>
      </c>
      <c r="K95" s="92">
        <v>5</v>
      </c>
      <c r="L95" s="159">
        <v>41569</v>
      </c>
      <c r="S95" s="111">
        <v>1935.943</v>
      </c>
      <c r="T95" s="125">
        <v>41527</v>
      </c>
      <c r="U95" s="111">
        <v>10.8</v>
      </c>
      <c r="Y95" s="111">
        <v>970.20699999999999</v>
      </c>
      <c r="Z95" s="125">
        <v>41527</v>
      </c>
      <c r="AA95" s="111" t="s">
        <v>7718</v>
      </c>
      <c r="AB95" s="125">
        <v>41527</v>
      </c>
      <c r="AE95">
        <v>44.71</v>
      </c>
      <c r="AF95" s="125">
        <v>41527</v>
      </c>
      <c r="AG95" s="111" t="s">
        <v>7718</v>
      </c>
      <c r="AH95" s="125">
        <v>41527</v>
      </c>
      <c r="AI95" s="111">
        <v>140</v>
      </c>
      <c r="AJ95" s="125">
        <v>41527</v>
      </c>
      <c r="BS95" s="111">
        <v>43.3</v>
      </c>
      <c r="BT95" s="125">
        <v>41527</v>
      </c>
      <c r="BU95">
        <v>21.7</v>
      </c>
      <c r="BV95" s="125">
        <v>41527</v>
      </c>
      <c r="CC95" s="111">
        <v>6</v>
      </c>
      <c r="CD95" s="125">
        <v>41527</v>
      </c>
      <c r="CG95" s="111">
        <v>1.32</v>
      </c>
      <c r="CH95" s="125">
        <v>41527</v>
      </c>
      <c r="CK95" s="111">
        <v>10</v>
      </c>
    </row>
    <row r="96" spans="1:89">
      <c r="A96" s="126" t="s">
        <v>7813</v>
      </c>
      <c r="B96" t="s">
        <v>257</v>
      </c>
      <c r="C96" t="s">
        <v>7795</v>
      </c>
      <c r="D96">
        <v>16</v>
      </c>
      <c r="E96" s="93">
        <v>5</v>
      </c>
      <c r="F96" s="93">
        <v>79</v>
      </c>
      <c r="K96" s="92">
        <v>5</v>
      </c>
      <c r="L96" s="159">
        <v>41569</v>
      </c>
      <c r="S96" s="111">
        <v>1533.056</v>
      </c>
      <c r="T96" s="125">
        <v>41527</v>
      </c>
      <c r="U96" s="111">
        <v>10.8</v>
      </c>
      <c r="Y96" s="111">
        <v>698.08799999999997</v>
      </c>
      <c r="Z96" s="125">
        <v>41527</v>
      </c>
      <c r="AA96" s="111">
        <v>69411.764710000003</v>
      </c>
      <c r="AB96" s="125">
        <v>41527</v>
      </c>
      <c r="AE96">
        <v>34.22</v>
      </c>
      <c r="AF96" s="125">
        <v>41527</v>
      </c>
      <c r="AG96" s="111">
        <v>4.93</v>
      </c>
      <c r="AH96" s="125">
        <v>41527</v>
      </c>
      <c r="AI96" s="111">
        <v>135</v>
      </c>
      <c r="AJ96" s="125">
        <v>41527</v>
      </c>
      <c r="BS96" s="111">
        <v>44.8</v>
      </c>
      <c r="BT96" s="125">
        <v>41527</v>
      </c>
      <c r="BU96">
        <v>20.399999999999999</v>
      </c>
      <c r="BV96" s="125">
        <v>41527</v>
      </c>
      <c r="CC96" s="111">
        <v>6.6</v>
      </c>
      <c r="CD96" s="125">
        <v>41527</v>
      </c>
      <c r="CG96" s="111">
        <v>1.73</v>
      </c>
      <c r="CH96" s="125">
        <v>41527</v>
      </c>
      <c r="CK96" s="111">
        <v>10</v>
      </c>
    </row>
    <row r="97" spans="1:89">
      <c r="A97" s="126" t="s">
        <v>7813</v>
      </c>
      <c r="B97" t="s">
        <v>259</v>
      </c>
      <c r="C97" t="s">
        <v>7795</v>
      </c>
      <c r="D97">
        <v>16</v>
      </c>
      <c r="E97" s="93">
        <v>2</v>
      </c>
      <c r="F97" s="93">
        <v>78</v>
      </c>
      <c r="K97" s="92">
        <v>7</v>
      </c>
      <c r="L97" s="159">
        <v>41569</v>
      </c>
      <c r="S97" s="111">
        <v>1980.4839999999999</v>
      </c>
      <c r="T97" s="125">
        <v>41527</v>
      </c>
      <c r="U97" s="111">
        <v>10.8</v>
      </c>
      <c r="Y97" s="111">
        <v>965.31600000000003</v>
      </c>
      <c r="Z97" s="125">
        <v>41527</v>
      </c>
      <c r="AA97" s="111">
        <v>90640</v>
      </c>
      <c r="AB97" s="125">
        <v>41527</v>
      </c>
      <c r="AE97">
        <v>45.32</v>
      </c>
      <c r="AF97" s="125">
        <v>41527</v>
      </c>
      <c r="AG97" s="111">
        <v>5</v>
      </c>
      <c r="AH97" s="125">
        <v>41527</v>
      </c>
      <c r="AI97" s="111">
        <v>150</v>
      </c>
      <c r="AJ97" s="125">
        <v>41527</v>
      </c>
      <c r="BS97" s="111">
        <v>43.7</v>
      </c>
      <c r="BT97" s="125">
        <v>41527</v>
      </c>
      <c r="BU97">
        <v>21.3</v>
      </c>
      <c r="BV97" s="125">
        <v>41527</v>
      </c>
      <c r="CC97" s="111">
        <v>7.7</v>
      </c>
      <c r="CD97" s="125">
        <v>41527</v>
      </c>
      <c r="CG97" s="111">
        <v>2.23</v>
      </c>
      <c r="CH97" s="125">
        <v>41527</v>
      </c>
      <c r="CK97" s="111">
        <v>20</v>
      </c>
    </row>
    <row r="98" spans="1:89">
      <c r="A98" s="126" t="s">
        <v>7814</v>
      </c>
      <c r="B98" t="s">
        <v>257</v>
      </c>
      <c r="C98" t="s">
        <v>405</v>
      </c>
      <c r="D98">
        <v>17</v>
      </c>
      <c r="E98" s="93">
        <v>6</v>
      </c>
      <c r="F98" s="93">
        <v>27</v>
      </c>
      <c r="K98" s="92">
        <v>3</v>
      </c>
      <c r="L98" s="159">
        <v>41569</v>
      </c>
      <c r="S98" s="111">
        <v>800.02</v>
      </c>
      <c r="T98" s="125">
        <v>41527</v>
      </c>
      <c r="U98" s="111">
        <v>10.8</v>
      </c>
      <c r="Y98" s="111">
        <v>372.86</v>
      </c>
      <c r="Z98" s="125">
        <v>41527</v>
      </c>
      <c r="AA98" s="111" t="s">
        <v>7718</v>
      </c>
      <c r="AB98" s="125">
        <v>41527</v>
      </c>
      <c r="AE98">
        <v>18.100000000000001</v>
      </c>
      <c r="AF98" s="125">
        <v>41527</v>
      </c>
      <c r="AG98" s="111" t="s">
        <v>7718</v>
      </c>
      <c r="AH98" s="125">
        <v>41527</v>
      </c>
      <c r="AI98" s="111">
        <v>100</v>
      </c>
      <c r="AJ98" s="125">
        <v>41527</v>
      </c>
      <c r="BS98" s="111">
        <v>44.2</v>
      </c>
      <c r="BT98" s="125">
        <v>41527</v>
      </c>
      <c r="BU98">
        <v>20.6</v>
      </c>
      <c r="BV98" s="125">
        <v>41527</v>
      </c>
      <c r="CC98" s="111">
        <v>11</v>
      </c>
      <c r="CD98" s="125">
        <v>41527</v>
      </c>
      <c r="CG98" s="111">
        <v>21.37</v>
      </c>
      <c r="CH98" s="125">
        <v>41527</v>
      </c>
      <c r="CK98" s="111">
        <v>20</v>
      </c>
    </row>
    <row r="99" spans="1:89">
      <c r="A99" s="126" t="s">
        <v>7814</v>
      </c>
      <c r="B99" t="s">
        <v>259</v>
      </c>
      <c r="C99" t="s">
        <v>405</v>
      </c>
      <c r="D99">
        <v>17</v>
      </c>
      <c r="E99" s="93">
        <v>3</v>
      </c>
      <c r="F99" s="93">
        <v>25</v>
      </c>
      <c r="K99" s="92">
        <v>5</v>
      </c>
      <c r="L99" s="159">
        <v>41569</v>
      </c>
      <c r="S99" s="111">
        <v>1457.4780000000001</v>
      </c>
      <c r="T99" s="125">
        <v>41527</v>
      </c>
      <c r="U99" s="111">
        <v>10.8</v>
      </c>
      <c r="Y99" s="111">
        <v>774.18</v>
      </c>
      <c r="Z99" s="125">
        <v>41527</v>
      </c>
      <c r="AA99" s="111" t="s">
        <v>7718</v>
      </c>
      <c r="AB99" s="125">
        <v>41527</v>
      </c>
      <c r="AE99">
        <v>33.659999999999997</v>
      </c>
      <c r="AF99" s="125">
        <v>41527</v>
      </c>
      <c r="AG99" s="111" t="s">
        <v>7718</v>
      </c>
      <c r="AH99" s="125">
        <v>41527</v>
      </c>
      <c r="AI99" s="111">
        <v>125</v>
      </c>
      <c r="AJ99" s="125">
        <v>41527</v>
      </c>
      <c r="BS99" s="111">
        <v>43.3</v>
      </c>
      <c r="BT99" s="125">
        <v>41527</v>
      </c>
      <c r="BU99">
        <v>23</v>
      </c>
      <c r="BV99" s="125">
        <v>41527</v>
      </c>
      <c r="CC99" s="111">
        <v>14.8</v>
      </c>
      <c r="CD99" s="125">
        <v>41527</v>
      </c>
      <c r="CG99" s="111">
        <v>7.92</v>
      </c>
      <c r="CH99" s="125">
        <v>41527</v>
      </c>
      <c r="CK99" s="111">
        <v>10</v>
      </c>
    </row>
    <row r="100" spans="1:89">
      <c r="A100" s="126" t="s">
        <v>7814</v>
      </c>
      <c r="B100" t="s">
        <v>257</v>
      </c>
      <c r="C100" t="s">
        <v>7794</v>
      </c>
      <c r="D100">
        <v>17</v>
      </c>
      <c r="E100" s="93">
        <v>2</v>
      </c>
      <c r="F100" s="93">
        <v>46</v>
      </c>
      <c r="K100" s="92">
        <v>5</v>
      </c>
      <c r="L100" s="159">
        <v>41569</v>
      </c>
      <c r="S100" s="111">
        <v>1296.96</v>
      </c>
      <c r="T100" s="125">
        <v>41527</v>
      </c>
      <c r="U100" s="111">
        <v>10.8</v>
      </c>
      <c r="Y100" s="111">
        <v>596.37</v>
      </c>
      <c r="Z100" s="125">
        <v>41527</v>
      </c>
      <c r="AA100" s="111" t="s">
        <v>7718</v>
      </c>
      <c r="AB100" s="125">
        <v>41527</v>
      </c>
      <c r="AE100">
        <v>28.95</v>
      </c>
      <c r="AF100" s="125">
        <v>41527</v>
      </c>
      <c r="AG100" s="111" t="s">
        <v>7718</v>
      </c>
      <c r="AH100" s="125">
        <v>41527</v>
      </c>
      <c r="AI100" s="111">
        <v>125</v>
      </c>
      <c r="AJ100" s="125">
        <v>41527</v>
      </c>
      <c r="BS100" s="111">
        <v>44.8</v>
      </c>
      <c r="BT100" s="125">
        <v>41527</v>
      </c>
      <c r="BU100">
        <v>20.6</v>
      </c>
      <c r="BV100" s="125">
        <v>41527</v>
      </c>
      <c r="CC100" s="111">
        <v>13.1</v>
      </c>
      <c r="CD100" s="125">
        <v>41527</v>
      </c>
      <c r="CG100" s="111">
        <v>10.17</v>
      </c>
      <c r="CH100" s="125">
        <v>41527</v>
      </c>
      <c r="CK100" s="111">
        <v>20</v>
      </c>
    </row>
    <row r="101" spans="1:89">
      <c r="A101" s="126" t="s">
        <v>7814</v>
      </c>
      <c r="B101" t="s">
        <v>259</v>
      </c>
      <c r="C101" t="s">
        <v>7794</v>
      </c>
      <c r="D101">
        <v>17</v>
      </c>
      <c r="E101" s="93">
        <v>5</v>
      </c>
      <c r="F101" s="93">
        <v>33</v>
      </c>
      <c r="K101" s="92">
        <v>5</v>
      </c>
      <c r="L101" s="159">
        <v>41569</v>
      </c>
      <c r="S101" s="111">
        <v>1456.9</v>
      </c>
      <c r="T101" s="125">
        <v>41527</v>
      </c>
      <c r="U101" s="111">
        <v>10.8</v>
      </c>
      <c r="Y101" s="111">
        <v>750.73199999999997</v>
      </c>
      <c r="Z101" s="125">
        <v>41527</v>
      </c>
      <c r="AA101" s="111" t="s">
        <v>7718</v>
      </c>
      <c r="AB101" s="125">
        <v>41527</v>
      </c>
      <c r="AE101">
        <v>34.28</v>
      </c>
      <c r="AF101" s="125">
        <v>41527</v>
      </c>
      <c r="AG101" s="111" t="s">
        <v>7718</v>
      </c>
      <c r="AH101" s="125">
        <v>41527</v>
      </c>
      <c r="AI101" s="111">
        <v>120</v>
      </c>
      <c r="AJ101" s="125">
        <v>41527</v>
      </c>
      <c r="BS101" s="111">
        <v>42.5</v>
      </c>
      <c r="BT101" s="125">
        <v>41527</v>
      </c>
      <c r="BU101">
        <v>21.9</v>
      </c>
      <c r="BV101" s="125">
        <v>41527</v>
      </c>
      <c r="CC101" s="111">
        <v>6</v>
      </c>
      <c r="CD101" s="125">
        <v>41527</v>
      </c>
      <c r="CG101" s="111">
        <v>8.2799999999999994</v>
      </c>
      <c r="CH101" s="125">
        <v>41527</v>
      </c>
      <c r="CK101" s="111">
        <v>20</v>
      </c>
    </row>
    <row r="102" spans="1:89">
      <c r="A102" s="126" t="s">
        <v>7814</v>
      </c>
      <c r="B102" t="s">
        <v>257</v>
      </c>
      <c r="C102" t="s">
        <v>7795</v>
      </c>
      <c r="D102">
        <v>17</v>
      </c>
      <c r="E102" s="93">
        <v>6</v>
      </c>
      <c r="F102" s="93">
        <v>84</v>
      </c>
      <c r="K102" s="92">
        <v>5</v>
      </c>
      <c r="L102" s="159">
        <v>41569</v>
      </c>
      <c r="S102" s="111">
        <v>953.53200000000004</v>
      </c>
      <c r="T102" s="125">
        <v>41527</v>
      </c>
      <c r="U102" s="111">
        <v>10.8</v>
      </c>
      <c r="Y102" s="111">
        <v>468.01799999999997</v>
      </c>
      <c r="Z102" s="125">
        <v>41527</v>
      </c>
      <c r="AA102" s="111">
        <v>51338.028169999998</v>
      </c>
      <c r="AB102" s="125">
        <v>41527</v>
      </c>
      <c r="AE102">
        <v>21.87</v>
      </c>
      <c r="AF102" s="125">
        <v>41527</v>
      </c>
      <c r="AG102" s="111">
        <v>4.26</v>
      </c>
      <c r="AH102" s="125">
        <v>41527</v>
      </c>
      <c r="AI102" s="111">
        <v>105</v>
      </c>
      <c r="AJ102" s="125">
        <v>41527</v>
      </c>
      <c r="BS102" s="111">
        <v>43.6</v>
      </c>
      <c r="BT102" s="125">
        <v>41527</v>
      </c>
      <c r="BU102">
        <v>21.4</v>
      </c>
      <c r="BV102" s="125">
        <v>41527</v>
      </c>
      <c r="CC102" s="111">
        <v>7.9</v>
      </c>
      <c r="CD102" s="125">
        <v>41527</v>
      </c>
      <c r="CG102" s="111">
        <v>1.91</v>
      </c>
      <c r="CH102" s="125">
        <v>41527</v>
      </c>
      <c r="CK102" s="111">
        <v>10</v>
      </c>
    </row>
    <row r="103" spans="1:89">
      <c r="A103" s="126" t="s">
        <v>7814</v>
      </c>
      <c r="B103" t="s">
        <v>259</v>
      </c>
      <c r="C103" t="s">
        <v>7795</v>
      </c>
      <c r="D103">
        <v>17</v>
      </c>
      <c r="E103" s="93">
        <v>3</v>
      </c>
      <c r="F103" s="93">
        <v>85</v>
      </c>
      <c r="K103" s="92">
        <v>5</v>
      </c>
      <c r="L103" s="159">
        <v>41569</v>
      </c>
      <c r="S103" s="111">
        <v>1456.4749999999999</v>
      </c>
      <c r="T103" s="125">
        <v>41527</v>
      </c>
      <c r="U103" s="111">
        <v>10.8</v>
      </c>
      <c r="Y103" s="111">
        <v>757.36699999999996</v>
      </c>
      <c r="Z103" s="125">
        <v>41527</v>
      </c>
      <c r="AA103" s="111">
        <v>89947.506559999994</v>
      </c>
      <c r="AB103" s="125">
        <v>41527</v>
      </c>
      <c r="AE103">
        <v>34.270000000000003</v>
      </c>
      <c r="AF103" s="125">
        <v>41527</v>
      </c>
      <c r="AG103" s="111">
        <v>3.81</v>
      </c>
      <c r="AH103" s="125">
        <v>41527</v>
      </c>
      <c r="AI103" s="111">
        <v>115</v>
      </c>
      <c r="AJ103" s="125">
        <v>41527</v>
      </c>
      <c r="BS103" s="111">
        <v>42.5</v>
      </c>
      <c r="BT103" s="125">
        <v>41527</v>
      </c>
      <c r="BU103">
        <v>22.1</v>
      </c>
      <c r="BV103" s="125">
        <v>41527</v>
      </c>
      <c r="CC103" s="111">
        <v>12.3</v>
      </c>
      <c r="CD103" s="125">
        <v>41527</v>
      </c>
      <c r="CG103" s="111">
        <v>6.9</v>
      </c>
      <c r="CH103" s="125">
        <v>41527</v>
      </c>
      <c r="CK103" s="111">
        <v>20</v>
      </c>
    </row>
    <row r="104" spans="1:89">
      <c r="A104" s="126" t="s">
        <v>7815</v>
      </c>
      <c r="B104" t="s">
        <v>257</v>
      </c>
      <c r="C104" t="s">
        <v>405</v>
      </c>
      <c r="D104">
        <v>18</v>
      </c>
      <c r="E104" s="93">
        <v>6</v>
      </c>
      <c r="F104" s="93">
        <v>4</v>
      </c>
      <c r="K104" s="92">
        <v>5</v>
      </c>
      <c r="L104" s="159">
        <v>41569</v>
      </c>
      <c r="S104" s="111">
        <v>1740.6120000000001</v>
      </c>
      <c r="T104" s="125">
        <v>41527</v>
      </c>
      <c r="U104" s="111">
        <v>10.8</v>
      </c>
      <c r="Y104" s="111">
        <v>818.64400000000001</v>
      </c>
      <c r="Z104" s="125">
        <v>41527</v>
      </c>
      <c r="AA104" s="111" t="s">
        <v>7718</v>
      </c>
      <c r="AB104" s="125">
        <v>41527</v>
      </c>
      <c r="AE104">
        <v>39.74</v>
      </c>
      <c r="AF104" s="125">
        <v>41527</v>
      </c>
      <c r="AG104" s="111" t="s">
        <v>7718</v>
      </c>
      <c r="AH104" s="125">
        <v>41527</v>
      </c>
      <c r="AI104" s="111">
        <v>120</v>
      </c>
      <c r="AJ104" s="125">
        <v>41527</v>
      </c>
      <c r="BS104" s="111">
        <v>43.8</v>
      </c>
      <c r="BT104" s="125">
        <v>41527</v>
      </c>
      <c r="BU104">
        <v>20.6</v>
      </c>
      <c r="BV104" s="125">
        <v>41527</v>
      </c>
      <c r="CC104" s="111">
        <v>10.9</v>
      </c>
      <c r="CD104" s="125">
        <v>41527</v>
      </c>
      <c r="CG104" s="111">
        <v>2.83</v>
      </c>
      <c r="CH104" s="125">
        <v>41527</v>
      </c>
      <c r="CK104" s="111">
        <v>10</v>
      </c>
    </row>
    <row r="105" spans="1:89">
      <c r="A105" s="126" t="s">
        <v>7815</v>
      </c>
      <c r="B105" t="s">
        <v>259</v>
      </c>
      <c r="C105" t="s">
        <v>405</v>
      </c>
      <c r="D105">
        <v>18</v>
      </c>
      <c r="E105" s="93">
        <v>3</v>
      </c>
      <c r="F105" s="93">
        <v>26</v>
      </c>
      <c r="K105" s="92">
        <v>5</v>
      </c>
      <c r="L105" s="159">
        <v>41569</v>
      </c>
      <c r="S105" s="111">
        <v>1950.8240000000001</v>
      </c>
      <c r="T105" s="125">
        <v>41527</v>
      </c>
      <c r="U105" s="111">
        <v>10.8</v>
      </c>
      <c r="Y105" s="111">
        <v>1044.4269999999999</v>
      </c>
      <c r="Z105" s="125">
        <v>41527</v>
      </c>
      <c r="AA105" s="111" t="s">
        <v>7718</v>
      </c>
      <c r="AB105" s="125">
        <v>41527</v>
      </c>
      <c r="AE105">
        <v>46.01</v>
      </c>
      <c r="AF105" s="125">
        <v>41527</v>
      </c>
      <c r="AG105" s="111" t="s">
        <v>7718</v>
      </c>
      <c r="AH105" s="125">
        <v>41527</v>
      </c>
      <c r="AI105" s="111">
        <v>125</v>
      </c>
      <c r="AJ105" s="125">
        <v>41527</v>
      </c>
      <c r="BS105" s="111">
        <v>42.4</v>
      </c>
      <c r="BT105" s="125">
        <v>41527</v>
      </c>
      <c r="BU105">
        <v>22.7</v>
      </c>
      <c r="BV105" s="125">
        <v>41527</v>
      </c>
      <c r="CC105" s="111">
        <v>12.4</v>
      </c>
      <c r="CD105" s="125">
        <v>41527</v>
      </c>
      <c r="CG105" s="111">
        <v>3.63</v>
      </c>
      <c r="CH105" s="125">
        <v>41527</v>
      </c>
      <c r="CK105" s="111">
        <v>1</v>
      </c>
    </row>
    <row r="106" spans="1:89">
      <c r="A106" s="126" t="s">
        <v>7815</v>
      </c>
      <c r="B106" t="s">
        <v>257</v>
      </c>
      <c r="C106" t="s">
        <v>7794</v>
      </c>
      <c r="D106">
        <v>18</v>
      </c>
      <c r="E106" s="93">
        <v>2</v>
      </c>
      <c r="F106" s="93">
        <v>38</v>
      </c>
      <c r="K106" s="92">
        <v>5</v>
      </c>
      <c r="L106" s="159">
        <v>41569</v>
      </c>
      <c r="S106" s="111">
        <v>2116.7379999999998</v>
      </c>
      <c r="T106" s="125">
        <v>41527</v>
      </c>
      <c r="U106" s="111">
        <v>10.8</v>
      </c>
      <c r="Y106" s="111">
        <v>986.53399999999999</v>
      </c>
      <c r="Z106" s="125">
        <v>41527</v>
      </c>
      <c r="AA106" s="111" t="s">
        <v>7718</v>
      </c>
      <c r="AB106" s="125">
        <v>41527</v>
      </c>
      <c r="AE106">
        <v>47.89</v>
      </c>
      <c r="AF106" s="125">
        <v>41527</v>
      </c>
      <c r="AG106" s="111" t="s">
        <v>7718</v>
      </c>
      <c r="AH106" s="125">
        <v>41527</v>
      </c>
      <c r="AI106" s="111">
        <v>135</v>
      </c>
      <c r="AJ106" s="125">
        <v>41527</v>
      </c>
      <c r="BS106" s="111">
        <v>44.2</v>
      </c>
      <c r="BT106" s="125">
        <v>41527</v>
      </c>
      <c r="BU106">
        <v>20.6</v>
      </c>
      <c r="BV106" s="125">
        <v>41527</v>
      </c>
      <c r="CC106" s="111">
        <v>8.1</v>
      </c>
      <c r="CD106" s="125">
        <v>41527</v>
      </c>
      <c r="CG106" s="111">
        <v>2</v>
      </c>
      <c r="CH106" s="125">
        <v>41527</v>
      </c>
      <c r="CK106" s="111">
        <v>10</v>
      </c>
    </row>
    <row r="107" spans="1:89">
      <c r="A107" s="126" t="s">
        <v>7815</v>
      </c>
      <c r="B107" t="s">
        <v>259</v>
      </c>
      <c r="C107" t="s">
        <v>7794</v>
      </c>
      <c r="D107">
        <v>18</v>
      </c>
      <c r="E107" s="93">
        <v>6</v>
      </c>
      <c r="F107" s="93">
        <v>50</v>
      </c>
      <c r="K107" s="92">
        <v>3</v>
      </c>
      <c r="L107" s="159">
        <v>41569</v>
      </c>
      <c r="S107" s="111">
        <v>1982.624</v>
      </c>
      <c r="T107" s="125">
        <v>41527</v>
      </c>
      <c r="U107" s="111">
        <v>10.8</v>
      </c>
      <c r="Y107" s="111">
        <v>1038.0719999999999</v>
      </c>
      <c r="Z107" s="125">
        <v>41527</v>
      </c>
      <c r="AA107" s="111" t="s">
        <v>7718</v>
      </c>
      <c r="AB107" s="125">
        <v>41527</v>
      </c>
      <c r="AE107">
        <v>46.76</v>
      </c>
      <c r="AF107" s="125">
        <v>41527</v>
      </c>
      <c r="AG107" s="111" t="s">
        <v>7718</v>
      </c>
      <c r="AH107" s="125">
        <v>41527</v>
      </c>
      <c r="AI107" s="111">
        <v>120</v>
      </c>
      <c r="AJ107" s="125">
        <v>41527</v>
      </c>
      <c r="BS107" s="111">
        <v>42.4</v>
      </c>
      <c r="BT107" s="125">
        <v>41527</v>
      </c>
      <c r="BU107">
        <v>22.2</v>
      </c>
      <c r="BV107" s="125">
        <v>41527</v>
      </c>
      <c r="CC107" s="111">
        <v>7.8</v>
      </c>
      <c r="CD107" s="125">
        <v>41527</v>
      </c>
      <c r="CG107" s="111">
        <v>4.3099999999999996</v>
      </c>
      <c r="CH107" s="125">
        <v>41527</v>
      </c>
      <c r="CK107" s="111">
        <v>5</v>
      </c>
    </row>
    <row r="108" spans="1:89">
      <c r="A108" s="126" t="s">
        <v>7815</v>
      </c>
      <c r="B108" t="s">
        <v>257</v>
      </c>
      <c r="C108" t="s">
        <v>7795</v>
      </c>
      <c r="D108">
        <v>18</v>
      </c>
      <c r="E108" s="93">
        <v>4</v>
      </c>
      <c r="F108" s="93">
        <v>64</v>
      </c>
      <c r="K108" s="92">
        <v>5</v>
      </c>
      <c r="L108" s="159">
        <v>41569</v>
      </c>
      <c r="S108" s="111">
        <v>1918.84</v>
      </c>
      <c r="T108" s="125">
        <v>41527</v>
      </c>
      <c r="U108" s="111">
        <v>10.8</v>
      </c>
      <c r="Y108" s="111">
        <v>889.64400000000001</v>
      </c>
      <c r="Z108" s="125">
        <v>41527</v>
      </c>
      <c r="AA108" s="111">
        <v>98000</v>
      </c>
      <c r="AB108" s="125">
        <v>41527</v>
      </c>
      <c r="AE108">
        <v>43.61</v>
      </c>
      <c r="AF108" s="125">
        <v>41527</v>
      </c>
      <c r="AG108" s="111">
        <v>4.45</v>
      </c>
      <c r="AH108" s="125">
        <v>41527</v>
      </c>
      <c r="AI108" s="111">
        <v>130</v>
      </c>
      <c r="AJ108" s="125">
        <v>41527</v>
      </c>
      <c r="BS108" s="111">
        <v>44</v>
      </c>
      <c r="BT108" s="125">
        <v>41527</v>
      </c>
      <c r="BU108">
        <v>20.399999999999999</v>
      </c>
      <c r="BV108" s="125">
        <v>41527</v>
      </c>
      <c r="CC108" s="111">
        <v>7</v>
      </c>
      <c r="CD108" s="125">
        <v>41527</v>
      </c>
      <c r="CG108" s="111">
        <v>2.2799999999999998</v>
      </c>
      <c r="CH108" s="125">
        <v>41527</v>
      </c>
      <c r="CK108" s="111">
        <v>5</v>
      </c>
    </row>
    <row r="109" spans="1:89">
      <c r="A109" s="126" t="s">
        <v>7815</v>
      </c>
      <c r="B109" t="s">
        <v>259</v>
      </c>
      <c r="C109" t="s">
        <v>7795</v>
      </c>
      <c r="D109">
        <v>18</v>
      </c>
      <c r="E109" s="93">
        <v>2</v>
      </c>
      <c r="F109" s="93">
        <v>83</v>
      </c>
      <c r="K109" s="92">
        <v>5</v>
      </c>
      <c r="L109" s="159">
        <v>41569</v>
      </c>
      <c r="S109" s="111">
        <v>1845.2840000000001</v>
      </c>
      <c r="T109" s="125">
        <v>41527</v>
      </c>
      <c r="U109" s="111">
        <v>10.8</v>
      </c>
      <c r="Y109" s="111">
        <v>1023.172</v>
      </c>
      <c r="Z109" s="125">
        <v>41527</v>
      </c>
      <c r="AA109" s="111">
        <v>99732.142860000007</v>
      </c>
      <c r="AB109" s="125">
        <v>41527</v>
      </c>
      <c r="AE109">
        <v>44.68</v>
      </c>
      <c r="AF109" s="125">
        <v>41527</v>
      </c>
      <c r="AG109" s="111">
        <v>4.4800000000000004</v>
      </c>
      <c r="AH109" s="125">
        <v>41527</v>
      </c>
      <c r="AI109" s="111">
        <v>120</v>
      </c>
      <c r="AJ109" s="125">
        <v>41527</v>
      </c>
      <c r="BS109" s="111">
        <v>41.3</v>
      </c>
      <c r="BT109" s="125">
        <v>41527</v>
      </c>
      <c r="BU109">
        <v>22.9</v>
      </c>
      <c r="BV109" s="125">
        <v>41527</v>
      </c>
      <c r="CC109" s="111">
        <v>9</v>
      </c>
      <c r="CD109" s="125">
        <v>41527</v>
      </c>
      <c r="CG109" s="111">
        <v>3.09</v>
      </c>
      <c r="CH109" s="125">
        <v>41527</v>
      </c>
      <c r="CK109" s="111">
        <v>5</v>
      </c>
    </row>
    <row r="110" spans="1:89">
      <c r="A110" s="126" t="s">
        <v>7816</v>
      </c>
      <c r="B110" t="s">
        <v>257</v>
      </c>
      <c r="C110" t="s">
        <v>405</v>
      </c>
      <c r="D110">
        <v>19</v>
      </c>
      <c r="E110" s="93">
        <v>5</v>
      </c>
      <c r="F110" s="93">
        <v>18</v>
      </c>
      <c r="K110" s="92">
        <v>5</v>
      </c>
      <c r="L110" s="159">
        <v>41569</v>
      </c>
      <c r="S110" s="111">
        <v>1517.623</v>
      </c>
      <c r="T110" s="125">
        <v>41527</v>
      </c>
      <c r="U110" s="111">
        <v>10.8</v>
      </c>
      <c r="Y110" s="111">
        <v>705.22799999999995</v>
      </c>
      <c r="Z110" s="125">
        <v>41527</v>
      </c>
      <c r="AA110" s="111" t="s">
        <v>7718</v>
      </c>
      <c r="AB110" s="125">
        <v>41527</v>
      </c>
      <c r="AE110">
        <v>34.57</v>
      </c>
      <c r="AF110" s="125">
        <v>41527</v>
      </c>
      <c r="AG110" s="111" t="s">
        <v>7718</v>
      </c>
      <c r="AH110" s="125">
        <v>41527</v>
      </c>
      <c r="AI110" s="111">
        <v>120</v>
      </c>
      <c r="AJ110" s="125">
        <v>41527</v>
      </c>
      <c r="BS110" s="111">
        <v>43.9</v>
      </c>
      <c r="BT110" s="125">
        <v>41527</v>
      </c>
      <c r="BU110">
        <v>20.399999999999999</v>
      </c>
      <c r="BV110" s="125">
        <v>41527</v>
      </c>
      <c r="CC110" s="111">
        <v>7.2</v>
      </c>
      <c r="CD110" s="125">
        <v>41527</v>
      </c>
      <c r="CG110" s="111">
        <v>4.32</v>
      </c>
      <c r="CH110" s="125">
        <v>41527</v>
      </c>
      <c r="CK110" s="111">
        <v>5</v>
      </c>
    </row>
    <row r="111" spans="1:89">
      <c r="A111" s="126" t="s">
        <v>7816</v>
      </c>
      <c r="B111" t="s">
        <v>259</v>
      </c>
      <c r="C111" t="s">
        <v>405</v>
      </c>
      <c r="D111">
        <v>19</v>
      </c>
      <c r="E111" s="93">
        <v>1</v>
      </c>
      <c r="F111" s="93">
        <v>12</v>
      </c>
      <c r="K111" s="92">
        <v>5</v>
      </c>
      <c r="L111" s="159">
        <v>41569</v>
      </c>
      <c r="S111" s="111">
        <v>2134.2750000000001</v>
      </c>
      <c r="T111" s="125">
        <v>41527</v>
      </c>
      <c r="U111" s="111">
        <v>10.8</v>
      </c>
      <c r="Y111" s="111">
        <v>1109.425</v>
      </c>
      <c r="Z111" s="125">
        <v>41527</v>
      </c>
      <c r="AA111" s="111" t="s">
        <v>7718</v>
      </c>
      <c r="AB111" s="125">
        <v>41527</v>
      </c>
      <c r="AE111">
        <v>49.75</v>
      </c>
      <c r="AF111" s="125">
        <v>41527</v>
      </c>
      <c r="AG111" s="111" t="s">
        <v>7718</v>
      </c>
      <c r="AH111" s="125">
        <v>41527</v>
      </c>
      <c r="AI111" s="111">
        <v>135</v>
      </c>
      <c r="AJ111" s="125">
        <v>41527</v>
      </c>
      <c r="BS111" s="111">
        <v>42.9</v>
      </c>
      <c r="BT111" s="125">
        <v>41527</v>
      </c>
      <c r="BU111">
        <v>22.3</v>
      </c>
      <c r="BV111" s="125">
        <v>41527</v>
      </c>
      <c r="CC111" s="111">
        <v>7.8</v>
      </c>
      <c r="CD111" s="125">
        <v>41527</v>
      </c>
      <c r="CG111" s="111">
        <v>2.4700000000000002</v>
      </c>
      <c r="CH111" s="125">
        <v>41527</v>
      </c>
      <c r="CK111" s="111">
        <v>5</v>
      </c>
    </row>
    <row r="112" spans="1:89">
      <c r="A112" s="126" t="s">
        <v>7816</v>
      </c>
      <c r="B112" t="s">
        <v>257</v>
      </c>
      <c r="C112" t="s">
        <v>7794</v>
      </c>
      <c r="D112">
        <v>19</v>
      </c>
      <c r="E112" s="93">
        <v>3</v>
      </c>
      <c r="F112" s="93">
        <v>41</v>
      </c>
      <c r="K112" s="92">
        <v>5</v>
      </c>
      <c r="L112" s="159">
        <v>41569</v>
      </c>
      <c r="S112" s="111">
        <v>1909.2529999999999</v>
      </c>
      <c r="T112" s="125">
        <v>41527</v>
      </c>
      <c r="U112" s="111">
        <v>10.8</v>
      </c>
      <c r="Y112" s="111">
        <v>900.01400000000001</v>
      </c>
      <c r="Z112" s="125">
        <v>41527</v>
      </c>
      <c r="AA112" s="111" t="s">
        <v>7718</v>
      </c>
      <c r="AB112" s="125">
        <v>41527</v>
      </c>
      <c r="AE112">
        <v>43.69</v>
      </c>
      <c r="AF112" s="125">
        <v>41527</v>
      </c>
      <c r="AG112" s="111" t="s">
        <v>7718</v>
      </c>
      <c r="AH112" s="125">
        <v>41527</v>
      </c>
      <c r="AI112" s="111">
        <v>120</v>
      </c>
      <c r="AJ112" s="125">
        <v>41527</v>
      </c>
      <c r="BS112" s="111">
        <v>43.7</v>
      </c>
      <c r="BT112" s="125">
        <v>41527</v>
      </c>
      <c r="BU112">
        <v>20.6</v>
      </c>
      <c r="BV112" s="125">
        <v>41527</v>
      </c>
      <c r="CC112" s="111">
        <v>9.1999999999999993</v>
      </c>
      <c r="CD112" s="125">
        <v>41527</v>
      </c>
      <c r="CG112" s="111">
        <v>3.83</v>
      </c>
      <c r="CH112" s="125">
        <v>41527</v>
      </c>
      <c r="CK112" s="111">
        <v>10</v>
      </c>
    </row>
    <row r="113" spans="1:89">
      <c r="A113" s="126" t="s">
        <v>7816</v>
      </c>
      <c r="B113" t="s">
        <v>259</v>
      </c>
      <c r="C113" t="s">
        <v>7794</v>
      </c>
      <c r="D113">
        <v>19</v>
      </c>
      <c r="E113" s="93">
        <v>4</v>
      </c>
      <c r="F113" s="93">
        <v>33</v>
      </c>
      <c r="K113" s="92">
        <v>5</v>
      </c>
      <c r="L113" s="159">
        <v>41569</v>
      </c>
      <c r="S113" s="111">
        <v>1882.3440000000001</v>
      </c>
      <c r="T113" s="125">
        <v>41527</v>
      </c>
      <c r="U113" s="111">
        <v>10.8</v>
      </c>
      <c r="Y113" s="111">
        <v>989.55</v>
      </c>
      <c r="Z113" s="125">
        <v>41527</v>
      </c>
      <c r="AA113" s="111" t="s">
        <v>7718</v>
      </c>
      <c r="AB113" s="125">
        <v>41527</v>
      </c>
      <c r="AE113">
        <v>43.98</v>
      </c>
      <c r="AF113" s="125">
        <v>41527</v>
      </c>
      <c r="AG113" s="111" t="s">
        <v>7718</v>
      </c>
      <c r="AH113" s="125">
        <v>41527</v>
      </c>
      <c r="AI113" s="111">
        <v>125</v>
      </c>
      <c r="AJ113" s="125">
        <v>41527</v>
      </c>
      <c r="BS113" s="111">
        <v>42.8</v>
      </c>
      <c r="BT113" s="125">
        <v>41527</v>
      </c>
      <c r="BU113">
        <v>22.5</v>
      </c>
      <c r="BV113" s="125">
        <v>41527</v>
      </c>
      <c r="CC113" s="111">
        <v>5.6</v>
      </c>
      <c r="CD113" s="125">
        <v>41527</v>
      </c>
      <c r="CG113" s="111">
        <v>1.55</v>
      </c>
      <c r="CH113" s="125">
        <v>41527</v>
      </c>
      <c r="CK113" s="111">
        <v>10</v>
      </c>
    </row>
    <row r="114" spans="1:89">
      <c r="A114" s="126" t="s">
        <v>7816</v>
      </c>
      <c r="B114" t="s">
        <v>257</v>
      </c>
      <c r="C114" t="s">
        <v>7795</v>
      </c>
      <c r="D114">
        <v>19</v>
      </c>
      <c r="E114" s="93">
        <v>6</v>
      </c>
      <c r="F114" s="93">
        <v>68</v>
      </c>
      <c r="K114" s="92">
        <v>5</v>
      </c>
      <c r="L114" s="159">
        <v>41569</v>
      </c>
      <c r="S114" s="111">
        <v>1462.356</v>
      </c>
      <c r="T114" s="125">
        <v>41527</v>
      </c>
      <c r="U114" s="111">
        <v>10.8</v>
      </c>
      <c r="Y114" s="111">
        <v>686.41200000000003</v>
      </c>
      <c r="Z114" s="125">
        <v>41527</v>
      </c>
      <c r="AA114" s="111">
        <v>76759.259260000006</v>
      </c>
      <c r="AB114" s="125">
        <v>41527</v>
      </c>
      <c r="AE114">
        <v>33.159999999999997</v>
      </c>
      <c r="AF114" s="125">
        <v>41527</v>
      </c>
      <c r="AG114" s="111">
        <v>4.32</v>
      </c>
      <c r="AH114" s="125">
        <v>41527</v>
      </c>
      <c r="AI114" s="111">
        <v>110</v>
      </c>
      <c r="AJ114" s="125">
        <v>41527</v>
      </c>
      <c r="BS114" s="111">
        <v>44.1</v>
      </c>
      <c r="BT114" s="125">
        <v>41527</v>
      </c>
      <c r="BU114">
        <v>20.7</v>
      </c>
      <c r="BV114" s="125">
        <v>41527</v>
      </c>
      <c r="CC114" s="111">
        <v>6.1</v>
      </c>
      <c r="CD114" s="125">
        <v>41527</v>
      </c>
      <c r="CG114" s="111">
        <v>2.6</v>
      </c>
      <c r="CH114" s="125">
        <v>41527</v>
      </c>
      <c r="CK114" s="111">
        <v>5</v>
      </c>
    </row>
    <row r="115" spans="1:89">
      <c r="A115" s="126" t="s">
        <v>7816</v>
      </c>
      <c r="B115" t="s">
        <v>259</v>
      </c>
      <c r="C115" t="s">
        <v>7795</v>
      </c>
      <c r="D115">
        <v>19</v>
      </c>
      <c r="E115" s="93">
        <v>1</v>
      </c>
      <c r="F115" s="93">
        <v>79</v>
      </c>
      <c r="K115" s="92">
        <v>5</v>
      </c>
      <c r="L115" s="159">
        <v>41569</v>
      </c>
      <c r="S115" s="111">
        <v>1989.846</v>
      </c>
      <c r="T115" s="125">
        <v>41527</v>
      </c>
      <c r="U115" s="111">
        <v>10.8</v>
      </c>
      <c r="Y115" s="111">
        <v>1027.6199999999999</v>
      </c>
      <c r="Z115" s="125">
        <v>41527</v>
      </c>
      <c r="AA115" s="111">
        <v>109905.8824</v>
      </c>
      <c r="AB115" s="125">
        <v>41527</v>
      </c>
      <c r="AE115">
        <v>46.71</v>
      </c>
      <c r="AF115" s="125">
        <v>41527</v>
      </c>
      <c r="AG115" s="111">
        <v>4.25</v>
      </c>
      <c r="AH115" s="125">
        <v>41527</v>
      </c>
      <c r="AI115" s="111">
        <v>115</v>
      </c>
      <c r="AJ115" s="125">
        <v>41527</v>
      </c>
      <c r="BS115" s="111">
        <v>42.6</v>
      </c>
      <c r="BT115" s="125">
        <v>41527</v>
      </c>
      <c r="BU115">
        <v>22</v>
      </c>
      <c r="BV115" s="125">
        <v>41527</v>
      </c>
      <c r="CC115" s="111">
        <v>9</v>
      </c>
      <c r="CD115" s="125">
        <v>41527</v>
      </c>
      <c r="CG115" s="111">
        <v>5.78</v>
      </c>
      <c r="CH115" s="125">
        <v>41527</v>
      </c>
      <c r="CK115" s="111">
        <v>1</v>
      </c>
    </row>
    <row r="116" spans="1:89">
      <c r="A116" s="126" t="s">
        <v>7817</v>
      </c>
      <c r="B116" t="s">
        <v>257</v>
      </c>
      <c r="C116" t="s">
        <v>405</v>
      </c>
      <c r="D116">
        <v>20</v>
      </c>
      <c r="E116" s="93">
        <v>6</v>
      </c>
      <c r="F116" s="93">
        <v>19</v>
      </c>
      <c r="K116" s="92">
        <v>5</v>
      </c>
      <c r="L116" s="159">
        <v>41569</v>
      </c>
      <c r="S116" s="111">
        <v>1286.22</v>
      </c>
      <c r="T116" s="125">
        <v>41527</v>
      </c>
      <c r="U116" s="111">
        <v>10.8</v>
      </c>
      <c r="Y116" s="111">
        <v>614.01</v>
      </c>
      <c r="Z116" s="125">
        <v>41527</v>
      </c>
      <c r="AA116" s="111" t="s">
        <v>7718</v>
      </c>
      <c r="AB116" s="125">
        <v>41527</v>
      </c>
      <c r="AE116">
        <v>29.1</v>
      </c>
      <c r="AF116" s="125">
        <v>41527</v>
      </c>
      <c r="AG116" s="111" t="s">
        <v>7718</v>
      </c>
      <c r="AH116" s="125">
        <v>41527</v>
      </c>
      <c r="AI116" s="111">
        <v>120</v>
      </c>
      <c r="AJ116" s="125">
        <v>41527</v>
      </c>
      <c r="BS116" s="111">
        <v>44.2</v>
      </c>
      <c r="BT116" s="125">
        <v>41527</v>
      </c>
      <c r="BU116">
        <v>21.1</v>
      </c>
      <c r="BV116" s="125">
        <v>41527</v>
      </c>
      <c r="CC116" s="111">
        <v>7.4</v>
      </c>
      <c r="CD116" s="125">
        <v>41527</v>
      </c>
      <c r="CG116" s="111">
        <v>6.67</v>
      </c>
      <c r="CH116" s="125">
        <v>41527</v>
      </c>
      <c r="CK116" s="111">
        <v>20</v>
      </c>
    </row>
    <row r="117" spans="1:89">
      <c r="A117" s="126" t="s">
        <v>7817</v>
      </c>
      <c r="B117" t="s">
        <v>259</v>
      </c>
      <c r="C117" t="s">
        <v>405</v>
      </c>
      <c r="D117">
        <v>20</v>
      </c>
      <c r="E117" s="93">
        <v>3</v>
      </c>
      <c r="F117" s="93">
        <v>14</v>
      </c>
      <c r="K117" s="92">
        <v>5</v>
      </c>
      <c r="L117" s="159">
        <v>41569</v>
      </c>
      <c r="S117" s="111">
        <v>1715.1420000000001</v>
      </c>
      <c r="T117" s="125">
        <v>41527</v>
      </c>
      <c r="U117" s="111">
        <v>10.8</v>
      </c>
      <c r="Y117" s="111">
        <v>911.54399999999998</v>
      </c>
      <c r="Z117" s="125">
        <v>41527</v>
      </c>
      <c r="AA117" s="111" t="s">
        <v>7718</v>
      </c>
      <c r="AB117" s="125">
        <v>41527</v>
      </c>
      <c r="AE117">
        <v>39.979999999999997</v>
      </c>
      <c r="AF117" s="125">
        <v>41527</v>
      </c>
      <c r="AG117" s="111" t="s">
        <v>7718</v>
      </c>
      <c r="AH117" s="125">
        <v>41527</v>
      </c>
      <c r="AI117" s="111">
        <v>135</v>
      </c>
      <c r="AJ117" s="125">
        <v>41527</v>
      </c>
      <c r="BS117" s="111">
        <v>42.9</v>
      </c>
      <c r="BT117" s="125">
        <v>41527</v>
      </c>
      <c r="BU117">
        <v>22.8</v>
      </c>
      <c r="BV117" s="125">
        <v>41527</v>
      </c>
      <c r="CC117" s="111">
        <v>7.3</v>
      </c>
      <c r="CD117" s="125">
        <v>41527</v>
      </c>
      <c r="CG117" s="111">
        <v>2.09</v>
      </c>
      <c r="CH117" s="125">
        <v>41527</v>
      </c>
      <c r="CK117" s="111">
        <v>30</v>
      </c>
    </row>
    <row r="118" spans="1:89">
      <c r="A118" s="126" t="s">
        <v>7817</v>
      </c>
      <c r="B118" t="s">
        <v>257</v>
      </c>
      <c r="C118" t="s">
        <v>7794</v>
      </c>
      <c r="D118">
        <v>20</v>
      </c>
      <c r="E118" s="93">
        <v>3</v>
      </c>
      <c r="F118" s="93">
        <v>45</v>
      </c>
      <c r="K118" s="92">
        <v>5</v>
      </c>
      <c r="L118" s="159">
        <v>41569</v>
      </c>
      <c r="S118" s="111">
        <v>1600.5920000000001</v>
      </c>
      <c r="T118" s="125">
        <v>41527</v>
      </c>
      <c r="U118" s="111">
        <v>10.8</v>
      </c>
      <c r="Y118" s="111">
        <v>785.54399999999998</v>
      </c>
      <c r="Z118" s="125">
        <v>41527</v>
      </c>
      <c r="AA118" s="111" t="s">
        <v>7718</v>
      </c>
      <c r="AB118" s="125">
        <v>41527</v>
      </c>
      <c r="AE118">
        <v>36.880000000000003</v>
      </c>
      <c r="AF118" s="125">
        <v>41527</v>
      </c>
      <c r="AG118" s="111" t="s">
        <v>7718</v>
      </c>
      <c r="AH118" s="125">
        <v>41527</v>
      </c>
      <c r="AI118" s="111">
        <v>135</v>
      </c>
      <c r="AJ118" s="125">
        <v>41527</v>
      </c>
      <c r="BS118" s="111">
        <v>43.4</v>
      </c>
      <c r="BT118" s="125">
        <v>41527</v>
      </c>
      <c r="BU118">
        <v>21.3</v>
      </c>
      <c r="BV118" s="125">
        <v>41527</v>
      </c>
      <c r="CC118" s="111">
        <v>9.8000000000000007</v>
      </c>
      <c r="CD118" s="125">
        <v>41527</v>
      </c>
      <c r="CG118" s="111">
        <v>5.1100000000000003</v>
      </c>
      <c r="CH118" s="125">
        <v>41527</v>
      </c>
      <c r="CK118" s="111">
        <v>20</v>
      </c>
    </row>
    <row r="119" spans="1:89">
      <c r="A119" s="126" t="s">
        <v>7817</v>
      </c>
      <c r="B119" t="s">
        <v>259</v>
      </c>
      <c r="C119" t="s">
        <v>7794</v>
      </c>
      <c r="D119">
        <v>20</v>
      </c>
      <c r="E119" s="93">
        <v>5</v>
      </c>
      <c r="F119" s="93">
        <v>38</v>
      </c>
      <c r="K119" s="92">
        <v>5</v>
      </c>
      <c r="L119" s="159">
        <v>41569</v>
      </c>
      <c r="S119" s="111">
        <v>1713.4259999999999</v>
      </c>
      <c r="T119" s="125">
        <v>41527</v>
      </c>
      <c r="U119" s="111">
        <v>10.8</v>
      </c>
      <c r="Y119" s="111">
        <v>890.66200000000003</v>
      </c>
      <c r="Z119" s="125">
        <v>41527</v>
      </c>
      <c r="AA119" s="111" t="s">
        <v>7718</v>
      </c>
      <c r="AB119" s="125">
        <v>41527</v>
      </c>
      <c r="AE119">
        <v>39.94</v>
      </c>
      <c r="AF119" s="125">
        <v>41527</v>
      </c>
      <c r="AG119" s="111" t="s">
        <v>7718</v>
      </c>
      <c r="AH119" s="125">
        <v>41527</v>
      </c>
      <c r="AI119" s="111">
        <v>135</v>
      </c>
      <c r="AJ119" s="125">
        <v>41527</v>
      </c>
      <c r="BS119" s="111">
        <v>42.9</v>
      </c>
      <c r="BT119" s="125">
        <v>41527</v>
      </c>
      <c r="BU119">
        <v>22.3</v>
      </c>
      <c r="BV119" s="125">
        <v>41527</v>
      </c>
      <c r="CC119" s="111">
        <v>7.5</v>
      </c>
      <c r="CD119" s="125">
        <v>41527</v>
      </c>
      <c r="CG119" s="111">
        <v>2.59</v>
      </c>
      <c r="CH119" s="125">
        <v>41527</v>
      </c>
      <c r="CK119" s="111">
        <v>30</v>
      </c>
    </row>
    <row r="120" spans="1:89">
      <c r="A120" s="126" t="s">
        <v>7817</v>
      </c>
      <c r="B120" t="s">
        <v>257</v>
      </c>
      <c r="C120" t="s">
        <v>7795</v>
      </c>
      <c r="D120">
        <v>20</v>
      </c>
      <c r="E120" s="93">
        <v>6</v>
      </c>
      <c r="F120" s="93">
        <v>79</v>
      </c>
      <c r="K120" s="92">
        <v>3</v>
      </c>
      <c r="L120" s="159">
        <v>41569</v>
      </c>
      <c r="S120" s="111">
        <v>1090.037</v>
      </c>
      <c r="T120" s="125">
        <v>41527</v>
      </c>
      <c r="U120" s="111">
        <v>10.8</v>
      </c>
      <c r="Y120" s="111">
        <v>536.32799999999997</v>
      </c>
      <c r="Z120" s="125">
        <v>41527</v>
      </c>
      <c r="AA120" s="111">
        <v>58286.384980000003</v>
      </c>
      <c r="AB120" s="125">
        <v>41527</v>
      </c>
      <c r="AE120">
        <v>24.83</v>
      </c>
      <c r="AF120" s="125">
        <v>41527</v>
      </c>
      <c r="AG120" s="111">
        <v>4.26</v>
      </c>
      <c r="AH120" s="125">
        <v>41527</v>
      </c>
      <c r="AI120" s="111">
        <v>115</v>
      </c>
      <c r="AJ120" s="125">
        <v>41527</v>
      </c>
      <c r="BS120" s="111">
        <v>43.9</v>
      </c>
      <c r="BT120" s="125">
        <v>41527</v>
      </c>
      <c r="BU120">
        <v>21.6</v>
      </c>
      <c r="BV120" s="125">
        <v>41527</v>
      </c>
      <c r="CC120" s="111">
        <v>6.9</v>
      </c>
      <c r="CD120" s="125">
        <v>41527</v>
      </c>
      <c r="CG120" s="111">
        <v>3.42</v>
      </c>
      <c r="CH120" s="125">
        <v>41527</v>
      </c>
      <c r="CK120" s="111">
        <v>10</v>
      </c>
    </row>
    <row r="121" spans="1:89">
      <c r="A121" s="126" t="s">
        <v>7817</v>
      </c>
      <c r="B121" t="s">
        <v>259</v>
      </c>
      <c r="C121" t="s">
        <v>7795</v>
      </c>
      <c r="D121">
        <v>20</v>
      </c>
      <c r="E121" s="93">
        <v>1</v>
      </c>
      <c r="F121" s="93">
        <v>80</v>
      </c>
      <c r="K121" s="92">
        <v>5</v>
      </c>
      <c r="L121" s="159">
        <v>41569</v>
      </c>
      <c r="S121" s="111">
        <v>1502.7080000000001</v>
      </c>
      <c r="T121" s="125">
        <v>41527</v>
      </c>
      <c r="U121" s="111">
        <v>10.8</v>
      </c>
      <c r="Y121" s="111">
        <v>793.48599999999999</v>
      </c>
      <c r="Z121" s="125">
        <v>41527</v>
      </c>
      <c r="AA121" s="111">
        <v>82032.710279999999</v>
      </c>
      <c r="AB121" s="125">
        <v>41527</v>
      </c>
      <c r="AE121">
        <v>35.11</v>
      </c>
      <c r="AF121" s="125">
        <v>41527</v>
      </c>
      <c r="AG121" s="111">
        <v>4.28</v>
      </c>
      <c r="AH121" s="125">
        <v>41527</v>
      </c>
      <c r="AI121" s="111">
        <v>130</v>
      </c>
      <c r="AJ121" s="125">
        <v>41527</v>
      </c>
      <c r="BS121" s="111">
        <v>42.8</v>
      </c>
      <c r="BT121" s="125">
        <v>41527</v>
      </c>
      <c r="BU121">
        <v>22.6</v>
      </c>
      <c r="BV121" s="125">
        <v>41527</v>
      </c>
      <c r="CC121" s="111">
        <v>10.8</v>
      </c>
      <c r="CD121" s="125">
        <v>41527</v>
      </c>
      <c r="CG121" s="111">
        <v>9.5299999999999994</v>
      </c>
      <c r="CH121" s="125">
        <v>41527</v>
      </c>
      <c r="CK121" s="111">
        <v>20</v>
      </c>
    </row>
    <row r="122" spans="1:89">
      <c r="A122" s="126" t="s">
        <v>7818</v>
      </c>
      <c r="B122" t="s">
        <v>257</v>
      </c>
      <c r="C122" t="s">
        <v>405</v>
      </c>
      <c r="D122">
        <v>21</v>
      </c>
      <c r="E122" s="93">
        <v>5</v>
      </c>
      <c r="F122" s="93">
        <v>20</v>
      </c>
      <c r="K122" s="92">
        <v>3</v>
      </c>
      <c r="L122" s="159">
        <v>41569</v>
      </c>
      <c r="S122" s="111">
        <v>1433.6089999999999</v>
      </c>
      <c r="T122" s="125">
        <v>41527</v>
      </c>
      <c r="U122" s="111">
        <v>10.8</v>
      </c>
      <c r="Y122" s="111">
        <v>580.34500000000003</v>
      </c>
      <c r="Z122" s="125">
        <v>41527</v>
      </c>
      <c r="AA122" s="111" t="s">
        <v>7718</v>
      </c>
      <c r="AB122" s="125">
        <v>41527</v>
      </c>
      <c r="AE122">
        <v>31.37</v>
      </c>
      <c r="AF122" s="125">
        <v>41527</v>
      </c>
      <c r="AG122" s="111" t="s">
        <v>7718</v>
      </c>
      <c r="AH122" s="125">
        <v>41527</v>
      </c>
      <c r="AI122" s="111">
        <v>130</v>
      </c>
      <c r="AJ122" s="125">
        <v>41527</v>
      </c>
      <c r="BS122" s="111">
        <v>45.7</v>
      </c>
      <c r="BT122" s="125">
        <v>41527</v>
      </c>
      <c r="BU122">
        <v>18.5</v>
      </c>
      <c r="BV122" s="125">
        <v>41527</v>
      </c>
      <c r="CC122" s="111">
        <v>7.5</v>
      </c>
      <c r="CD122" s="125">
        <v>41527</v>
      </c>
      <c r="CG122" s="111">
        <v>6.94</v>
      </c>
      <c r="CH122" s="125">
        <v>41527</v>
      </c>
      <c r="CK122" s="111">
        <v>20</v>
      </c>
    </row>
    <row r="123" spans="1:89">
      <c r="A123" s="126" t="s">
        <v>7818</v>
      </c>
      <c r="B123" t="s">
        <v>259</v>
      </c>
      <c r="C123" t="s">
        <v>405</v>
      </c>
      <c r="D123">
        <v>21</v>
      </c>
      <c r="E123" s="93">
        <v>1</v>
      </c>
      <c r="F123" s="93">
        <v>23</v>
      </c>
      <c r="K123" s="92">
        <v>5</v>
      </c>
      <c r="L123" s="159">
        <v>41569</v>
      </c>
      <c r="S123" s="111">
        <v>2022.5250000000001</v>
      </c>
      <c r="T123" s="125">
        <v>41527</v>
      </c>
      <c r="U123" s="111">
        <v>10.8</v>
      </c>
      <c r="Y123" s="111">
        <v>922.63499999999999</v>
      </c>
      <c r="Z123" s="125">
        <v>41527</v>
      </c>
      <c r="AA123" s="111" t="s">
        <v>7718</v>
      </c>
      <c r="AB123" s="125">
        <v>41527</v>
      </c>
      <c r="AE123">
        <v>45.45</v>
      </c>
      <c r="AF123" s="125">
        <v>41527</v>
      </c>
      <c r="AG123" s="111" t="s">
        <v>7718</v>
      </c>
      <c r="AH123" s="125">
        <v>41527</v>
      </c>
      <c r="AI123" s="111">
        <v>140</v>
      </c>
      <c r="AJ123" s="125">
        <v>41527</v>
      </c>
      <c r="BS123" s="111">
        <v>44.5</v>
      </c>
      <c r="BT123" s="125">
        <v>41527</v>
      </c>
      <c r="BU123">
        <v>20.3</v>
      </c>
      <c r="BV123" s="125">
        <v>41527</v>
      </c>
      <c r="CC123" s="111">
        <v>8.5</v>
      </c>
      <c r="CD123" s="125">
        <v>41527</v>
      </c>
      <c r="CG123" s="111">
        <v>1.98</v>
      </c>
      <c r="CH123" s="125">
        <v>41527</v>
      </c>
      <c r="CK123" s="111">
        <v>20</v>
      </c>
    </row>
    <row r="124" spans="1:89">
      <c r="A124" s="126" t="s">
        <v>7818</v>
      </c>
      <c r="B124" t="s">
        <v>257</v>
      </c>
      <c r="C124" t="s">
        <v>7794</v>
      </c>
      <c r="D124">
        <v>21</v>
      </c>
      <c r="E124" s="93">
        <v>2</v>
      </c>
      <c r="F124" s="93">
        <v>35</v>
      </c>
      <c r="K124" s="92">
        <v>5</v>
      </c>
      <c r="L124" s="159">
        <v>41569</v>
      </c>
      <c r="S124" s="111">
        <v>1712.942</v>
      </c>
      <c r="T124" s="125">
        <v>41527</v>
      </c>
      <c r="U124" s="111">
        <v>10.8</v>
      </c>
      <c r="Y124" s="111">
        <v>705.55100000000004</v>
      </c>
      <c r="Z124" s="125">
        <v>41527</v>
      </c>
      <c r="AA124" s="111" t="s">
        <v>7718</v>
      </c>
      <c r="AB124" s="125">
        <v>41527</v>
      </c>
      <c r="AE124">
        <v>37.729999999999997</v>
      </c>
      <c r="AF124" s="125">
        <v>41527</v>
      </c>
      <c r="AG124" s="111" t="s">
        <v>7718</v>
      </c>
      <c r="AH124" s="125">
        <v>41527</v>
      </c>
      <c r="AI124" s="111">
        <v>135</v>
      </c>
      <c r="AJ124" s="125">
        <v>41527</v>
      </c>
      <c r="BS124" s="111">
        <v>45.4</v>
      </c>
      <c r="BT124" s="125">
        <v>41527</v>
      </c>
      <c r="BU124">
        <v>18.7</v>
      </c>
      <c r="BV124" s="125">
        <v>41527</v>
      </c>
      <c r="CC124" s="111">
        <v>8.9</v>
      </c>
      <c r="CD124" s="125">
        <v>41527</v>
      </c>
      <c r="CG124" s="111">
        <v>1.95</v>
      </c>
      <c r="CH124" s="125">
        <v>41527</v>
      </c>
      <c r="CK124" s="111">
        <v>20</v>
      </c>
    </row>
    <row r="125" spans="1:89">
      <c r="A125" s="126" t="s">
        <v>7818</v>
      </c>
      <c r="B125" t="s">
        <v>259</v>
      </c>
      <c r="C125" t="s">
        <v>7794</v>
      </c>
      <c r="D125">
        <v>21</v>
      </c>
      <c r="E125" s="93">
        <v>6</v>
      </c>
      <c r="F125" s="93">
        <v>43</v>
      </c>
      <c r="K125" s="92">
        <v>3</v>
      </c>
      <c r="L125" s="159">
        <v>41569</v>
      </c>
      <c r="S125" s="111" t="s">
        <v>7718</v>
      </c>
      <c r="T125" s="125">
        <v>41527</v>
      </c>
      <c r="U125" s="111">
        <v>10.8</v>
      </c>
      <c r="Y125" s="111" t="s">
        <v>7718</v>
      </c>
      <c r="Z125" s="125">
        <v>41527</v>
      </c>
      <c r="AA125" s="111" t="s">
        <v>7718</v>
      </c>
      <c r="AB125" s="125">
        <v>41527</v>
      </c>
      <c r="AE125" t="s">
        <v>7718</v>
      </c>
      <c r="AF125" s="125">
        <v>41527</v>
      </c>
      <c r="AG125" s="111" t="s">
        <v>7718</v>
      </c>
      <c r="AH125" s="125">
        <v>41527</v>
      </c>
      <c r="AI125" s="111">
        <v>125</v>
      </c>
      <c r="AJ125" s="125">
        <v>41527</v>
      </c>
      <c r="BS125" s="111">
        <v>44.1</v>
      </c>
      <c r="BT125" s="125">
        <v>41527</v>
      </c>
      <c r="BU125">
        <v>20.100000000000001</v>
      </c>
      <c r="BV125" s="125">
        <v>41527</v>
      </c>
      <c r="CC125" s="111">
        <v>7.9</v>
      </c>
      <c r="CD125" s="125">
        <v>41527</v>
      </c>
      <c r="CG125" s="111">
        <v>11.87</v>
      </c>
      <c r="CH125" s="125">
        <v>41527</v>
      </c>
      <c r="CK125" s="111">
        <v>10</v>
      </c>
    </row>
    <row r="126" spans="1:89">
      <c r="A126" s="126" t="s">
        <v>7818</v>
      </c>
      <c r="B126" t="s">
        <v>257</v>
      </c>
      <c r="C126" t="s">
        <v>7795</v>
      </c>
      <c r="D126">
        <v>21</v>
      </c>
      <c r="E126" s="93">
        <v>6</v>
      </c>
      <c r="F126" s="93">
        <v>74</v>
      </c>
      <c r="K126" s="92">
        <v>3</v>
      </c>
      <c r="L126" s="159">
        <v>41569</v>
      </c>
      <c r="S126" s="111">
        <v>1213.191</v>
      </c>
      <c r="T126" s="125">
        <v>41527</v>
      </c>
      <c r="U126" s="111">
        <v>10.8</v>
      </c>
      <c r="Y126" s="111">
        <v>552.95100000000002</v>
      </c>
      <c r="Z126" s="125">
        <v>41527</v>
      </c>
      <c r="AA126" s="111">
        <v>52701.149429999998</v>
      </c>
      <c r="AB126" s="125">
        <v>41527</v>
      </c>
      <c r="AE126">
        <v>27.51</v>
      </c>
      <c r="AF126" s="125">
        <v>41527</v>
      </c>
      <c r="AG126" s="111">
        <v>5.22</v>
      </c>
      <c r="AH126" s="125">
        <v>41527</v>
      </c>
      <c r="AI126" s="111">
        <v>120</v>
      </c>
      <c r="AJ126" s="125">
        <v>41527</v>
      </c>
      <c r="BS126" s="111">
        <v>44.1</v>
      </c>
      <c r="BT126" s="125">
        <v>41527</v>
      </c>
      <c r="BU126">
        <v>20.100000000000001</v>
      </c>
      <c r="BV126" s="125">
        <v>41527</v>
      </c>
      <c r="CC126" s="111">
        <v>6</v>
      </c>
      <c r="CD126" s="125">
        <v>41527</v>
      </c>
      <c r="CG126" s="111">
        <v>3.89</v>
      </c>
      <c r="CH126" s="125">
        <v>41527</v>
      </c>
      <c r="CK126" s="111">
        <v>10</v>
      </c>
    </row>
    <row r="127" spans="1:89">
      <c r="A127" s="126" t="s">
        <v>7818</v>
      </c>
      <c r="B127" t="s">
        <v>259</v>
      </c>
      <c r="C127" t="s">
        <v>7795</v>
      </c>
      <c r="D127">
        <v>21</v>
      </c>
      <c r="E127" s="93">
        <v>3</v>
      </c>
      <c r="F127" s="93">
        <v>60</v>
      </c>
      <c r="K127" s="92">
        <v>5</v>
      </c>
      <c r="L127" s="159">
        <v>41569</v>
      </c>
      <c r="S127" s="111">
        <v>1820.404</v>
      </c>
      <c r="T127" s="125">
        <v>41527</v>
      </c>
      <c r="U127" s="111">
        <v>10.8</v>
      </c>
      <c r="Y127" s="111">
        <v>955.60400000000004</v>
      </c>
      <c r="Z127" s="125">
        <v>41527</v>
      </c>
      <c r="AA127" s="111">
        <v>85454.545450000005</v>
      </c>
      <c r="AB127" s="125">
        <v>41527</v>
      </c>
      <c r="AE127">
        <v>43.24</v>
      </c>
      <c r="AF127" s="125">
        <v>41527</v>
      </c>
      <c r="AG127" s="111">
        <v>5.0599999999999996</v>
      </c>
      <c r="AH127" s="125">
        <v>41527</v>
      </c>
      <c r="AI127" s="111">
        <v>140</v>
      </c>
      <c r="AJ127" s="125">
        <v>41527</v>
      </c>
      <c r="BS127" s="111">
        <v>42.1</v>
      </c>
      <c r="BT127" s="125">
        <v>41527</v>
      </c>
      <c r="BU127">
        <v>22.1</v>
      </c>
      <c r="BV127" s="125">
        <v>41527</v>
      </c>
      <c r="CC127" s="111">
        <v>10.3</v>
      </c>
      <c r="CD127" s="125">
        <v>41527</v>
      </c>
      <c r="CG127" s="111">
        <v>2.4700000000000002</v>
      </c>
      <c r="CH127" s="125">
        <v>41527</v>
      </c>
      <c r="CK127" s="111">
        <v>10</v>
      </c>
    </row>
    <row r="128" spans="1:89">
      <c r="A128" s="126" t="s">
        <v>7819</v>
      </c>
      <c r="B128" t="s">
        <v>257</v>
      </c>
      <c r="C128" t="s">
        <v>405</v>
      </c>
      <c r="D128">
        <v>22</v>
      </c>
      <c r="E128" s="93">
        <v>6</v>
      </c>
      <c r="F128" s="93">
        <v>11</v>
      </c>
      <c r="K128" s="92">
        <v>3</v>
      </c>
      <c r="L128" s="159">
        <v>41569</v>
      </c>
      <c r="S128" s="111">
        <v>1858.172</v>
      </c>
      <c r="T128" s="125">
        <v>41527</v>
      </c>
      <c r="U128" s="111">
        <v>10.8</v>
      </c>
      <c r="Y128" s="111">
        <v>793.423</v>
      </c>
      <c r="Z128" s="125">
        <v>41527</v>
      </c>
      <c r="AA128" s="111" t="s">
        <v>7718</v>
      </c>
      <c r="AB128" s="125">
        <v>41527</v>
      </c>
      <c r="AE128">
        <v>41.11</v>
      </c>
      <c r="AF128" s="125">
        <v>41527</v>
      </c>
      <c r="AG128" s="111" t="s">
        <v>7718</v>
      </c>
      <c r="AH128" s="125">
        <v>41527</v>
      </c>
      <c r="AI128" s="111">
        <v>125</v>
      </c>
      <c r="AJ128" s="125">
        <v>41527</v>
      </c>
      <c r="BS128" s="111">
        <v>45.2</v>
      </c>
      <c r="BT128" s="125">
        <v>41527</v>
      </c>
      <c r="BU128">
        <v>19.3</v>
      </c>
      <c r="BV128" s="125">
        <v>41527</v>
      </c>
      <c r="CC128" s="111">
        <v>7.2</v>
      </c>
      <c r="CD128" s="125">
        <v>41527</v>
      </c>
      <c r="CG128" s="111">
        <v>2.81</v>
      </c>
      <c r="CH128" s="125">
        <v>41527</v>
      </c>
      <c r="CK128" s="111">
        <v>5</v>
      </c>
    </row>
    <row r="129" spans="1:89">
      <c r="A129" s="126" t="s">
        <v>7819</v>
      </c>
      <c r="B129" t="s">
        <v>259</v>
      </c>
      <c r="C129" t="s">
        <v>405</v>
      </c>
      <c r="D129">
        <v>22</v>
      </c>
      <c r="E129" s="93">
        <v>2</v>
      </c>
      <c r="F129" s="93">
        <v>15</v>
      </c>
      <c r="K129" s="92">
        <v>5</v>
      </c>
      <c r="L129" s="159">
        <v>41569</v>
      </c>
      <c r="S129" s="111">
        <v>2557.86</v>
      </c>
      <c r="T129" s="125">
        <v>41527</v>
      </c>
      <c r="U129" s="111">
        <v>10.8</v>
      </c>
      <c r="Y129" s="111">
        <v>1184.088</v>
      </c>
      <c r="Z129" s="125">
        <v>41527</v>
      </c>
      <c r="AA129" s="111" t="s">
        <v>7718</v>
      </c>
      <c r="AB129" s="125">
        <v>41527</v>
      </c>
      <c r="AE129">
        <v>57.48</v>
      </c>
      <c r="AF129" s="125">
        <v>41527</v>
      </c>
      <c r="AG129" s="111" t="s">
        <v>7718</v>
      </c>
      <c r="AH129" s="125">
        <v>41527</v>
      </c>
      <c r="AI129" s="111">
        <v>130</v>
      </c>
      <c r="AJ129" s="125">
        <v>41527</v>
      </c>
      <c r="BS129" s="111">
        <v>44.5</v>
      </c>
      <c r="BT129" s="125">
        <v>41527</v>
      </c>
      <c r="BU129">
        <v>20.6</v>
      </c>
      <c r="BV129" s="125">
        <v>41527</v>
      </c>
      <c r="CC129" s="111">
        <v>7</v>
      </c>
      <c r="CD129" s="125">
        <v>41527</v>
      </c>
      <c r="CG129" s="111">
        <v>1.66</v>
      </c>
      <c r="CH129" s="125">
        <v>41527</v>
      </c>
      <c r="CK129" s="111">
        <v>1</v>
      </c>
    </row>
    <row r="130" spans="1:89">
      <c r="A130" s="126" t="s">
        <v>7819</v>
      </c>
      <c r="B130" t="s">
        <v>257</v>
      </c>
      <c r="C130" t="s">
        <v>7794</v>
      </c>
      <c r="D130">
        <v>22</v>
      </c>
      <c r="E130" s="93">
        <v>2</v>
      </c>
      <c r="F130" s="93">
        <v>41</v>
      </c>
      <c r="K130" s="92">
        <v>5</v>
      </c>
      <c r="L130" s="159">
        <v>41569</v>
      </c>
      <c r="S130" s="111">
        <v>2192.067</v>
      </c>
      <c r="T130" s="125">
        <v>41527</v>
      </c>
      <c r="U130" s="111">
        <v>10.8</v>
      </c>
      <c r="Y130" s="111">
        <v>929.08799999999997</v>
      </c>
      <c r="Z130" s="125">
        <v>41527</v>
      </c>
      <c r="AA130" s="111" t="s">
        <v>7718</v>
      </c>
      <c r="AB130" s="125">
        <v>41527</v>
      </c>
      <c r="AE130">
        <v>48.39</v>
      </c>
      <c r="AF130" s="125">
        <v>41527</v>
      </c>
      <c r="AG130" s="111" t="s">
        <v>7718</v>
      </c>
      <c r="AH130" s="125">
        <v>41527</v>
      </c>
      <c r="AI130" s="111">
        <v>130</v>
      </c>
      <c r="AJ130" s="125">
        <v>41527</v>
      </c>
      <c r="BS130" s="111">
        <v>45.3</v>
      </c>
      <c r="BT130" s="125">
        <v>41527</v>
      </c>
      <c r="BU130">
        <v>19.2</v>
      </c>
      <c r="BV130" s="125">
        <v>41527</v>
      </c>
      <c r="CC130" s="111">
        <v>8.4</v>
      </c>
      <c r="CD130" s="125">
        <v>41527</v>
      </c>
      <c r="CG130" s="111">
        <v>2.0099999999999998</v>
      </c>
      <c r="CH130" s="125">
        <v>41527</v>
      </c>
      <c r="CK130" s="111">
        <v>10</v>
      </c>
    </row>
    <row r="131" spans="1:89">
      <c r="A131" s="126" t="s">
        <v>7819</v>
      </c>
      <c r="B131" t="s">
        <v>259</v>
      </c>
      <c r="C131" t="s">
        <v>7794</v>
      </c>
      <c r="D131">
        <v>22</v>
      </c>
      <c r="E131" s="93">
        <v>6</v>
      </c>
      <c r="F131" s="93">
        <v>31</v>
      </c>
      <c r="K131" s="92">
        <v>3</v>
      </c>
      <c r="L131" s="159">
        <v>41569</v>
      </c>
      <c r="S131" s="111">
        <v>2183.547</v>
      </c>
      <c r="T131" s="125">
        <v>41527</v>
      </c>
      <c r="U131" s="111">
        <v>10.8</v>
      </c>
      <c r="Y131" s="111">
        <v>975.94200000000001</v>
      </c>
      <c r="Z131" s="125">
        <v>41527</v>
      </c>
      <c r="AA131" s="111" t="s">
        <v>7718</v>
      </c>
      <c r="AB131" s="125">
        <v>41527</v>
      </c>
      <c r="AE131">
        <v>49.29</v>
      </c>
      <c r="AF131" s="125">
        <v>41527</v>
      </c>
      <c r="AG131" s="111" t="s">
        <v>7718</v>
      </c>
      <c r="AH131" s="125">
        <v>41527</v>
      </c>
      <c r="AI131" s="111">
        <v>130</v>
      </c>
      <c r="AJ131" s="125">
        <v>41527</v>
      </c>
      <c r="BS131" s="111">
        <v>44.3</v>
      </c>
      <c r="BT131" s="125">
        <v>41527</v>
      </c>
      <c r="BU131">
        <v>19.8</v>
      </c>
      <c r="BV131" s="125">
        <v>41527</v>
      </c>
      <c r="CC131" s="111">
        <v>5.7</v>
      </c>
      <c r="CD131" s="125">
        <v>41527</v>
      </c>
      <c r="CG131" s="111">
        <v>3.96</v>
      </c>
      <c r="CH131" s="125">
        <v>41527</v>
      </c>
      <c r="CK131" s="111">
        <v>10</v>
      </c>
    </row>
    <row r="132" spans="1:89">
      <c r="A132" s="126" t="s">
        <v>7819</v>
      </c>
      <c r="B132" t="s">
        <v>257</v>
      </c>
      <c r="C132" t="s">
        <v>7795</v>
      </c>
      <c r="D132">
        <v>22</v>
      </c>
      <c r="E132" s="93">
        <v>5</v>
      </c>
      <c r="F132" s="93">
        <v>78</v>
      </c>
      <c r="K132" s="92">
        <v>5</v>
      </c>
      <c r="L132" s="159">
        <v>41569</v>
      </c>
      <c r="S132" s="111">
        <v>1976.9469999999999</v>
      </c>
      <c r="T132" s="125">
        <v>41527</v>
      </c>
      <c r="U132" s="111">
        <v>10.8</v>
      </c>
      <c r="Y132" s="111">
        <v>849.779</v>
      </c>
      <c r="Z132" s="125">
        <v>41527</v>
      </c>
      <c r="AA132" s="111">
        <v>88770.161290000004</v>
      </c>
      <c r="AB132" s="125">
        <v>41527</v>
      </c>
      <c r="AE132">
        <v>44.03</v>
      </c>
      <c r="AF132" s="125">
        <v>41527</v>
      </c>
      <c r="AG132" s="111">
        <v>4.96</v>
      </c>
      <c r="AH132" s="125">
        <v>41527</v>
      </c>
      <c r="AI132" s="111">
        <v>120</v>
      </c>
      <c r="AJ132" s="125">
        <v>41527</v>
      </c>
      <c r="BS132" s="111">
        <v>44.9</v>
      </c>
      <c r="BT132" s="125">
        <v>41527</v>
      </c>
      <c r="BU132">
        <v>19.3</v>
      </c>
      <c r="BV132" s="125">
        <v>41527</v>
      </c>
      <c r="CC132" s="111">
        <v>6.3</v>
      </c>
      <c r="CD132" s="125">
        <v>41527</v>
      </c>
      <c r="CG132" s="111">
        <v>2.23</v>
      </c>
      <c r="CH132" s="125">
        <v>41527</v>
      </c>
      <c r="CK132" s="111">
        <v>5</v>
      </c>
    </row>
    <row r="133" spans="1:89">
      <c r="A133" s="126" t="s">
        <v>7819</v>
      </c>
      <c r="B133" t="s">
        <v>259</v>
      </c>
      <c r="C133" t="s">
        <v>7795</v>
      </c>
      <c r="D133">
        <v>22</v>
      </c>
      <c r="E133" s="93">
        <v>3</v>
      </c>
      <c r="F133" s="93">
        <v>86</v>
      </c>
      <c r="K133" s="92">
        <v>5</v>
      </c>
      <c r="L133" s="159">
        <v>41569</v>
      </c>
      <c r="S133" s="111">
        <v>2217.3380000000002</v>
      </c>
      <c r="T133" s="125">
        <v>41527</v>
      </c>
      <c r="U133" s="111">
        <v>10.8</v>
      </c>
      <c r="Y133" s="111">
        <v>1065.54</v>
      </c>
      <c r="Z133" s="125">
        <v>41527</v>
      </c>
      <c r="AA133" s="111">
        <v>100475.2475</v>
      </c>
      <c r="AB133" s="125">
        <v>41527</v>
      </c>
      <c r="AE133">
        <v>50.74</v>
      </c>
      <c r="AF133" s="125">
        <v>41527</v>
      </c>
      <c r="AG133" s="111">
        <v>5.05</v>
      </c>
      <c r="AH133" s="125">
        <v>41527</v>
      </c>
      <c r="AI133" s="111">
        <v>125</v>
      </c>
      <c r="AJ133" s="125">
        <v>41527</v>
      </c>
      <c r="BS133" s="111">
        <v>43.7</v>
      </c>
      <c r="BT133" s="125">
        <v>41527</v>
      </c>
      <c r="BU133">
        <v>21</v>
      </c>
      <c r="BV133" s="125">
        <v>41527</v>
      </c>
      <c r="CC133" s="111">
        <v>9.4</v>
      </c>
      <c r="CD133" s="125">
        <v>41527</v>
      </c>
      <c r="CG133" s="111">
        <v>2.93</v>
      </c>
      <c r="CH133" s="125">
        <v>41527</v>
      </c>
      <c r="CK133" s="111">
        <v>1</v>
      </c>
    </row>
    <row r="134" spans="1:89">
      <c r="A134" s="126" t="s">
        <v>7820</v>
      </c>
      <c r="B134" t="s">
        <v>257</v>
      </c>
      <c r="C134" t="s">
        <v>405</v>
      </c>
      <c r="D134">
        <v>23</v>
      </c>
      <c r="E134" s="93">
        <v>5</v>
      </c>
      <c r="F134" s="93">
        <v>23</v>
      </c>
      <c r="K134" s="92">
        <v>5</v>
      </c>
      <c r="L134" s="159">
        <v>41569</v>
      </c>
      <c r="S134" s="111">
        <v>1311.415</v>
      </c>
      <c r="T134" s="125">
        <v>41527</v>
      </c>
      <c r="U134" s="111">
        <v>10.8</v>
      </c>
      <c r="Y134" s="111">
        <v>592.34699999999998</v>
      </c>
      <c r="Z134" s="125">
        <v>41527</v>
      </c>
      <c r="AA134" s="111" t="s">
        <v>7718</v>
      </c>
      <c r="AB134" s="125">
        <v>41527</v>
      </c>
      <c r="AE134">
        <v>29.47</v>
      </c>
      <c r="AF134" s="125">
        <v>41527</v>
      </c>
      <c r="AG134" s="111" t="s">
        <v>7718</v>
      </c>
      <c r="AH134" s="125">
        <v>41527</v>
      </c>
      <c r="AI134" s="111">
        <v>130</v>
      </c>
      <c r="AJ134" s="125">
        <v>41527</v>
      </c>
      <c r="BS134" s="111">
        <v>44.5</v>
      </c>
      <c r="BT134" s="125">
        <v>41527</v>
      </c>
      <c r="BU134">
        <v>20.100000000000001</v>
      </c>
      <c r="BV134" s="125">
        <v>41527</v>
      </c>
      <c r="CC134" s="111">
        <v>8.1</v>
      </c>
      <c r="CD134" s="125">
        <v>41527</v>
      </c>
      <c r="CG134" s="111">
        <v>5.55</v>
      </c>
      <c r="CH134" s="125">
        <v>41527</v>
      </c>
      <c r="CK134" s="111">
        <v>5</v>
      </c>
    </row>
    <row r="135" spans="1:89">
      <c r="A135" s="126" t="s">
        <v>7820</v>
      </c>
      <c r="B135" t="s">
        <v>259</v>
      </c>
      <c r="C135" t="s">
        <v>405</v>
      </c>
      <c r="D135">
        <v>23</v>
      </c>
      <c r="E135" s="93">
        <v>3</v>
      </c>
      <c r="F135" s="93">
        <v>18</v>
      </c>
      <c r="K135" s="92">
        <v>5</v>
      </c>
      <c r="L135" s="159">
        <v>41569</v>
      </c>
      <c r="S135" s="111">
        <v>1593.325</v>
      </c>
      <c r="T135" s="125">
        <v>41527</v>
      </c>
      <c r="U135" s="111">
        <v>10.8</v>
      </c>
      <c r="Y135" s="111">
        <v>821.03099999999995</v>
      </c>
      <c r="Z135" s="125">
        <v>41527</v>
      </c>
      <c r="AA135" s="111" t="s">
        <v>7718</v>
      </c>
      <c r="AB135" s="125">
        <v>41527</v>
      </c>
      <c r="AE135">
        <v>37.49</v>
      </c>
      <c r="AF135" s="125">
        <v>41527</v>
      </c>
      <c r="AG135" s="111" t="s">
        <v>7718</v>
      </c>
      <c r="AH135" s="125">
        <v>41527</v>
      </c>
      <c r="AI135" s="111">
        <v>135</v>
      </c>
      <c r="AJ135" s="125">
        <v>41527</v>
      </c>
      <c r="BS135" s="111">
        <v>42.5</v>
      </c>
      <c r="BT135" s="125">
        <v>41527</v>
      </c>
      <c r="BU135">
        <v>21.9</v>
      </c>
      <c r="BV135" s="125">
        <v>41527</v>
      </c>
      <c r="CC135" s="111">
        <v>8.8000000000000007</v>
      </c>
      <c r="CD135" s="125">
        <v>41527</v>
      </c>
      <c r="CG135" s="111">
        <v>4.8099999999999996</v>
      </c>
      <c r="CH135" s="125">
        <v>41527</v>
      </c>
      <c r="CK135" s="111">
        <v>5</v>
      </c>
    </row>
    <row r="136" spans="1:89">
      <c r="A136" s="126" t="s">
        <v>7820</v>
      </c>
      <c r="B136" t="s">
        <v>257</v>
      </c>
      <c r="C136" t="s">
        <v>7794</v>
      </c>
      <c r="D136">
        <v>23</v>
      </c>
      <c r="E136" s="93">
        <v>1</v>
      </c>
      <c r="F136" s="93">
        <v>35</v>
      </c>
      <c r="K136" s="92">
        <v>5</v>
      </c>
      <c r="L136" s="159">
        <v>41569</v>
      </c>
      <c r="S136" s="111">
        <v>1431.9</v>
      </c>
      <c r="T136" s="125">
        <v>41527</v>
      </c>
      <c r="U136" s="111">
        <v>10.8</v>
      </c>
      <c r="Y136" s="111">
        <v>641.77499999999998</v>
      </c>
      <c r="Z136" s="125">
        <v>41527</v>
      </c>
      <c r="AA136" s="111" t="s">
        <v>7718</v>
      </c>
      <c r="AB136" s="125">
        <v>41527</v>
      </c>
      <c r="AE136">
        <v>32.25</v>
      </c>
      <c r="AF136" s="125">
        <v>41527</v>
      </c>
      <c r="AG136" s="111" t="s">
        <v>7718</v>
      </c>
      <c r="AH136" s="125">
        <v>41527</v>
      </c>
      <c r="AI136" s="111">
        <v>140</v>
      </c>
      <c r="AJ136" s="125">
        <v>41527</v>
      </c>
      <c r="BS136" s="111">
        <v>44.4</v>
      </c>
      <c r="BT136" s="125">
        <v>41527</v>
      </c>
      <c r="BU136">
        <v>19.899999999999999</v>
      </c>
      <c r="BV136" s="125">
        <v>41527</v>
      </c>
      <c r="CC136" s="111">
        <v>11.2</v>
      </c>
      <c r="CD136" s="125">
        <v>41527</v>
      </c>
      <c r="CG136" s="111">
        <v>4.22</v>
      </c>
      <c r="CH136" s="125">
        <v>41527</v>
      </c>
      <c r="CK136" s="111">
        <v>5</v>
      </c>
    </row>
    <row r="137" spans="1:89">
      <c r="A137" s="126" t="s">
        <v>7820</v>
      </c>
      <c r="B137" t="s">
        <v>259</v>
      </c>
      <c r="C137" t="s">
        <v>7794</v>
      </c>
      <c r="D137">
        <v>23</v>
      </c>
      <c r="E137" s="93">
        <v>6</v>
      </c>
      <c r="F137" s="93">
        <v>56</v>
      </c>
      <c r="K137" s="92">
        <v>3</v>
      </c>
      <c r="L137" s="159">
        <v>41569</v>
      </c>
      <c r="S137" s="111">
        <v>1390.0319999999999</v>
      </c>
      <c r="T137" s="125">
        <v>41527</v>
      </c>
      <c r="U137" s="111">
        <v>10.8</v>
      </c>
      <c r="Y137" s="111">
        <v>649.31200000000001</v>
      </c>
      <c r="Z137" s="125">
        <v>41527</v>
      </c>
      <c r="AA137" s="111" t="s">
        <v>7718</v>
      </c>
      <c r="AB137" s="125">
        <v>41527</v>
      </c>
      <c r="AE137">
        <v>31.52</v>
      </c>
      <c r="AF137" s="125">
        <v>41527</v>
      </c>
      <c r="AG137" s="111" t="s">
        <v>7718</v>
      </c>
      <c r="AH137" s="125">
        <v>41527</v>
      </c>
      <c r="AI137" s="111">
        <v>120</v>
      </c>
      <c r="AJ137" s="125">
        <v>41527</v>
      </c>
      <c r="BS137" s="111">
        <v>44.1</v>
      </c>
      <c r="BT137" s="125">
        <v>41527</v>
      </c>
      <c r="BU137">
        <v>20.6</v>
      </c>
      <c r="BV137" s="125">
        <v>41527</v>
      </c>
      <c r="CC137" s="111">
        <v>9.3000000000000007</v>
      </c>
      <c r="CD137" s="125">
        <v>41527</v>
      </c>
      <c r="CG137" s="111">
        <v>4.1500000000000004</v>
      </c>
      <c r="CH137" s="125">
        <v>41527</v>
      </c>
      <c r="CK137" s="111">
        <v>5</v>
      </c>
    </row>
    <row r="138" spans="1:89">
      <c r="A138" s="126" t="s">
        <v>7820</v>
      </c>
      <c r="B138" t="s">
        <v>257</v>
      </c>
      <c r="C138" t="s">
        <v>7795</v>
      </c>
      <c r="D138">
        <v>23</v>
      </c>
      <c r="E138" s="93">
        <v>5</v>
      </c>
      <c r="F138" s="93">
        <v>72</v>
      </c>
      <c r="K138" s="92">
        <v>5</v>
      </c>
      <c r="L138" s="159">
        <v>41569</v>
      </c>
      <c r="S138" s="111">
        <v>1374.9480000000001</v>
      </c>
      <c r="T138" s="125">
        <v>41527</v>
      </c>
      <c r="U138" s="111">
        <v>10.8</v>
      </c>
      <c r="Y138" s="111">
        <v>651.45600000000002</v>
      </c>
      <c r="Z138" s="125">
        <v>41527</v>
      </c>
      <c r="AA138" s="111">
        <v>70382.022469999996</v>
      </c>
      <c r="AB138" s="125">
        <v>41527</v>
      </c>
      <c r="AE138">
        <v>31.32</v>
      </c>
      <c r="AF138" s="125">
        <v>41527</v>
      </c>
      <c r="AG138" s="111">
        <v>4.45</v>
      </c>
      <c r="AH138" s="125">
        <v>41527</v>
      </c>
      <c r="AI138" s="111">
        <v>130</v>
      </c>
      <c r="AJ138" s="125">
        <v>41527</v>
      </c>
      <c r="BS138" s="111">
        <v>43.9</v>
      </c>
      <c r="BT138" s="125">
        <v>41527</v>
      </c>
      <c r="BU138">
        <v>20.8</v>
      </c>
      <c r="BV138" s="125">
        <v>41527</v>
      </c>
      <c r="CC138" s="111">
        <v>5.9</v>
      </c>
      <c r="CD138" s="125">
        <v>41527</v>
      </c>
      <c r="CG138" s="111">
        <v>2.5099999999999998</v>
      </c>
      <c r="CH138" s="125">
        <v>41527</v>
      </c>
      <c r="CK138" s="111">
        <v>10</v>
      </c>
    </row>
    <row r="139" spans="1:89">
      <c r="A139" s="126" t="s">
        <v>7820</v>
      </c>
      <c r="B139" t="s">
        <v>259</v>
      </c>
      <c r="C139" t="s">
        <v>7795</v>
      </c>
      <c r="D139">
        <v>23</v>
      </c>
      <c r="E139" s="93">
        <v>2</v>
      </c>
      <c r="F139" s="93">
        <v>64</v>
      </c>
      <c r="K139" s="92">
        <v>5</v>
      </c>
      <c r="L139" s="159">
        <v>41569</v>
      </c>
      <c r="S139" s="111">
        <v>1487.4390000000001</v>
      </c>
      <c r="T139" s="125">
        <v>41527</v>
      </c>
      <c r="U139" s="111">
        <v>10.8</v>
      </c>
      <c r="Y139" s="111">
        <v>806.14200000000005</v>
      </c>
      <c r="Z139" s="125">
        <v>41527</v>
      </c>
      <c r="AA139" s="111">
        <v>69941.176470000006</v>
      </c>
      <c r="AB139" s="125">
        <v>41527</v>
      </c>
      <c r="AE139">
        <v>35.67</v>
      </c>
      <c r="AF139" s="125">
        <v>41527</v>
      </c>
      <c r="AG139" s="111">
        <v>5.0999999999999996</v>
      </c>
      <c r="AH139" s="125">
        <v>41527</v>
      </c>
      <c r="AI139" s="111">
        <v>130</v>
      </c>
      <c r="AJ139" s="125">
        <v>41527</v>
      </c>
      <c r="BS139" s="111">
        <v>41.7</v>
      </c>
      <c r="BT139" s="125">
        <v>41527</v>
      </c>
      <c r="BU139">
        <v>22.6</v>
      </c>
      <c r="BV139" s="125">
        <v>41527</v>
      </c>
      <c r="CC139" s="111">
        <v>10</v>
      </c>
      <c r="CD139" s="125">
        <v>41527</v>
      </c>
      <c r="CG139" s="111">
        <v>7.13</v>
      </c>
      <c r="CH139" s="125">
        <v>41527</v>
      </c>
      <c r="CK139" s="111">
        <v>10</v>
      </c>
    </row>
    <row r="140" spans="1:89">
      <c r="A140" s="126" t="s">
        <v>7821</v>
      </c>
      <c r="B140" t="s">
        <v>257</v>
      </c>
      <c r="C140" t="s">
        <v>405</v>
      </c>
      <c r="D140">
        <v>24</v>
      </c>
      <c r="E140" s="93">
        <v>5</v>
      </c>
      <c r="F140" s="93">
        <v>26</v>
      </c>
      <c r="K140" s="92">
        <v>5</v>
      </c>
      <c r="L140" s="159">
        <v>41569</v>
      </c>
      <c r="S140" s="111">
        <v>1212.066</v>
      </c>
      <c r="T140" s="125">
        <v>41527</v>
      </c>
      <c r="U140" s="111">
        <v>10.8</v>
      </c>
      <c r="Y140" s="111">
        <v>499.392</v>
      </c>
      <c r="Z140" s="125">
        <v>41527</v>
      </c>
      <c r="AA140" s="111" t="s">
        <v>7718</v>
      </c>
      <c r="AB140" s="125">
        <v>41527</v>
      </c>
      <c r="AE140">
        <v>26.01</v>
      </c>
      <c r="AF140" s="125">
        <v>41527</v>
      </c>
      <c r="AG140" s="111" t="s">
        <v>7718</v>
      </c>
      <c r="AH140" s="125">
        <v>41527</v>
      </c>
      <c r="AI140" s="111">
        <v>120</v>
      </c>
      <c r="AJ140" s="125">
        <v>41527</v>
      </c>
      <c r="BS140" s="111">
        <v>46.6</v>
      </c>
      <c r="BT140" s="125">
        <v>41527</v>
      </c>
      <c r="BU140">
        <v>19.2</v>
      </c>
      <c r="BV140" s="125">
        <v>41527</v>
      </c>
      <c r="CC140" s="111">
        <v>9.6999999999999993</v>
      </c>
      <c r="CD140" s="125">
        <v>41527</v>
      </c>
      <c r="CG140" s="111">
        <v>10.19</v>
      </c>
      <c r="CH140" s="125">
        <v>41527</v>
      </c>
      <c r="CK140" s="111">
        <v>30</v>
      </c>
    </row>
    <row r="141" spans="1:89">
      <c r="A141" s="126" t="s">
        <v>7821</v>
      </c>
      <c r="B141" t="s">
        <v>259</v>
      </c>
      <c r="C141" t="s">
        <v>405</v>
      </c>
      <c r="D141">
        <v>24</v>
      </c>
      <c r="E141" s="93">
        <v>3</v>
      </c>
      <c r="F141" s="93">
        <v>2</v>
      </c>
      <c r="K141" s="92">
        <v>3</v>
      </c>
      <c r="L141" s="159">
        <v>41569</v>
      </c>
      <c r="S141" s="111">
        <v>2158.5050000000001</v>
      </c>
      <c r="T141" s="125">
        <v>41527</v>
      </c>
      <c r="U141" s="111">
        <v>10.8</v>
      </c>
      <c r="Y141" s="111">
        <v>1136.58</v>
      </c>
      <c r="Z141" s="125">
        <v>41527</v>
      </c>
      <c r="AA141" s="111" t="s">
        <v>7718</v>
      </c>
      <c r="AB141" s="125">
        <v>41527</v>
      </c>
      <c r="AE141">
        <v>49.85</v>
      </c>
      <c r="AF141" s="125">
        <v>41527</v>
      </c>
      <c r="AG141" s="111" t="s">
        <v>7718</v>
      </c>
      <c r="AH141" s="125">
        <v>41527</v>
      </c>
      <c r="AI141" s="111">
        <v>130</v>
      </c>
      <c r="AJ141" s="125">
        <v>41527</v>
      </c>
      <c r="BS141" s="111">
        <v>43.3</v>
      </c>
      <c r="BT141" s="125">
        <v>41527</v>
      </c>
      <c r="BU141">
        <v>22.8</v>
      </c>
      <c r="BV141" s="125">
        <v>41527</v>
      </c>
      <c r="CC141" s="111">
        <v>13.5</v>
      </c>
      <c r="CD141" s="125">
        <v>41527</v>
      </c>
      <c r="CG141" s="111">
        <v>3.17</v>
      </c>
      <c r="CH141" s="125">
        <v>41527</v>
      </c>
      <c r="CK141" s="111">
        <v>30</v>
      </c>
    </row>
    <row r="142" spans="1:89">
      <c r="A142" s="126" t="s">
        <v>7821</v>
      </c>
      <c r="B142" t="s">
        <v>257</v>
      </c>
      <c r="C142" t="s">
        <v>7794</v>
      </c>
      <c r="D142">
        <v>24</v>
      </c>
      <c r="E142" s="93">
        <v>1</v>
      </c>
      <c r="F142" s="93">
        <v>40</v>
      </c>
      <c r="K142" s="92">
        <v>5</v>
      </c>
      <c r="L142" s="159">
        <v>41569</v>
      </c>
      <c r="S142" s="111">
        <v>1726.66</v>
      </c>
      <c r="T142" s="125">
        <v>41527</v>
      </c>
      <c r="U142" s="111">
        <v>10.8</v>
      </c>
      <c r="Y142" s="111">
        <v>761.54</v>
      </c>
      <c r="Z142" s="125">
        <v>41527</v>
      </c>
      <c r="AA142" s="111" t="s">
        <v>7718</v>
      </c>
      <c r="AB142" s="125">
        <v>41527</v>
      </c>
      <c r="AE142">
        <v>37.700000000000003</v>
      </c>
      <c r="AF142" s="125">
        <v>41527</v>
      </c>
      <c r="AG142" s="111" t="s">
        <v>7718</v>
      </c>
      <c r="AH142" s="125">
        <v>41527</v>
      </c>
      <c r="AI142" s="111">
        <v>130</v>
      </c>
      <c r="AJ142" s="125">
        <v>41527</v>
      </c>
      <c r="BS142" s="111">
        <v>45.8</v>
      </c>
      <c r="BT142" s="125">
        <v>41527</v>
      </c>
      <c r="BU142">
        <v>20.2</v>
      </c>
      <c r="BV142" s="125">
        <v>41527</v>
      </c>
      <c r="CC142" s="111">
        <v>8.4</v>
      </c>
      <c r="CD142" s="125">
        <v>41527</v>
      </c>
      <c r="CG142" s="111">
        <v>4.49</v>
      </c>
      <c r="CH142" s="125">
        <v>41527</v>
      </c>
      <c r="CK142" s="111">
        <v>30</v>
      </c>
    </row>
    <row r="143" spans="1:89">
      <c r="A143" s="126" t="s">
        <v>7821</v>
      </c>
      <c r="B143" t="s">
        <v>259</v>
      </c>
      <c r="C143" t="s">
        <v>7794</v>
      </c>
      <c r="D143">
        <v>24</v>
      </c>
      <c r="E143" s="93">
        <v>6</v>
      </c>
      <c r="F143" s="93">
        <v>41</v>
      </c>
      <c r="K143" s="92">
        <v>5</v>
      </c>
      <c r="L143" s="159">
        <v>41569</v>
      </c>
      <c r="S143" s="111">
        <v>1743.0650000000001</v>
      </c>
      <c r="T143" s="125">
        <v>41527</v>
      </c>
      <c r="U143" s="111">
        <v>10.8</v>
      </c>
      <c r="Y143" s="111">
        <v>826.48699999999997</v>
      </c>
      <c r="Z143" s="125">
        <v>41527</v>
      </c>
      <c r="AA143" s="111" t="s">
        <v>7718</v>
      </c>
      <c r="AB143" s="125">
        <v>41527</v>
      </c>
      <c r="AE143">
        <v>39.17</v>
      </c>
      <c r="AF143" s="125">
        <v>41527</v>
      </c>
      <c r="AG143" s="111" t="s">
        <v>7718</v>
      </c>
      <c r="AH143" s="125">
        <v>41527</v>
      </c>
      <c r="AI143" s="111">
        <v>120</v>
      </c>
      <c r="AJ143" s="125">
        <v>41527</v>
      </c>
      <c r="BS143" s="111">
        <v>44.5</v>
      </c>
      <c r="BT143" s="125">
        <v>41527</v>
      </c>
      <c r="BU143">
        <v>21.1</v>
      </c>
      <c r="BV143" s="125">
        <v>41527</v>
      </c>
      <c r="CC143" s="111">
        <v>7.4</v>
      </c>
      <c r="CD143" s="125">
        <v>41527</v>
      </c>
      <c r="CG143" s="111">
        <v>8.9</v>
      </c>
      <c r="CH143" s="125">
        <v>41527</v>
      </c>
      <c r="CK143" s="111">
        <v>20</v>
      </c>
    </row>
    <row r="144" spans="1:89">
      <c r="A144" s="126" t="s">
        <v>7821</v>
      </c>
      <c r="B144" t="s">
        <v>257</v>
      </c>
      <c r="C144" t="s">
        <v>7795</v>
      </c>
      <c r="D144">
        <v>24</v>
      </c>
      <c r="E144" s="93">
        <v>6</v>
      </c>
      <c r="F144" s="93">
        <v>82</v>
      </c>
      <c r="K144" s="92">
        <v>5</v>
      </c>
      <c r="L144" s="159">
        <v>41569</v>
      </c>
      <c r="S144" s="111">
        <v>1365.059</v>
      </c>
      <c r="T144" s="125">
        <v>41527</v>
      </c>
      <c r="U144" s="111">
        <v>10.8</v>
      </c>
      <c r="Y144" s="111">
        <v>609.34799999999996</v>
      </c>
      <c r="Z144" s="125">
        <v>41527</v>
      </c>
      <c r="AA144" s="111">
        <v>74488.778049999994</v>
      </c>
      <c r="AB144" s="125">
        <v>41527</v>
      </c>
      <c r="AE144">
        <v>29.87</v>
      </c>
      <c r="AF144" s="125">
        <v>41527</v>
      </c>
      <c r="AG144" s="111">
        <v>4.01</v>
      </c>
      <c r="AH144" s="125">
        <v>41527</v>
      </c>
      <c r="AI144" s="111">
        <v>115</v>
      </c>
      <c r="AJ144" s="125">
        <v>41527</v>
      </c>
      <c r="BS144" s="111">
        <v>45.7</v>
      </c>
      <c r="BT144" s="125">
        <v>41527</v>
      </c>
      <c r="BU144">
        <v>20.399999999999999</v>
      </c>
      <c r="BV144" s="125">
        <v>41527</v>
      </c>
      <c r="CC144" s="111">
        <v>6.7</v>
      </c>
      <c r="CD144" s="125">
        <v>41527</v>
      </c>
      <c r="CG144" s="111">
        <v>3.39</v>
      </c>
      <c r="CH144" s="125">
        <v>41527</v>
      </c>
      <c r="CK144" s="111">
        <v>20</v>
      </c>
    </row>
    <row r="145" spans="1:89">
      <c r="A145" s="126" t="s">
        <v>7821</v>
      </c>
      <c r="B145" t="s">
        <v>259</v>
      </c>
      <c r="C145" t="s">
        <v>7795</v>
      </c>
      <c r="D145">
        <v>24</v>
      </c>
      <c r="E145" s="93">
        <v>3</v>
      </c>
      <c r="F145" s="93">
        <v>65</v>
      </c>
      <c r="K145" s="92">
        <v>5</v>
      </c>
      <c r="L145" s="159">
        <v>41569</v>
      </c>
      <c r="S145" s="111">
        <v>1870.722</v>
      </c>
      <c r="T145" s="125">
        <v>41527</v>
      </c>
      <c r="U145" s="111">
        <v>10.8</v>
      </c>
      <c r="Y145" s="111">
        <v>937.48199999999997</v>
      </c>
      <c r="Z145" s="125">
        <v>41527</v>
      </c>
      <c r="AA145" s="111">
        <v>106315.7895</v>
      </c>
      <c r="AB145" s="125">
        <v>41527</v>
      </c>
      <c r="AE145">
        <v>42.42</v>
      </c>
      <c r="AF145" s="125">
        <v>41527</v>
      </c>
      <c r="AG145" s="111">
        <v>3.99</v>
      </c>
      <c r="AH145" s="125">
        <v>41527</v>
      </c>
      <c r="AI145" s="111">
        <v>130</v>
      </c>
      <c r="AJ145" s="125">
        <v>41527</v>
      </c>
      <c r="BS145" s="111">
        <v>44.1</v>
      </c>
      <c r="BT145" s="125">
        <v>41527</v>
      </c>
      <c r="BU145">
        <v>22.1</v>
      </c>
      <c r="BV145" s="125">
        <v>41527</v>
      </c>
      <c r="CC145" s="111">
        <v>9</v>
      </c>
      <c r="CD145" s="125">
        <v>41527</v>
      </c>
      <c r="CG145" s="111">
        <v>7.76</v>
      </c>
      <c r="CH145" s="125">
        <v>41527</v>
      </c>
      <c r="CK145" s="111">
        <v>40</v>
      </c>
    </row>
    <row r="146" spans="1:89">
      <c r="A146" s="126" t="s">
        <v>7822</v>
      </c>
      <c r="B146" t="s">
        <v>259</v>
      </c>
      <c r="C146" t="s">
        <v>405</v>
      </c>
      <c r="D146">
        <v>25</v>
      </c>
      <c r="E146" s="93">
        <v>1</v>
      </c>
      <c r="F146" s="93">
        <v>6</v>
      </c>
      <c r="K146" s="92">
        <v>5</v>
      </c>
      <c r="L146" s="159">
        <v>41569</v>
      </c>
      <c r="S146" s="111">
        <v>1307.672</v>
      </c>
      <c r="T146" s="125">
        <v>41527</v>
      </c>
      <c r="U146" s="111">
        <v>10.8</v>
      </c>
      <c r="Y146" s="111">
        <v>583.46799999999996</v>
      </c>
      <c r="Z146" s="125">
        <v>41527</v>
      </c>
      <c r="AA146" s="111" t="s">
        <v>7718</v>
      </c>
      <c r="AB146" s="125">
        <v>41527</v>
      </c>
      <c r="AE146">
        <v>29.32</v>
      </c>
      <c r="AF146" s="125">
        <v>41527</v>
      </c>
      <c r="AG146" s="111" t="s">
        <v>7718</v>
      </c>
      <c r="AH146" s="125">
        <v>41527</v>
      </c>
      <c r="AI146" s="111">
        <v>120</v>
      </c>
      <c r="AJ146" s="125">
        <v>41527</v>
      </c>
      <c r="BS146" s="111">
        <v>44.6</v>
      </c>
      <c r="BT146" s="125">
        <v>41527</v>
      </c>
      <c r="BU146">
        <v>19.899999999999999</v>
      </c>
      <c r="BV146" s="125">
        <v>41527</v>
      </c>
      <c r="CC146" s="111">
        <v>7.3</v>
      </c>
      <c r="CD146" s="125">
        <v>41527</v>
      </c>
      <c r="CG146" s="111">
        <v>6.3</v>
      </c>
      <c r="CH146" s="125">
        <v>41527</v>
      </c>
      <c r="CK146" s="111">
        <v>20</v>
      </c>
    </row>
    <row r="147" spans="1:89">
      <c r="A147" s="126" t="s">
        <v>7822</v>
      </c>
      <c r="B147" t="s">
        <v>257</v>
      </c>
      <c r="C147" t="s">
        <v>405</v>
      </c>
      <c r="D147">
        <v>25</v>
      </c>
      <c r="E147" s="93">
        <v>6</v>
      </c>
      <c r="F147" s="93">
        <v>21</v>
      </c>
      <c r="K147" s="92">
        <v>7</v>
      </c>
      <c r="L147" s="159">
        <v>41569</v>
      </c>
      <c r="S147" s="111">
        <v>1825.848</v>
      </c>
      <c r="T147" s="125">
        <v>41527</v>
      </c>
      <c r="U147" s="111">
        <v>10.8</v>
      </c>
      <c r="Y147" s="111">
        <v>942.78599999999994</v>
      </c>
      <c r="Z147" s="125">
        <v>41527</v>
      </c>
      <c r="AA147" s="111" t="s">
        <v>7718</v>
      </c>
      <c r="AB147" s="125">
        <v>41527</v>
      </c>
      <c r="AE147">
        <v>42.66</v>
      </c>
      <c r="AF147" s="125">
        <v>41527</v>
      </c>
      <c r="AG147" s="111" t="s">
        <v>7718</v>
      </c>
      <c r="AH147" s="125">
        <v>41527</v>
      </c>
      <c r="AI147" s="111">
        <v>130</v>
      </c>
      <c r="AJ147" s="125">
        <v>41527</v>
      </c>
      <c r="BS147" s="111">
        <v>42.8</v>
      </c>
      <c r="BT147" s="125">
        <v>41527</v>
      </c>
      <c r="BU147">
        <v>22.1</v>
      </c>
      <c r="BV147" s="125">
        <v>41527</v>
      </c>
      <c r="CC147" s="111">
        <v>8.1999999999999993</v>
      </c>
      <c r="CD147" s="125">
        <v>41527</v>
      </c>
      <c r="CG147" s="111">
        <v>1.92</v>
      </c>
      <c r="CH147" s="125">
        <v>41527</v>
      </c>
      <c r="CK147" s="111">
        <v>30</v>
      </c>
    </row>
    <row r="148" spans="1:89">
      <c r="A148" s="126" t="s">
        <v>7822</v>
      </c>
      <c r="B148" t="s">
        <v>257</v>
      </c>
      <c r="C148" t="s">
        <v>7794</v>
      </c>
      <c r="D148">
        <v>25</v>
      </c>
      <c r="E148" s="93">
        <v>3</v>
      </c>
      <c r="F148" s="93">
        <v>37</v>
      </c>
      <c r="K148" s="92">
        <v>5</v>
      </c>
      <c r="L148" s="159">
        <v>41569</v>
      </c>
      <c r="S148" s="111">
        <v>1525.992</v>
      </c>
      <c r="T148" s="125">
        <v>41527</v>
      </c>
      <c r="U148" s="111">
        <v>10.8</v>
      </c>
      <c r="Y148" s="111">
        <v>710.73599999999999</v>
      </c>
      <c r="Z148" s="125">
        <v>41527</v>
      </c>
      <c r="AA148" s="111" t="s">
        <v>7718</v>
      </c>
      <c r="AB148" s="125">
        <v>41527</v>
      </c>
      <c r="AE148">
        <v>34.840000000000003</v>
      </c>
      <c r="AF148" s="125">
        <v>41527</v>
      </c>
      <c r="AG148" s="111" t="s">
        <v>7718</v>
      </c>
      <c r="AH148" s="125">
        <v>41527</v>
      </c>
      <c r="AI148" s="111">
        <v>140</v>
      </c>
      <c r="AJ148" s="125">
        <v>41527</v>
      </c>
      <c r="BS148" s="111">
        <v>43.8</v>
      </c>
      <c r="BT148" s="125">
        <v>41527</v>
      </c>
      <c r="BU148">
        <v>20.399999999999999</v>
      </c>
      <c r="BV148" s="125">
        <v>41527</v>
      </c>
      <c r="CC148" s="111">
        <v>10.5</v>
      </c>
      <c r="CD148" s="125">
        <v>41527</v>
      </c>
      <c r="CG148" s="111">
        <v>6.3</v>
      </c>
      <c r="CH148" s="125">
        <v>41527</v>
      </c>
      <c r="CK148" s="111">
        <v>30</v>
      </c>
    </row>
    <row r="149" spans="1:89">
      <c r="A149" s="126" t="s">
        <v>7822</v>
      </c>
      <c r="B149" t="s">
        <v>259</v>
      </c>
      <c r="C149" t="s">
        <v>7794</v>
      </c>
      <c r="D149">
        <v>25</v>
      </c>
      <c r="E149" s="93">
        <v>5</v>
      </c>
      <c r="F149" s="93">
        <v>31</v>
      </c>
      <c r="K149" s="92">
        <v>5</v>
      </c>
      <c r="L149" s="159">
        <v>41569</v>
      </c>
      <c r="S149" s="111">
        <v>1741.9590000000001</v>
      </c>
      <c r="T149" s="125">
        <v>41527</v>
      </c>
      <c r="U149" s="111">
        <v>10.8</v>
      </c>
      <c r="Y149" s="111">
        <v>868.96799999999996</v>
      </c>
      <c r="Z149" s="125">
        <v>41527</v>
      </c>
      <c r="AA149" s="111" t="s">
        <v>7718</v>
      </c>
      <c r="AB149" s="125">
        <v>41527</v>
      </c>
      <c r="AE149">
        <v>40.229999999999997</v>
      </c>
      <c r="AF149" s="125">
        <v>41527</v>
      </c>
      <c r="AG149" s="111" t="s">
        <v>7718</v>
      </c>
      <c r="AH149" s="125">
        <v>41527</v>
      </c>
      <c r="AI149" s="111">
        <v>130</v>
      </c>
      <c r="AJ149" s="125">
        <v>41527</v>
      </c>
      <c r="BS149" s="111">
        <v>43.3</v>
      </c>
      <c r="BT149" s="125">
        <v>41527</v>
      </c>
      <c r="BU149">
        <v>21.6</v>
      </c>
      <c r="BV149" s="125">
        <v>41527</v>
      </c>
      <c r="CC149" s="111">
        <v>5.5</v>
      </c>
      <c r="CD149" s="125">
        <v>41527</v>
      </c>
      <c r="CG149" s="111">
        <v>3.33</v>
      </c>
      <c r="CH149" s="125">
        <v>41527</v>
      </c>
      <c r="CK149" s="111">
        <v>20</v>
      </c>
    </row>
    <row r="150" spans="1:89">
      <c r="A150" s="126" t="s">
        <v>7822</v>
      </c>
      <c r="B150" t="s">
        <v>257</v>
      </c>
      <c r="C150" t="s">
        <v>7795</v>
      </c>
      <c r="D150">
        <v>25</v>
      </c>
      <c r="E150" s="93">
        <v>6</v>
      </c>
      <c r="F150" s="93">
        <v>71</v>
      </c>
      <c r="K150" s="92">
        <v>5</v>
      </c>
      <c r="L150" s="159">
        <v>41569</v>
      </c>
      <c r="S150" s="111">
        <v>1407.09</v>
      </c>
      <c r="T150" s="125">
        <v>41527</v>
      </c>
      <c r="U150" s="111">
        <v>10.8</v>
      </c>
      <c r="Y150" s="111">
        <v>635.56200000000001</v>
      </c>
      <c r="Z150" s="125">
        <v>41527</v>
      </c>
      <c r="AA150" s="111">
        <v>79848.484849999993</v>
      </c>
      <c r="AB150" s="125">
        <v>41527</v>
      </c>
      <c r="AE150">
        <v>31.62</v>
      </c>
      <c r="AF150" s="125">
        <v>41527</v>
      </c>
      <c r="AG150" s="111">
        <v>3.96</v>
      </c>
      <c r="AH150" s="125">
        <v>41527</v>
      </c>
      <c r="AI150" s="111">
        <v>115</v>
      </c>
      <c r="AJ150" s="125">
        <v>41527</v>
      </c>
      <c r="BS150" s="111">
        <v>44.5</v>
      </c>
      <c r="BT150" s="125">
        <v>41527</v>
      </c>
      <c r="BU150">
        <v>20.100000000000001</v>
      </c>
      <c r="BV150" s="125">
        <v>41527</v>
      </c>
      <c r="CC150" s="111">
        <v>5.7</v>
      </c>
      <c r="CD150" s="125">
        <v>41527</v>
      </c>
      <c r="CG150" s="111">
        <v>5.27</v>
      </c>
      <c r="CH150" s="125">
        <v>41527</v>
      </c>
      <c r="CK150" s="111">
        <v>20</v>
      </c>
    </row>
    <row r="151" spans="1:89">
      <c r="A151" s="126" t="s">
        <v>7822</v>
      </c>
      <c r="B151" t="s">
        <v>259</v>
      </c>
      <c r="C151" t="s">
        <v>7795</v>
      </c>
      <c r="D151">
        <v>25</v>
      </c>
      <c r="E151" s="93">
        <v>1</v>
      </c>
      <c r="F151" s="93">
        <v>77</v>
      </c>
      <c r="K151" s="92">
        <v>5</v>
      </c>
      <c r="L151" s="159">
        <v>41569</v>
      </c>
      <c r="S151" s="111">
        <v>1635.41</v>
      </c>
      <c r="T151" s="125">
        <v>41527</v>
      </c>
      <c r="U151" s="111">
        <v>10.8</v>
      </c>
      <c r="Y151" s="111">
        <v>815.79</v>
      </c>
      <c r="Z151" s="125">
        <v>41527</v>
      </c>
      <c r="AA151" s="111">
        <v>86261.261259999999</v>
      </c>
      <c r="AB151" s="125">
        <v>41527</v>
      </c>
      <c r="AE151">
        <v>38.299999999999997</v>
      </c>
      <c r="AF151" s="125">
        <v>41527</v>
      </c>
      <c r="AG151" s="111">
        <v>4.4400000000000004</v>
      </c>
      <c r="AH151" s="125">
        <v>41527</v>
      </c>
      <c r="AI151" s="111">
        <v>130</v>
      </c>
      <c r="AJ151" s="125">
        <v>41527</v>
      </c>
      <c r="BS151" s="111">
        <v>42.7</v>
      </c>
      <c r="BT151" s="125">
        <v>41527</v>
      </c>
      <c r="BU151">
        <v>21.3</v>
      </c>
      <c r="BV151" s="125">
        <v>41527</v>
      </c>
      <c r="CC151" s="111">
        <v>9.1999999999999993</v>
      </c>
      <c r="CD151" s="125">
        <v>41527</v>
      </c>
      <c r="CG151" s="111">
        <v>8.65</v>
      </c>
      <c r="CH151" s="125">
        <v>41527</v>
      </c>
      <c r="CK151" s="111">
        <v>30</v>
      </c>
    </row>
    <row r="152" spans="1:89">
      <c r="A152" s="126" t="s">
        <v>7823</v>
      </c>
      <c r="B152" t="s">
        <v>257</v>
      </c>
      <c r="C152" t="s">
        <v>405</v>
      </c>
      <c r="D152">
        <v>26</v>
      </c>
      <c r="E152" s="93">
        <v>6</v>
      </c>
      <c r="F152" s="93">
        <v>6</v>
      </c>
      <c r="K152" s="92">
        <v>5</v>
      </c>
      <c r="L152" s="159">
        <v>41569</v>
      </c>
      <c r="S152" s="111">
        <v>1547.91</v>
      </c>
      <c r="T152" s="125">
        <v>41527</v>
      </c>
      <c r="U152" s="111">
        <v>10.8</v>
      </c>
      <c r="Y152" s="111">
        <v>712.53</v>
      </c>
      <c r="Z152" s="125">
        <v>41527</v>
      </c>
      <c r="AA152" s="111" t="s">
        <v>7718</v>
      </c>
      <c r="AB152" s="125">
        <v>41527</v>
      </c>
      <c r="AE152">
        <v>35.1</v>
      </c>
      <c r="AF152" s="125">
        <v>41527</v>
      </c>
      <c r="AG152" s="111" t="s">
        <v>7718</v>
      </c>
      <c r="AH152" s="125">
        <v>41527</v>
      </c>
      <c r="AI152" s="111">
        <v>125</v>
      </c>
      <c r="AJ152" s="125">
        <v>41527</v>
      </c>
      <c r="BS152" s="111">
        <v>44.1</v>
      </c>
      <c r="BT152" s="125">
        <v>41527</v>
      </c>
      <c r="BU152">
        <v>20.3</v>
      </c>
      <c r="BV152" s="125">
        <v>41527</v>
      </c>
      <c r="CC152" s="111">
        <v>8.1</v>
      </c>
      <c r="CD152" s="125">
        <v>41527</v>
      </c>
      <c r="CG152" s="111">
        <v>6.71</v>
      </c>
      <c r="CH152" s="125">
        <v>41527</v>
      </c>
      <c r="CK152" s="111">
        <v>10</v>
      </c>
    </row>
    <row r="153" spans="1:89">
      <c r="A153" s="126" t="s">
        <v>7823</v>
      </c>
      <c r="B153" t="s">
        <v>259</v>
      </c>
      <c r="C153" t="s">
        <v>405</v>
      </c>
      <c r="D153">
        <v>26</v>
      </c>
      <c r="E153" s="93">
        <v>3</v>
      </c>
      <c r="F153" s="93">
        <v>7</v>
      </c>
      <c r="K153" s="92">
        <v>5</v>
      </c>
      <c r="L153" s="159">
        <v>41569</v>
      </c>
      <c r="S153" s="111">
        <v>2352.3710000000001</v>
      </c>
      <c r="T153" s="125">
        <v>41527</v>
      </c>
      <c r="U153" s="111">
        <v>10.8</v>
      </c>
      <c r="Y153" s="111">
        <v>1173.4939999999999</v>
      </c>
      <c r="Z153" s="125">
        <v>41527</v>
      </c>
      <c r="AA153" s="111" t="s">
        <v>7718</v>
      </c>
      <c r="AB153" s="125">
        <v>41527</v>
      </c>
      <c r="AE153">
        <v>53.83</v>
      </c>
      <c r="AF153" s="125">
        <v>41527</v>
      </c>
      <c r="AG153" s="111" t="s">
        <v>7718</v>
      </c>
      <c r="AH153" s="125">
        <v>41527</v>
      </c>
      <c r="AI153" s="111">
        <v>150</v>
      </c>
      <c r="AJ153" s="125">
        <v>41527</v>
      </c>
      <c r="BS153" s="111">
        <v>43.7</v>
      </c>
      <c r="BT153" s="125">
        <v>41527</v>
      </c>
      <c r="BU153">
        <v>21.8</v>
      </c>
      <c r="BV153" s="125">
        <v>41527</v>
      </c>
      <c r="CC153" s="111">
        <v>8</v>
      </c>
      <c r="CD153" s="125">
        <v>41527</v>
      </c>
      <c r="CG153" s="111">
        <v>0.45</v>
      </c>
      <c r="CH153" s="125">
        <v>41527</v>
      </c>
      <c r="CK153" s="111">
        <v>20</v>
      </c>
    </row>
    <row r="154" spans="1:89">
      <c r="A154" s="126" t="s">
        <v>7823</v>
      </c>
      <c r="B154" t="s">
        <v>257</v>
      </c>
      <c r="C154" t="s">
        <v>7794</v>
      </c>
      <c r="D154">
        <v>26</v>
      </c>
      <c r="E154" s="93">
        <v>1</v>
      </c>
      <c r="F154" s="93">
        <v>41</v>
      </c>
      <c r="K154" s="92">
        <v>5</v>
      </c>
      <c r="L154" s="159">
        <v>41569</v>
      </c>
      <c r="S154" s="111">
        <v>1950.0070000000001</v>
      </c>
      <c r="T154" s="125">
        <v>41527</v>
      </c>
      <c r="U154" s="111">
        <v>10.8</v>
      </c>
      <c r="Y154" s="111">
        <v>859.91399999999999</v>
      </c>
      <c r="Z154" s="125">
        <v>41527</v>
      </c>
      <c r="AA154" s="111" t="s">
        <v>7718</v>
      </c>
      <c r="AB154" s="125">
        <v>41527</v>
      </c>
      <c r="AE154">
        <v>43.43</v>
      </c>
      <c r="AF154" s="125">
        <v>41527</v>
      </c>
      <c r="AG154" s="111" t="s">
        <v>7718</v>
      </c>
      <c r="AH154" s="125">
        <v>41527</v>
      </c>
      <c r="AI154" s="111">
        <v>145</v>
      </c>
      <c r="AJ154" s="125">
        <v>41527</v>
      </c>
      <c r="BS154" s="111">
        <v>44.9</v>
      </c>
      <c r="BT154" s="125">
        <v>41527</v>
      </c>
      <c r="BU154">
        <v>19.8</v>
      </c>
      <c r="BV154" s="125">
        <v>41527</v>
      </c>
      <c r="CC154" s="111">
        <v>8.6</v>
      </c>
      <c r="CD154" s="125">
        <v>41527</v>
      </c>
      <c r="CG154" s="111">
        <v>4.07</v>
      </c>
      <c r="CH154" s="125">
        <v>41527</v>
      </c>
      <c r="CK154" s="111">
        <v>10</v>
      </c>
    </row>
    <row r="155" spans="1:89">
      <c r="A155" s="126" t="s">
        <v>7823</v>
      </c>
      <c r="B155" t="s">
        <v>259</v>
      </c>
      <c r="C155" t="s">
        <v>7794</v>
      </c>
      <c r="D155">
        <v>26</v>
      </c>
      <c r="E155" s="93">
        <v>4</v>
      </c>
      <c r="F155" s="93">
        <v>36</v>
      </c>
      <c r="K155" s="92">
        <v>5</v>
      </c>
      <c r="L155" s="159">
        <v>41569</v>
      </c>
      <c r="S155" s="111">
        <v>2148.4650000000001</v>
      </c>
      <c r="T155" s="125">
        <v>41527</v>
      </c>
      <c r="U155" s="111">
        <v>10.8</v>
      </c>
      <c r="Y155" s="111">
        <v>1086.58</v>
      </c>
      <c r="Z155" s="125">
        <v>41527</v>
      </c>
      <c r="AA155" s="111" t="s">
        <v>7718</v>
      </c>
      <c r="AB155" s="125">
        <v>41527</v>
      </c>
      <c r="AE155">
        <v>49.39</v>
      </c>
      <c r="AF155" s="125">
        <v>41527</v>
      </c>
      <c r="AG155" s="111" t="s">
        <v>7718</v>
      </c>
      <c r="AH155" s="125">
        <v>41527</v>
      </c>
      <c r="AI155" s="111">
        <v>145</v>
      </c>
      <c r="AJ155" s="125">
        <v>41527</v>
      </c>
      <c r="BS155" s="111">
        <v>43.5</v>
      </c>
      <c r="BT155" s="125">
        <v>41527</v>
      </c>
      <c r="BU155">
        <v>22</v>
      </c>
      <c r="BV155" s="125">
        <v>41527</v>
      </c>
      <c r="CC155" s="111">
        <v>7.5</v>
      </c>
      <c r="CD155" s="125">
        <v>41527</v>
      </c>
      <c r="CG155" s="111">
        <v>1.87</v>
      </c>
      <c r="CH155" s="125">
        <v>41527</v>
      </c>
      <c r="CK155" s="111">
        <v>10</v>
      </c>
    </row>
    <row r="156" spans="1:89">
      <c r="A156" s="126" t="s">
        <v>7823</v>
      </c>
      <c r="B156" t="s">
        <v>257</v>
      </c>
      <c r="C156" t="s">
        <v>7795</v>
      </c>
      <c r="D156">
        <v>26</v>
      </c>
      <c r="E156" s="93">
        <v>6</v>
      </c>
      <c r="F156" s="93">
        <v>62</v>
      </c>
      <c r="K156" s="92">
        <v>5</v>
      </c>
      <c r="L156" s="159">
        <v>41569</v>
      </c>
      <c r="S156" s="111">
        <v>1864.8</v>
      </c>
      <c r="T156" s="125">
        <v>41527</v>
      </c>
      <c r="U156" s="111">
        <v>10.8</v>
      </c>
      <c r="Y156" s="111">
        <v>812.22400000000005</v>
      </c>
      <c r="Z156" s="125">
        <v>41527</v>
      </c>
      <c r="AA156" s="111">
        <v>99376.498800000001</v>
      </c>
      <c r="AB156" s="125">
        <v>41527</v>
      </c>
      <c r="AE156">
        <v>41.44</v>
      </c>
      <c r="AF156" s="125">
        <v>41527</v>
      </c>
      <c r="AG156" s="111">
        <v>4.17</v>
      </c>
      <c r="AH156" s="125">
        <v>41527</v>
      </c>
      <c r="AI156" s="111">
        <v>135</v>
      </c>
      <c r="AJ156" s="125">
        <v>41527</v>
      </c>
      <c r="BS156" s="111">
        <v>45</v>
      </c>
      <c r="BT156" s="125">
        <v>41527</v>
      </c>
      <c r="BU156">
        <v>19.600000000000001</v>
      </c>
      <c r="BV156" s="125">
        <v>41527</v>
      </c>
      <c r="CC156" s="111">
        <v>8</v>
      </c>
      <c r="CD156" s="125">
        <v>41527</v>
      </c>
      <c r="CG156" s="111">
        <v>1.88</v>
      </c>
      <c r="CH156" s="125">
        <v>41527</v>
      </c>
      <c r="CK156" s="111">
        <v>20</v>
      </c>
    </row>
    <row r="157" spans="1:89">
      <c r="A157" s="126" t="s">
        <v>7823</v>
      </c>
      <c r="B157" t="s">
        <v>259</v>
      </c>
      <c r="C157" t="s">
        <v>7795</v>
      </c>
      <c r="D157">
        <v>26</v>
      </c>
      <c r="E157" s="93">
        <v>1</v>
      </c>
      <c r="F157" s="93">
        <v>71</v>
      </c>
      <c r="K157" s="92">
        <v>5</v>
      </c>
      <c r="L157" s="159">
        <v>41569</v>
      </c>
      <c r="S157" s="111">
        <v>1861.002</v>
      </c>
      <c r="T157" s="125">
        <v>41527</v>
      </c>
      <c r="U157" s="111">
        <v>10.8</v>
      </c>
      <c r="Y157" s="111">
        <v>932.67</v>
      </c>
      <c r="Z157" s="125">
        <v>41527</v>
      </c>
      <c r="AA157" s="111">
        <v>101118.8811</v>
      </c>
      <c r="AB157" s="125">
        <v>41527</v>
      </c>
      <c r="AE157">
        <v>43.38</v>
      </c>
      <c r="AF157" s="125">
        <v>41527</v>
      </c>
      <c r="AG157" s="111">
        <v>4.29</v>
      </c>
      <c r="AH157" s="125">
        <v>41527</v>
      </c>
      <c r="AI157" s="111">
        <v>135</v>
      </c>
      <c r="AJ157" s="125">
        <v>41527</v>
      </c>
      <c r="BS157" s="111">
        <v>42.9</v>
      </c>
      <c r="BT157" s="125">
        <v>41527</v>
      </c>
      <c r="BU157">
        <v>21.5</v>
      </c>
      <c r="BV157" s="125">
        <v>41527</v>
      </c>
      <c r="CC157" s="111">
        <v>8.6999999999999993</v>
      </c>
      <c r="CD157" s="125">
        <v>41527</v>
      </c>
      <c r="CG157" s="111">
        <v>8.74</v>
      </c>
      <c r="CH157" s="125">
        <v>41527</v>
      </c>
      <c r="CK157" s="111">
        <v>20</v>
      </c>
    </row>
    <row r="158" spans="1:89">
      <c r="A158" s="126" t="s">
        <v>7824</v>
      </c>
      <c r="B158" t="s">
        <v>257</v>
      </c>
      <c r="C158" t="s">
        <v>405</v>
      </c>
      <c r="D158">
        <v>27</v>
      </c>
      <c r="E158" s="93">
        <v>6</v>
      </c>
      <c r="F158" s="93">
        <v>23</v>
      </c>
      <c r="K158" s="92">
        <v>5</v>
      </c>
      <c r="L158" s="159">
        <v>41569</v>
      </c>
      <c r="S158" s="111">
        <v>1343.338</v>
      </c>
      <c r="T158" s="125">
        <v>41527</v>
      </c>
      <c r="U158" s="111">
        <v>10.8</v>
      </c>
      <c r="Y158" s="111">
        <v>596.35599999999999</v>
      </c>
      <c r="Z158" s="125">
        <v>41527</v>
      </c>
      <c r="AA158" s="111" t="s">
        <v>7718</v>
      </c>
      <c r="AB158" s="125">
        <v>41527</v>
      </c>
      <c r="AE158">
        <v>30.74</v>
      </c>
      <c r="AF158" s="125">
        <v>41527</v>
      </c>
      <c r="AG158" s="111" t="s">
        <v>7718</v>
      </c>
      <c r="AH158" s="125">
        <v>41527</v>
      </c>
      <c r="AI158" s="111">
        <v>105</v>
      </c>
      <c r="AJ158" s="125">
        <v>41527</v>
      </c>
      <c r="BS158" s="111">
        <v>43.7</v>
      </c>
      <c r="BT158" s="125">
        <v>41527</v>
      </c>
      <c r="BU158">
        <v>19.399999999999999</v>
      </c>
      <c r="BV158" s="125">
        <v>41527</v>
      </c>
      <c r="CC158" s="111">
        <v>8.5</v>
      </c>
      <c r="CD158" s="125">
        <v>41527</v>
      </c>
      <c r="CG158" s="111">
        <v>8.81</v>
      </c>
      <c r="CH158" s="125">
        <v>41527</v>
      </c>
      <c r="CK158" s="111">
        <v>20</v>
      </c>
    </row>
    <row r="159" spans="1:89">
      <c r="A159" s="126" t="s">
        <v>7824</v>
      </c>
      <c r="B159" t="s">
        <v>259</v>
      </c>
      <c r="C159" t="s">
        <v>405</v>
      </c>
      <c r="D159">
        <v>27</v>
      </c>
      <c r="E159" s="93">
        <v>2</v>
      </c>
      <c r="F159" s="93">
        <v>2</v>
      </c>
      <c r="K159" s="92">
        <v>5</v>
      </c>
      <c r="L159" s="159">
        <v>41569</v>
      </c>
      <c r="S159" s="111">
        <v>1657.51</v>
      </c>
      <c r="T159" s="125">
        <v>41527</v>
      </c>
      <c r="U159" s="111">
        <v>10.8</v>
      </c>
      <c r="Y159" s="111">
        <v>926.60799999999995</v>
      </c>
      <c r="Z159" s="125">
        <v>41527</v>
      </c>
      <c r="AA159" s="111" t="s">
        <v>7718</v>
      </c>
      <c r="AB159" s="125">
        <v>41527</v>
      </c>
      <c r="AE159">
        <v>39.94</v>
      </c>
      <c r="AF159" s="125">
        <v>41527</v>
      </c>
      <c r="AG159" s="111" t="s">
        <v>7718</v>
      </c>
      <c r="AH159" s="125">
        <v>41527</v>
      </c>
      <c r="AI159" s="111">
        <v>115</v>
      </c>
      <c r="AJ159" s="125">
        <v>41527</v>
      </c>
      <c r="BS159" s="111">
        <v>41.5</v>
      </c>
      <c r="BT159" s="125">
        <v>41527</v>
      </c>
      <c r="BU159">
        <v>23.2</v>
      </c>
      <c r="BV159" s="125">
        <v>41527</v>
      </c>
      <c r="CC159" s="111">
        <v>15.2</v>
      </c>
      <c r="CD159" s="125">
        <v>41527</v>
      </c>
      <c r="CG159" s="111">
        <v>3.1</v>
      </c>
      <c r="CH159" s="125">
        <v>41527</v>
      </c>
      <c r="CK159" s="111">
        <v>30</v>
      </c>
    </row>
    <row r="160" spans="1:89">
      <c r="A160" s="126" t="s">
        <v>7824</v>
      </c>
      <c r="B160" t="s">
        <v>257</v>
      </c>
      <c r="C160" t="s">
        <v>7794</v>
      </c>
      <c r="D160">
        <v>27</v>
      </c>
      <c r="E160" s="93">
        <v>1</v>
      </c>
      <c r="F160" s="93">
        <v>43</v>
      </c>
      <c r="K160" s="92">
        <v>5</v>
      </c>
      <c r="L160" s="159">
        <v>41569</v>
      </c>
      <c r="S160" s="111">
        <v>1843.2660000000001</v>
      </c>
      <c r="T160" s="125">
        <v>41527</v>
      </c>
      <c r="U160" s="111">
        <v>10.8</v>
      </c>
      <c r="Y160" s="111">
        <v>843.6</v>
      </c>
      <c r="Z160" s="125">
        <v>41527</v>
      </c>
      <c r="AA160" s="111" t="s">
        <v>7718</v>
      </c>
      <c r="AB160" s="125">
        <v>41527</v>
      </c>
      <c r="AE160">
        <v>42.18</v>
      </c>
      <c r="AF160" s="125">
        <v>41527</v>
      </c>
      <c r="AG160" s="111" t="s">
        <v>7718</v>
      </c>
      <c r="AH160" s="125">
        <v>41527</v>
      </c>
      <c r="AI160" s="111">
        <v>115</v>
      </c>
      <c r="AJ160" s="125">
        <v>41527</v>
      </c>
      <c r="BS160" s="111">
        <v>43.7</v>
      </c>
      <c r="BT160" s="125">
        <v>41527</v>
      </c>
      <c r="BU160">
        <v>20</v>
      </c>
      <c r="BV160" s="125">
        <v>41527</v>
      </c>
      <c r="CC160" s="111">
        <v>9.8000000000000007</v>
      </c>
      <c r="CD160" s="125">
        <v>41527</v>
      </c>
      <c r="CG160" s="111">
        <v>5.82</v>
      </c>
      <c r="CH160" s="125">
        <v>41527</v>
      </c>
      <c r="CK160" s="111">
        <v>10</v>
      </c>
    </row>
    <row r="161" spans="1:89">
      <c r="A161" s="126" t="s">
        <v>7824</v>
      </c>
      <c r="B161" t="s">
        <v>259</v>
      </c>
      <c r="C161" t="s">
        <v>7794</v>
      </c>
      <c r="D161">
        <v>27</v>
      </c>
      <c r="E161" s="93">
        <v>6</v>
      </c>
      <c r="F161" s="93">
        <v>36</v>
      </c>
      <c r="K161" s="92">
        <v>5</v>
      </c>
      <c r="L161" s="159">
        <v>41569</v>
      </c>
      <c r="S161" s="111">
        <v>1716.2239999999999</v>
      </c>
      <c r="T161" s="125">
        <v>41527</v>
      </c>
      <c r="U161" s="111">
        <v>10.8</v>
      </c>
      <c r="Y161" s="111">
        <v>897.024</v>
      </c>
      <c r="Z161" s="125">
        <v>41527</v>
      </c>
      <c r="AA161" s="111" t="s">
        <v>7718</v>
      </c>
      <c r="AB161" s="125">
        <v>41527</v>
      </c>
      <c r="AE161">
        <v>40.96</v>
      </c>
      <c r="AF161" s="125">
        <v>41527</v>
      </c>
      <c r="AG161" s="111" t="s">
        <v>7718</v>
      </c>
      <c r="AH161" s="125">
        <v>41527</v>
      </c>
      <c r="AI161" s="111">
        <v>110</v>
      </c>
      <c r="AJ161" s="125">
        <v>41527</v>
      </c>
      <c r="BS161" s="111">
        <v>41.9</v>
      </c>
      <c r="BT161" s="125">
        <v>41527</v>
      </c>
      <c r="BU161">
        <v>21.9</v>
      </c>
      <c r="BV161" s="125">
        <v>41527</v>
      </c>
      <c r="CC161" s="111">
        <v>8.1</v>
      </c>
      <c r="CD161" s="125">
        <v>41527</v>
      </c>
      <c r="CG161" s="111">
        <v>5.21</v>
      </c>
      <c r="CH161" s="125">
        <v>41527</v>
      </c>
      <c r="CK161" s="111">
        <v>20</v>
      </c>
    </row>
    <row r="162" spans="1:89">
      <c r="A162" s="126" t="s">
        <v>7824</v>
      </c>
      <c r="B162" t="s">
        <v>257</v>
      </c>
      <c r="C162" t="s">
        <v>7795</v>
      </c>
      <c r="D162">
        <v>27</v>
      </c>
      <c r="E162" s="93">
        <v>6</v>
      </c>
      <c r="F162" s="93">
        <v>60</v>
      </c>
      <c r="K162" s="92">
        <v>5</v>
      </c>
      <c r="L162" s="159">
        <v>41569</v>
      </c>
      <c r="S162" s="111">
        <v>1616.25</v>
      </c>
      <c r="T162" s="125">
        <v>41527</v>
      </c>
      <c r="U162" s="111">
        <v>10.8</v>
      </c>
      <c r="Y162" s="111">
        <v>772.5</v>
      </c>
      <c r="Z162" s="125">
        <v>41527</v>
      </c>
      <c r="AA162" s="111">
        <v>84650.112869999997</v>
      </c>
      <c r="AB162" s="125">
        <v>41527</v>
      </c>
      <c r="AE162">
        <v>37.5</v>
      </c>
      <c r="AF162" s="125">
        <v>41527</v>
      </c>
      <c r="AG162" s="111">
        <v>4.43</v>
      </c>
      <c r="AH162" s="125">
        <v>41527</v>
      </c>
      <c r="AI162" s="111">
        <v>100</v>
      </c>
      <c r="AJ162" s="125">
        <v>41527</v>
      </c>
      <c r="BS162" s="111">
        <v>43.1</v>
      </c>
      <c r="BT162" s="125">
        <v>41527</v>
      </c>
      <c r="BU162">
        <v>20.6</v>
      </c>
      <c r="BV162" s="125">
        <v>41527</v>
      </c>
      <c r="CC162" s="111">
        <v>8.8000000000000007</v>
      </c>
      <c r="CD162" s="125">
        <v>41527</v>
      </c>
      <c r="CG162" s="111">
        <v>3.19</v>
      </c>
      <c r="CH162" s="125">
        <v>41527</v>
      </c>
      <c r="CK162" s="111">
        <v>20</v>
      </c>
    </row>
    <row r="163" spans="1:89">
      <c r="A163" s="126" t="s">
        <v>7824</v>
      </c>
      <c r="B163" t="s">
        <v>259</v>
      </c>
      <c r="C163" t="s">
        <v>7795</v>
      </c>
      <c r="D163">
        <v>27</v>
      </c>
      <c r="E163" s="93">
        <v>2</v>
      </c>
      <c r="F163" s="93">
        <v>69</v>
      </c>
      <c r="K163" s="92">
        <v>5</v>
      </c>
      <c r="L163" s="159">
        <v>41569</v>
      </c>
      <c r="S163" s="111">
        <v>1873.3679999999999</v>
      </c>
      <c r="T163" s="125">
        <v>41527</v>
      </c>
      <c r="U163" s="111">
        <v>10.8</v>
      </c>
      <c r="Y163" s="111">
        <v>1029.672</v>
      </c>
      <c r="Z163" s="125">
        <v>41527</v>
      </c>
      <c r="AA163" s="111">
        <v>93719.008260000002</v>
      </c>
      <c r="AB163" s="125">
        <v>41527</v>
      </c>
      <c r="AE163">
        <v>45.36</v>
      </c>
      <c r="AF163" s="125">
        <v>41527</v>
      </c>
      <c r="AG163" s="111">
        <v>4.84</v>
      </c>
      <c r="AH163" s="125">
        <v>41527</v>
      </c>
      <c r="AI163" s="111">
        <v>115</v>
      </c>
      <c r="AJ163" s="125">
        <v>41527</v>
      </c>
      <c r="BS163" s="111">
        <v>41.3</v>
      </c>
      <c r="BT163" s="125">
        <v>41527</v>
      </c>
      <c r="BU163">
        <v>22.7</v>
      </c>
      <c r="BV163" s="125">
        <v>41527</v>
      </c>
      <c r="CC163" s="111">
        <v>9.1</v>
      </c>
      <c r="CD163" s="125">
        <v>41527</v>
      </c>
      <c r="CG163" s="111">
        <v>7.02</v>
      </c>
      <c r="CH163" s="125">
        <v>41527</v>
      </c>
      <c r="CK163" s="111">
        <v>20</v>
      </c>
    </row>
    <row r="164" spans="1:89">
      <c r="A164" s="126" t="s">
        <v>7825</v>
      </c>
      <c r="B164" t="s">
        <v>257</v>
      </c>
      <c r="C164" t="s">
        <v>405</v>
      </c>
      <c r="D164">
        <v>28</v>
      </c>
      <c r="E164" s="93">
        <v>5</v>
      </c>
      <c r="F164" s="93">
        <v>10</v>
      </c>
      <c r="K164" s="92">
        <v>5</v>
      </c>
      <c r="L164" s="159">
        <v>41569</v>
      </c>
      <c r="S164" s="111">
        <v>1690.0360000000001</v>
      </c>
      <c r="T164" s="125">
        <v>41527</v>
      </c>
      <c r="U164" s="111">
        <v>10.8</v>
      </c>
      <c r="Y164" s="111">
        <v>715.16</v>
      </c>
      <c r="Z164" s="125">
        <v>41527</v>
      </c>
      <c r="AA164" s="111" t="s">
        <v>7718</v>
      </c>
      <c r="AB164" s="125">
        <v>41527</v>
      </c>
      <c r="AE164">
        <v>37.64</v>
      </c>
      <c r="AF164" s="125">
        <v>41527</v>
      </c>
      <c r="AG164" s="111" t="s">
        <v>7718</v>
      </c>
      <c r="AH164" s="125">
        <v>41527</v>
      </c>
      <c r="AI164" s="111">
        <v>120</v>
      </c>
      <c r="AJ164" s="125">
        <v>41527</v>
      </c>
      <c r="BS164" s="111">
        <v>44.9</v>
      </c>
      <c r="BT164" s="125">
        <v>41527</v>
      </c>
      <c r="BU164">
        <v>19</v>
      </c>
      <c r="BV164" s="125">
        <v>41527</v>
      </c>
      <c r="CC164" s="111">
        <v>7</v>
      </c>
      <c r="CD164" s="125">
        <v>41527</v>
      </c>
      <c r="CG164" s="111">
        <v>5.42</v>
      </c>
      <c r="CH164" s="125">
        <v>41527</v>
      </c>
      <c r="CK164" s="111">
        <v>20</v>
      </c>
    </row>
    <row r="165" spans="1:89">
      <c r="A165" s="126" t="s">
        <v>7825</v>
      </c>
      <c r="B165" t="s">
        <v>259</v>
      </c>
      <c r="C165" t="s">
        <v>405</v>
      </c>
      <c r="D165">
        <v>28</v>
      </c>
      <c r="E165" s="93">
        <v>3</v>
      </c>
      <c r="F165" s="93">
        <v>16</v>
      </c>
      <c r="K165" s="92">
        <v>5</v>
      </c>
      <c r="L165" s="159">
        <v>41569</v>
      </c>
      <c r="S165" s="111">
        <v>2031.1759999999999</v>
      </c>
      <c r="T165" s="125">
        <v>41527</v>
      </c>
      <c r="U165" s="111">
        <v>10.8</v>
      </c>
      <c r="Y165" s="111">
        <v>976.08</v>
      </c>
      <c r="Z165" s="125">
        <v>41527</v>
      </c>
      <c r="AA165" s="111" t="s">
        <v>7718</v>
      </c>
      <c r="AB165" s="125">
        <v>41527</v>
      </c>
      <c r="AE165">
        <v>46.48</v>
      </c>
      <c r="AF165" s="125">
        <v>41527</v>
      </c>
      <c r="AG165" s="111" t="s">
        <v>7718</v>
      </c>
      <c r="AH165" s="125">
        <v>41527</v>
      </c>
      <c r="AI165" s="111">
        <v>120</v>
      </c>
      <c r="AJ165" s="125">
        <v>41527</v>
      </c>
      <c r="BS165" s="111">
        <v>43.7</v>
      </c>
      <c r="BT165" s="125">
        <v>41527</v>
      </c>
      <c r="BU165">
        <v>21</v>
      </c>
      <c r="BV165" s="125">
        <v>41527</v>
      </c>
      <c r="CC165" s="111">
        <v>8.1999999999999993</v>
      </c>
      <c r="CD165" s="125">
        <v>41527</v>
      </c>
      <c r="CG165" s="111">
        <v>8.17</v>
      </c>
      <c r="CH165" s="125">
        <v>41527</v>
      </c>
      <c r="CK165" s="111">
        <v>20</v>
      </c>
    </row>
    <row r="166" spans="1:89">
      <c r="A166" s="126" t="s">
        <v>7825</v>
      </c>
      <c r="B166" t="s">
        <v>257</v>
      </c>
      <c r="C166" t="s">
        <v>7794</v>
      </c>
      <c r="D166">
        <v>28</v>
      </c>
      <c r="E166" s="93">
        <v>2</v>
      </c>
      <c r="F166" s="93">
        <v>56</v>
      </c>
      <c r="K166" s="92">
        <v>5</v>
      </c>
      <c r="L166" s="159">
        <v>41569</v>
      </c>
      <c r="S166" s="111">
        <v>2071.2600000000002</v>
      </c>
      <c r="T166" s="125">
        <v>41527</v>
      </c>
      <c r="U166" s="111">
        <v>10.8</v>
      </c>
      <c r="Y166" s="111">
        <v>928.33500000000004</v>
      </c>
      <c r="Z166" s="125">
        <v>41527</v>
      </c>
      <c r="AA166" s="111" t="s">
        <v>7718</v>
      </c>
      <c r="AB166" s="125">
        <v>41527</v>
      </c>
      <c r="AE166">
        <v>46.65</v>
      </c>
      <c r="AF166" s="125">
        <v>41527</v>
      </c>
      <c r="AG166" s="111" t="s">
        <v>7718</v>
      </c>
      <c r="AH166" s="125">
        <v>41527</v>
      </c>
      <c r="AI166" s="111">
        <v>130</v>
      </c>
      <c r="AJ166" s="125">
        <v>41527</v>
      </c>
      <c r="BS166" s="111">
        <v>44.4</v>
      </c>
      <c r="BT166" s="125">
        <v>41527</v>
      </c>
      <c r="BU166">
        <v>19.899999999999999</v>
      </c>
      <c r="BV166" s="125">
        <v>41527</v>
      </c>
      <c r="CC166" s="111">
        <v>7.3</v>
      </c>
      <c r="CD166" s="125">
        <v>41527</v>
      </c>
      <c r="CG166" s="111">
        <v>3.4</v>
      </c>
      <c r="CH166" s="125">
        <v>41527</v>
      </c>
      <c r="CK166" s="111">
        <v>20</v>
      </c>
    </row>
    <row r="167" spans="1:89">
      <c r="A167" s="126" t="s">
        <v>7825</v>
      </c>
      <c r="B167" t="s">
        <v>259</v>
      </c>
      <c r="C167" t="s">
        <v>7794</v>
      </c>
      <c r="D167">
        <v>28</v>
      </c>
      <c r="E167" s="93">
        <v>6</v>
      </c>
      <c r="F167" s="93">
        <v>35</v>
      </c>
      <c r="K167" s="92">
        <v>5</v>
      </c>
      <c r="L167" s="159">
        <v>41569</v>
      </c>
      <c r="S167" s="111">
        <v>1725.0719999999999</v>
      </c>
      <c r="T167" s="125">
        <v>41527</v>
      </c>
      <c r="U167" s="111">
        <v>10.8</v>
      </c>
      <c r="Y167" s="111">
        <v>824.68799999999999</v>
      </c>
      <c r="Z167" s="125">
        <v>41527</v>
      </c>
      <c r="AA167" s="111" t="s">
        <v>7718</v>
      </c>
      <c r="AB167" s="125">
        <v>41527</v>
      </c>
      <c r="AE167">
        <v>39.840000000000003</v>
      </c>
      <c r="AF167" s="125">
        <v>41527</v>
      </c>
      <c r="AG167" s="111" t="s">
        <v>7718</v>
      </c>
      <c r="AH167" s="125">
        <v>41527</v>
      </c>
      <c r="AI167" s="111">
        <v>115</v>
      </c>
      <c r="AJ167" s="125">
        <v>41527</v>
      </c>
      <c r="BS167" s="111">
        <v>43.3</v>
      </c>
      <c r="BT167" s="125">
        <v>41527</v>
      </c>
      <c r="BU167">
        <v>20.7</v>
      </c>
      <c r="BV167" s="125">
        <v>41527</v>
      </c>
      <c r="CC167" s="111">
        <v>7.5</v>
      </c>
      <c r="CD167" s="125">
        <v>41527</v>
      </c>
      <c r="CG167" s="111">
        <v>5.4</v>
      </c>
      <c r="CH167" s="125">
        <v>41527</v>
      </c>
      <c r="CK167" s="111">
        <v>20</v>
      </c>
    </row>
    <row r="168" spans="1:89">
      <c r="A168" s="126" t="s">
        <v>7825</v>
      </c>
      <c r="B168" t="s">
        <v>257</v>
      </c>
      <c r="C168" t="s">
        <v>7795</v>
      </c>
      <c r="D168">
        <v>28</v>
      </c>
      <c r="E168" s="93">
        <v>4</v>
      </c>
      <c r="F168" s="93">
        <v>77</v>
      </c>
      <c r="K168" s="92">
        <v>5</v>
      </c>
      <c r="L168" s="159">
        <v>41569</v>
      </c>
      <c r="S168" s="111">
        <v>1879.1880000000001</v>
      </c>
      <c r="T168" s="125">
        <v>41527</v>
      </c>
      <c r="U168" s="111">
        <v>10.8</v>
      </c>
      <c r="Y168" s="111">
        <v>832.39200000000005</v>
      </c>
      <c r="Z168" s="125">
        <v>41527</v>
      </c>
      <c r="AA168" s="111">
        <v>100334.1289</v>
      </c>
      <c r="AB168" s="125">
        <v>41527</v>
      </c>
      <c r="AE168">
        <v>42.04</v>
      </c>
      <c r="AF168" s="125">
        <v>41527</v>
      </c>
      <c r="AG168" s="111">
        <v>4.1900000000000004</v>
      </c>
      <c r="AH168" s="125">
        <v>41527</v>
      </c>
      <c r="AI168" s="111">
        <v>123</v>
      </c>
      <c r="AJ168" s="125">
        <v>41527</v>
      </c>
      <c r="BS168" s="111">
        <v>44.7</v>
      </c>
      <c r="BT168" s="125">
        <v>41527</v>
      </c>
      <c r="BU168">
        <v>19.8</v>
      </c>
      <c r="BV168" s="125">
        <v>41527</v>
      </c>
      <c r="CC168" s="111">
        <v>5.7</v>
      </c>
      <c r="CD168" s="125">
        <v>41527</v>
      </c>
      <c r="CG168" s="111">
        <v>3.04</v>
      </c>
      <c r="CH168" s="125">
        <v>41527</v>
      </c>
      <c r="CK168" s="111">
        <v>20</v>
      </c>
    </row>
    <row r="169" spans="1:89">
      <c r="A169" s="126" t="s">
        <v>7825</v>
      </c>
      <c r="B169" t="s">
        <v>259</v>
      </c>
      <c r="C169" t="s">
        <v>7795</v>
      </c>
      <c r="D169">
        <v>28</v>
      </c>
      <c r="E169" s="93">
        <v>2</v>
      </c>
      <c r="F169" s="93">
        <v>71</v>
      </c>
      <c r="K169" s="92">
        <v>5</v>
      </c>
      <c r="L169" s="159">
        <v>41569</v>
      </c>
      <c r="S169" s="111">
        <v>1630.1120000000001</v>
      </c>
      <c r="T169" s="125">
        <v>41527</v>
      </c>
      <c r="U169" s="111">
        <v>10.8</v>
      </c>
      <c r="Y169" s="111">
        <v>844.096</v>
      </c>
      <c r="Z169" s="125">
        <v>41527</v>
      </c>
      <c r="AA169" s="111">
        <v>84726.477020000006</v>
      </c>
      <c r="AB169" s="125">
        <v>41527</v>
      </c>
      <c r="AE169">
        <v>38.72</v>
      </c>
      <c r="AF169" s="125">
        <v>41527</v>
      </c>
      <c r="AG169" s="111">
        <v>4.57</v>
      </c>
      <c r="AH169" s="125">
        <v>41527</v>
      </c>
      <c r="AI169" s="111">
        <v>120</v>
      </c>
      <c r="AJ169" s="125">
        <v>41527</v>
      </c>
      <c r="BS169" s="111">
        <v>42.1</v>
      </c>
      <c r="BT169" s="125">
        <v>41527</v>
      </c>
      <c r="BU169">
        <v>21.8</v>
      </c>
      <c r="BV169" s="125">
        <v>41527</v>
      </c>
      <c r="CC169" s="111">
        <v>10.199999999999999</v>
      </c>
      <c r="CD169" s="125">
        <v>41527</v>
      </c>
      <c r="CG169" s="111">
        <v>9.15</v>
      </c>
      <c r="CH169" s="125">
        <v>41527</v>
      </c>
      <c r="CK169" s="111">
        <v>30</v>
      </c>
    </row>
    <row r="170" spans="1:89">
      <c r="A170" s="126" t="s">
        <v>7826</v>
      </c>
      <c r="B170" t="s">
        <v>257</v>
      </c>
      <c r="C170" t="s">
        <v>405</v>
      </c>
      <c r="D170">
        <v>29</v>
      </c>
      <c r="E170" s="93">
        <v>6</v>
      </c>
      <c r="F170" s="93">
        <v>12</v>
      </c>
      <c r="K170" s="92">
        <v>3</v>
      </c>
      <c r="L170" s="159">
        <v>41569</v>
      </c>
      <c r="S170" s="111">
        <v>1663.81</v>
      </c>
      <c r="T170" s="125">
        <v>41527</v>
      </c>
      <c r="U170" s="111">
        <v>10.8</v>
      </c>
      <c r="Y170" s="111">
        <v>792.11</v>
      </c>
      <c r="Z170" s="125">
        <v>41527</v>
      </c>
      <c r="AA170" s="111" t="s">
        <v>7718</v>
      </c>
      <c r="AB170" s="125">
        <v>41527</v>
      </c>
      <c r="AE170">
        <v>37.9</v>
      </c>
      <c r="AF170" s="125">
        <v>41527</v>
      </c>
      <c r="AG170" s="111" t="s">
        <v>7718</v>
      </c>
      <c r="AH170" s="125">
        <v>41527</v>
      </c>
      <c r="AI170" s="111">
        <v>135</v>
      </c>
      <c r="AJ170" s="125">
        <v>41527</v>
      </c>
      <c r="BS170" s="111">
        <v>43.9</v>
      </c>
      <c r="BT170" s="125">
        <v>41527</v>
      </c>
      <c r="BU170">
        <v>20.9</v>
      </c>
      <c r="BV170" s="125">
        <v>41527</v>
      </c>
      <c r="CC170" s="111">
        <v>7.8</v>
      </c>
      <c r="CD170" s="125">
        <v>41527</v>
      </c>
      <c r="CG170" s="111">
        <v>2.79</v>
      </c>
      <c r="CH170" s="125">
        <v>41527</v>
      </c>
      <c r="CK170" s="111">
        <v>5</v>
      </c>
    </row>
    <row r="171" spans="1:89">
      <c r="A171" s="126" t="s">
        <v>7826</v>
      </c>
      <c r="B171" t="s">
        <v>259</v>
      </c>
      <c r="C171" t="s">
        <v>405</v>
      </c>
      <c r="D171">
        <v>29</v>
      </c>
      <c r="E171" s="93">
        <v>2</v>
      </c>
      <c r="F171" s="93">
        <v>11</v>
      </c>
      <c r="K171" s="92">
        <v>3</v>
      </c>
      <c r="L171" s="159">
        <v>41569</v>
      </c>
      <c r="S171" s="111">
        <v>1933.308</v>
      </c>
      <c r="T171" s="125">
        <v>41527</v>
      </c>
      <c r="U171" s="111">
        <v>10.8</v>
      </c>
      <c r="Y171" s="111">
        <v>905.41800000000001</v>
      </c>
      <c r="Z171" s="125">
        <v>41527</v>
      </c>
      <c r="AA171" s="111" t="s">
        <v>7718</v>
      </c>
      <c r="AB171" s="125">
        <v>41527</v>
      </c>
      <c r="AE171">
        <v>43.74</v>
      </c>
      <c r="AF171" s="125">
        <v>41527</v>
      </c>
      <c r="AG171" s="111" t="s">
        <v>7718</v>
      </c>
      <c r="AH171" s="125">
        <v>41527</v>
      </c>
      <c r="AI171" s="111">
        <v>140</v>
      </c>
      <c r="AJ171" s="125">
        <v>41527</v>
      </c>
      <c r="BS171" s="111">
        <v>44.2</v>
      </c>
      <c r="BT171" s="125">
        <v>41527</v>
      </c>
      <c r="BU171">
        <v>20.7</v>
      </c>
      <c r="BV171" s="125">
        <v>41527</v>
      </c>
      <c r="CC171" s="111">
        <v>7.6</v>
      </c>
      <c r="CD171" s="125">
        <v>41527</v>
      </c>
      <c r="CG171" s="111">
        <v>1.75</v>
      </c>
      <c r="CH171" s="125">
        <v>41527</v>
      </c>
      <c r="CK171" s="111">
        <v>5</v>
      </c>
    </row>
    <row r="172" spans="1:89">
      <c r="A172" s="126" t="s">
        <v>7826</v>
      </c>
      <c r="B172" t="s">
        <v>257</v>
      </c>
      <c r="C172" t="s">
        <v>7794</v>
      </c>
      <c r="D172">
        <v>29</v>
      </c>
      <c r="E172" s="93">
        <v>3</v>
      </c>
      <c r="F172" s="93">
        <v>47</v>
      </c>
      <c r="K172" s="92">
        <v>5</v>
      </c>
      <c r="L172" s="159">
        <v>41569</v>
      </c>
      <c r="S172" s="111">
        <v>2009.62</v>
      </c>
      <c r="T172" s="125">
        <v>41527</v>
      </c>
      <c r="U172" s="111">
        <v>10.8</v>
      </c>
      <c r="Y172" s="111">
        <v>885.13599999999997</v>
      </c>
      <c r="Z172" s="125">
        <v>41527</v>
      </c>
      <c r="AA172" s="111" t="s">
        <v>7718</v>
      </c>
      <c r="AB172" s="125">
        <v>41527</v>
      </c>
      <c r="AE172">
        <v>45.16</v>
      </c>
      <c r="AF172" s="125">
        <v>41527</v>
      </c>
      <c r="AG172" s="111" t="s">
        <v>7718</v>
      </c>
      <c r="AH172" s="125">
        <v>41527</v>
      </c>
      <c r="AI172" s="111">
        <v>140</v>
      </c>
      <c r="AJ172" s="125">
        <v>41527</v>
      </c>
      <c r="BS172" s="111">
        <v>44.5</v>
      </c>
      <c r="BT172" s="125">
        <v>41527</v>
      </c>
      <c r="BU172">
        <v>19.600000000000001</v>
      </c>
      <c r="BV172" s="125">
        <v>41527</v>
      </c>
      <c r="CC172" s="111">
        <v>10</v>
      </c>
      <c r="CD172" s="125">
        <v>41527</v>
      </c>
      <c r="CG172" s="111">
        <v>4.1399999999999997</v>
      </c>
      <c r="CH172" s="125">
        <v>41527</v>
      </c>
      <c r="CK172" s="111">
        <v>10</v>
      </c>
    </row>
    <row r="173" spans="1:89">
      <c r="A173" s="126" t="s">
        <v>7826</v>
      </c>
      <c r="B173" t="s">
        <v>259</v>
      </c>
      <c r="C173" t="s">
        <v>7794</v>
      </c>
      <c r="D173">
        <v>29</v>
      </c>
      <c r="E173" s="93">
        <v>5</v>
      </c>
      <c r="F173" s="93">
        <v>50</v>
      </c>
      <c r="K173" s="92">
        <v>3</v>
      </c>
      <c r="L173" s="159">
        <v>41569</v>
      </c>
      <c r="S173" s="111">
        <v>1969.482</v>
      </c>
      <c r="T173" s="125">
        <v>41527</v>
      </c>
      <c r="U173" s="111">
        <v>10.8</v>
      </c>
      <c r="Y173" s="111">
        <v>841.54600000000005</v>
      </c>
      <c r="Z173" s="125">
        <v>41527</v>
      </c>
      <c r="AA173" s="111" t="s">
        <v>7718</v>
      </c>
      <c r="AB173" s="125">
        <v>41527</v>
      </c>
      <c r="AE173">
        <v>44.06</v>
      </c>
      <c r="AF173" s="125">
        <v>41527</v>
      </c>
      <c r="AG173" s="111" t="s">
        <v>7718</v>
      </c>
      <c r="AH173" s="125">
        <v>41527</v>
      </c>
      <c r="AI173" s="111">
        <v>140</v>
      </c>
      <c r="AJ173" s="125">
        <v>41527</v>
      </c>
      <c r="BS173" s="111">
        <v>44.7</v>
      </c>
      <c r="BT173" s="125">
        <v>41527</v>
      </c>
      <c r="BU173">
        <v>19.100000000000001</v>
      </c>
      <c r="BV173" s="125">
        <v>41527</v>
      </c>
      <c r="CC173" s="111">
        <v>9.1999999999999993</v>
      </c>
      <c r="CD173" s="125">
        <v>41527</v>
      </c>
      <c r="CG173" s="111">
        <v>5.43</v>
      </c>
      <c r="CH173" s="125">
        <v>41527</v>
      </c>
      <c r="CK173" s="111">
        <v>10</v>
      </c>
    </row>
    <row r="174" spans="1:89">
      <c r="A174" s="126" t="s">
        <v>7826</v>
      </c>
      <c r="B174" t="s">
        <v>257</v>
      </c>
      <c r="C174" t="s">
        <v>7795</v>
      </c>
      <c r="D174">
        <v>29</v>
      </c>
      <c r="E174" s="93">
        <v>5</v>
      </c>
      <c r="F174" s="93">
        <v>87</v>
      </c>
      <c r="K174" s="92">
        <v>5</v>
      </c>
      <c r="L174" s="159">
        <v>41569</v>
      </c>
      <c r="S174" s="111">
        <v>1557</v>
      </c>
      <c r="T174" s="125">
        <v>41527</v>
      </c>
      <c r="U174" s="111">
        <v>10.8</v>
      </c>
      <c r="Y174" s="111">
        <v>671.24</v>
      </c>
      <c r="Z174" s="125">
        <v>41527</v>
      </c>
      <c r="AA174" s="111">
        <v>77927.927930000005</v>
      </c>
      <c r="AB174" s="125">
        <v>41527</v>
      </c>
      <c r="AE174">
        <v>34.6</v>
      </c>
      <c r="AF174" s="125">
        <v>41527</v>
      </c>
      <c r="AG174" s="111">
        <v>4.4400000000000004</v>
      </c>
      <c r="AH174" s="125">
        <v>41527</v>
      </c>
      <c r="AI174" s="111">
        <v>135</v>
      </c>
      <c r="AJ174" s="125">
        <v>41527</v>
      </c>
      <c r="BS174" s="111">
        <v>45</v>
      </c>
      <c r="BT174" s="125">
        <v>41527</v>
      </c>
      <c r="BU174">
        <v>19.399999999999999</v>
      </c>
      <c r="BV174" s="125">
        <v>41527</v>
      </c>
      <c r="CC174" s="111">
        <v>8.6</v>
      </c>
      <c r="CD174" s="125">
        <v>41527</v>
      </c>
      <c r="CG174" s="111">
        <v>2.5499999999999998</v>
      </c>
      <c r="CH174" s="125">
        <v>41527</v>
      </c>
      <c r="CK174" s="111">
        <v>5</v>
      </c>
    </row>
    <row r="175" spans="1:89">
      <c r="A175" s="126" t="s">
        <v>7826</v>
      </c>
      <c r="B175" t="s">
        <v>259</v>
      </c>
      <c r="C175" t="s">
        <v>7795</v>
      </c>
      <c r="D175">
        <v>29</v>
      </c>
      <c r="E175" s="93">
        <v>1</v>
      </c>
      <c r="F175" s="93">
        <v>64</v>
      </c>
      <c r="K175" s="92">
        <v>5</v>
      </c>
      <c r="L175" s="159">
        <v>41569</v>
      </c>
      <c r="S175" s="111">
        <v>2003.645</v>
      </c>
      <c r="T175" s="125">
        <v>41527</v>
      </c>
      <c r="U175" s="111">
        <v>10.8</v>
      </c>
      <c r="Y175" s="111">
        <v>949.09500000000003</v>
      </c>
      <c r="Z175" s="125">
        <v>41527</v>
      </c>
      <c r="AA175" s="111">
        <v>97970.085470000005</v>
      </c>
      <c r="AB175" s="125">
        <v>41527</v>
      </c>
      <c r="AE175">
        <v>45.85</v>
      </c>
      <c r="AF175" s="125">
        <v>41527</v>
      </c>
      <c r="AG175" s="111">
        <v>4.68</v>
      </c>
      <c r="AH175" s="125">
        <v>41527</v>
      </c>
      <c r="AI175" s="111">
        <v>135</v>
      </c>
      <c r="AJ175" s="125">
        <v>41527</v>
      </c>
      <c r="BS175" s="111">
        <v>43.7</v>
      </c>
      <c r="BT175" s="125">
        <v>41527</v>
      </c>
      <c r="BU175">
        <v>20.7</v>
      </c>
      <c r="BV175" s="125">
        <v>41527</v>
      </c>
      <c r="CC175" s="111">
        <v>9.1</v>
      </c>
      <c r="CD175" s="125">
        <v>41527</v>
      </c>
      <c r="CG175" s="111">
        <v>4.1500000000000004</v>
      </c>
      <c r="CH175" s="125">
        <v>41527</v>
      </c>
      <c r="CK175" s="111">
        <v>5</v>
      </c>
    </row>
    <row r="176" spans="1:89">
      <c r="A176" s="126" t="s">
        <v>7827</v>
      </c>
      <c r="B176" t="s">
        <v>257</v>
      </c>
      <c r="C176" t="s">
        <v>405</v>
      </c>
      <c r="D176">
        <v>30</v>
      </c>
      <c r="E176" s="93">
        <v>4</v>
      </c>
      <c r="F176" s="93">
        <v>3</v>
      </c>
      <c r="K176" s="92">
        <v>5</v>
      </c>
      <c r="L176" s="159">
        <v>41569</v>
      </c>
      <c r="S176" s="111">
        <v>1569.96</v>
      </c>
      <c r="T176" s="125">
        <v>41527</v>
      </c>
      <c r="U176" s="111">
        <v>10.8</v>
      </c>
      <c r="Y176" s="111">
        <v>712.65599999999995</v>
      </c>
      <c r="Z176" s="125">
        <v>41527</v>
      </c>
      <c r="AA176" s="111" t="s">
        <v>7718</v>
      </c>
      <c r="AB176" s="125">
        <v>41527</v>
      </c>
      <c r="AE176">
        <v>35.28</v>
      </c>
      <c r="AF176" s="125">
        <v>41527</v>
      </c>
      <c r="AG176" s="111" t="s">
        <v>7718</v>
      </c>
      <c r="AH176" s="125">
        <v>41527</v>
      </c>
      <c r="AI176" s="111">
        <v>120</v>
      </c>
      <c r="AJ176" s="125">
        <v>41527</v>
      </c>
      <c r="BS176" s="111">
        <v>44.5</v>
      </c>
      <c r="BT176" s="125">
        <v>41527</v>
      </c>
      <c r="BU176">
        <v>20.2</v>
      </c>
      <c r="BV176" s="125">
        <v>41527</v>
      </c>
      <c r="CC176" s="111">
        <v>10.9</v>
      </c>
      <c r="CD176" s="125">
        <v>41527</v>
      </c>
      <c r="CG176" s="111">
        <v>1.53</v>
      </c>
      <c r="CH176" s="125">
        <v>41527</v>
      </c>
      <c r="CK176" s="111">
        <v>30</v>
      </c>
    </row>
    <row r="177" spans="1:89">
      <c r="A177" s="126" t="s">
        <v>7827</v>
      </c>
      <c r="B177" t="s">
        <v>259</v>
      </c>
      <c r="C177" t="s">
        <v>405</v>
      </c>
      <c r="D177">
        <v>30</v>
      </c>
      <c r="E177" s="93">
        <v>3</v>
      </c>
      <c r="F177" s="93">
        <v>15</v>
      </c>
      <c r="K177" s="92">
        <v>5</v>
      </c>
      <c r="L177" s="159">
        <v>41569</v>
      </c>
      <c r="S177" s="111">
        <v>1823.29</v>
      </c>
      <c r="T177" s="125">
        <v>41527</v>
      </c>
      <c r="U177" s="111">
        <v>10.8</v>
      </c>
      <c r="Y177" s="111">
        <v>965.02</v>
      </c>
      <c r="Z177" s="125">
        <v>41527</v>
      </c>
      <c r="AA177" s="111" t="s">
        <v>7718</v>
      </c>
      <c r="AB177" s="125">
        <v>41527</v>
      </c>
      <c r="AE177">
        <v>42.7</v>
      </c>
      <c r="AF177" s="125">
        <v>41527</v>
      </c>
      <c r="AG177" s="111" t="s">
        <v>7718</v>
      </c>
      <c r="AH177" s="125">
        <v>41527</v>
      </c>
      <c r="AI177" s="111">
        <v>135</v>
      </c>
      <c r="AJ177" s="125">
        <v>41527</v>
      </c>
      <c r="BS177" s="111">
        <v>42.7</v>
      </c>
      <c r="BT177" s="125">
        <v>41527</v>
      </c>
      <c r="BU177">
        <v>22.6</v>
      </c>
      <c r="BV177" s="125">
        <v>41527</v>
      </c>
      <c r="CC177" s="111">
        <v>6.9</v>
      </c>
      <c r="CD177" s="125">
        <v>41527</v>
      </c>
      <c r="CG177" s="111">
        <v>0.96</v>
      </c>
      <c r="CH177" s="125">
        <v>41527</v>
      </c>
      <c r="CK177" s="111">
        <v>30</v>
      </c>
    </row>
    <row r="178" spans="1:89">
      <c r="A178" s="126" t="s">
        <v>7827</v>
      </c>
      <c r="B178" t="s">
        <v>257</v>
      </c>
      <c r="C178" t="s">
        <v>7794</v>
      </c>
      <c r="D178">
        <v>30</v>
      </c>
      <c r="E178" s="93">
        <v>1</v>
      </c>
      <c r="F178" s="93">
        <v>47</v>
      </c>
      <c r="K178" s="92">
        <v>5</v>
      </c>
      <c r="L178" s="159">
        <v>41569</v>
      </c>
      <c r="S178" s="111">
        <v>1802.6949999999999</v>
      </c>
      <c r="T178" s="125">
        <v>41527</v>
      </c>
      <c r="U178" s="111">
        <v>10.8</v>
      </c>
      <c r="Y178" s="111">
        <v>826.404</v>
      </c>
      <c r="Z178" s="125">
        <v>41527</v>
      </c>
      <c r="AA178" s="111" t="s">
        <v>7718</v>
      </c>
      <c r="AB178" s="125">
        <v>41527</v>
      </c>
      <c r="AE178">
        <v>40.51</v>
      </c>
      <c r="AF178" s="125">
        <v>41527</v>
      </c>
      <c r="AG178" s="111" t="s">
        <v>7718</v>
      </c>
      <c r="AH178" s="125">
        <v>41527</v>
      </c>
      <c r="AI178" s="111">
        <v>135</v>
      </c>
      <c r="AJ178" s="125">
        <v>41527</v>
      </c>
      <c r="BS178" s="111">
        <v>44.5</v>
      </c>
      <c r="BT178" s="125">
        <v>41527</v>
      </c>
      <c r="BU178">
        <v>20.399999999999999</v>
      </c>
      <c r="BV178" s="125">
        <v>41527</v>
      </c>
      <c r="CC178" s="111">
        <v>8.1999999999999993</v>
      </c>
      <c r="CD178" s="125">
        <v>41527</v>
      </c>
      <c r="CG178" s="111">
        <v>2.52</v>
      </c>
      <c r="CH178" s="125">
        <v>41527</v>
      </c>
      <c r="CK178" s="111">
        <v>20</v>
      </c>
    </row>
    <row r="179" spans="1:89">
      <c r="A179" s="126" t="s">
        <v>7827</v>
      </c>
      <c r="B179" t="s">
        <v>259</v>
      </c>
      <c r="C179" t="s">
        <v>7794</v>
      </c>
      <c r="D179">
        <v>30</v>
      </c>
      <c r="E179" s="93">
        <v>6</v>
      </c>
      <c r="F179" s="93">
        <v>33</v>
      </c>
      <c r="K179" s="92">
        <v>3</v>
      </c>
      <c r="L179" s="159">
        <v>41569</v>
      </c>
      <c r="S179" s="111">
        <v>1805.912</v>
      </c>
      <c r="T179" s="125">
        <v>41527</v>
      </c>
      <c r="U179" s="111">
        <v>10.8</v>
      </c>
      <c r="Y179" s="111">
        <v>882.24599999999998</v>
      </c>
      <c r="Z179" s="125">
        <v>41527</v>
      </c>
      <c r="AA179" s="111" t="s">
        <v>7718</v>
      </c>
      <c r="AB179" s="125">
        <v>41527</v>
      </c>
      <c r="AE179">
        <v>41.42</v>
      </c>
      <c r="AF179" s="125">
        <v>41527</v>
      </c>
      <c r="AG179" s="111" t="s">
        <v>7718</v>
      </c>
      <c r="AH179" s="125">
        <v>41527</v>
      </c>
      <c r="AI179" s="111">
        <v>130</v>
      </c>
      <c r="AJ179" s="125">
        <v>41527</v>
      </c>
      <c r="BS179" s="111">
        <v>43.6</v>
      </c>
      <c r="BT179" s="125">
        <v>41527</v>
      </c>
      <c r="BU179">
        <v>21.3</v>
      </c>
      <c r="BV179" s="125">
        <v>41527</v>
      </c>
      <c r="CC179" s="111">
        <v>5.8</v>
      </c>
      <c r="CD179" s="125">
        <v>41527</v>
      </c>
      <c r="CG179" s="111">
        <v>3.1</v>
      </c>
      <c r="CH179" s="125">
        <v>41527</v>
      </c>
      <c r="CK179" s="111">
        <v>20</v>
      </c>
    </row>
    <row r="180" spans="1:89">
      <c r="A180" s="126" t="s">
        <v>7827</v>
      </c>
      <c r="B180" t="s">
        <v>257</v>
      </c>
      <c r="C180" t="s">
        <v>7795</v>
      </c>
      <c r="D180">
        <v>30</v>
      </c>
      <c r="E180" s="93">
        <v>4</v>
      </c>
      <c r="F180" s="93">
        <v>69</v>
      </c>
      <c r="K180" s="92">
        <v>5</v>
      </c>
      <c r="L180" s="159">
        <v>41569</v>
      </c>
      <c r="S180" s="111">
        <v>1628.346</v>
      </c>
      <c r="T180" s="125">
        <v>41527</v>
      </c>
      <c r="U180" s="111">
        <v>10.8</v>
      </c>
      <c r="Y180" s="111">
        <v>726.54899999999998</v>
      </c>
      <c r="Z180" s="125">
        <v>41527</v>
      </c>
      <c r="AA180" s="111">
        <v>78516.129029999996</v>
      </c>
      <c r="AB180" s="125">
        <v>41527</v>
      </c>
      <c r="AE180">
        <v>36.51</v>
      </c>
      <c r="AF180" s="125">
        <v>41527</v>
      </c>
      <c r="AG180" s="111">
        <v>4.6500000000000004</v>
      </c>
      <c r="AH180" s="125">
        <v>41527</v>
      </c>
      <c r="AI180" s="111">
        <v>125</v>
      </c>
      <c r="AJ180" s="125">
        <v>41527</v>
      </c>
      <c r="BS180" s="111">
        <v>44.6</v>
      </c>
      <c r="BT180" s="125">
        <v>41527</v>
      </c>
      <c r="BU180">
        <v>19.899999999999999</v>
      </c>
      <c r="BV180" s="125">
        <v>41527</v>
      </c>
      <c r="CC180" s="111">
        <v>6.5</v>
      </c>
      <c r="CD180" s="125">
        <v>41527</v>
      </c>
      <c r="CG180" s="111">
        <v>3.38</v>
      </c>
      <c r="CH180" s="125">
        <v>41527</v>
      </c>
      <c r="CK180" s="111">
        <v>20</v>
      </c>
    </row>
    <row r="181" spans="1:89">
      <c r="A181" s="126" t="s">
        <v>7827</v>
      </c>
      <c r="B181" t="s">
        <v>259</v>
      </c>
      <c r="C181" t="s">
        <v>7795</v>
      </c>
      <c r="D181">
        <v>30</v>
      </c>
      <c r="E181" s="93">
        <v>3</v>
      </c>
      <c r="F181" s="93">
        <v>81</v>
      </c>
      <c r="K181" s="92">
        <v>5</v>
      </c>
      <c r="L181" s="159">
        <v>41569</v>
      </c>
      <c r="S181" s="111">
        <v>1802.402</v>
      </c>
      <c r="T181" s="125">
        <v>41527</v>
      </c>
      <c r="U181" s="111">
        <v>10.8</v>
      </c>
      <c r="Y181" s="111">
        <v>905.35400000000004</v>
      </c>
      <c r="Z181" s="125">
        <v>41527</v>
      </c>
      <c r="AA181" s="111">
        <v>89120.171669999996</v>
      </c>
      <c r="AB181" s="125">
        <v>41527</v>
      </c>
      <c r="AE181">
        <v>41.53</v>
      </c>
      <c r="AF181" s="125">
        <v>41527</v>
      </c>
      <c r="AG181" s="111">
        <v>4.66</v>
      </c>
      <c r="AH181" s="125">
        <v>41527</v>
      </c>
      <c r="AI181" s="111">
        <v>140</v>
      </c>
      <c r="AJ181" s="125">
        <v>41527</v>
      </c>
      <c r="BS181" s="111">
        <v>43.4</v>
      </c>
      <c r="BT181" s="125">
        <v>41527</v>
      </c>
      <c r="BU181">
        <v>21.8</v>
      </c>
      <c r="BV181" s="125">
        <v>41527</v>
      </c>
      <c r="CC181" s="111">
        <v>7.8</v>
      </c>
      <c r="CD181" s="125">
        <v>41527</v>
      </c>
      <c r="CG181" s="111">
        <v>3.17</v>
      </c>
      <c r="CH181" s="125">
        <v>41527</v>
      </c>
      <c r="CK181" s="111">
        <v>10</v>
      </c>
    </row>
    <row r="182" spans="1:89">
      <c r="A182" s="126" t="s">
        <v>7828</v>
      </c>
      <c r="B182" t="s">
        <v>257</v>
      </c>
      <c r="C182" t="s">
        <v>405</v>
      </c>
      <c r="D182">
        <v>31</v>
      </c>
      <c r="E182" s="93">
        <v>5</v>
      </c>
      <c r="F182" s="93">
        <v>7</v>
      </c>
      <c r="K182" s="92">
        <v>5</v>
      </c>
      <c r="L182" s="159">
        <v>41569</v>
      </c>
      <c r="S182" s="111">
        <v>1768.5</v>
      </c>
      <c r="T182" s="125">
        <v>41527</v>
      </c>
      <c r="U182" s="111">
        <v>10.8</v>
      </c>
      <c r="Y182" s="111">
        <v>797.79</v>
      </c>
      <c r="Z182" s="125">
        <v>41527</v>
      </c>
      <c r="AA182" s="111" t="s">
        <v>7718</v>
      </c>
      <c r="AB182" s="125">
        <v>41527</v>
      </c>
      <c r="AE182">
        <v>39.299999999999997</v>
      </c>
      <c r="AF182" s="125">
        <v>41527</v>
      </c>
      <c r="AG182" s="111" t="s">
        <v>7718</v>
      </c>
      <c r="AH182" s="125">
        <v>41527</v>
      </c>
      <c r="AI182" s="111">
        <v>145</v>
      </c>
      <c r="AJ182" s="125">
        <v>41527</v>
      </c>
      <c r="BS182" s="111">
        <v>45</v>
      </c>
      <c r="BT182" s="125">
        <v>41527</v>
      </c>
      <c r="BU182">
        <v>20.3</v>
      </c>
      <c r="BV182" s="125">
        <v>41527</v>
      </c>
      <c r="CC182" s="111">
        <v>8.1999999999999993</v>
      </c>
      <c r="CD182" s="125">
        <v>41527</v>
      </c>
      <c r="CG182" s="111">
        <v>2.33</v>
      </c>
      <c r="CH182" s="125">
        <v>41527</v>
      </c>
      <c r="CK182" s="111">
        <v>10</v>
      </c>
    </row>
    <row r="183" spans="1:89">
      <c r="A183" s="126" t="s">
        <v>7828</v>
      </c>
      <c r="B183" t="s">
        <v>259</v>
      </c>
      <c r="C183" t="s">
        <v>405</v>
      </c>
      <c r="D183">
        <v>31</v>
      </c>
      <c r="E183" s="93">
        <v>3</v>
      </c>
      <c r="F183" s="93">
        <v>21</v>
      </c>
      <c r="K183" s="92">
        <v>5</v>
      </c>
      <c r="L183" s="159">
        <v>41569</v>
      </c>
      <c r="S183" s="111">
        <v>1994.49</v>
      </c>
      <c r="T183" s="125">
        <v>41527</v>
      </c>
      <c r="U183" s="111">
        <v>10.8</v>
      </c>
      <c r="Y183" s="111">
        <v>923.29200000000003</v>
      </c>
      <c r="Z183" s="125">
        <v>41527</v>
      </c>
      <c r="AA183" s="111" t="s">
        <v>7718</v>
      </c>
      <c r="AB183" s="125">
        <v>41527</v>
      </c>
      <c r="AE183">
        <v>44.82</v>
      </c>
      <c r="AF183" s="125">
        <v>41527</v>
      </c>
      <c r="AG183" s="111" t="s">
        <v>7718</v>
      </c>
      <c r="AH183" s="125">
        <v>41527</v>
      </c>
      <c r="AI183" s="111">
        <v>150</v>
      </c>
      <c r="AJ183" s="125">
        <v>41527</v>
      </c>
      <c r="BS183" s="111">
        <v>44.5</v>
      </c>
      <c r="BT183" s="125">
        <v>41527</v>
      </c>
      <c r="BU183">
        <v>20.6</v>
      </c>
      <c r="BV183" s="125">
        <v>41527</v>
      </c>
      <c r="CC183" s="111">
        <v>8.8000000000000007</v>
      </c>
      <c r="CD183" s="125">
        <v>41527</v>
      </c>
      <c r="CG183" s="111">
        <v>2.44</v>
      </c>
      <c r="CH183" s="125">
        <v>41527</v>
      </c>
      <c r="CK183" s="111">
        <v>20</v>
      </c>
    </row>
    <row r="184" spans="1:89">
      <c r="A184" s="126" t="s">
        <v>7828</v>
      </c>
      <c r="B184" t="s">
        <v>257</v>
      </c>
      <c r="C184" t="s">
        <v>7794</v>
      </c>
      <c r="D184">
        <v>31</v>
      </c>
      <c r="E184" s="93">
        <v>3</v>
      </c>
      <c r="F184" s="93">
        <v>36</v>
      </c>
      <c r="K184" s="92">
        <v>5</v>
      </c>
      <c r="L184" s="159">
        <v>41569</v>
      </c>
      <c r="S184" s="111" t="s">
        <v>7718</v>
      </c>
      <c r="T184" s="125">
        <v>41527</v>
      </c>
      <c r="U184" s="111">
        <v>10.8</v>
      </c>
      <c r="Y184" s="111" t="s">
        <v>7718</v>
      </c>
      <c r="Z184" s="125">
        <v>41527</v>
      </c>
      <c r="AA184" s="111" t="s">
        <v>7718</v>
      </c>
      <c r="AB184" s="125">
        <v>41527</v>
      </c>
      <c r="AE184" t="s">
        <v>7718</v>
      </c>
      <c r="AF184" s="125">
        <v>41527</v>
      </c>
      <c r="AG184" s="111" t="s">
        <v>7718</v>
      </c>
      <c r="AH184" s="125">
        <v>41527</v>
      </c>
      <c r="AI184" s="111">
        <v>155</v>
      </c>
      <c r="AJ184" s="125">
        <v>41527</v>
      </c>
      <c r="BS184" s="111">
        <v>45.9</v>
      </c>
      <c r="BT184" s="125">
        <v>41527</v>
      </c>
      <c r="BU184">
        <v>19.3</v>
      </c>
      <c r="BV184" s="125">
        <v>41527</v>
      </c>
      <c r="CC184" s="111">
        <v>10.3</v>
      </c>
      <c r="CD184" s="125">
        <v>41527</v>
      </c>
      <c r="CG184" s="111">
        <v>5.54</v>
      </c>
      <c r="CH184" s="125">
        <v>41527</v>
      </c>
      <c r="CK184" s="111">
        <v>20</v>
      </c>
    </row>
    <row r="185" spans="1:89">
      <c r="A185" s="126" t="s">
        <v>7828</v>
      </c>
      <c r="B185" t="s">
        <v>259</v>
      </c>
      <c r="C185" t="s">
        <v>7794</v>
      </c>
      <c r="D185">
        <v>31</v>
      </c>
      <c r="E185" s="93">
        <v>5</v>
      </c>
      <c r="F185" s="93">
        <v>56</v>
      </c>
      <c r="K185" s="92">
        <v>5</v>
      </c>
      <c r="L185" s="159">
        <v>41569</v>
      </c>
      <c r="S185" s="111">
        <v>1875.72</v>
      </c>
      <c r="T185" s="125">
        <v>41527</v>
      </c>
      <c r="U185" s="111">
        <v>10.8</v>
      </c>
      <c r="Y185" s="111">
        <v>895.23</v>
      </c>
      <c r="Z185" s="125">
        <v>41527</v>
      </c>
      <c r="AA185" s="111" t="s">
        <v>7718</v>
      </c>
      <c r="AB185" s="125">
        <v>41527</v>
      </c>
      <c r="AE185">
        <v>42.63</v>
      </c>
      <c r="AF185" s="125">
        <v>41527</v>
      </c>
      <c r="AG185" s="111" t="s">
        <v>7718</v>
      </c>
      <c r="AH185" s="125">
        <v>41527</v>
      </c>
      <c r="AI185" s="111">
        <v>130</v>
      </c>
      <c r="AJ185" s="125">
        <v>41527</v>
      </c>
      <c r="BS185" s="111">
        <v>44</v>
      </c>
      <c r="BT185" s="125">
        <v>41527</v>
      </c>
      <c r="BU185">
        <v>21</v>
      </c>
      <c r="BV185" s="125">
        <v>41527</v>
      </c>
      <c r="CC185" s="111">
        <v>5.7</v>
      </c>
      <c r="CD185" s="125">
        <v>41527</v>
      </c>
      <c r="CG185" s="111">
        <v>1.67</v>
      </c>
      <c r="CH185" s="125">
        <v>41527</v>
      </c>
      <c r="CK185" s="111">
        <v>10</v>
      </c>
    </row>
    <row r="186" spans="1:89">
      <c r="A186" s="126" t="s">
        <v>7828</v>
      </c>
      <c r="B186" t="s">
        <v>257</v>
      </c>
      <c r="C186" t="s">
        <v>7795</v>
      </c>
      <c r="D186">
        <v>31</v>
      </c>
      <c r="E186" s="93">
        <v>5</v>
      </c>
      <c r="F186" s="93">
        <v>69</v>
      </c>
      <c r="K186" s="92">
        <v>5</v>
      </c>
      <c r="L186" s="159">
        <v>41569</v>
      </c>
      <c r="S186" s="111">
        <v>1729.3520000000001</v>
      </c>
      <c r="T186" s="125">
        <v>41527</v>
      </c>
      <c r="U186" s="111">
        <v>10.8</v>
      </c>
      <c r="Y186" s="111">
        <v>761.37400000000002</v>
      </c>
      <c r="Z186" s="125">
        <v>41527</v>
      </c>
      <c r="AA186" s="111">
        <v>83355.119829999996</v>
      </c>
      <c r="AB186" s="125">
        <v>41527</v>
      </c>
      <c r="AE186">
        <v>38.26</v>
      </c>
      <c r="AF186" s="125">
        <v>41527</v>
      </c>
      <c r="AG186" s="111">
        <v>4.59</v>
      </c>
      <c r="AH186" s="125">
        <v>41527</v>
      </c>
      <c r="AI186" s="111">
        <v>135</v>
      </c>
      <c r="AJ186" s="125">
        <v>41527</v>
      </c>
      <c r="BS186" s="111">
        <v>45.2</v>
      </c>
      <c r="BT186" s="125">
        <v>41527</v>
      </c>
      <c r="BU186">
        <v>19.899999999999999</v>
      </c>
      <c r="BV186" s="125">
        <v>41527</v>
      </c>
      <c r="CC186" s="111">
        <v>6.1</v>
      </c>
      <c r="CD186" s="125">
        <v>41527</v>
      </c>
      <c r="CG186" s="111">
        <v>1.44</v>
      </c>
      <c r="CH186" s="125">
        <v>41527</v>
      </c>
      <c r="CK186" s="111">
        <v>10</v>
      </c>
    </row>
    <row r="187" spans="1:89">
      <c r="A187" s="126" t="s">
        <v>7828</v>
      </c>
      <c r="B187" t="s">
        <v>259</v>
      </c>
      <c r="C187" t="s">
        <v>7795</v>
      </c>
      <c r="D187">
        <v>31</v>
      </c>
      <c r="E187" s="93">
        <v>3</v>
      </c>
      <c r="F187" s="93">
        <v>87</v>
      </c>
      <c r="K187" s="92">
        <v>5</v>
      </c>
      <c r="L187" s="159">
        <v>41569</v>
      </c>
      <c r="S187" s="111">
        <v>1699.5250000000001</v>
      </c>
      <c r="T187" s="125">
        <v>41527</v>
      </c>
      <c r="U187" s="111">
        <v>10.8</v>
      </c>
      <c r="Y187" s="111">
        <v>847.8</v>
      </c>
      <c r="Z187" s="125">
        <v>41527</v>
      </c>
      <c r="AA187" s="111">
        <v>84408.602150000006</v>
      </c>
      <c r="AB187" s="125">
        <v>41527</v>
      </c>
      <c r="AE187">
        <v>39.25</v>
      </c>
      <c r="AF187" s="125">
        <v>41527</v>
      </c>
      <c r="AG187" s="111">
        <v>4.6500000000000004</v>
      </c>
      <c r="AH187" s="125">
        <v>41527</v>
      </c>
      <c r="AI187" s="111">
        <v>140</v>
      </c>
      <c r="AJ187" s="125">
        <v>41527</v>
      </c>
      <c r="BS187" s="111">
        <v>43.3</v>
      </c>
      <c r="BT187" s="125">
        <v>41527</v>
      </c>
      <c r="BU187">
        <v>21.6</v>
      </c>
      <c r="BV187" s="125">
        <v>41527</v>
      </c>
      <c r="CC187" s="111">
        <v>9.5</v>
      </c>
      <c r="CD187" s="125">
        <v>41527</v>
      </c>
      <c r="CG187" s="111">
        <v>2.82</v>
      </c>
      <c r="CH187" s="125">
        <v>41527</v>
      </c>
      <c r="CK187" s="111">
        <v>20</v>
      </c>
    </row>
    <row r="188" spans="1:89">
      <c r="A188" s="126" t="s">
        <v>7829</v>
      </c>
      <c r="B188" t="s">
        <v>257</v>
      </c>
      <c r="C188" t="s">
        <v>405</v>
      </c>
      <c r="D188">
        <v>32</v>
      </c>
      <c r="E188" s="93">
        <v>4</v>
      </c>
      <c r="F188" s="93">
        <v>9</v>
      </c>
      <c r="K188" s="92">
        <v>5</v>
      </c>
      <c r="L188" s="159">
        <v>41569</v>
      </c>
      <c r="S188" s="111">
        <v>2065.183</v>
      </c>
      <c r="T188" s="125">
        <v>41527</v>
      </c>
      <c r="U188" s="111">
        <v>10.8</v>
      </c>
      <c r="Y188" s="111">
        <v>863.12900000000002</v>
      </c>
      <c r="Z188" s="125">
        <v>41527</v>
      </c>
      <c r="AA188" s="111" t="s">
        <v>7718</v>
      </c>
      <c r="AB188" s="125">
        <v>41527</v>
      </c>
      <c r="AE188">
        <v>45.19</v>
      </c>
      <c r="AF188" s="125">
        <v>41527</v>
      </c>
      <c r="AG188" s="111" t="s">
        <v>7718</v>
      </c>
      <c r="AH188" s="125">
        <v>41527</v>
      </c>
      <c r="AI188" s="111">
        <v>130</v>
      </c>
      <c r="AJ188" s="125">
        <v>41527</v>
      </c>
      <c r="BS188" s="111">
        <v>45.7</v>
      </c>
      <c r="BT188" s="125">
        <v>41527</v>
      </c>
      <c r="BU188">
        <v>19.100000000000001</v>
      </c>
      <c r="BV188" s="125">
        <v>41527</v>
      </c>
      <c r="CC188" s="111">
        <v>7.1</v>
      </c>
      <c r="CD188" s="125">
        <v>41527</v>
      </c>
      <c r="CG188" s="111">
        <v>0.31</v>
      </c>
      <c r="CH188" s="125">
        <v>41527</v>
      </c>
      <c r="CK188" s="111">
        <v>20</v>
      </c>
    </row>
    <row r="189" spans="1:89">
      <c r="A189" s="126" t="s">
        <v>7829</v>
      </c>
      <c r="B189" t="s">
        <v>259</v>
      </c>
      <c r="C189" t="s">
        <v>405</v>
      </c>
      <c r="D189">
        <v>32</v>
      </c>
      <c r="E189" s="93">
        <v>1</v>
      </c>
      <c r="F189" s="93">
        <v>3</v>
      </c>
      <c r="K189" s="92">
        <v>7</v>
      </c>
      <c r="L189" s="159">
        <v>41569</v>
      </c>
      <c r="S189" s="111">
        <v>2113.788</v>
      </c>
      <c r="T189" s="125">
        <v>41527</v>
      </c>
      <c r="U189" s="111">
        <v>10.8</v>
      </c>
      <c r="Y189" s="111">
        <v>1037.5899999999999</v>
      </c>
      <c r="Z189" s="125">
        <v>41527</v>
      </c>
      <c r="AA189" s="111" t="s">
        <v>7718</v>
      </c>
      <c r="AB189" s="125">
        <v>41527</v>
      </c>
      <c r="AE189">
        <v>48.26</v>
      </c>
      <c r="AF189" s="125">
        <v>41527</v>
      </c>
      <c r="AG189" s="111" t="s">
        <v>7718</v>
      </c>
      <c r="AH189" s="125">
        <v>41527</v>
      </c>
      <c r="AI189" s="111">
        <v>130</v>
      </c>
      <c r="AJ189" s="125">
        <v>41527</v>
      </c>
      <c r="BS189" s="111">
        <v>43.8</v>
      </c>
      <c r="BT189" s="125">
        <v>41527</v>
      </c>
      <c r="BU189">
        <v>21.5</v>
      </c>
      <c r="BV189" s="125">
        <v>41527</v>
      </c>
      <c r="CC189" s="111">
        <v>10.7</v>
      </c>
      <c r="CD189" s="125">
        <v>41527</v>
      </c>
      <c r="CG189" s="111">
        <v>1.21</v>
      </c>
      <c r="CH189" s="125">
        <v>41527</v>
      </c>
      <c r="CK189" s="111">
        <v>20</v>
      </c>
    </row>
    <row r="190" spans="1:89">
      <c r="A190" s="126" t="s">
        <v>7829</v>
      </c>
      <c r="B190" t="s">
        <v>257</v>
      </c>
      <c r="C190" t="s">
        <v>7794</v>
      </c>
      <c r="D190">
        <v>32</v>
      </c>
      <c r="E190" s="93">
        <v>2</v>
      </c>
      <c r="F190" s="93">
        <v>36</v>
      </c>
      <c r="K190" s="92">
        <v>5</v>
      </c>
      <c r="L190" s="159">
        <v>41569</v>
      </c>
      <c r="S190" s="111">
        <v>4031.7550000000001</v>
      </c>
      <c r="T190" s="125">
        <v>41527</v>
      </c>
      <c r="U190" s="111">
        <v>10.8</v>
      </c>
      <c r="Y190" s="111">
        <v>1710.173</v>
      </c>
      <c r="Z190" s="125">
        <v>41527</v>
      </c>
      <c r="AA190" s="111" t="s">
        <v>7718</v>
      </c>
      <c r="AB190" s="125">
        <v>41527</v>
      </c>
      <c r="AE190" t="s">
        <v>7718</v>
      </c>
      <c r="AF190" s="125">
        <v>41527</v>
      </c>
      <c r="AG190" s="111" t="s">
        <v>7718</v>
      </c>
      <c r="AH190" s="125">
        <v>41527</v>
      </c>
      <c r="AI190" s="111">
        <v>135</v>
      </c>
      <c r="AJ190" s="125">
        <v>41527</v>
      </c>
      <c r="BS190" s="111">
        <v>45.5</v>
      </c>
      <c r="BT190" s="125">
        <v>41527</v>
      </c>
      <c r="BU190">
        <v>19.3</v>
      </c>
      <c r="BV190" s="125">
        <v>41527</v>
      </c>
      <c r="CC190" s="111">
        <v>8.1999999999999993</v>
      </c>
      <c r="CD190" s="125">
        <v>41527</v>
      </c>
      <c r="CG190" s="111">
        <v>1.45</v>
      </c>
      <c r="CH190" s="125">
        <v>41527</v>
      </c>
      <c r="CK190" s="111">
        <v>20</v>
      </c>
    </row>
    <row r="191" spans="1:89">
      <c r="A191" s="126" t="s">
        <v>7829</v>
      </c>
      <c r="B191" t="s">
        <v>259</v>
      </c>
      <c r="C191" t="s">
        <v>7794</v>
      </c>
      <c r="D191">
        <v>32</v>
      </c>
      <c r="E191" s="93">
        <v>4</v>
      </c>
      <c r="F191" s="93">
        <v>41</v>
      </c>
      <c r="K191" s="92">
        <v>5</v>
      </c>
      <c r="L191" s="159">
        <v>41569</v>
      </c>
      <c r="S191" s="111">
        <v>2537.5219999999999</v>
      </c>
      <c r="T191" s="125">
        <v>41527</v>
      </c>
      <c r="U191" s="111">
        <v>10.8</v>
      </c>
      <c r="Y191" s="111">
        <v>1205.6099999999999</v>
      </c>
      <c r="Z191" s="125">
        <v>41527</v>
      </c>
      <c r="AA191" s="111" t="s">
        <v>7718</v>
      </c>
      <c r="AB191" s="125">
        <v>41527</v>
      </c>
      <c r="AE191">
        <v>57.41</v>
      </c>
      <c r="AF191" s="125">
        <v>41527</v>
      </c>
      <c r="AG191" s="111" t="s">
        <v>7718</v>
      </c>
      <c r="AH191" s="125">
        <v>41527</v>
      </c>
      <c r="AI191" s="111">
        <v>135</v>
      </c>
      <c r="AJ191" s="125">
        <v>41527</v>
      </c>
      <c r="BS191" s="111">
        <v>44.2</v>
      </c>
      <c r="BT191" s="125">
        <v>41527</v>
      </c>
      <c r="BU191">
        <v>21</v>
      </c>
      <c r="BV191" s="125">
        <v>41527</v>
      </c>
      <c r="CC191" s="111">
        <v>7.3</v>
      </c>
      <c r="CD191" s="125">
        <v>41527</v>
      </c>
      <c r="CG191" s="111">
        <v>1.1200000000000001</v>
      </c>
      <c r="CH191" s="125">
        <v>41527</v>
      </c>
      <c r="CK191" s="111">
        <v>30</v>
      </c>
    </row>
    <row r="192" spans="1:89">
      <c r="A192" s="126" t="s">
        <v>7829</v>
      </c>
      <c r="B192" t="s">
        <v>257</v>
      </c>
      <c r="C192" t="s">
        <v>7795</v>
      </c>
      <c r="D192">
        <v>32</v>
      </c>
      <c r="E192" s="93">
        <v>4</v>
      </c>
      <c r="F192" s="93">
        <v>78</v>
      </c>
      <c r="K192" s="92">
        <v>5</v>
      </c>
      <c r="L192" s="159">
        <v>41569</v>
      </c>
      <c r="S192" s="111">
        <v>1957.3309999999999</v>
      </c>
      <c r="T192" s="125">
        <v>41527</v>
      </c>
      <c r="U192" s="111">
        <v>10.8</v>
      </c>
      <c r="Y192" s="111">
        <v>809.48699999999997</v>
      </c>
      <c r="Z192" s="125">
        <v>41527</v>
      </c>
      <c r="AA192" s="111">
        <v>93925.438599999994</v>
      </c>
      <c r="AB192" s="125">
        <v>41527</v>
      </c>
      <c r="AE192">
        <v>42.83</v>
      </c>
      <c r="AF192" s="125">
        <v>41527</v>
      </c>
      <c r="AG192" s="111">
        <v>4.5599999999999996</v>
      </c>
      <c r="AH192" s="125">
        <v>41527</v>
      </c>
      <c r="AI192" s="111">
        <v>130</v>
      </c>
      <c r="AJ192" s="125">
        <v>41527</v>
      </c>
      <c r="BS192" s="111">
        <v>45.7</v>
      </c>
      <c r="BT192" s="125">
        <v>41527</v>
      </c>
      <c r="BU192">
        <v>18.899999999999999</v>
      </c>
      <c r="BV192" s="125">
        <v>41527</v>
      </c>
      <c r="CC192" s="111">
        <v>5.9</v>
      </c>
      <c r="CD192" s="125">
        <v>41527</v>
      </c>
      <c r="CG192" s="111">
        <v>1.94</v>
      </c>
      <c r="CH192" s="125">
        <v>41527</v>
      </c>
      <c r="CK192" s="111">
        <v>30</v>
      </c>
    </row>
    <row r="193" spans="1:89">
      <c r="A193" s="126" t="s">
        <v>7829</v>
      </c>
      <c r="B193" t="s">
        <v>259</v>
      </c>
      <c r="C193" t="s">
        <v>7795</v>
      </c>
      <c r="D193">
        <v>32</v>
      </c>
      <c r="E193" s="93">
        <v>2</v>
      </c>
      <c r="F193" s="93">
        <v>62</v>
      </c>
      <c r="K193" s="92">
        <v>5</v>
      </c>
      <c r="L193" s="159">
        <v>41569</v>
      </c>
      <c r="S193" s="111">
        <v>2209.7370000000001</v>
      </c>
      <c r="T193" s="125">
        <v>41527</v>
      </c>
      <c r="U193" s="111">
        <v>10.8</v>
      </c>
      <c r="Y193" s="111">
        <v>1112.559</v>
      </c>
      <c r="Z193" s="125">
        <v>41527</v>
      </c>
      <c r="AA193" s="111">
        <v>106590.4366</v>
      </c>
      <c r="AB193" s="125">
        <v>41527</v>
      </c>
      <c r="AE193">
        <v>51.27</v>
      </c>
      <c r="AF193" s="125">
        <v>41527</v>
      </c>
      <c r="AG193" s="111">
        <v>4.8099999999999996</v>
      </c>
      <c r="AH193" s="125">
        <v>41527</v>
      </c>
      <c r="AI193" s="111">
        <v>135</v>
      </c>
      <c r="AJ193" s="125">
        <v>41527</v>
      </c>
      <c r="BS193" s="111">
        <v>43.1</v>
      </c>
      <c r="BT193" s="125">
        <v>41527</v>
      </c>
      <c r="BU193">
        <v>21.7</v>
      </c>
      <c r="BV193" s="125">
        <v>41527</v>
      </c>
      <c r="CC193" s="111">
        <v>8.6</v>
      </c>
      <c r="CD193" s="125">
        <v>41527</v>
      </c>
      <c r="CG193" s="111">
        <v>2.39</v>
      </c>
      <c r="CH193" s="125">
        <v>41527</v>
      </c>
      <c r="CK193" s="111">
        <v>30</v>
      </c>
    </row>
    <row r="194" spans="1:89">
      <c r="A194" s="126" t="s">
        <v>7830</v>
      </c>
      <c r="B194" t="s">
        <v>257</v>
      </c>
      <c r="C194" t="s">
        <v>405</v>
      </c>
      <c r="D194">
        <v>33</v>
      </c>
      <c r="E194" s="93">
        <v>4</v>
      </c>
      <c r="F194" s="93">
        <v>16</v>
      </c>
      <c r="K194" s="92">
        <v>5</v>
      </c>
      <c r="L194" s="159">
        <v>41569</v>
      </c>
      <c r="S194" s="111">
        <v>1783.877</v>
      </c>
      <c r="T194" s="125">
        <v>41527</v>
      </c>
      <c r="U194" s="111">
        <v>10.8</v>
      </c>
      <c r="Y194" s="111">
        <v>810.49199999999996</v>
      </c>
      <c r="Z194" s="125">
        <v>41527</v>
      </c>
      <c r="AA194" s="111" t="s">
        <v>7718</v>
      </c>
      <c r="AB194" s="125">
        <v>41527</v>
      </c>
      <c r="AE194">
        <v>39.729999999999997</v>
      </c>
      <c r="AF194" s="125">
        <v>41527</v>
      </c>
      <c r="AG194" s="111" t="s">
        <v>7718</v>
      </c>
      <c r="AH194" s="125">
        <v>41527</v>
      </c>
      <c r="AI194" s="111">
        <v>135</v>
      </c>
      <c r="AJ194" s="125">
        <v>41527</v>
      </c>
      <c r="BS194" s="111">
        <v>44.9</v>
      </c>
      <c r="BT194" s="125">
        <v>41527</v>
      </c>
      <c r="BU194">
        <v>20.399999999999999</v>
      </c>
      <c r="BV194" s="125">
        <v>41527</v>
      </c>
      <c r="CC194" s="111">
        <v>6.6</v>
      </c>
      <c r="CD194" s="125">
        <v>41527</v>
      </c>
      <c r="CG194" s="111">
        <v>1.28</v>
      </c>
      <c r="CH194" s="125">
        <v>41527</v>
      </c>
      <c r="CK194" s="111">
        <v>5</v>
      </c>
    </row>
    <row r="195" spans="1:89">
      <c r="A195" s="126" t="s">
        <v>7830</v>
      </c>
      <c r="B195" t="s">
        <v>259</v>
      </c>
      <c r="C195" t="s">
        <v>405</v>
      </c>
      <c r="D195">
        <v>33</v>
      </c>
      <c r="E195" s="93">
        <v>1</v>
      </c>
      <c r="F195" s="93">
        <v>5</v>
      </c>
      <c r="K195" s="92">
        <v>5</v>
      </c>
      <c r="L195" s="159">
        <v>41569</v>
      </c>
      <c r="S195" s="111">
        <v>1985.9839999999999</v>
      </c>
      <c r="T195" s="125">
        <v>41527</v>
      </c>
      <c r="U195" s="111">
        <v>10.8</v>
      </c>
      <c r="Y195" s="111">
        <v>1047.904</v>
      </c>
      <c r="Z195" s="125">
        <v>41527</v>
      </c>
      <c r="AA195" s="111" t="s">
        <v>7718</v>
      </c>
      <c r="AB195" s="125">
        <v>41527</v>
      </c>
      <c r="AE195">
        <v>45.76</v>
      </c>
      <c r="AF195" s="125">
        <v>41527</v>
      </c>
      <c r="AG195" s="111" t="s">
        <v>7718</v>
      </c>
      <c r="AH195" s="125">
        <v>41527</v>
      </c>
      <c r="AI195" s="111">
        <v>135</v>
      </c>
      <c r="AJ195" s="125">
        <v>41527</v>
      </c>
      <c r="BS195" s="111">
        <v>43.4</v>
      </c>
      <c r="BT195" s="125">
        <v>41527</v>
      </c>
      <c r="BU195">
        <v>22.9</v>
      </c>
      <c r="BV195" s="125">
        <v>41527</v>
      </c>
      <c r="CC195" s="111">
        <v>10</v>
      </c>
      <c r="CD195" s="125">
        <v>41527</v>
      </c>
      <c r="CG195" s="111">
        <v>2.4</v>
      </c>
      <c r="CH195" s="125">
        <v>41527</v>
      </c>
      <c r="CK195" s="111">
        <v>5</v>
      </c>
    </row>
    <row r="196" spans="1:89">
      <c r="A196" s="126" t="s">
        <v>7830</v>
      </c>
      <c r="B196" t="s">
        <v>257</v>
      </c>
      <c r="C196" t="s">
        <v>7794</v>
      </c>
      <c r="D196">
        <v>33</v>
      </c>
      <c r="E196" s="93">
        <v>1</v>
      </c>
      <c r="F196" s="93">
        <v>56</v>
      </c>
      <c r="K196" s="92">
        <v>5</v>
      </c>
      <c r="L196" s="159">
        <v>41569</v>
      </c>
      <c r="S196" s="111">
        <v>1741.95</v>
      </c>
      <c r="T196" s="125">
        <v>41527</v>
      </c>
      <c r="U196" s="111">
        <v>10.8</v>
      </c>
      <c r="Y196" s="111">
        <v>797.9</v>
      </c>
      <c r="Z196" s="125">
        <v>41527</v>
      </c>
      <c r="AA196" s="111" t="s">
        <v>7718</v>
      </c>
      <c r="AB196" s="125">
        <v>41527</v>
      </c>
      <c r="AE196">
        <v>39.5</v>
      </c>
      <c r="AF196" s="125">
        <v>41527</v>
      </c>
      <c r="AG196" s="111" t="s">
        <v>7718</v>
      </c>
      <c r="AH196" s="125">
        <v>41527</v>
      </c>
      <c r="AI196" s="111">
        <v>135</v>
      </c>
      <c r="AJ196" s="125">
        <v>41527</v>
      </c>
      <c r="BS196" s="111">
        <v>44.1</v>
      </c>
      <c r="BT196" s="125">
        <v>41527</v>
      </c>
      <c r="BU196">
        <v>20.2</v>
      </c>
      <c r="BV196" s="125">
        <v>41527</v>
      </c>
      <c r="CC196" s="111">
        <v>7.7</v>
      </c>
      <c r="CD196" s="125">
        <v>41527</v>
      </c>
      <c r="CG196" s="111">
        <v>3.95</v>
      </c>
      <c r="CH196" s="125">
        <v>41527</v>
      </c>
      <c r="CK196" s="111">
        <v>10</v>
      </c>
    </row>
    <row r="197" spans="1:89">
      <c r="A197" s="126" t="s">
        <v>7830</v>
      </c>
      <c r="B197" t="s">
        <v>259</v>
      </c>
      <c r="C197" t="s">
        <v>7794</v>
      </c>
      <c r="D197">
        <v>33</v>
      </c>
      <c r="E197" s="93">
        <v>6</v>
      </c>
      <c r="F197" s="93">
        <v>45</v>
      </c>
      <c r="K197" s="92">
        <v>5</v>
      </c>
      <c r="L197" s="159">
        <v>41569</v>
      </c>
      <c r="S197" s="111">
        <v>1837.44</v>
      </c>
      <c r="T197" s="125">
        <v>41527</v>
      </c>
      <c r="U197" s="111">
        <v>10.8</v>
      </c>
      <c r="Y197" s="111">
        <v>908.16</v>
      </c>
      <c r="Z197" s="125">
        <v>41527</v>
      </c>
      <c r="AA197" s="111" t="s">
        <v>7718</v>
      </c>
      <c r="AB197" s="125">
        <v>41527</v>
      </c>
      <c r="AE197">
        <v>42.24</v>
      </c>
      <c r="AF197" s="125">
        <v>41527</v>
      </c>
      <c r="AG197" s="111" t="s">
        <v>7718</v>
      </c>
      <c r="AH197" s="125">
        <v>41527</v>
      </c>
      <c r="AI197" s="111">
        <v>130</v>
      </c>
      <c r="AJ197" s="125">
        <v>41527</v>
      </c>
      <c r="BS197" s="111">
        <v>43.5</v>
      </c>
      <c r="BT197" s="125">
        <v>41527</v>
      </c>
      <c r="BU197">
        <v>21.5</v>
      </c>
      <c r="BV197" s="125">
        <v>41527</v>
      </c>
      <c r="CC197" s="111">
        <v>7.4</v>
      </c>
      <c r="CD197" s="125">
        <v>41527</v>
      </c>
      <c r="CG197" s="111">
        <v>2.41</v>
      </c>
      <c r="CH197" s="125">
        <v>41527</v>
      </c>
      <c r="CK197" s="111">
        <v>10</v>
      </c>
    </row>
    <row r="198" spans="1:89">
      <c r="A198" s="126" t="s">
        <v>7830</v>
      </c>
      <c r="B198" t="s">
        <v>257</v>
      </c>
      <c r="C198" t="s">
        <v>7795</v>
      </c>
      <c r="D198">
        <v>33</v>
      </c>
      <c r="E198" s="93">
        <v>5</v>
      </c>
      <c r="F198" s="93">
        <v>66</v>
      </c>
      <c r="K198" s="92">
        <v>5</v>
      </c>
      <c r="L198" s="159">
        <v>41569</v>
      </c>
      <c r="S198" s="111">
        <v>1722.63</v>
      </c>
      <c r="T198" s="125">
        <v>41527</v>
      </c>
      <c r="U198" s="111">
        <v>10.8</v>
      </c>
      <c r="Y198" s="111">
        <v>745.84199999999998</v>
      </c>
      <c r="Z198" s="125">
        <v>41527</v>
      </c>
      <c r="AA198" s="111">
        <v>77107.942970000004</v>
      </c>
      <c r="AB198" s="125">
        <v>41527</v>
      </c>
      <c r="AE198">
        <v>37.86</v>
      </c>
      <c r="AF198" s="125">
        <v>41527</v>
      </c>
      <c r="AG198" s="111">
        <v>4.91</v>
      </c>
      <c r="AH198" s="125">
        <v>41527</v>
      </c>
      <c r="AI198" s="111">
        <v>130</v>
      </c>
      <c r="AJ198" s="125">
        <v>41527</v>
      </c>
      <c r="BS198" s="111">
        <v>45.5</v>
      </c>
      <c r="BT198" s="125">
        <v>41527</v>
      </c>
      <c r="BU198">
        <v>19.7</v>
      </c>
      <c r="BV198" s="125">
        <v>41527</v>
      </c>
      <c r="CC198" s="111">
        <v>6.3</v>
      </c>
      <c r="CD198" s="125">
        <v>41527</v>
      </c>
      <c r="CG198" s="111">
        <v>0.81</v>
      </c>
      <c r="CH198" s="125">
        <v>41527</v>
      </c>
      <c r="CK198" s="111">
        <v>10</v>
      </c>
    </row>
    <row r="199" spans="1:89">
      <c r="A199" s="126" t="s">
        <v>7830</v>
      </c>
      <c r="B199" t="s">
        <v>259</v>
      </c>
      <c r="C199" t="s">
        <v>7795</v>
      </c>
      <c r="D199">
        <v>33</v>
      </c>
      <c r="E199" s="93">
        <v>2</v>
      </c>
      <c r="F199" s="93">
        <v>84</v>
      </c>
      <c r="K199" s="92">
        <v>5</v>
      </c>
      <c r="L199" s="159">
        <v>41569</v>
      </c>
      <c r="S199" s="111">
        <v>1736.64</v>
      </c>
      <c r="T199" s="125">
        <v>41527</v>
      </c>
      <c r="U199" s="111">
        <v>10.8</v>
      </c>
      <c r="Y199" s="111">
        <v>892.44</v>
      </c>
      <c r="Z199" s="125">
        <v>41527</v>
      </c>
      <c r="AA199" s="111">
        <v>81541.582150000002</v>
      </c>
      <c r="AB199" s="125">
        <v>41527</v>
      </c>
      <c r="AE199">
        <v>40.200000000000003</v>
      </c>
      <c r="AF199" s="125">
        <v>41527</v>
      </c>
      <c r="AG199" s="111">
        <v>4.93</v>
      </c>
      <c r="AH199" s="125">
        <v>41527</v>
      </c>
      <c r="AI199" s="111">
        <v>140</v>
      </c>
      <c r="AJ199" s="125">
        <v>41527</v>
      </c>
      <c r="BS199" s="111">
        <v>43.2</v>
      </c>
      <c r="BT199" s="125">
        <v>41527</v>
      </c>
      <c r="BU199">
        <v>22.2</v>
      </c>
      <c r="BV199" s="125">
        <v>41527</v>
      </c>
      <c r="CC199" s="111">
        <v>12.3</v>
      </c>
      <c r="CD199" s="125">
        <v>41527</v>
      </c>
      <c r="CG199" s="111">
        <v>6.38</v>
      </c>
      <c r="CH199" s="125">
        <v>41527</v>
      </c>
      <c r="CK199" s="111">
        <v>5</v>
      </c>
    </row>
    <row r="200" spans="1:89">
      <c r="A200" s="126" t="s">
        <v>7831</v>
      </c>
      <c r="B200" t="s">
        <v>257</v>
      </c>
      <c r="C200" t="s">
        <v>405</v>
      </c>
      <c r="D200">
        <v>34</v>
      </c>
      <c r="E200" s="93">
        <v>5</v>
      </c>
      <c r="F200" s="93">
        <v>24</v>
      </c>
      <c r="K200" s="92">
        <v>5</v>
      </c>
      <c r="L200" s="159">
        <v>41569</v>
      </c>
      <c r="S200" s="111">
        <v>1716.44</v>
      </c>
      <c r="T200" s="125">
        <v>41527</v>
      </c>
      <c r="U200" s="111">
        <v>10.8</v>
      </c>
      <c r="Y200" s="111">
        <v>745.09100000000001</v>
      </c>
      <c r="Z200" s="125">
        <v>41527</v>
      </c>
      <c r="AA200" s="111" t="s">
        <v>7718</v>
      </c>
      <c r="AB200" s="125">
        <v>41527</v>
      </c>
      <c r="AE200">
        <v>39.01</v>
      </c>
      <c r="AF200" s="125">
        <v>41527</v>
      </c>
      <c r="AG200" s="111" t="s">
        <v>7718</v>
      </c>
      <c r="AH200" s="125">
        <v>41527</v>
      </c>
      <c r="AI200" s="111">
        <v>125</v>
      </c>
      <c r="AJ200" s="125">
        <v>41527</v>
      </c>
      <c r="BS200" s="111">
        <v>44</v>
      </c>
      <c r="BT200" s="125">
        <v>41527</v>
      </c>
      <c r="BU200">
        <v>19.100000000000001</v>
      </c>
      <c r="BV200" s="125">
        <v>41527</v>
      </c>
      <c r="CC200" s="111">
        <v>8.3000000000000007</v>
      </c>
      <c r="CD200" s="125">
        <v>41527</v>
      </c>
      <c r="CG200" s="111">
        <v>3.87</v>
      </c>
      <c r="CH200" s="125">
        <v>41527</v>
      </c>
      <c r="CK200" s="111">
        <v>20</v>
      </c>
    </row>
    <row r="201" spans="1:89">
      <c r="A201" s="126" t="s">
        <v>7831</v>
      </c>
      <c r="B201" t="s">
        <v>259</v>
      </c>
      <c r="C201" t="s">
        <v>405</v>
      </c>
      <c r="D201">
        <v>34</v>
      </c>
      <c r="E201" s="93">
        <v>1</v>
      </c>
      <c r="F201" s="93">
        <v>25</v>
      </c>
      <c r="K201" s="92">
        <v>5</v>
      </c>
      <c r="L201" s="159">
        <v>41569</v>
      </c>
      <c r="S201" s="111">
        <v>2015.0129999999999</v>
      </c>
      <c r="T201" s="125">
        <v>41527</v>
      </c>
      <c r="U201" s="111">
        <v>10.8</v>
      </c>
      <c r="Y201" s="111">
        <v>948.79399999999998</v>
      </c>
      <c r="Z201" s="125">
        <v>41527</v>
      </c>
      <c r="AA201" s="111" t="s">
        <v>7718</v>
      </c>
      <c r="AB201" s="125">
        <v>41527</v>
      </c>
      <c r="AE201">
        <v>46.97</v>
      </c>
      <c r="AF201" s="125">
        <v>41527</v>
      </c>
      <c r="AG201" s="111" t="s">
        <v>7718</v>
      </c>
      <c r="AH201" s="125">
        <v>41527</v>
      </c>
      <c r="AI201" s="111">
        <v>140</v>
      </c>
      <c r="AJ201" s="125">
        <v>41527</v>
      </c>
      <c r="BS201" s="111">
        <v>42.9</v>
      </c>
      <c r="BT201" s="125">
        <v>41527</v>
      </c>
      <c r="BU201">
        <v>20.2</v>
      </c>
      <c r="BV201" s="125">
        <v>41527</v>
      </c>
      <c r="CC201" s="111">
        <v>10.8</v>
      </c>
      <c r="CD201" s="125">
        <v>41527</v>
      </c>
      <c r="CG201" s="111">
        <v>1.87</v>
      </c>
      <c r="CH201" s="125">
        <v>41527</v>
      </c>
      <c r="CK201" s="111">
        <v>10</v>
      </c>
    </row>
    <row r="202" spans="1:89">
      <c r="A202" s="126" t="s">
        <v>7831</v>
      </c>
      <c r="B202" t="s">
        <v>257</v>
      </c>
      <c r="C202" t="s">
        <v>7794</v>
      </c>
      <c r="D202">
        <v>34</v>
      </c>
      <c r="E202" s="93">
        <v>3</v>
      </c>
      <c r="F202" s="93">
        <v>46</v>
      </c>
      <c r="K202" s="92">
        <v>5</v>
      </c>
      <c r="L202" s="159">
        <v>41569</v>
      </c>
      <c r="S202" s="111">
        <v>1777.68</v>
      </c>
      <c r="T202" s="125">
        <v>41527</v>
      </c>
      <c r="U202" s="111">
        <v>10.8</v>
      </c>
      <c r="Y202" s="111">
        <v>785.96500000000003</v>
      </c>
      <c r="Z202" s="125">
        <v>41527</v>
      </c>
      <c r="AA202" s="111" t="s">
        <v>7718</v>
      </c>
      <c r="AB202" s="125">
        <v>41527</v>
      </c>
      <c r="AE202">
        <v>41.15</v>
      </c>
      <c r="AF202" s="125">
        <v>41527</v>
      </c>
      <c r="AG202" s="111" t="s">
        <v>7718</v>
      </c>
      <c r="AH202" s="125">
        <v>41527</v>
      </c>
      <c r="AI202" s="111">
        <v>135</v>
      </c>
      <c r="AJ202" s="125">
        <v>41527</v>
      </c>
      <c r="BS202" s="111">
        <v>43.2</v>
      </c>
      <c r="BT202" s="125">
        <v>41527</v>
      </c>
      <c r="BU202">
        <v>19.100000000000001</v>
      </c>
      <c r="BV202" s="125">
        <v>41527</v>
      </c>
      <c r="CC202" s="111">
        <v>9.3000000000000007</v>
      </c>
      <c r="CD202" s="125">
        <v>41527</v>
      </c>
      <c r="CG202" s="111">
        <v>3.55</v>
      </c>
      <c r="CH202" s="125">
        <v>41527</v>
      </c>
      <c r="CK202" s="111">
        <v>30</v>
      </c>
    </row>
    <row r="203" spans="1:89">
      <c r="A203" s="126" t="s">
        <v>7831</v>
      </c>
      <c r="B203" t="s">
        <v>259</v>
      </c>
      <c r="C203" t="s">
        <v>7794</v>
      </c>
      <c r="D203">
        <v>34</v>
      </c>
      <c r="E203" s="93">
        <v>5</v>
      </c>
      <c r="F203" s="93">
        <v>53</v>
      </c>
      <c r="K203" s="92">
        <v>5</v>
      </c>
      <c r="L203" s="159">
        <v>41569</v>
      </c>
      <c r="S203" s="111">
        <v>2021.6320000000001</v>
      </c>
      <c r="T203" s="125">
        <v>41527</v>
      </c>
      <c r="U203" s="111">
        <v>10.8</v>
      </c>
      <c r="Y203" s="111">
        <v>977.44</v>
      </c>
      <c r="Z203" s="125">
        <v>41527</v>
      </c>
      <c r="AA203" s="111" t="s">
        <v>7718</v>
      </c>
      <c r="AB203" s="125">
        <v>41527</v>
      </c>
      <c r="AE203">
        <v>47.68</v>
      </c>
      <c r="AF203" s="125">
        <v>41527</v>
      </c>
      <c r="AG203" s="111" t="s">
        <v>7718</v>
      </c>
      <c r="AH203" s="125">
        <v>41527</v>
      </c>
      <c r="AI203" s="111">
        <v>135</v>
      </c>
      <c r="AJ203" s="125">
        <v>41527</v>
      </c>
      <c r="BS203" s="111">
        <v>42.4</v>
      </c>
      <c r="BT203" s="125">
        <v>41527</v>
      </c>
      <c r="BU203">
        <v>20.5</v>
      </c>
      <c r="BV203" s="125">
        <v>41527</v>
      </c>
      <c r="CC203" s="111">
        <v>8.3000000000000007</v>
      </c>
      <c r="CD203" s="125">
        <v>41527</v>
      </c>
      <c r="CG203" s="111">
        <v>1.47</v>
      </c>
      <c r="CH203" s="125">
        <v>41527</v>
      </c>
      <c r="CK203" s="111">
        <v>20</v>
      </c>
    </row>
    <row r="204" spans="1:89">
      <c r="A204" s="126" t="s">
        <v>7831</v>
      </c>
      <c r="B204" t="s">
        <v>257</v>
      </c>
      <c r="C204" t="s">
        <v>7795</v>
      </c>
      <c r="D204">
        <v>34</v>
      </c>
      <c r="E204" s="93">
        <v>5</v>
      </c>
      <c r="F204" s="93">
        <v>74</v>
      </c>
      <c r="K204" s="92">
        <v>5</v>
      </c>
      <c r="L204" s="159">
        <v>41569</v>
      </c>
      <c r="S204" s="111">
        <v>1844.58</v>
      </c>
      <c r="T204" s="125">
        <v>41527</v>
      </c>
      <c r="U204" s="111">
        <v>10.8</v>
      </c>
      <c r="Y204" s="111">
        <v>834.96</v>
      </c>
      <c r="Z204" s="125">
        <v>41527</v>
      </c>
      <c r="AA204" s="111">
        <v>84523.809519999995</v>
      </c>
      <c r="AB204" s="125">
        <v>41527</v>
      </c>
      <c r="AE204">
        <v>42.6</v>
      </c>
      <c r="AF204" s="125">
        <v>41527</v>
      </c>
      <c r="AG204" s="111">
        <v>5.04</v>
      </c>
      <c r="AH204" s="125">
        <v>41527</v>
      </c>
      <c r="AI204" s="111">
        <v>125</v>
      </c>
      <c r="AJ204" s="125">
        <v>41527</v>
      </c>
      <c r="BS204" s="111">
        <v>43.3</v>
      </c>
      <c r="BT204" s="125">
        <v>41527</v>
      </c>
      <c r="BU204">
        <v>19.600000000000001</v>
      </c>
      <c r="BV204" s="125">
        <v>41527</v>
      </c>
      <c r="CC204" s="111">
        <v>6.2</v>
      </c>
      <c r="CD204" s="125">
        <v>41527</v>
      </c>
      <c r="CG204" s="111">
        <v>1.79</v>
      </c>
      <c r="CH204" s="125">
        <v>41527</v>
      </c>
      <c r="CK204" s="111">
        <v>20</v>
      </c>
    </row>
    <row r="205" spans="1:89">
      <c r="A205" s="126" t="s">
        <v>7831</v>
      </c>
      <c r="B205" t="s">
        <v>259</v>
      </c>
      <c r="C205" t="s">
        <v>7795</v>
      </c>
      <c r="D205">
        <v>34</v>
      </c>
      <c r="E205" s="93">
        <v>3</v>
      </c>
      <c r="F205" s="93">
        <v>70</v>
      </c>
      <c r="K205" s="92">
        <v>5</v>
      </c>
      <c r="L205" s="159">
        <v>41569</v>
      </c>
      <c r="S205" s="111">
        <v>1888.942</v>
      </c>
      <c r="T205" s="125">
        <v>41527</v>
      </c>
      <c r="U205" s="111">
        <v>10.8</v>
      </c>
      <c r="Y205" s="111">
        <v>953.50900000000001</v>
      </c>
      <c r="Z205" s="125">
        <v>41527</v>
      </c>
      <c r="AA205" s="111">
        <v>87747.572820000001</v>
      </c>
      <c r="AB205" s="125">
        <v>41527</v>
      </c>
      <c r="AE205">
        <v>45.19</v>
      </c>
      <c r="AF205" s="125">
        <v>41527</v>
      </c>
      <c r="AG205" s="111">
        <v>5.15</v>
      </c>
      <c r="AH205" s="125">
        <v>41527</v>
      </c>
      <c r="AI205" s="111">
        <v>130</v>
      </c>
      <c r="AJ205" s="125">
        <v>41527</v>
      </c>
      <c r="BS205" s="111">
        <v>41.8</v>
      </c>
      <c r="BT205" s="125">
        <v>41527</v>
      </c>
      <c r="BU205">
        <v>21.1</v>
      </c>
      <c r="BV205" s="125">
        <v>41527</v>
      </c>
      <c r="CC205" s="111">
        <v>8.1</v>
      </c>
      <c r="CD205" s="125">
        <v>41527</v>
      </c>
      <c r="CG205" s="111">
        <v>4.2300000000000004</v>
      </c>
      <c r="CH205" s="125">
        <v>41527</v>
      </c>
      <c r="CK205" s="111">
        <v>20</v>
      </c>
    </row>
    <row r="206" spans="1:89">
      <c r="A206" s="126" t="s">
        <v>7832</v>
      </c>
      <c r="B206" t="s">
        <v>257</v>
      </c>
      <c r="C206" t="s">
        <v>405</v>
      </c>
      <c r="D206">
        <v>35</v>
      </c>
      <c r="E206" s="93">
        <v>5</v>
      </c>
      <c r="F206" s="93">
        <v>15</v>
      </c>
      <c r="K206" s="92">
        <v>5</v>
      </c>
      <c r="L206" s="159">
        <v>41569</v>
      </c>
      <c r="S206" s="111">
        <v>1676.068</v>
      </c>
      <c r="T206" s="125">
        <v>41527</v>
      </c>
      <c r="U206" s="111">
        <v>10.8</v>
      </c>
      <c r="Y206" s="111">
        <v>759.11599999999999</v>
      </c>
      <c r="Z206" s="125">
        <v>41527</v>
      </c>
      <c r="AA206" s="111" t="s">
        <v>7718</v>
      </c>
      <c r="AB206" s="125">
        <v>41527</v>
      </c>
      <c r="AE206">
        <v>37.58</v>
      </c>
      <c r="AF206" s="125">
        <v>41527</v>
      </c>
      <c r="AG206" s="111" t="s">
        <v>7718</v>
      </c>
      <c r="AH206" s="125">
        <v>41527</v>
      </c>
      <c r="AI206" s="111">
        <v>135</v>
      </c>
      <c r="AJ206" s="125">
        <v>41527</v>
      </c>
      <c r="BS206" s="111">
        <v>44.6</v>
      </c>
      <c r="BT206" s="125">
        <v>41527</v>
      </c>
      <c r="BU206">
        <v>20.2</v>
      </c>
      <c r="BV206" s="125">
        <v>41527</v>
      </c>
      <c r="CC206" s="111">
        <v>6.7</v>
      </c>
      <c r="CD206" s="125">
        <v>41527</v>
      </c>
      <c r="CG206" s="111">
        <v>2.74</v>
      </c>
      <c r="CH206" s="125">
        <v>41527</v>
      </c>
      <c r="CK206" s="111">
        <v>10</v>
      </c>
    </row>
    <row r="207" spans="1:89">
      <c r="A207" s="126" t="s">
        <v>7832</v>
      </c>
      <c r="B207" t="s">
        <v>259</v>
      </c>
      <c r="C207" t="s">
        <v>405</v>
      </c>
      <c r="D207">
        <v>35</v>
      </c>
      <c r="E207" s="93">
        <v>1</v>
      </c>
      <c r="F207" s="93">
        <v>19</v>
      </c>
      <c r="K207" s="92">
        <v>5</v>
      </c>
      <c r="L207" s="159">
        <v>41569</v>
      </c>
      <c r="S207" s="111">
        <v>2221.12</v>
      </c>
      <c r="T207" s="125">
        <v>41527</v>
      </c>
      <c r="U207" s="111">
        <v>10.8</v>
      </c>
      <c r="Y207" s="111">
        <v>1090.3679999999999</v>
      </c>
      <c r="Z207" s="125">
        <v>41527</v>
      </c>
      <c r="AA207" s="111" t="s">
        <v>7718</v>
      </c>
      <c r="AB207" s="125">
        <v>41527</v>
      </c>
      <c r="AE207">
        <v>50.48</v>
      </c>
      <c r="AF207" s="125">
        <v>41527</v>
      </c>
      <c r="AG207" s="111" t="s">
        <v>7718</v>
      </c>
      <c r="AH207" s="125">
        <v>41527</v>
      </c>
      <c r="AI207" s="111">
        <v>145</v>
      </c>
      <c r="AJ207" s="125">
        <v>41527</v>
      </c>
      <c r="BS207" s="111">
        <v>44</v>
      </c>
      <c r="BT207" s="125">
        <v>41527</v>
      </c>
      <c r="BU207">
        <v>21.6</v>
      </c>
      <c r="BV207" s="125">
        <v>41527</v>
      </c>
      <c r="CC207" s="111">
        <v>6.9</v>
      </c>
      <c r="CD207" s="125">
        <v>41527</v>
      </c>
      <c r="CG207" s="111">
        <v>1.89</v>
      </c>
      <c r="CH207" s="125">
        <v>41527</v>
      </c>
      <c r="CK207" s="111">
        <v>20</v>
      </c>
    </row>
    <row r="208" spans="1:89">
      <c r="A208" s="126" t="s">
        <v>7832</v>
      </c>
      <c r="B208" t="s">
        <v>257</v>
      </c>
      <c r="C208" t="s">
        <v>7794</v>
      </c>
      <c r="D208">
        <v>35</v>
      </c>
      <c r="E208" s="93">
        <v>3</v>
      </c>
      <c r="F208" s="93">
        <v>44</v>
      </c>
      <c r="K208" s="92">
        <v>7</v>
      </c>
      <c r="L208" s="159">
        <v>41569</v>
      </c>
      <c r="S208" s="111">
        <v>1700.2339999999999</v>
      </c>
      <c r="T208" s="125">
        <v>41527</v>
      </c>
      <c r="U208" s="111">
        <v>10.8</v>
      </c>
      <c r="Y208" s="111">
        <v>779.11400000000003</v>
      </c>
      <c r="Z208" s="125">
        <v>41527</v>
      </c>
      <c r="AA208" s="111" t="s">
        <v>7718</v>
      </c>
      <c r="AB208" s="125">
        <v>41527</v>
      </c>
      <c r="AE208">
        <v>38.380000000000003</v>
      </c>
      <c r="AF208" s="125">
        <v>41527</v>
      </c>
      <c r="AG208" s="111" t="s">
        <v>7718</v>
      </c>
      <c r="AH208" s="125">
        <v>41527</v>
      </c>
      <c r="AI208" s="111">
        <v>150</v>
      </c>
      <c r="AJ208" s="125">
        <v>41527</v>
      </c>
      <c r="BS208" s="111">
        <v>44.3</v>
      </c>
      <c r="BT208" s="125">
        <v>41527</v>
      </c>
      <c r="BU208">
        <v>20.3</v>
      </c>
      <c r="BV208" s="125">
        <v>41527</v>
      </c>
      <c r="CC208" s="111">
        <v>10.3</v>
      </c>
      <c r="CD208" s="125">
        <v>41527</v>
      </c>
      <c r="CG208" s="111">
        <v>6.14</v>
      </c>
      <c r="CH208" s="125">
        <v>41527</v>
      </c>
      <c r="CK208" s="111">
        <v>10</v>
      </c>
    </row>
    <row r="209" spans="1:89">
      <c r="A209" s="126" t="s">
        <v>7832</v>
      </c>
      <c r="B209" t="s">
        <v>259</v>
      </c>
      <c r="C209" t="s">
        <v>7794</v>
      </c>
      <c r="D209">
        <v>35</v>
      </c>
      <c r="E209" s="93">
        <v>6</v>
      </c>
      <c r="F209" s="93">
        <v>47</v>
      </c>
      <c r="K209" s="92">
        <v>3</v>
      </c>
      <c r="L209" s="159">
        <v>41569</v>
      </c>
      <c r="S209" s="111">
        <v>2046.268</v>
      </c>
      <c r="T209" s="125">
        <v>41527</v>
      </c>
      <c r="U209" s="111">
        <v>10.8</v>
      </c>
      <c r="Y209" s="111">
        <v>1061.3820000000001</v>
      </c>
      <c r="Z209" s="125">
        <v>41527</v>
      </c>
      <c r="AA209" s="111" t="s">
        <v>7718</v>
      </c>
      <c r="AB209" s="125">
        <v>41527</v>
      </c>
      <c r="AE209">
        <v>47.81</v>
      </c>
      <c r="AF209" s="125">
        <v>41527</v>
      </c>
      <c r="AG209" s="111" t="s">
        <v>7718</v>
      </c>
      <c r="AH209" s="125">
        <v>41527</v>
      </c>
      <c r="AI209" s="111">
        <v>145</v>
      </c>
      <c r="AJ209" s="125">
        <v>41527</v>
      </c>
      <c r="BS209" s="111">
        <v>42.8</v>
      </c>
      <c r="BT209" s="125">
        <v>41527</v>
      </c>
      <c r="BU209">
        <v>22.2</v>
      </c>
      <c r="BV209" s="125">
        <v>41527</v>
      </c>
      <c r="CC209" s="111">
        <v>7.5</v>
      </c>
      <c r="CD209" s="125">
        <v>41527</v>
      </c>
      <c r="CG209" s="111">
        <v>2.46</v>
      </c>
      <c r="CH209" s="125">
        <v>41527</v>
      </c>
      <c r="CK209" s="111">
        <v>20</v>
      </c>
    </row>
    <row r="210" spans="1:89">
      <c r="A210" s="126" t="s">
        <v>7832</v>
      </c>
      <c r="B210" t="s">
        <v>257</v>
      </c>
      <c r="C210" t="s">
        <v>7795</v>
      </c>
      <c r="D210">
        <v>35</v>
      </c>
      <c r="E210" s="93">
        <v>5</v>
      </c>
      <c r="F210" s="93">
        <v>73</v>
      </c>
      <c r="K210" s="92">
        <v>5</v>
      </c>
      <c r="L210" s="159">
        <v>41569</v>
      </c>
      <c r="S210" s="111">
        <v>1922.1690000000001</v>
      </c>
      <c r="T210" s="125">
        <v>41527</v>
      </c>
      <c r="U210" s="111">
        <v>10.8</v>
      </c>
      <c r="Y210" s="111">
        <v>847.63800000000003</v>
      </c>
      <c r="Z210" s="125">
        <v>41527</v>
      </c>
      <c r="AA210" s="111">
        <v>94295.154190000001</v>
      </c>
      <c r="AB210" s="125">
        <v>41527</v>
      </c>
      <c r="AE210">
        <v>42.81</v>
      </c>
      <c r="AF210" s="125">
        <v>41527</v>
      </c>
      <c r="AG210" s="111">
        <v>4.54</v>
      </c>
      <c r="AH210" s="125">
        <v>41527</v>
      </c>
      <c r="AI210" s="111">
        <v>140</v>
      </c>
      <c r="AJ210" s="125">
        <v>41527</v>
      </c>
      <c r="BS210" s="111">
        <v>44.9</v>
      </c>
      <c r="BT210" s="125">
        <v>41527</v>
      </c>
      <c r="BU210">
        <v>19.8</v>
      </c>
      <c r="BV210" s="125">
        <v>41527</v>
      </c>
      <c r="CC210" s="111">
        <v>5.8</v>
      </c>
      <c r="CD210" s="125">
        <v>41527</v>
      </c>
      <c r="CG210" s="111">
        <v>0.78</v>
      </c>
      <c r="CH210" s="125">
        <v>41527</v>
      </c>
      <c r="CK210" s="111">
        <v>5</v>
      </c>
    </row>
    <row r="211" spans="1:89">
      <c r="A211" s="126" t="s">
        <v>7832</v>
      </c>
      <c r="B211" t="s">
        <v>259</v>
      </c>
      <c r="C211" t="s">
        <v>7795</v>
      </c>
      <c r="D211">
        <v>35</v>
      </c>
      <c r="E211" s="93">
        <v>3</v>
      </c>
      <c r="F211" s="93">
        <v>72</v>
      </c>
      <c r="K211" s="92">
        <v>7</v>
      </c>
      <c r="L211" s="159">
        <v>41569</v>
      </c>
      <c r="S211" s="111">
        <v>2104.9650000000001</v>
      </c>
      <c r="T211" s="125">
        <v>41527</v>
      </c>
      <c r="U211" s="111">
        <v>10.8</v>
      </c>
      <c r="Y211" s="111">
        <v>1025.8679999999999</v>
      </c>
      <c r="Z211" s="125">
        <v>41527</v>
      </c>
      <c r="AA211" s="111">
        <v>100186.3354</v>
      </c>
      <c r="AB211" s="125">
        <v>41527</v>
      </c>
      <c r="AE211">
        <v>48.39</v>
      </c>
      <c r="AF211" s="125">
        <v>41527</v>
      </c>
      <c r="AG211" s="111">
        <v>4.83</v>
      </c>
      <c r="AH211" s="125">
        <v>41527</v>
      </c>
      <c r="AI211" s="111">
        <v>150</v>
      </c>
      <c r="AJ211" s="125">
        <v>41527</v>
      </c>
      <c r="BS211" s="111">
        <v>43.5</v>
      </c>
      <c r="BT211" s="125">
        <v>41527</v>
      </c>
      <c r="BU211">
        <v>21.2</v>
      </c>
      <c r="BV211" s="125">
        <v>41527</v>
      </c>
      <c r="CC211" s="111">
        <v>7.9</v>
      </c>
      <c r="CD211" s="125">
        <v>41527</v>
      </c>
      <c r="CG211" s="111">
        <v>2.46</v>
      </c>
      <c r="CH211" s="125">
        <v>41527</v>
      </c>
      <c r="CK211" s="111">
        <v>20</v>
      </c>
    </row>
    <row r="212" spans="1:89">
      <c r="A212" s="126" t="s">
        <v>7833</v>
      </c>
      <c r="B212" t="s">
        <v>257</v>
      </c>
      <c r="C212" t="s">
        <v>405</v>
      </c>
      <c r="D212">
        <v>36</v>
      </c>
      <c r="E212" s="93">
        <v>4</v>
      </c>
      <c r="F212" s="93">
        <v>8</v>
      </c>
      <c r="K212" s="92">
        <v>5</v>
      </c>
      <c r="L212" s="159">
        <v>41569</v>
      </c>
      <c r="S212" s="111">
        <v>1728.22</v>
      </c>
      <c r="T212" s="125">
        <v>41527</v>
      </c>
      <c r="U212" s="111">
        <v>10.8</v>
      </c>
      <c r="Y212" s="111">
        <v>793.73</v>
      </c>
      <c r="Z212" s="125">
        <v>41527</v>
      </c>
      <c r="AA212" s="111" t="s">
        <v>7718</v>
      </c>
      <c r="AB212" s="125">
        <v>41527</v>
      </c>
      <c r="AE212">
        <v>39.1</v>
      </c>
      <c r="AF212" s="125">
        <v>41527</v>
      </c>
      <c r="AG212" s="111" t="s">
        <v>7718</v>
      </c>
      <c r="AH212" s="125">
        <v>41527</v>
      </c>
      <c r="AI212" s="111">
        <v>125</v>
      </c>
      <c r="AJ212" s="125">
        <v>41527</v>
      </c>
      <c r="BS212" s="111">
        <v>44.2</v>
      </c>
      <c r="BT212" s="125">
        <v>41527</v>
      </c>
      <c r="BU212">
        <v>20.3</v>
      </c>
      <c r="BV212" s="125">
        <v>41527</v>
      </c>
      <c r="CC212" s="111">
        <v>7.9</v>
      </c>
      <c r="CD212" s="125">
        <v>41527</v>
      </c>
      <c r="CG212" s="111">
        <v>0.79</v>
      </c>
      <c r="CH212" s="125">
        <v>41527</v>
      </c>
      <c r="CK212" s="111">
        <v>20</v>
      </c>
    </row>
    <row r="213" spans="1:89">
      <c r="A213" s="126" t="s">
        <v>7833</v>
      </c>
      <c r="B213" t="s">
        <v>259</v>
      </c>
      <c r="C213" t="s">
        <v>405</v>
      </c>
      <c r="D213">
        <v>36</v>
      </c>
      <c r="E213" s="93">
        <v>3</v>
      </c>
      <c r="F213" s="93">
        <v>11</v>
      </c>
      <c r="K213" s="92">
        <v>5</v>
      </c>
      <c r="L213" s="159">
        <v>41569</v>
      </c>
      <c r="S213" s="111">
        <v>1917.568</v>
      </c>
      <c r="T213" s="125">
        <v>41527</v>
      </c>
      <c r="U213" s="111">
        <v>10.8</v>
      </c>
      <c r="Y213" s="111">
        <v>1004.224</v>
      </c>
      <c r="Z213" s="125">
        <v>41527</v>
      </c>
      <c r="AA213" s="111" t="s">
        <v>7718</v>
      </c>
      <c r="AB213" s="125">
        <v>41527</v>
      </c>
      <c r="AE213">
        <v>45.44</v>
      </c>
      <c r="AF213" s="125">
        <v>41527</v>
      </c>
      <c r="AG213" s="111" t="s">
        <v>7718</v>
      </c>
      <c r="AH213" s="125">
        <v>41527</v>
      </c>
      <c r="AI213" s="111">
        <v>135</v>
      </c>
      <c r="AJ213" s="125">
        <v>41527</v>
      </c>
      <c r="BS213" s="111">
        <v>42.2</v>
      </c>
      <c r="BT213" s="125">
        <v>41527</v>
      </c>
      <c r="BU213">
        <v>22.1</v>
      </c>
      <c r="BV213" s="125">
        <v>41527</v>
      </c>
      <c r="CC213" s="111">
        <v>9.3000000000000007</v>
      </c>
      <c r="CD213" s="125">
        <v>41527</v>
      </c>
      <c r="CG213" s="111">
        <v>4.13</v>
      </c>
      <c r="CH213" s="125">
        <v>41527</v>
      </c>
      <c r="CK213" s="111">
        <v>20</v>
      </c>
    </row>
    <row r="214" spans="1:89">
      <c r="A214" s="126" t="s">
        <v>7833</v>
      </c>
      <c r="B214" t="s">
        <v>257</v>
      </c>
      <c r="C214" t="s">
        <v>7794</v>
      </c>
      <c r="D214">
        <v>36</v>
      </c>
      <c r="E214" s="93">
        <v>1</v>
      </c>
      <c r="F214" s="93">
        <v>33</v>
      </c>
      <c r="K214" s="92">
        <v>5</v>
      </c>
      <c r="L214" s="159">
        <v>41569</v>
      </c>
      <c r="S214" s="111">
        <v>1926.771</v>
      </c>
      <c r="T214" s="125">
        <v>41527</v>
      </c>
      <c r="U214" s="111">
        <v>10.8</v>
      </c>
      <c r="Y214" s="111">
        <v>890.96699999999998</v>
      </c>
      <c r="Z214" s="125">
        <v>41527</v>
      </c>
      <c r="AA214" s="111" t="s">
        <v>7718</v>
      </c>
      <c r="AB214" s="125">
        <v>41527</v>
      </c>
      <c r="AE214">
        <v>43.89</v>
      </c>
      <c r="AF214" s="125">
        <v>41527</v>
      </c>
      <c r="AG214" s="111" t="s">
        <v>7718</v>
      </c>
      <c r="AH214" s="125">
        <v>41527</v>
      </c>
      <c r="AI214" s="111">
        <v>135</v>
      </c>
      <c r="AJ214" s="125">
        <v>41527</v>
      </c>
      <c r="BS214" s="111">
        <v>43.9</v>
      </c>
      <c r="BT214" s="125">
        <v>41527</v>
      </c>
      <c r="BU214">
        <v>20.3</v>
      </c>
      <c r="BV214" s="125">
        <v>41527</v>
      </c>
      <c r="CC214" s="111">
        <v>6.3</v>
      </c>
      <c r="CD214" s="125">
        <v>41527</v>
      </c>
      <c r="CG214" s="111">
        <v>3.29</v>
      </c>
      <c r="CH214" s="125">
        <v>41527</v>
      </c>
      <c r="CK214" s="111">
        <v>20</v>
      </c>
    </row>
    <row r="215" spans="1:89">
      <c r="A215" s="126" t="s">
        <v>7833</v>
      </c>
      <c r="B215" t="s">
        <v>259</v>
      </c>
      <c r="C215" t="s">
        <v>7794</v>
      </c>
      <c r="D215">
        <v>36</v>
      </c>
      <c r="E215" s="93">
        <v>4</v>
      </c>
      <c r="F215" s="93">
        <v>53</v>
      </c>
      <c r="K215" s="92">
        <v>5</v>
      </c>
      <c r="L215" s="159">
        <v>41569</v>
      </c>
      <c r="S215" s="111">
        <v>1786.114</v>
      </c>
      <c r="T215" s="125">
        <v>41527</v>
      </c>
      <c r="U215" s="111">
        <v>10.8</v>
      </c>
      <c r="Y215" s="111">
        <v>935.78700000000003</v>
      </c>
      <c r="Z215" s="125">
        <v>41527</v>
      </c>
      <c r="AA215" s="111" t="s">
        <v>7718</v>
      </c>
      <c r="AB215" s="125">
        <v>41527</v>
      </c>
      <c r="AE215">
        <v>42.73</v>
      </c>
      <c r="AF215" s="125">
        <v>41527</v>
      </c>
      <c r="AG215" s="111" t="s">
        <v>7718</v>
      </c>
      <c r="AH215" s="125">
        <v>41527</v>
      </c>
      <c r="AI215" s="111">
        <v>135</v>
      </c>
      <c r="AJ215" s="125">
        <v>41527</v>
      </c>
      <c r="BS215" s="111">
        <v>41.8</v>
      </c>
      <c r="BT215" s="125">
        <v>41527</v>
      </c>
      <c r="BU215">
        <v>21.9</v>
      </c>
      <c r="BV215" s="125">
        <v>41527</v>
      </c>
      <c r="CC215" s="111">
        <v>8.5</v>
      </c>
      <c r="CD215" s="125">
        <v>41527</v>
      </c>
      <c r="CG215" s="111">
        <v>3.12</v>
      </c>
      <c r="CH215" s="125">
        <v>41527</v>
      </c>
      <c r="CK215" s="111">
        <v>20</v>
      </c>
    </row>
    <row r="216" spans="1:89">
      <c r="A216" s="126" t="s">
        <v>7833</v>
      </c>
      <c r="B216" t="s">
        <v>257</v>
      </c>
      <c r="C216" t="s">
        <v>7795</v>
      </c>
      <c r="D216">
        <v>36</v>
      </c>
      <c r="E216" s="93">
        <v>6</v>
      </c>
      <c r="F216" s="93">
        <v>80</v>
      </c>
      <c r="K216" s="92">
        <v>5</v>
      </c>
      <c r="L216" s="159">
        <v>41569</v>
      </c>
      <c r="S216" s="111">
        <v>1401.6210000000001</v>
      </c>
      <c r="T216" s="125">
        <v>41527</v>
      </c>
      <c r="U216" s="111">
        <v>10.8</v>
      </c>
      <c r="Y216" s="111">
        <v>679.77</v>
      </c>
      <c r="Z216" s="125">
        <v>41527</v>
      </c>
      <c r="AA216" s="111">
        <v>72093.541200000007</v>
      </c>
      <c r="AB216" s="125">
        <v>41527</v>
      </c>
      <c r="AE216">
        <v>32.369999999999997</v>
      </c>
      <c r="AF216" s="125">
        <v>41527</v>
      </c>
      <c r="AG216" s="111">
        <v>4.49</v>
      </c>
      <c r="AH216" s="125">
        <v>41527</v>
      </c>
      <c r="AI216" s="111">
        <v>110</v>
      </c>
      <c r="AJ216" s="125">
        <v>41527</v>
      </c>
      <c r="BS216" s="111">
        <v>43.3</v>
      </c>
      <c r="BT216" s="125">
        <v>41527</v>
      </c>
      <c r="BU216">
        <v>21</v>
      </c>
      <c r="BV216" s="125">
        <v>41527</v>
      </c>
      <c r="CC216" s="111">
        <v>6.7</v>
      </c>
      <c r="CD216" s="125">
        <v>41527</v>
      </c>
      <c r="CG216" s="111">
        <v>2.63</v>
      </c>
      <c r="CH216" s="125">
        <v>41527</v>
      </c>
      <c r="CK216" s="111">
        <v>10</v>
      </c>
    </row>
    <row r="217" spans="1:89">
      <c r="A217" s="126" t="s">
        <v>7833</v>
      </c>
      <c r="B217" t="s">
        <v>259</v>
      </c>
      <c r="C217" t="s">
        <v>7795</v>
      </c>
      <c r="D217">
        <v>36</v>
      </c>
      <c r="E217" s="93">
        <v>2</v>
      </c>
      <c r="F217" s="93">
        <v>77</v>
      </c>
      <c r="K217" s="92">
        <v>5</v>
      </c>
      <c r="L217" s="159">
        <v>41569</v>
      </c>
      <c r="S217" s="111">
        <v>1915.2</v>
      </c>
      <c r="T217" s="125">
        <v>41527</v>
      </c>
      <c r="U217" s="111">
        <v>10.8</v>
      </c>
      <c r="Y217" s="111">
        <v>1012.32</v>
      </c>
      <c r="Z217" s="125">
        <v>41527</v>
      </c>
      <c r="AA217" s="111">
        <v>97854.077250000002</v>
      </c>
      <c r="AB217" s="125">
        <v>41527</v>
      </c>
      <c r="AE217">
        <v>45.6</v>
      </c>
      <c r="AF217" s="125">
        <v>41527</v>
      </c>
      <c r="AG217" s="111">
        <v>4.66</v>
      </c>
      <c r="AH217" s="125">
        <v>41527</v>
      </c>
      <c r="AI217" s="111">
        <v>140</v>
      </c>
      <c r="AJ217" s="125">
        <v>41527</v>
      </c>
      <c r="BS217" s="111">
        <v>42</v>
      </c>
      <c r="BT217" s="125">
        <v>41527</v>
      </c>
      <c r="BU217">
        <v>22.2</v>
      </c>
      <c r="BV217" s="125">
        <v>41527</v>
      </c>
      <c r="CC217" s="111">
        <v>7.7</v>
      </c>
      <c r="CD217" s="125">
        <v>41527</v>
      </c>
      <c r="CG217" s="111">
        <v>2.2799999999999998</v>
      </c>
      <c r="CH217" s="125">
        <v>41527</v>
      </c>
      <c r="CK217" s="111">
        <v>20</v>
      </c>
    </row>
    <row r="218" spans="1:89">
      <c r="A218" s="126" t="s">
        <v>7834</v>
      </c>
      <c r="B218" t="s">
        <v>257</v>
      </c>
      <c r="C218" t="s">
        <v>405</v>
      </c>
      <c r="D218">
        <v>37</v>
      </c>
      <c r="E218" s="93">
        <v>5</v>
      </c>
      <c r="F218" s="93">
        <v>6</v>
      </c>
      <c r="K218" s="92">
        <v>5</v>
      </c>
      <c r="L218" s="159">
        <v>41569</v>
      </c>
      <c r="S218" s="111">
        <v>1745.8</v>
      </c>
      <c r="T218" s="125">
        <v>41527</v>
      </c>
      <c r="U218" s="111">
        <v>10.8</v>
      </c>
      <c r="Y218" s="111">
        <v>876.96</v>
      </c>
      <c r="Z218" s="125">
        <v>41527</v>
      </c>
      <c r="AA218" s="111" t="s">
        <v>7718</v>
      </c>
      <c r="AB218" s="125">
        <v>41527</v>
      </c>
      <c r="AE218">
        <v>40.6</v>
      </c>
      <c r="AF218" s="125">
        <v>41527</v>
      </c>
      <c r="AG218" s="111" t="s">
        <v>7718</v>
      </c>
      <c r="AH218" s="125">
        <v>41527</v>
      </c>
      <c r="AI218" s="111">
        <v>135</v>
      </c>
      <c r="AJ218" s="125">
        <v>41527</v>
      </c>
      <c r="BS218" s="111">
        <v>43</v>
      </c>
      <c r="BT218" s="125">
        <v>41527</v>
      </c>
      <c r="BU218">
        <v>21.6</v>
      </c>
      <c r="BV218" s="125">
        <v>41527</v>
      </c>
      <c r="CC218" s="111">
        <v>8</v>
      </c>
      <c r="CD218" s="125">
        <v>41527</v>
      </c>
      <c r="CG218" s="111">
        <v>2.78</v>
      </c>
      <c r="CH218" s="125">
        <v>41527</v>
      </c>
      <c r="CK218" s="111">
        <v>5</v>
      </c>
    </row>
    <row r="219" spans="1:89">
      <c r="A219" s="126" t="s">
        <v>7834</v>
      </c>
      <c r="B219" t="s">
        <v>259</v>
      </c>
      <c r="C219" t="s">
        <v>405</v>
      </c>
      <c r="D219">
        <v>37</v>
      </c>
      <c r="E219" s="93">
        <v>3</v>
      </c>
      <c r="F219" s="93">
        <v>23</v>
      </c>
      <c r="K219" s="92">
        <v>5</v>
      </c>
      <c r="L219" s="159">
        <v>41569</v>
      </c>
      <c r="S219" s="111">
        <v>1812.912</v>
      </c>
      <c r="T219" s="125">
        <v>41527</v>
      </c>
      <c r="U219" s="111">
        <v>10.8</v>
      </c>
      <c r="Y219" s="111">
        <v>979.48800000000006</v>
      </c>
      <c r="Z219" s="125">
        <v>41527</v>
      </c>
      <c r="AA219" s="111" t="s">
        <v>7718</v>
      </c>
      <c r="AB219" s="125">
        <v>41527</v>
      </c>
      <c r="AE219">
        <v>42.96</v>
      </c>
      <c r="AF219" s="125">
        <v>41527</v>
      </c>
      <c r="AG219" s="111" t="s">
        <v>7718</v>
      </c>
      <c r="AH219" s="125">
        <v>41527</v>
      </c>
      <c r="AI219" s="111">
        <v>140</v>
      </c>
      <c r="AJ219" s="125">
        <v>41527</v>
      </c>
      <c r="BS219" s="111">
        <v>42.2</v>
      </c>
      <c r="BT219" s="125">
        <v>41527</v>
      </c>
      <c r="BU219">
        <v>22.8</v>
      </c>
      <c r="BV219" s="125">
        <v>41527</v>
      </c>
      <c r="CC219" s="111">
        <v>9.3000000000000007</v>
      </c>
      <c r="CD219" s="125">
        <v>41527</v>
      </c>
      <c r="CG219" s="111">
        <v>5.96</v>
      </c>
      <c r="CH219" s="125">
        <v>41527</v>
      </c>
      <c r="CK219" s="111">
        <v>5</v>
      </c>
    </row>
    <row r="220" spans="1:89">
      <c r="A220" s="126" t="s">
        <v>7834</v>
      </c>
      <c r="B220" t="s">
        <v>257</v>
      </c>
      <c r="C220" t="s">
        <v>7794</v>
      </c>
      <c r="D220">
        <v>37</v>
      </c>
      <c r="E220" s="93">
        <v>2</v>
      </c>
      <c r="F220" s="93">
        <v>45</v>
      </c>
      <c r="K220" s="92">
        <v>5</v>
      </c>
      <c r="L220" s="159">
        <v>41569</v>
      </c>
      <c r="S220" s="111">
        <v>1816.125</v>
      </c>
      <c r="T220" s="125">
        <v>41527</v>
      </c>
      <c r="U220" s="111">
        <v>10.8</v>
      </c>
      <c r="Y220" s="111">
        <v>864.22500000000002</v>
      </c>
      <c r="Z220" s="125">
        <v>41527</v>
      </c>
      <c r="AA220" s="111" t="s">
        <v>7718</v>
      </c>
      <c r="AB220" s="125">
        <v>41527</v>
      </c>
      <c r="AE220">
        <v>41.75</v>
      </c>
      <c r="AF220" s="125">
        <v>41527</v>
      </c>
      <c r="AG220" s="111" t="s">
        <v>7718</v>
      </c>
      <c r="AH220" s="125">
        <v>41527</v>
      </c>
      <c r="AI220" s="111">
        <v>140</v>
      </c>
      <c r="AJ220" s="125">
        <v>41527</v>
      </c>
      <c r="BS220" s="111">
        <v>43.5</v>
      </c>
      <c r="BT220" s="125">
        <v>41527</v>
      </c>
      <c r="BU220">
        <v>20.7</v>
      </c>
      <c r="BV220" s="125">
        <v>41527</v>
      </c>
      <c r="CC220" s="111">
        <v>9</v>
      </c>
      <c r="CD220" s="125">
        <v>41527</v>
      </c>
      <c r="CG220" s="111">
        <v>3.53</v>
      </c>
      <c r="CH220" s="125">
        <v>41527</v>
      </c>
      <c r="CK220" s="111">
        <v>10</v>
      </c>
    </row>
    <row r="221" spans="1:89">
      <c r="A221" s="126" t="s">
        <v>7834</v>
      </c>
      <c r="B221" t="s">
        <v>259</v>
      </c>
      <c r="C221" t="s">
        <v>7794</v>
      </c>
      <c r="D221">
        <v>37</v>
      </c>
      <c r="E221" s="93">
        <v>6</v>
      </c>
      <c r="F221" s="93">
        <v>40</v>
      </c>
      <c r="K221" s="92">
        <v>5</v>
      </c>
      <c r="L221" s="159">
        <v>41569</v>
      </c>
      <c r="S221" s="111">
        <v>1867.0640000000001</v>
      </c>
      <c r="T221" s="125">
        <v>41527</v>
      </c>
      <c r="U221" s="111">
        <v>10.8</v>
      </c>
      <c r="Y221" s="111">
        <v>989.23199999999997</v>
      </c>
      <c r="Z221" s="125">
        <v>41527</v>
      </c>
      <c r="AA221" s="111" t="s">
        <v>7718</v>
      </c>
      <c r="AB221" s="125">
        <v>41527</v>
      </c>
      <c r="AE221">
        <v>44.56</v>
      </c>
      <c r="AF221" s="125">
        <v>41527</v>
      </c>
      <c r="AG221" s="111" t="s">
        <v>7718</v>
      </c>
      <c r="AH221" s="125">
        <v>41527</v>
      </c>
      <c r="AI221" s="111">
        <v>120</v>
      </c>
      <c r="AJ221" s="125">
        <v>41527</v>
      </c>
      <c r="BS221" s="111">
        <v>41.9</v>
      </c>
      <c r="BT221" s="125">
        <v>41527</v>
      </c>
      <c r="BU221">
        <v>22.2</v>
      </c>
      <c r="BV221" s="125">
        <v>41527</v>
      </c>
      <c r="CC221" s="111">
        <v>7.4</v>
      </c>
      <c r="CD221" s="125">
        <v>41527</v>
      </c>
      <c r="CG221" s="111">
        <v>3.21</v>
      </c>
      <c r="CH221" s="125">
        <v>41527</v>
      </c>
      <c r="CK221" s="111">
        <v>5</v>
      </c>
    </row>
    <row r="222" spans="1:89">
      <c r="A222" s="126" t="s">
        <v>7834</v>
      </c>
      <c r="B222" t="s">
        <v>257</v>
      </c>
      <c r="C222" t="s">
        <v>7795</v>
      </c>
      <c r="D222">
        <v>37</v>
      </c>
      <c r="E222" s="93">
        <v>5</v>
      </c>
      <c r="F222" s="93">
        <v>76</v>
      </c>
      <c r="K222" s="92">
        <v>7</v>
      </c>
      <c r="L222" s="159">
        <v>41569</v>
      </c>
      <c r="S222" s="111">
        <v>1579.92</v>
      </c>
      <c r="T222" s="125">
        <v>41527</v>
      </c>
      <c r="U222" s="111">
        <v>10.8</v>
      </c>
      <c r="Y222" s="111">
        <v>769.98400000000004</v>
      </c>
      <c r="Z222" s="125">
        <v>41527</v>
      </c>
      <c r="AA222" s="111">
        <v>81071.428570000004</v>
      </c>
      <c r="AB222" s="125">
        <v>41527</v>
      </c>
      <c r="AE222">
        <v>36.32</v>
      </c>
      <c r="AF222" s="125">
        <v>41527</v>
      </c>
      <c r="AG222" s="111">
        <v>4.4800000000000004</v>
      </c>
      <c r="AH222" s="125">
        <v>41527</v>
      </c>
      <c r="AI222" s="111">
        <v>125</v>
      </c>
      <c r="AJ222" s="125">
        <v>41527</v>
      </c>
      <c r="BS222" s="111">
        <v>43.5</v>
      </c>
      <c r="BT222" s="125">
        <v>41527</v>
      </c>
      <c r="BU222">
        <v>21.2</v>
      </c>
      <c r="BV222" s="125">
        <v>41527</v>
      </c>
      <c r="CC222" s="111">
        <v>6.4</v>
      </c>
      <c r="CD222" s="125">
        <v>41527</v>
      </c>
      <c r="CG222" s="111">
        <v>1.44</v>
      </c>
      <c r="CH222" s="125">
        <v>41527</v>
      </c>
      <c r="CK222" s="111">
        <v>5</v>
      </c>
    </row>
    <row r="223" spans="1:89">
      <c r="A223" s="126" t="s">
        <v>7834</v>
      </c>
      <c r="B223" t="s">
        <v>259</v>
      </c>
      <c r="C223" t="s">
        <v>7795</v>
      </c>
      <c r="D223">
        <v>37</v>
      </c>
      <c r="E223" s="93">
        <v>1</v>
      </c>
      <c r="F223" s="93">
        <v>60</v>
      </c>
      <c r="K223" s="92">
        <v>7</v>
      </c>
      <c r="L223" s="159">
        <v>41569</v>
      </c>
      <c r="S223" s="111">
        <v>1442.008</v>
      </c>
      <c r="T223" s="125">
        <v>41527</v>
      </c>
      <c r="U223" s="111">
        <v>10.8</v>
      </c>
      <c r="Y223" s="111">
        <v>922</v>
      </c>
      <c r="Z223" s="125">
        <v>41527</v>
      </c>
      <c r="AA223" s="111">
        <v>82690.58296</v>
      </c>
      <c r="AB223" s="125">
        <v>41527</v>
      </c>
      <c r="AE223">
        <v>36.880000000000003</v>
      </c>
      <c r="AF223" s="125">
        <v>41527</v>
      </c>
      <c r="AG223" s="111">
        <v>4.46</v>
      </c>
      <c r="AH223" s="125">
        <v>41527</v>
      </c>
      <c r="AI223" s="111">
        <v>130</v>
      </c>
      <c r="AJ223" s="125">
        <v>41527</v>
      </c>
      <c r="BS223" s="111">
        <v>39.1</v>
      </c>
      <c r="BT223" s="125">
        <v>41527</v>
      </c>
      <c r="BU223">
        <v>25</v>
      </c>
      <c r="BV223" s="125">
        <v>41527</v>
      </c>
      <c r="CC223" s="111">
        <v>10.4</v>
      </c>
      <c r="CD223" s="125">
        <v>41527</v>
      </c>
      <c r="CG223" s="111">
        <v>4.2699999999999996</v>
      </c>
      <c r="CH223" s="125">
        <v>41527</v>
      </c>
      <c r="CK223" s="111">
        <v>5</v>
      </c>
    </row>
    <row r="224" spans="1:89">
      <c r="A224" s="126" t="s">
        <v>7835</v>
      </c>
      <c r="B224" t="s">
        <v>257</v>
      </c>
      <c r="C224" t="s">
        <v>405</v>
      </c>
      <c r="D224">
        <v>38</v>
      </c>
      <c r="E224" s="93">
        <v>5</v>
      </c>
      <c r="F224" s="93">
        <v>11</v>
      </c>
      <c r="K224" s="92">
        <v>5</v>
      </c>
      <c r="L224" s="159">
        <v>41569</v>
      </c>
      <c r="S224" s="111">
        <v>1851.027</v>
      </c>
      <c r="T224" s="125">
        <v>41527</v>
      </c>
      <c r="U224" s="111">
        <v>10.8</v>
      </c>
      <c r="Y224" s="111">
        <v>848.90499999999997</v>
      </c>
      <c r="Z224" s="125">
        <v>41527</v>
      </c>
      <c r="AA224" s="111" t="s">
        <v>7718</v>
      </c>
      <c r="AB224" s="125">
        <v>41527</v>
      </c>
      <c r="AE224">
        <v>41.41</v>
      </c>
      <c r="AF224" s="125">
        <v>41527</v>
      </c>
      <c r="AG224" s="111" t="s">
        <v>7718</v>
      </c>
      <c r="AH224" s="125">
        <v>41527</v>
      </c>
      <c r="AI224" s="111">
        <v>125</v>
      </c>
      <c r="AJ224" s="125">
        <v>41527</v>
      </c>
      <c r="BS224" s="111">
        <v>44.7</v>
      </c>
      <c r="BT224" s="125">
        <v>41527</v>
      </c>
      <c r="BU224">
        <v>20.5</v>
      </c>
      <c r="BV224" s="125">
        <v>41527</v>
      </c>
      <c r="CC224" s="111">
        <v>6.7</v>
      </c>
      <c r="CD224" s="125">
        <v>41527</v>
      </c>
      <c r="CG224" s="111">
        <v>1.73</v>
      </c>
      <c r="CH224" s="125">
        <v>41527</v>
      </c>
      <c r="CK224" s="111">
        <v>20</v>
      </c>
    </row>
    <row r="225" spans="1:89">
      <c r="A225" s="126" t="s">
        <v>7835</v>
      </c>
      <c r="B225" t="s">
        <v>259</v>
      </c>
      <c r="C225" t="s">
        <v>405</v>
      </c>
      <c r="D225">
        <v>38</v>
      </c>
      <c r="E225" s="93">
        <v>1</v>
      </c>
      <c r="F225" s="93">
        <v>15</v>
      </c>
      <c r="K225" s="92">
        <v>5</v>
      </c>
      <c r="L225" s="159">
        <v>41569</v>
      </c>
      <c r="S225" s="111">
        <v>1724.431</v>
      </c>
      <c r="T225" s="125">
        <v>41527</v>
      </c>
      <c r="U225" s="111">
        <v>10.8</v>
      </c>
      <c r="Y225" s="111">
        <v>900.22500000000002</v>
      </c>
      <c r="Z225" s="125">
        <v>41527</v>
      </c>
      <c r="AA225" s="111" t="s">
        <v>7718</v>
      </c>
      <c r="AB225" s="125">
        <v>41527</v>
      </c>
      <c r="AE225">
        <v>40.01</v>
      </c>
      <c r="AF225" s="125">
        <v>41527</v>
      </c>
      <c r="AG225" s="111" t="s">
        <v>7718</v>
      </c>
      <c r="AH225" s="125">
        <v>41527</v>
      </c>
      <c r="AI225" s="111">
        <v>130</v>
      </c>
      <c r="AJ225" s="125">
        <v>41527</v>
      </c>
      <c r="BS225" s="111">
        <v>43.1</v>
      </c>
      <c r="BT225" s="125">
        <v>41527</v>
      </c>
      <c r="BU225">
        <v>22.5</v>
      </c>
      <c r="BV225" s="125">
        <v>41527</v>
      </c>
      <c r="CC225" s="111">
        <v>7.9</v>
      </c>
      <c r="CD225" s="125">
        <v>41527</v>
      </c>
      <c r="CG225" s="111">
        <v>3.62</v>
      </c>
      <c r="CH225" s="125">
        <v>41527</v>
      </c>
      <c r="CK225" s="111">
        <v>20</v>
      </c>
    </row>
    <row r="226" spans="1:89">
      <c r="A226" s="126" t="s">
        <v>7835</v>
      </c>
      <c r="B226" t="s">
        <v>257</v>
      </c>
      <c r="C226" t="s">
        <v>7794</v>
      </c>
      <c r="D226">
        <v>38</v>
      </c>
      <c r="E226" s="93">
        <v>2</v>
      </c>
      <c r="F226" s="93">
        <v>37</v>
      </c>
      <c r="K226" s="92">
        <v>5</v>
      </c>
      <c r="L226" s="159">
        <v>41569</v>
      </c>
      <c r="S226" s="111">
        <v>2052.0500000000002</v>
      </c>
      <c r="T226" s="125">
        <v>41527</v>
      </c>
      <c r="U226" s="111">
        <v>10.8</v>
      </c>
      <c r="Y226" s="111">
        <v>874.94</v>
      </c>
      <c r="Z226" s="125">
        <v>41527</v>
      </c>
      <c r="AA226" s="111" t="s">
        <v>7718</v>
      </c>
      <c r="AB226" s="125">
        <v>41527</v>
      </c>
      <c r="AE226">
        <v>45.1</v>
      </c>
      <c r="AF226" s="125">
        <v>41527</v>
      </c>
      <c r="AG226" s="111" t="s">
        <v>7718</v>
      </c>
      <c r="AH226" s="125">
        <v>41527</v>
      </c>
      <c r="AI226" s="111">
        <v>135</v>
      </c>
      <c r="AJ226" s="125">
        <v>41527</v>
      </c>
      <c r="BS226" s="111">
        <v>45.5</v>
      </c>
      <c r="BT226" s="125">
        <v>41527</v>
      </c>
      <c r="BU226">
        <v>19.399999999999999</v>
      </c>
      <c r="BV226" s="125">
        <v>41527</v>
      </c>
      <c r="CC226" s="111">
        <v>8.3000000000000007</v>
      </c>
      <c r="CD226" s="125">
        <v>41527</v>
      </c>
      <c r="CG226" s="111">
        <v>2.77</v>
      </c>
      <c r="CH226" s="125">
        <v>41527</v>
      </c>
      <c r="CK226" s="111">
        <v>20</v>
      </c>
    </row>
    <row r="227" spans="1:89">
      <c r="A227" s="126" t="s">
        <v>7835</v>
      </c>
      <c r="B227" t="s">
        <v>259</v>
      </c>
      <c r="C227" t="s">
        <v>7794</v>
      </c>
      <c r="D227">
        <v>38</v>
      </c>
      <c r="E227" s="93">
        <v>4</v>
      </c>
      <c r="F227" s="93">
        <v>44</v>
      </c>
      <c r="K227" s="92">
        <v>5</v>
      </c>
      <c r="L227" s="159">
        <v>41569</v>
      </c>
      <c r="S227" s="111">
        <v>1864.03</v>
      </c>
      <c r="T227" s="125">
        <v>41527</v>
      </c>
      <c r="U227" s="111">
        <v>10.8</v>
      </c>
      <c r="Y227" s="111">
        <v>953.49</v>
      </c>
      <c r="Z227" s="125">
        <v>41527</v>
      </c>
      <c r="AA227" s="111" t="s">
        <v>7718</v>
      </c>
      <c r="AB227" s="125">
        <v>41527</v>
      </c>
      <c r="AE227">
        <v>42.95</v>
      </c>
      <c r="AF227" s="125">
        <v>41527</v>
      </c>
      <c r="AG227" s="111" t="s">
        <v>7718</v>
      </c>
      <c r="AH227" s="125">
        <v>41527</v>
      </c>
      <c r="AI227" s="111">
        <v>135</v>
      </c>
      <c r="AJ227" s="125">
        <v>41527</v>
      </c>
      <c r="BS227" s="111">
        <v>43.4</v>
      </c>
      <c r="BT227" s="125">
        <v>41527</v>
      </c>
      <c r="BU227">
        <v>22.2</v>
      </c>
      <c r="BV227" s="125">
        <v>41527</v>
      </c>
      <c r="CC227" s="111">
        <v>7.2</v>
      </c>
      <c r="CD227" s="125">
        <v>41527</v>
      </c>
      <c r="CG227" s="111">
        <v>1.79</v>
      </c>
      <c r="CH227" s="125">
        <v>41527</v>
      </c>
      <c r="CK227" s="111">
        <v>20</v>
      </c>
    </row>
    <row r="228" spans="1:89">
      <c r="A228" s="126" t="s">
        <v>7835</v>
      </c>
      <c r="B228" t="s">
        <v>257</v>
      </c>
      <c r="C228" t="s">
        <v>7795</v>
      </c>
      <c r="D228">
        <v>38</v>
      </c>
      <c r="E228" s="93">
        <v>4</v>
      </c>
      <c r="F228" s="93">
        <v>82</v>
      </c>
      <c r="K228" s="92">
        <v>5</v>
      </c>
      <c r="L228" s="159">
        <v>41569</v>
      </c>
      <c r="S228" s="111">
        <v>1558.2049999999999</v>
      </c>
      <c r="T228" s="125">
        <v>41527</v>
      </c>
      <c r="U228" s="111">
        <v>10.8</v>
      </c>
      <c r="Y228" s="111">
        <v>704.82</v>
      </c>
      <c r="Z228" s="125">
        <v>41527</v>
      </c>
      <c r="AA228" s="111">
        <v>71829.521829999998</v>
      </c>
      <c r="AB228" s="125">
        <v>41527</v>
      </c>
      <c r="AE228">
        <v>34.549999999999997</v>
      </c>
      <c r="AF228" s="125">
        <v>41527</v>
      </c>
      <c r="AG228" s="111">
        <v>4.8099999999999996</v>
      </c>
      <c r="AH228" s="125">
        <v>41527</v>
      </c>
      <c r="AI228" s="111">
        <v>130</v>
      </c>
      <c r="AJ228" s="125">
        <v>41527</v>
      </c>
      <c r="BS228" s="111">
        <v>45.1</v>
      </c>
      <c r="BT228" s="125">
        <v>41527</v>
      </c>
      <c r="BU228">
        <v>20.399999999999999</v>
      </c>
      <c r="BV228" s="125">
        <v>41527</v>
      </c>
      <c r="CC228" s="111">
        <v>6.6</v>
      </c>
      <c r="CD228" s="125">
        <v>41527</v>
      </c>
      <c r="CG228" s="111">
        <v>4.55</v>
      </c>
      <c r="CH228" s="125">
        <v>41527</v>
      </c>
      <c r="CK228" s="111">
        <v>20</v>
      </c>
    </row>
    <row r="229" spans="1:89">
      <c r="A229" s="126" t="s">
        <v>7835</v>
      </c>
      <c r="B229" t="s">
        <v>259</v>
      </c>
      <c r="C229" t="s">
        <v>7795</v>
      </c>
      <c r="D229">
        <v>38</v>
      </c>
      <c r="E229" s="93">
        <v>2</v>
      </c>
      <c r="F229" s="93">
        <v>72</v>
      </c>
      <c r="K229" s="92">
        <v>5</v>
      </c>
      <c r="L229" s="159">
        <v>41569</v>
      </c>
      <c r="S229" s="111">
        <v>1956.8140000000001</v>
      </c>
      <c r="T229" s="125">
        <v>41527</v>
      </c>
      <c r="U229" s="111">
        <v>10.8</v>
      </c>
      <c r="Y229" s="111">
        <v>1020.14</v>
      </c>
      <c r="Z229" s="125">
        <v>41527</v>
      </c>
      <c r="AA229" s="111">
        <v>99720.430110000001</v>
      </c>
      <c r="AB229" s="125">
        <v>41527</v>
      </c>
      <c r="AE229">
        <v>46.37</v>
      </c>
      <c r="AF229" s="125">
        <v>41527</v>
      </c>
      <c r="AG229" s="111">
        <v>4.6500000000000004</v>
      </c>
      <c r="AH229" s="125">
        <v>41527</v>
      </c>
      <c r="AI229" s="111">
        <v>125</v>
      </c>
      <c r="AJ229" s="125">
        <v>41527</v>
      </c>
      <c r="BS229" s="111">
        <v>42.2</v>
      </c>
      <c r="BT229" s="125">
        <v>41527</v>
      </c>
      <c r="BU229">
        <v>22</v>
      </c>
      <c r="BV229" s="125">
        <v>41527</v>
      </c>
      <c r="CC229" s="111">
        <v>10.6</v>
      </c>
      <c r="CD229" s="125">
        <v>41527</v>
      </c>
      <c r="CG229" s="111">
        <v>8.83</v>
      </c>
      <c r="CH229" s="125">
        <v>41527</v>
      </c>
      <c r="CK229" s="111">
        <v>30</v>
      </c>
    </row>
    <row r="230" spans="1:89">
      <c r="A230" s="126" t="s">
        <v>7836</v>
      </c>
      <c r="B230" t="s">
        <v>257</v>
      </c>
      <c r="C230" t="s">
        <v>405</v>
      </c>
      <c r="D230">
        <v>39</v>
      </c>
      <c r="E230" s="93">
        <v>6</v>
      </c>
      <c r="F230" s="93">
        <v>10</v>
      </c>
      <c r="K230" s="92">
        <v>5</v>
      </c>
      <c r="L230" s="159">
        <v>41569</v>
      </c>
      <c r="S230" s="111">
        <v>1536.4780000000001</v>
      </c>
      <c r="T230" s="125">
        <v>41527</v>
      </c>
      <c r="U230" s="111">
        <v>10.8</v>
      </c>
      <c r="Y230" s="111">
        <v>701.51</v>
      </c>
      <c r="Z230" s="125">
        <v>41527</v>
      </c>
      <c r="AA230" s="111" t="s">
        <v>7718</v>
      </c>
      <c r="AB230" s="125">
        <v>41527</v>
      </c>
      <c r="AE230">
        <v>34.22</v>
      </c>
      <c r="AF230" s="125">
        <v>41527</v>
      </c>
      <c r="AG230" s="111" t="s">
        <v>7718</v>
      </c>
      <c r="AH230" s="125">
        <v>41527</v>
      </c>
      <c r="AI230" s="111">
        <v>120</v>
      </c>
      <c r="AJ230" s="125">
        <v>41527</v>
      </c>
      <c r="BS230" s="111">
        <v>44.9</v>
      </c>
      <c r="BT230" s="125">
        <v>41527</v>
      </c>
      <c r="BU230">
        <v>20.5</v>
      </c>
      <c r="BV230" s="125">
        <v>41527</v>
      </c>
      <c r="CC230" s="111">
        <v>7.7</v>
      </c>
      <c r="CD230" s="125">
        <v>41527</v>
      </c>
      <c r="CG230" s="111">
        <v>5.6</v>
      </c>
      <c r="CH230" s="125">
        <v>41527</v>
      </c>
      <c r="CK230" s="111">
        <v>20</v>
      </c>
    </row>
    <row r="231" spans="1:89">
      <c r="A231" s="126" t="s">
        <v>7836</v>
      </c>
      <c r="B231" t="s">
        <v>259</v>
      </c>
      <c r="C231" t="s">
        <v>405</v>
      </c>
      <c r="D231">
        <v>39</v>
      </c>
      <c r="E231" s="93">
        <v>3</v>
      </c>
      <c r="F231" s="93">
        <v>13</v>
      </c>
      <c r="K231" s="92">
        <v>5</v>
      </c>
      <c r="L231" s="159">
        <v>41569</v>
      </c>
      <c r="S231" s="111">
        <v>1950.5429999999999</v>
      </c>
      <c r="T231" s="125">
        <v>41527</v>
      </c>
      <c r="U231" s="111">
        <v>10.8</v>
      </c>
      <c r="Y231" s="111">
        <v>964.21400000000006</v>
      </c>
      <c r="Z231" s="125">
        <v>41527</v>
      </c>
      <c r="AA231" s="111" t="s">
        <v>7718</v>
      </c>
      <c r="AB231" s="125">
        <v>41527</v>
      </c>
      <c r="AE231">
        <v>44.23</v>
      </c>
      <c r="AF231" s="125">
        <v>41527</v>
      </c>
      <c r="AG231" s="111" t="s">
        <v>7718</v>
      </c>
      <c r="AH231" s="125">
        <v>41527</v>
      </c>
      <c r="AI231" s="111">
        <v>140</v>
      </c>
      <c r="AJ231" s="125">
        <v>41527</v>
      </c>
      <c r="BS231" s="111">
        <v>44.1</v>
      </c>
      <c r="BT231" s="125">
        <v>41527</v>
      </c>
      <c r="BU231">
        <v>21.8</v>
      </c>
      <c r="BV231" s="125">
        <v>41527</v>
      </c>
      <c r="CC231" s="111">
        <v>7.3</v>
      </c>
      <c r="CD231" s="125">
        <v>41527</v>
      </c>
      <c r="CG231" s="111">
        <v>1.23</v>
      </c>
      <c r="CH231" s="125">
        <v>41527</v>
      </c>
      <c r="CK231" s="111">
        <v>20</v>
      </c>
    </row>
    <row r="232" spans="1:89">
      <c r="A232" s="126" t="s">
        <v>7836</v>
      </c>
      <c r="B232" t="s">
        <v>257</v>
      </c>
      <c r="C232" t="s">
        <v>7794</v>
      </c>
      <c r="D232">
        <v>39</v>
      </c>
      <c r="E232" s="93">
        <v>2</v>
      </c>
      <c r="F232" s="93">
        <v>42</v>
      </c>
      <c r="K232" s="92">
        <v>5</v>
      </c>
      <c r="L232" s="159">
        <v>41569</v>
      </c>
      <c r="S232" s="111">
        <v>1955.625</v>
      </c>
      <c r="T232" s="125">
        <v>41527</v>
      </c>
      <c r="U232" s="111">
        <v>10.8</v>
      </c>
      <c r="Y232" s="111">
        <v>910</v>
      </c>
      <c r="Z232" s="125">
        <v>41527</v>
      </c>
      <c r="AA232" s="111" t="s">
        <v>7718</v>
      </c>
      <c r="AB232" s="125">
        <v>41527</v>
      </c>
      <c r="AE232">
        <v>43.75</v>
      </c>
      <c r="AF232" s="125">
        <v>41527</v>
      </c>
      <c r="AG232" s="111" t="s">
        <v>7718</v>
      </c>
      <c r="AH232" s="125">
        <v>41527</v>
      </c>
      <c r="AI232" s="111">
        <v>135</v>
      </c>
      <c r="AJ232" s="125">
        <v>41527</v>
      </c>
      <c r="BS232" s="111">
        <v>44.7</v>
      </c>
      <c r="BT232" s="125">
        <v>41527</v>
      </c>
      <c r="BU232">
        <v>20.8</v>
      </c>
      <c r="BV232" s="125">
        <v>41527</v>
      </c>
      <c r="CC232" s="111">
        <v>8.8000000000000007</v>
      </c>
      <c r="CD232" s="125">
        <v>41527</v>
      </c>
      <c r="CG232" s="111">
        <v>2.31</v>
      </c>
      <c r="CH232" s="125">
        <v>41527</v>
      </c>
      <c r="CK232" s="111">
        <v>20</v>
      </c>
    </row>
    <row r="233" spans="1:89">
      <c r="A233" s="126" t="s">
        <v>7836</v>
      </c>
      <c r="B233" t="s">
        <v>259</v>
      </c>
      <c r="C233" t="s">
        <v>7794</v>
      </c>
      <c r="D233">
        <v>39</v>
      </c>
      <c r="E233" s="93">
        <v>5</v>
      </c>
      <c r="F233" s="93">
        <v>35</v>
      </c>
      <c r="K233" s="92">
        <v>5</v>
      </c>
      <c r="L233" s="159">
        <v>41569</v>
      </c>
      <c r="S233" s="111">
        <v>1691.627</v>
      </c>
      <c r="T233" s="125">
        <v>41527</v>
      </c>
      <c r="U233" s="111">
        <v>10.8</v>
      </c>
      <c r="Y233" s="111">
        <v>870.97500000000002</v>
      </c>
      <c r="Z233" s="125">
        <v>41527</v>
      </c>
      <c r="AA233" s="111" t="s">
        <v>7718</v>
      </c>
      <c r="AB233" s="125">
        <v>41527</v>
      </c>
      <c r="AE233">
        <v>38.71</v>
      </c>
      <c r="AF233" s="125">
        <v>41527</v>
      </c>
      <c r="AG233" s="111" t="s">
        <v>7718</v>
      </c>
      <c r="AH233" s="125">
        <v>41527</v>
      </c>
      <c r="AI233" s="111">
        <v>130</v>
      </c>
      <c r="AJ233" s="125">
        <v>41527</v>
      </c>
      <c r="BS233" s="111">
        <v>43.7</v>
      </c>
      <c r="BT233" s="125">
        <v>41527</v>
      </c>
      <c r="BU233">
        <v>22.5</v>
      </c>
      <c r="BV233" s="125">
        <v>41527</v>
      </c>
      <c r="CC233" s="111">
        <v>8.1999999999999993</v>
      </c>
      <c r="CD233" s="125">
        <v>41527</v>
      </c>
      <c r="CG233" s="111">
        <v>1.3</v>
      </c>
      <c r="CH233" s="125">
        <v>41527</v>
      </c>
      <c r="CK233" s="111">
        <v>20</v>
      </c>
    </row>
    <row r="234" spans="1:89">
      <c r="A234" s="126" t="s">
        <v>7836</v>
      </c>
      <c r="B234" t="s">
        <v>257</v>
      </c>
      <c r="C234" t="s">
        <v>7795</v>
      </c>
      <c r="D234">
        <v>39</v>
      </c>
      <c r="E234" s="93">
        <v>5</v>
      </c>
      <c r="F234" s="93">
        <v>81</v>
      </c>
      <c r="K234" s="92">
        <v>5</v>
      </c>
      <c r="L234" s="159">
        <v>41569</v>
      </c>
      <c r="S234" s="111">
        <v>1606.5</v>
      </c>
      <c r="T234" s="125">
        <v>41527</v>
      </c>
      <c r="U234" s="111">
        <v>10.8</v>
      </c>
      <c r="Y234" s="111">
        <v>724.71</v>
      </c>
      <c r="Z234" s="125">
        <v>41527</v>
      </c>
      <c r="AA234" s="111">
        <v>81880.733940000006</v>
      </c>
      <c r="AB234" s="125">
        <v>41527</v>
      </c>
      <c r="AE234">
        <v>35.700000000000003</v>
      </c>
      <c r="AF234" s="125">
        <v>41527</v>
      </c>
      <c r="AG234" s="111">
        <v>4.3600000000000003</v>
      </c>
      <c r="AH234" s="125">
        <v>41527</v>
      </c>
      <c r="AI234" s="111">
        <v>125</v>
      </c>
      <c r="AJ234" s="125">
        <v>41527</v>
      </c>
      <c r="BS234" s="111">
        <v>45</v>
      </c>
      <c r="BT234" s="125">
        <v>41527</v>
      </c>
      <c r="BU234">
        <v>20.3</v>
      </c>
      <c r="BV234" s="125">
        <v>41527</v>
      </c>
      <c r="CC234" s="111">
        <v>6.6</v>
      </c>
      <c r="CD234" s="125">
        <v>41527</v>
      </c>
      <c r="CG234" s="111">
        <v>1.8</v>
      </c>
      <c r="CH234" s="125">
        <v>41527</v>
      </c>
      <c r="CK234" s="111">
        <v>5</v>
      </c>
    </row>
    <row r="235" spans="1:89">
      <c r="A235" s="126" t="s">
        <v>7836</v>
      </c>
      <c r="B235" t="s">
        <v>259</v>
      </c>
      <c r="C235" t="s">
        <v>7795</v>
      </c>
      <c r="D235">
        <v>39</v>
      </c>
      <c r="E235" s="93">
        <v>2</v>
      </c>
      <c r="F235" s="93">
        <v>63</v>
      </c>
      <c r="K235" s="92">
        <v>5</v>
      </c>
      <c r="L235" s="159">
        <v>41569</v>
      </c>
      <c r="S235" s="111">
        <v>1872.24</v>
      </c>
      <c r="T235" s="125">
        <v>41527</v>
      </c>
      <c r="U235" s="111">
        <v>10.8</v>
      </c>
      <c r="Y235" s="111">
        <v>964.096</v>
      </c>
      <c r="Z235" s="125">
        <v>41527</v>
      </c>
      <c r="AA235" s="111">
        <v>93362.255969999998</v>
      </c>
      <c r="AB235" s="125">
        <v>41527</v>
      </c>
      <c r="AE235">
        <v>43.04</v>
      </c>
      <c r="AF235" s="125">
        <v>41527</v>
      </c>
      <c r="AG235" s="111">
        <v>4.6100000000000003</v>
      </c>
      <c r="AH235" s="125">
        <v>41527</v>
      </c>
      <c r="AI235" s="111">
        <v>130</v>
      </c>
      <c r="AJ235" s="125">
        <v>41527</v>
      </c>
      <c r="BS235" s="111">
        <v>43.5</v>
      </c>
      <c r="BT235" s="125">
        <v>41527</v>
      </c>
      <c r="BU235">
        <v>22.4</v>
      </c>
      <c r="BV235" s="125">
        <v>41527</v>
      </c>
      <c r="CC235" s="111">
        <v>9</v>
      </c>
      <c r="CD235" s="125">
        <v>41527</v>
      </c>
      <c r="CG235" s="111">
        <v>3.32</v>
      </c>
      <c r="CH235" s="125">
        <v>41527</v>
      </c>
      <c r="CK235" s="111">
        <v>20</v>
      </c>
    </row>
    <row r="236" spans="1:89">
      <c r="A236" s="126" t="s">
        <v>7837</v>
      </c>
      <c r="B236" t="s">
        <v>257</v>
      </c>
      <c r="C236" t="s">
        <v>405</v>
      </c>
      <c r="D236">
        <v>40</v>
      </c>
      <c r="E236" s="93">
        <v>4</v>
      </c>
      <c r="F236" s="93">
        <v>28</v>
      </c>
      <c r="K236" s="92">
        <v>5</v>
      </c>
      <c r="L236" s="159">
        <v>41569</v>
      </c>
      <c r="S236" s="111">
        <v>1969.4</v>
      </c>
      <c r="T236" s="125">
        <v>41527</v>
      </c>
      <c r="U236" s="111">
        <v>10.8</v>
      </c>
      <c r="Y236" s="111">
        <v>860</v>
      </c>
      <c r="Z236" s="125">
        <v>41527</v>
      </c>
      <c r="AA236" s="111" t="s">
        <v>7718</v>
      </c>
      <c r="AB236" s="125">
        <v>41527</v>
      </c>
      <c r="AE236">
        <v>43</v>
      </c>
      <c r="AF236" s="125">
        <v>41527</v>
      </c>
      <c r="AG236" s="111" t="s">
        <v>7718</v>
      </c>
      <c r="AH236" s="125">
        <v>41527</v>
      </c>
      <c r="AI236" s="111">
        <v>140</v>
      </c>
      <c r="AJ236" s="125">
        <v>41527</v>
      </c>
      <c r="BS236" s="111">
        <v>45.8</v>
      </c>
      <c r="BT236" s="125">
        <v>41527</v>
      </c>
      <c r="BU236">
        <v>20</v>
      </c>
      <c r="BV236" s="125">
        <v>41527</v>
      </c>
      <c r="CC236" s="111">
        <v>10.7</v>
      </c>
      <c r="CD236" s="125">
        <v>41527</v>
      </c>
      <c r="CG236" s="111">
        <v>2.33</v>
      </c>
      <c r="CH236" s="125">
        <v>41527</v>
      </c>
      <c r="CK236" s="111">
        <v>10</v>
      </c>
    </row>
    <row r="237" spans="1:89">
      <c r="A237" s="126" t="s">
        <v>7837</v>
      </c>
      <c r="B237" t="s">
        <v>259</v>
      </c>
      <c r="C237" t="s">
        <v>405</v>
      </c>
      <c r="D237">
        <v>40</v>
      </c>
      <c r="E237" s="93">
        <v>1</v>
      </c>
      <c r="F237" s="93">
        <v>10</v>
      </c>
      <c r="K237" s="92">
        <v>5</v>
      </c>
      <c r="L237" s="159">
        <v>41569</v>
      </c>
      <c r="S237" s="111">
        <v>2158.6</v>
      </c>
      <c r="T237" s="125">
        <v>41527</v>
      </c>
      <c r="U237" s="111">
        <v>10.8</v>
      </c>
      <c r="Y237" s="111">
        <v>1134.52</v>
      </c>
      <c r="Z237" s="125">
        <v>41527</v>
      </c>
      <c r="AA237" s="111" t="s">
        <v>7718</v>
      </c>
      <c r="AB237" s="125">
        <v>41527</v>
      </c>
      <c r="AE237">
        <v>50.2</v>
      </c>
      <c r="AF237" s="125">
        <v>41527</v>
      </c>
      <c r="AG237" s="111" t="s">
        <v>7718</v>
      </c>
      <c r="AH237" s="125">
        <v>41527</v>
      </c>
      <c r="AI237" s="111">
        <v>140</v>
      </c>
      <c r="AJ237" s="125">
        <v>41527</v>
      </c>
      <c r="BS237" s="111">
        <v>43</v>
      </c>
      <c r="BT237" s="125">
        <v>41527</v>
      </c>
      <c r="BU237">
        <v>22.6</v>
      </c>
      <c r="BV237" s="125">
        <v>41527</v>
      </c>
      <c r="CC237" s="111">
        <v>8.3000000000000007</v>
      </c>
      <c r="CD237" s="125">
        <v>41527</v>
      </c>
      <c r="CG237" s="111">
        <v>1.71</v>
      </c>
      <c r="CH237" s="125">
        <v>41527</v>
      </c>
      <c r="CK237" s="111">
        <v>5</v>
      </c>
    </row>
    <row r="238" spans="1:89">
      <c r="A238" s="126" t="s">
        <v>7837</v>
      </c>
      <c r="B238" t="s">
        <v>257</v>
      </c>
      <c r="C238" t="s">
        <v>7794</v>
      </c>
      <c r="D238">
        <v>40</v>
      </c>
      <c r="E238" s="93">
        <v>3</v>
      </c>
      <c r="F238" s="93">
        <v>56</v>
      </c>
      <c r="K238" s="92">
        <v>7</v>
      </c>
      <c r="L238" s="159">
        <v>41569</v>
      </c>
      <c r="S238" s="111">
        <v>2197.41</v>
      </c>
      <c r="T238" s="125">
        <v>41527</v>
      </c>
      <c r="U238" s="111">
        <v>10.8</v>
      </c>
      <c r="Y238" s="111">
        <v>1017.228</v>
      </c>
      <c r="Z238" s="125">
        <v>41527</v>
      </c>
      <c r="AA238" s="111" t="s">
        <v>7718</v>
      </c>
      <c r="AB238" s="125">
        <v>41527</v>
      </c>
      <c r="AE238">
        <v>49.38</v>
      </c>
      <c r="AF238" s="125">
        <v>41527</v>
      </c>
      <c r="AG238" s="111" t="s">
        <v>7718</v>
      </c>
      <c r="AH238" s="125">
        <v>41527</v>
      </c>
      <c r="AI238" s="111">
        <v>140</v>
      </c>
      <c r="AJ238" s="125">
        <v>41527</v>
      </c>
      <c r="BS238" s="111">
        <v>44.5</v>
      </c>
      <c r="BT238" s="125">
        <v>41527</v>
      </c>
      <c r="BU238">
        <v>20.6</v>
      </c>
      <c r="BV238" s="125">
        <v>41527</v>
      </c>
      <c r="CC238" s="111">
        <v>6.1</v>
      </c>
      <c r="CD238" s="125">
        <v>41527</v>
      </c>
      <c r="CG238" s="111">
        <v>2.0299999999999998</v>
      </c>
      <c r="CH238" s="125">
        <v>41527</v>
      </c>
      <c r="CK238" s="111">
        <v>10</v>
      </c>
    </row>
    <row r="239" spans="1:89">
      <c r="A239" s="126" t="s">
        <v>7837</v>
      </c>
      <c r="B239" t="s">
        <v>259</v>
      </c>
      <c r="C239" t="s">
        <v>7794</v>
      </c>
      <c r="D239">
        <v>40</v>
      </c>
      <c r="E239" s="93">
        <v>5</v>
      </c>
      <c r="F239" s="93">
        <v>58</v>
      </c>
      <c r="K239" s="92">
        <v>5</v>
      </c>
      <c r="L239" s="159">
        <v>41569</v>
      </c>
      <c r="S239" s="111">
        <v>2530.7640000000001</v>
      </c>
      <c r="T239" s="125">
        <v>41527</v>
      </c>
      <c r="U239" s="111">
        <v>10.8</v>
      </c>
      <c r="Y239" s="111">
        <v>1294.9469999999999</v>
      </c>
      <c r="Z239" s="125">
        <v>41527</v>
      </c>
      <c r="AA239" s="111" t="s">
        <v>7718</v>
      </c>
      <c r="AB239" s="125">
        <v>41527</v>
      </c>
      <c r="AE239">
        <v>59.13</v>
      </c>
      <c r="AF239" s="125">
        <v>41527</v>
      </c>
      <c r="AG239" s="111" t="s">
        <v>7718</v>
      </c>
      <c r="AH239" s="125">
        <v>41527</v>
      </c>
      <c r="AI239" s="111">
        <v>130</v>
      </c>
      <c r="AJ239" s="125">
        <v>41527</v>
      </c>
      <c r="BS239" s="111">
        <v>42.8</v>
      </c>
      <c r="BT239" s="125">
        <v>41527</v>
      </c>
      <c r="BU239">
        <v>21.9</v>
      </c>
      <c r="BV239" s="125">
        <v>41527</v>
      </c>
      <c r="CC239" s="111">
        <v>5.8</v>
      </c>
      <c r="CD239" s="125">
        <v>41527</v>
      </c>
      <c r="CG239" s="111">
        <v>4.0599999999999996</v>
      </c>
      <c r="CH239" s="125">
        <v>41527</v>
      </c>
      <c r="CK239" s="111">
        <v>1</v>
      </c>
    </row>
    <row r="240" spans="1:89">
      <c r="A240" s="126" t="s">
        <v>7837</v>
      </c>
      <c r="B240" t="s">
        <v>257</v>
      </c>
      <c r="C240" t="s">
        <v>7795</v>
      </c>
      <c r="D240">
        <v>40</v>
      </c>
      <c r="E240" s="93">
        <v>4</v>
      </c>
      <c r="F240" s="93">
        <v>72</v>
      </c>
      <c r="K240" s="92">
        <v>5</v>
      </c>
      <c r="L240" s="159">
        <v>41569</v>
      </c>
      <c r="S240" s="111">
        <v>2073.2550000000001</v>
      </c>
      <c r="T240" s="125">
        <v>41527</v>
      </c>
      <c r="U240" s="111">
        <v>10.8</v>
      </c>
      <c r="Y240" s="111">
        <v>959.75400000000002</v>
      </c>
      <c r="Z240" s="125">
        <v>41527</v>
      </c>
      <c r="AA240" s="111">
        <v>99978.540770000007</v>
      </c>
      <c r="AB240" s="125">
        <v>41527</v>
      </c>
      <c r="AE240">
        <v>46.59</v>
      </c>
      <c r="AF240" s="125">
        <v>41527</v>
      </c>
      <c r="AG240" s="111">
        <v>4.66</v>
      </c>
      <c r="AH240" s="125">
        <v>41527</v>
      </c>
      <c r="AI240" s="111">
        <v>135</v>
      </c>
      <c r="AJ240" s="125">
        <v>41527</v>
      </c>
      <c r="BS240" s="111">
        <v>44.5</v>
      </c>
      <c r="BT240" s="125">
        <v>41527</v>
      </c>
      <c r="BU240">
        <v>20.6</v>
      </c>
      <c r="BV240" s="125">
        <v>41527</v>
      </c>
      <c r="CC240" s="111">
        <v>5.8</v>
      </c>
      <c r="CD240" s="125">
        <v>41527</v>
      </c>
      <c r="CG240" s="111">
        <v>1.03</v>
      </c>
      <c r="CH240" s="125">
        <v>41527</v>
      </c>
      <c r="CK240" s="111">
        <v>5</v>
      </c>
    </row>
    <row r="241" spans="1:89">
      <c r="A241" s="126" t="s">
        <v>7837</v>
      </c>
      <c r="B241" t="s">
        <v>259</v>
      </c>
      <c r="C241" t="s">
        <v>7795</v>
      </c>
      <c r="D241">
        <v>40</v>
      </c>
      <c r="E241" s="93">
        <v>3</v>
      </c>
      <c r="F241" s="93">
        <v>71</v>
      </c>
      <c r="K241" s="92">
        <v>5</v>
      </c>
      <c r="L241" s="159">
        <v>41569</v>
      </c>
      <c r="S241" s="111">
        <v>2110.08</v>
      </c>
      <c r="T241" s="125">
        <v>41527</v>
      </c>
      <c r="U241" s="111">
        <v>10.8</v>
      </c>
      <c r="Y241" s="111">
        <v>1150.4960000000001</v>
      </c>
      <c r="Z241" s="125">
        <v>41527</v>
      </c>
      <c r="AA241" s="111">
        <v>102530.6122</v>
      </c>
      <c r="AB241" s="125">
        <v>41527</v>
      </c>
      <c r="AE241">
        <v>50.24</v>
      </c>
      <c r="AF241" s="125">
        <v>41527</v>
      </c>
      <c r="AG241" s="111">
        <v>4.9000000000000004</v>
      </c>
      <c r="AH241" s="125">
        <v>41527</v>
      </c>
      <c r="AI241" s="111">
        <v>140</v>
      </c>
      <c r="AJ241" s="125">
        <v>41527</v>
      </c>
      <c r="BS241" s="111">
        <v>42</v>
      </c>
      <c r="BT241" s="125">
        <v>41527</v>
      </c>
      <c r="BU241">
        <v>22.9</v>
      </c>
      <c r="BV241" s="125">
        <v>41527</v>
      </c>
      <c r="CC241" s="111">
        <v>7.6</v>
      </c>
      <c r="CD241" s="125">
        <v>41527</v>
      </c>
      <c r="CG241" s="111">
        <v>2.59</v>
      </c>
      <c r="CH241" s="125">
        <v>41527</v>
      </c>
      <c r="CK241" s="111">
        <v>5</v>
      </c>
    </row>
    <row r="242" spans="1:89">
      <c r="A242" s="126" t="s">
        <v>7838</v>
      </c>
      <c r="B242" t="s">
        <v>257</v>
      </c>
      <c r="C242" t="s">
        <v>405</v>
      </c>
      <c r="D242">
        <v>41</v>
      </c>
      <c r="E242" s="93">
        <v>5</v>
      </c>
      <c r="F242" s="93">
        <v>14</v>
      </c>
      <c r="K242" s="92">
        <v>3</v>
      </c>
      <c r="L242" s="159">
        <v>41569</v>
      </c>
      <c r="S242" s="111" t="s">
        <v>7718</v>
      </c>
      <c r="T242" s="125">
        <v>41527</v>
      </c>
      <c r="U242" s="111">
        <v>10.8</v>
      </c>
      <c r="Y242" s="111" t="s">
        <v>7718</v>
      </c>
      <c r="Z242" s="125">
        <v>41527</v>
      </c>
      <c r="AA242" s="111" t="s">
        <v>7718</v>
      </c>
      <c r="AB242" s="125">
        <v>41527</v>
      </c>
      <c r="AE242" t="s">
        <v>7718</v>
      </c>
      <c r="AF242" s="125">
        <v>41527</v>
      </c>
      <c r="AG242" s="111" t="s">
        <v>7718</v>
      </c>
      <c r="AH242" s="125">
        <v>41527</v>
      </c>
      <c r="AI242" s="111">
        <v>115</v>
      </c>
      <c r="AJ242" s="125">
        <v>41527</v>
      </c>
      <c r="BS242" s="111" t="s">
        <v>7718</v>
      </c>
      <c r="BT242" s="125">
        <v>41527</v>
      </c>
      <c r="BU242" t="s">
        <v>7718</v>
      </c>
      <c r="BV242" s="125">
        <v>41527</v>
      </c>
      <c r="CC242" s="111" t="s">
        <v>7718</v>
      </c>
      <c r="CD242" s="125">
        <v>41527</v>
      </c>
      <c r="CG242" s="111" t="s">
        <v>7718</v>
      </c>
      <c r="CH242" s="125">
        <v>41527</v>
      </c>
      <c r="CK242" s="111">
        <v>20</v>
      </c>
    </row>
    <row r="243" spans="1:89">
      <c r="A243" s="126" t="s">
        <v>7838</v>
      </c>
      <c r="B243" t="s">
        <v>259</v>
      </c>
      <c r="C243" t="s">
        <v>405</v>
      </c>
      <c r="D243">
        <v>41</v>
      </c>
      <c r="E243" s="93">
        <v>2</v>
      </c>
      <c r="F243" s="93">
        <v>10</v>
      </c>
      <c r="K243" s="92">
        <v>3</v>
      </c>
      <c r="L243" s="159">
        <v>41569</v>
      </c>
      <c r="S243" s="111">
        <v>1590.4380000000001</v>
      </c>
      <c r="T243" s="125">
        <v>41527</v>
      </c>
      <c r="U243" s="111">
        <v>10.8</v>
      </c>
      <c r="Y243" s="111">
        <v>846.70799999999997</v>
      </c>
      <c r="Z243" s="125">
        <v>41527</v>
      </c>
      <c r="AA243" s="111" t="s">
        <v>7718</v>
      </c>
      <c r="AB243" s="125">
        <v>41527</v>
      </c>
      <c r="AE243">
        <v>38.14</v>
      </c>
      <c r="AF243" s="125">
        <v>41527</v>
      </c>
      <c r="AG243" s="111" t="s">
        <v>7718</v>
      </c>
      <c r="AH243" s="125">
        <v>41527</v>
      </c>
      <c r="AI243" s="111">
        <v>125</v>
      </c>
      <c r="AJ243" s="125">
        <v>41527</v>
      </c>
      <c r="BS243" s="111">
        <v>41.7</v>
      </c>
      <c r="BT243" s="125">
        <v>41527</v>
      </c>
      <c r="BU243">
        <v>22.2</v>
      </c>
      <c r="BV243" s="125">
        <v>41527</v>
      </c>
      <c r="CC243" s="111">
        <v>8.5</v>
      </c>
      <c r="CD243" s="125">
        <v>41527</v>
      </c>
      <c r="CG243" s="111">
        <v>3.57</v>
      </c>
      <c r="CH243" s="125">
        <v>41527</v>
      </c>
      <c r="CK243" s="111">
        <v>30</v>
      </c>
    </row>
    <row r="244" spans="1:89">
      <c r="A244" s="126" t="s">
        <v>7838</v>
      </c>
      <c r="B244" t="s">
        <v>257</v>
      </c>
      <c r="C244" t="s">
        <v>7794</v>
      </c>
      <c r="D244">
        <v>41</v>
      </c>
      <c r="E244" s="93">
        <v>2</v>
      </c>
      <c r="F244" s="93">
        <v>33</v>
      </c>
      <c r="K244" s="92">
        <v>5</v>
      </c>
      <c r="L244" s="159">
        <v>41569</v>
      </c>
      <c r="S244" s="111">
        <v>1294.1880000000001</v>
      </c>
      <c r="T244" s="125">
        <v>41527</v>
      </c>
      <c r="U244" s="111">
        <v>10.8</v>
      </c>
      <c r="Y244" s="111">
        <v>604.56200000000001</v>
      </c>
      <c r="Z244" s="125">
        <v>41527</v>
      </c>
      <c r="AA244" s="111" t="s">
        <v>7718</v>
      </c>
      <c r="AB244" s="125">
        <v>41527</v>
      </c>
      <c r="AE244">
        <v>30.38</v>
      </c>
      <c r="AF244" s="125">
        <v>41527</v>
      </c>
      <c r="AG244" s="111" t="s">
        <v>7718</v>
      </c>
      <c r="AH244" s="125">
        <v>41527</v>
      </c>
      <c r="AI244" s="111">
        <v>130</v>
      </c>
      <c r="AJ244" s="125">
        <v>41527</v>
      </c>
      <c r="BS244" s="111">
        <v>42.6</v>
      </c>
      <c r="BT244" s="125">
        <v>41527</v>
      </c>
      <c r="BU244">
        <v>19.899999999999999</v>
      </c>
      <c r="BV244" s="125">
        <v>41527</v>
      </c>
      <c r="CC244" s="111">
        <v>8.5</v>
      </c>
      <c r="CD244" s="125">
        <v>41527</v>
      </c>
      <c r="CG244" s="111">
        <v>6.79</v>
      </c>
      <c r="CH244" s="125">
        <v>41527</v>
      </c>
      <c r="CK244" s="111">
        <v>20</v>
      </c>
    </row>
    <row r="245" spans="1:89">
      <c r="A245" s="126" t="s">
        <v>7838</v>
      </c>
      <c r="B245" t="s">
        <v>259</v>
      </c>
      <c r="C245" t="s">
        <v>7794</v>
      </c>
      <c r="D245">
        <v>41</v>
      </c>
      <c r="E245" s="93">
        <v>6</v>
      </c>
      <c r="F245" s="93">
        <v>51</v>
      </c>
      <c r="K245" s="92">
        <v>5</v>
      </c>
      <c r="L245" s="159">
        <v>41569</v>
      </c>
      <c r="S245" s="111">
        <v>920.05499999999995</v>
      </c>
      <c r="T245" s="125">
        <v>41527</v>
      </c>
      <c r="U245" s="111">
        <v>10.8</v>
      </c>
      <c r="Y245" s="111">
        <v>474.43799999999999</v>
      </c>
      <c r="Z245" s="125">
        <v>41527</v>
      </c>
      <c r="AA245" s="111" t="s">
        <v>7718</v>
      </c>
      <c r="AB245" s="125">
        <v>41527</v>
      </c>
      <c r="AE245">
        <v>22.17</v>
      </c>
      <c r="AF245" s="125">
        <v>41527</v>
      </c>
      <c r="AG245" s="111" t="s">
        <v>7718</v>
      </c>
      <c r="AH245" s="125">
        <v>41527</v>
      </c>
      <c r="AI245" s="111">
        <v>105</v>
      </c>
      <c r="AJ245" s="125">
        <v>41527</v>
      </c>
      <c r="BS245" s="111">
        <v>41.5</v>
      </c>
      <c r="BT245" s="125">
        <v>41527</v>
      </c>
      <c r="BU245">
        <v>21.4</v>
      </c>
      <c r="BV245" s="125">
        <v>41527</v>
      </c>
      <c r="CC245" s="111">
        <v>8.3000000000000007</v>
      </c>
      <c r="CD245" s="125">
        <v>41527</v>
      </c>
      <c r="CG245" s="111">
        <v>5.39</v>
      </c>
      <c r="CH245" s="125">
        <v>41527</v>
      </c>
      <c r="CK245" s="111">
        <v>20</v>
      </c>
    </row>
    <row r="246" spans="1:89">
      <c r="A246" s="126" t="s">
        <v>7838</v>
      </c>
      <c r="B246" t="s">
        <v>257</v>
      </c>
      <c r="C246" t="s">
        <v>7795</v>
      </c>
      <c r="D246">
        <v>41</v>
      </c>
      <c r="E246" s="93">
        <v>4</v>
      </c>
      <c r="F246" s="93">
        <v>71</v>
      </c>
      <c r="K246" s="92">
        <v>3</v>
      </c>
      <c r="L246" s="159">
        <v>41569</v>
      </c>
      <c r="S246" s="111">
        <v>1062.576</v>
      </c>
      <c r="T246" s="125">
        <v>41527</v>
      </c>
      <c r="U246" s="111">
        <v>10.8</v>
      </c>
      <c r="Y246" s="111">
        <v>535.05600000000004</v>
      </c>
      <c r="Z246" s="125">
        <v>41527</v>
      </c>
      <c r="AA246" s="111">
        <v>57747.12644</v>
      </c>
      <c r="AB246" s="125">
        <v>41527</v>
      </c>
      <c r="AE246">
        <v>25.12</v>
      </c>
      <c r="AF246" s="125">
        <v>41527</v>
      </c>
      <c r="AG246" s="111">
        <v>4.3499999999999996</v>
      </c>
      <c r="AH246" s="125">
        <v>41527</v>
      </c>
      <c r="AI246" s="111">
        <v>120</v>
      </c>
      <c r="AJ246" s="125">
        <v>41527</v>
      </c>
      <c r="BS246" s="111">
        <v>42.3</v>
      </c>
      <c r="BT246" s="125">
        <v>41527</v>
      </c>
      <c r="BU246">
        <v>21.3</v>
      </c>
      <c r="BV246" s="125">
        <v>41527</v>
      </c>
      <c r="CC246" s="111">
        <v>7</v>
      </c>
      <c r="CD246" s="125">
        <v>41527</v>
      </c>
      <c r="CG246" s="111">
        <v>6.8</v>
      </c>
      <c r="CH246" s="125">
        <v>41527</v>
      </c>
      <c r="CK246" s="111">
        <v>20</v>
      </c>
    </row>
    <row r="247" spans="1:89">
      <c r="A247" s="126" t="s">
        <v>7838</v>
      </c>
      <c r="B247" t="s">
        <v>259</v>
      </c>
      <c r="C247" t="s">
        <v>7795</v>
      </c>
      <c r="D247">
        <v>41</v>
      </c>
      <c r="E247" s="93">
        <v>2</v>
      </c>
      <c r="F247" s="93">
        <v>82</v>
      </c>
      <c r="K247" s="92">
        <v>3</v>
      </c>
      <c r="L247" s="159">
        <v>41569</v>
      </c>
      <c r="S247" s="111">
        <v>1275.75</v>
      </c>
      <c r="T247" s="125">
        <v>41527</v>
      </c>
      <c r="U247" s="111">
        <v>10.8</v>
      </c>
      <c r="Y247" s="111">
        <v>711.9</v>
      </c>
      <c r="Z247" s="125">
        <v>41527</v>
      </c>
      <c r="AA247" s="111">
        <v>74117.647060000003</v>
      </c>
      <c r="AB247" s="125">
        <v>41527</v>
      </c>
      <c r="AE247">
        <v>31.5</v>
      </c>
      <c r="AF247" s="125">
        <v>41527</v>
      </c>
      <c r="AG247" s="111">
        <v>4.25</v>
      </c>
      <c r="AH247" s="125">
        <v>41527</v>
      </c>
      <c r="AI247" s="111">
        <v>135</v>
      </c>
      <c r="AJ247" s="125">
        <v>41527</v>
      </c>
      <c r="BS247" s="111">
        <v>40.5</v>
      </c>
      <c r="BT247" s="125">
        <v>41527</v>
      </c>
      <c r="BU247">
        <v>22.6</v>
      </c>
      <c r="BV247" s="125">
        <v>41527</v>
      </c>
      <c r="CC247" s="111">
        <v>13.4</v>
      </c>
      <c r="CD247" s="125">
        <v>41527</v>
      </c>
      <c r="CG247" s="111">
        <v>9.24</v>
      </c>
      <c r="CH247" s="125">
        <v>41527</v>
      </c>
      <c r="CK247" s="111">
        <v>20</v>
      </c>
    </row>
    <row r="248" spans="1:89">
      <c r="A248" s="126" t="s">
        <v>7839</v>
      </c>
      <c r="B248" t="s">
        <v>257</v>
      </c>
      <c r="C248" t="s">
        <v>405</v>
      </c>
      <c r="D248">
        <v>42</v>
      </c>
      <c r="E248" s="93">
        <v>4</v>
      </c>
      <c r="F248" s="93">
        <v>13</v>
      </c>
      <c r="K248" s="92">
        <v>5</v>
      </c>
      <c r="L248" s="159">
        <v>41569</v>
      </c>
      <c r="S248" s="111">
        <v>1698.905</v>
      </c>
      <c r="T248" s="125">
        <v>41527</v>
      </c>
      <c r="U248" s="111">
        <v>10.8</v>
      </c>
      <c r="Y248" s="111">
        <v>767</v>
      </c>
      <c r="Z248" s="125">
        <v>41527</v>
      </c>
      <c r="AA248" s="111" t="s">
        <v>7718</v>
      </c>
      <c r="AB248" s="125">
        <v>41527</v>
      </c>
      <c r="AE248">
        <v>38.35</v>
      </c>
      <c r="AF248" s="125">
        <v>41527</v>
      </c>
      <c r="AG248" s="111" t="s">
        <v>7718</v>
      </c>
      <c r="AH248" s="125">
        <v>41527</v>
      </c>
      <c r="AI248" s="111">
        <v>120</v>
      </c>
      <c r="AJ248" s="125">
        <v>41527</v>
      </c>
      <c r="BS248" s="111">
        <v>44.3</v>
      </c>
      <c r="BT248" s="125">
        <v>41527</v>
      </c>
      <c r="BU248">
        <v>20</v>
      </c>
      <c r="BV248" s="125">
        <v>41527</v>
      </c>
      <c r="CC248" s="111">
        <v>7</v>
      </c>
      <c r="CD248" s="125">
        <v>41527</v>
      </c>
      <c r="CG248" s="111">
        <v>1.97</v>
      </c>
      <c r="CH248" s="125">
        <v>41527</v>
      </c>
      <c r="CK248" s="111">
        <v>20</v>
      </c>
    </row>
    <row r="249" spans="1:89">
      <c r="A249" s="126" t="s">
        <v>7839</v>
      </c>
      <c r="B249" t="s">
        <v>259</v>
      </c>
      <c r="C249" t="s">
        <v>405</v>
      </c>
      <c r="D249">
        <v>42</v>
      </c>
      <c r="E249" s="93">
        <v>1</v>
      </c>
      <c r="F249" s="93">
        <v>9</v>
      </c>
      <c r="K249" s="92">
        <v>7</v>
      </c>
      <c r="L249" s="159">
        <v>41569</v>
      </c>
      <c r="S249" s="111">
        <v>2096.9520000000002</v>
      </c>
      <c r="T249" s="125">
        <v>41527</v>
      </c>
      <c r="U249" s="111">
        <v>10.8</v>
      </c>
      <c r="Y249" s="111">
        <v>1060.6959999999999</v>
      </c>
      <c r="Z249" s="125">
        <v>41527</v>
      </c>
      <c r="AA249" s="111" t="s">
        <v>7718</v>
      </c>
      <c r="AB249" s="125">
        <v>41527</v>
      </c>
      <c r="AE249">
        <v>48.88</v>
      </c>
      <c r="AF249" s="125">
        <v>41527</v>
      </c>
      <c r="AG249" s="111" t="s">
        <v>7718</v>
      </c>
      <c r="AH249" s="125">
        <v>41527</v>
      </c>
      <c r="AI249" s="111">
        <v>140</v>
      </c>
      <c r="AJ249" s="125">
        <v>41527</v>
      </c>
      <c r="BS249" s="111">
        <v>42.9</v>
      </c>
      <c r="BT249" s="125">
        <v>41527</v>
      </c>
      <c r="BU249">
        <v>21.7</v>
      </c>
      <c r="BV249" s="125">
        <v>41527</v>
      </c>
      <c r="CC249" s="111">
        <v>9</v>
      </c>
      <c r="CD249" s="125">
        <v>41527</v>
      </c>
      <c r="CG249" s="111">
        <v>3.26</v>
      </c>
      <c r="CH249" s="125">
        <v>41527</v>
      </c>
      <c r="CK249" s="111">
        <v>20</v>
      </c>
    </row>
    <row r="250" spans="1:89">
      <c r="A250" s="126" t="s">
        <v>7839</v>
      </c>
      <c r="B250" t="s">
        <v>257</v>
      </c>
      <c r="C250" t="s">
        <v>7794</v>
      </c>
      <c r="D250">
        <v>42</v>
      </c>
      <c r="E250" s="93">
        <v>3</v>
      </c>
      <c r="F250" s="93">
        <v>48</v>
      </c>
      <c r="K250" s="92">
        <v>5</v>
      </c>
      <c r="L250" s="159">
        <v>41569</v>
      </c>
      <c r="S250" s="111">
        <v>2041.2149999999999</v>
      </c>
      <c r="T250" s="125">
        <v>41527</v>
      </c>
      <c r="U250" s="111">
        <v>10.8</v>
      </c>
      <c r="Y250" s="111">
        <v>889.87800000000004</v>
      </c>
      <c r="Z250" s="125">
        <v>41527</v>
      </c>
      <c r="AA250" s="111" t="s">
        <v>7718</v>
      </c>
      <c r="AB250" s="125">
        <v>41527</v>
      </c>
      <c r="AE250">
        <v>45.87</v>
      </c>
      <c r="AF250" s="125">
        <v>41527</v>
      </c>
      <c r="AG250" s="111" t="s">
        <v>7718</v>
      </c>
      <c r="AH250" s="125">
        <v>41527</v>
      </c>
      <c r="AI250" s="111">
        <v>140</v>
      </c>
      <c r="AJ250" s="125">
        <v>41527</v>
      </c>
      <c r="BS250" s="111">
        <v>44.5</v>
      </c>
      <c r="BT250" s="125">
        <v>41527</v>
      </c>
      <c r="BU250">
        <v>19.399999999999999</v>
      </c>
      <c r="BV250" s="125">
        <v>41527</v>
      </c>
      <c r="CC250" s="111">
        <v>9.8000000000000007</v>
      </c>
      <c r="CD250" s="125">
        <v>41527</v>
      </c>
      <c r="CG250" s="111">
        <v>5.4</v>
      </c>
      <c r="CH250" s="125">
        <v>41527</v>
      </c>
      <c r="CK250" s="111">
        <v>20</v>
      </c>
    </row>
    <row r="251" spans="1:89">
      <c r="A251" s="126" t="s">
        <v>7839</v>
      </c>
      <c r="B251" t="s">
        <v>259</v>
      </c>
      <c r="C251" t="s">
        <v>7794</v>
      </c>
      <c r="D251">
        <v>42</v>
      </c>
      <c r="E251" s="93">
        <v>5</v>
      </c>
      <c r="F251" s="93">
        <v>34</v>
      </c>
      <c r="K251" s="92">
        <v>5</v>
      </c>
      <c r="L251" s="159">
        <v>41569</v>
      </c>
      <c r="S251" s="111">
        <v>2008.3030000000001</v>
      </c>
      <c r="T251" s="125">
        <v>41527</v>
      </c>
      <c r="U251" s="111">
        <v>10.8</v>
      </c>
      <c r="Y251" s="111">
        <v>881.69399999999996</v>
      </c>
      <c r="Z251" s="125">
        <v>41527</v>
      </c>
      <c r="AA251" s="111" t="s">
        <v>7718</v>
      </c>
      <c r="AB251" s="125">
        <v>41527</v>
      </c>
      <c r="AE251">
        <v>44.53</v>
      </c>
      <c r="AF251" s="125">
        <v>41527</v>
      </c>
      <c r="AG251" s="111" t="s">
        <v>7718</v>
      </c>
      <c r="AH251" s="125">
        <v>41527</v>
      </c>
      <c r="AI251" s="111">
        <v>130</v>
      </c>
      <c r="AJ251" s="125">
        <v>41527</v>
      </c>
      <c r="BS251" s="111">
        <v>45.1</v>
      </c>
      <c r="BT251" s="125">
        <v>41527</v>
      </c>
      <c r="BU251">
        <v>19.8</v>
      </c>
      <c r="BV251" s="125">
        <v>41527</v>
      </c>
      <c r="CC251" s="111">
        <v>9.3000000000000007</v>
      </c>
      <c r="CD251" s="125">
        <v>41527</v>
      </c>
      <c r="CG251" s="111">
        <v>2.33</v>
      </c>
      <c r="CH251" s="125">
        <v>41527</v>
      </c>
      <c r="CK251" s="111">
        <v>20</v>
      </c>
    </row>
    <row r="252" spans="1:89">
      <c r="A252" s="126" t="s">
        <v>7839</v>
      </c>
      <c r="B252" t="s">
        <v>257</v>
      </c>
      <c r="C252" t="s">
        <v>7795</v>
      </c>
      <c r="D252">
        <v>42</v>
      </c>
      <c r="E252" s="93">
        <v>5</v>
      </c>
      <c r="F252" s="93">
        <v>60</v>
      </c>
      <c r="K252" s="92">
        <v>5</v>
      </c>
      <c r="L252" s="159">
        <v>41569</v>
      </c>
      <c r="S252" s="111">
        <v>1487.808</v>
      </c>
      <c r="T252" s="125">
        <v>41527</v>
      </c>
      <c r="U252" s="111">
        <v>10.8</v>
      </c>
      <c r="Y252" s="111">
        <v>730.12800000000004</v>
      </c>
      <c r="Z252" s="125">
        <v>41527</v>
      </c>
      <c r="AA252" s="111">
        <v>67928.994080000004</v>
      </c>
      <c r="AB252" s="125">
        <v>41527</v>
      </c>
      <c r="AE252">
        <v>34.44</v>
      </c>
      <c r="AF252" s="125">
        <v>41527</v>
      </c>
      <c r="AG252" s="111">
        <v>5.07</v>
      </c>
      <c r="AH252" s="125">
        <v>41527</v>
      </c>
      <c r="AI252" s="111">
        <v>130</v>
      </c>
      <c r="AJ252" s="125">
        <v>41527</v>
      </c>
      <c r="BS252" s="111">
        <v>43.2</v>
      </c>
      <c r="BT252" s="125">
        <v>41527</v>
      </c>
      <c r="BU252">
        <v>21.2</v>
      </c>
      <c r="BV252" s="125">
        <v>41527</v>
      </c>
      <c r="CC252" s="111">
        <v>8.6999999999999993</v>
      </c>
      <c r="CD252" s="125">
        <v>41527</v>
      </c>
      <c r="CG252" s="111">
        <v>24.33</v>
      </c>
      <c r="CH252" s="125">
        <v>41527</v>
      </c>
      <c r="CK252" s="111">
        <v>5</v>
      </c>
    </row>
    <row r="253" spans="1:89">
      <c r="A253" s="126" t="s">
        <v>7839</v>
      </c>
      <c r="B253" t="s">
        <v>259</v>
      </c>
      <c r="C253" t="s">
        <v>7795</v>
      </c>
      <c r="D253">
        <v>42</v>
      </c>
      <c r="E253" s="93">
        <v>3</v>
      </c>
      <c r="F253" s="93">
        <v>84</v>
      </c>
      <c r="K253" s="92">
        <v>5</v>
      </c>
      <c r="L253" s="159">
        <v>41569</v>
      </c>
      <c r="S253" s="111">
        <v>2034.9480000000001</v>
      </c>
      <c r="T253" s="125">
        <v>41527</v>
      </c>
      <c r="U253" s="111">
        <v>10.8</v>
      </c>
      <c r="Y253" s="111">
        <v>901.32399999999996</v>
      </c>
      <c r="Z253" s="125">
        <v>41527</v>
      </c>
      <c r="AA253" s="111">
        <v>101441.048</v>
      </c>
      <c r="AB253" s="125">
        <v>41527</v>
      </c>
      <c r="AE253">
        <v>46.46</v>
      </c>
      <c r="AF253" s="125">
        <v>41527</v>
      </c>
      <c r="AG253" s="111">
        <v>4.58</v>
      </c>
      <c r="AH253" s="125">
        <v>41527</v>
      </c>
      <c r="AI253" s="111">
        <v>130</v>
      </c>
      <c r="AJ253" s="125">
        <v>41527</v>
      </c>
      <c r="BS253" s="111">
        <v>43.8</v>
      </c>
      <c r="BT253" s="125">
        <v>41527</v>
      </c>
      <c r="BU253">
        <v>19.399999999999999</v>
      </c>
      <c r="BV253" s="125">
        <v>41527</v>
      </c>
      <c r="CC253" s="111">
        <v>8.6999999999999993</v>
      </c>
      <c r="CD253" s="125">
        <v>41527</v>
      </c>
      <c r="CG253" s="111">
        <v>2.29</v>
      </c>
      <c r="CH253" s="125">
        <v>41527</v>
      </c>
      <c r="CK253" s="111">
        <v>10</v>
      </c>
    </row>
    <row r="254" spans="1:89">
      <c r="A254" s="126" t="s">
        <v>7840</v>
      </c>
      <c r="B254" t="s">
        <v>257</v>
      </c>
      <c r="C254" t="s">
        <v>405</v>
      </c>
      <c r="D254">
        <v>43</v>
      </c>
      <c r="E254" s="93">
        <v>4</v>
      </c>
      <c r="F254" s="93">
        <v>22</v>
      </c>
      <c r="K254" s="92">
        <v>5</v>
      </c>
      <c r="L254" s="159">
        <v>41569</v>
      </c>
      <c r="S254" s="111">
        <v>1457.47</v>
      </c>
      <c r="T254" s="125">
        <v>41527</v>
      </c>
      <c r="U254" s="111">
        <v>10.8</v>
      </c>
      <c r="Y254" s="111">
        <v>628.39</v>
      </c>
      <c r="Z254" s="125">
        <v>41527</v>
      </c>
      <c r="AA254" s="111" t="s">
        <v>7718</v>
      </c>
      <c r="AB254" s="125">
        <v>41527</v>
      </c>
      <c r="AE254">
        <v>32.9</v>
      </c>
      <c r="AF254" s="125">
        <v>41527</v>
      </c>
      <c r="AG254" s="111" t="s">
        <v>7718</v>
      </c>
      <c r="AH254" s="125">
        <v>41527</v>
      </c>
      <c r="AI254" s="111">
        <v>135</v>
      </c>
      <c r="AJ254" s="125">
        <v>41527</v>
      </c>
      <c r="BS254" s="111">
        <v>44.3</v>
      </c>
      <c r="BT254" s="125">
        <v>41527</v>
      </c>
      <c r="BU254">
        <v>19.100000000000001</v>
      </c>
      <c r="BV254" s="125">
        <v>41527</v>
      </c>
      <c r="CC254" s="111">
        <v>7.6</v>
      </c>
      <c r="CD254" s="125">
        <v>41527</v>
      </c>
      <c r="CG254" s="111">
        <v>3.14</v>
      </c>
      <c r="CH254" s="125">
        <v>41527</v>
      </c>
      <c r="CK254" s="111">
        <v>30</v>
      </c>
    </row>
    <row r="255" spans="1:89">
      <c r="A255" s="126" t="s">
        <v>7840</v>
      </c>
      <c r="B255" t="s">
        <v>259</v>
      </c>
      <c r="C255" t="s">
        <v>405</v>
      </c>
      <c r="D255">
        <v>43</v>
      </c>
      <c r="E255" s="93">
        <v>1</v>
      </c>
      <c r="F255" s="93">
        <v>29</v>
      </c>
      <c r="K255" s="92">
        <v>7</v>
      </c>
      <c r="L255" s="159">
        <v>41569</v>
      </c>
      <c r="S255" s="111">
        <v>1788.048</v>
      </c>
      <c r="T255" s="125">
        <v>41527</v>
      </c>
      <c r="U255" s="111">
        <v>10.8</v>
      </c>
      <c r="Y255" s="111">
        <v>881.60699999999997</v>
      </c>
      <c r="Z255" s="125">
        <v>41527</v>
      </c>
      <c r="AA255" s="111" t="s">
        <v>7718</v>
      </c>
      <c r="AB255" s="125">
        <v>41527</v>
      </c>
      <c r="AE255">
        <v>41.39</v>
      </c>
      <c r="AF255" s="125">
        <v>41527</v>
      </c>
      <c r="AG255" s="111" t="s">
        <v>7718</v>
      </c>
      <c r="AH255" s="125">
        <v>41527</v>
      </c>
      <c r="AI255" s="111">
        <v>135</v>
      </c>
      <c r="AJ255" s="125">
        <v>41527</v>
      </c>
      <c r="BS255" s="111">
        <v>43.2</v>
      </c>
      <c r="BT255" s="125">
        <v>41527</v>
      </c>
      <c r="BU255">
        <v>21.3</v>
      </c>
      <c r="BV255" s="125">
        <v>41527</v>
      </c>
      <c r="CC255" s="111">
        <v>13.6</v>
      </c>
      <c r="CD255" s="125">
        <v>41527</v>
      </c>
      <c r="CG255" s="111">
        <v>3.58</v>
      </c>
      <c r="CH255" s="125">
        <v>41527</v>
      </c>
      <c r="CK255" s="111">
        <v>20</v>
      </c>
    </row>
    <row r="256" spans="1:89">
      <c r="A256" s="126" t="s">
        <v>7840</v>
      </c>
      <c r="B256" t="s">
        <v>257</v>
      </c>
      <c r="C256" t="s">
        <v>7794</v>
      </c>
      <c r="D256">
        <v>43</v>
      </c>
      <c r="E256" s="93">
        <v>3</v>
      </c>
      <c r="F256" s="93">
        <v>57</v>
      </c>
      <c r="K256" s="92">
        <v>5</v>
      </c>
      <c r="L256" s="159">
        <v>41569</v>
      </c>
      <c r="S256" s="111">
        <v>1739.13</v>
      </c>
      <c r="T256" s="125">
        <v>41527</v>
      </c>
      <c r="U256" s="111">
        <v>10.8</v>
      </c>
      <c r="Y256" s="111">
        <v>783.60799999999995</v>
      </c>
      <c r="Z256" s="125">
        <v>41527</v>
      </c>
      <c r="AA256" s="111" t="s">
        <v>7718</v>
      </c>
      <c r="AB256" s="125">
        <v>41527</v>
      </c>
      <c r="AE256">
        <v>39.979999999999997</v>
      </c>
      <c r="AF256" s="125">
        <v>41527</v>
      </c>
      <c r="AG256" s="111" t="s">
        <v>7718</v>
      </c>
      <c r="AH256" s="125">
        <v>41527</v>
      </c>
      <c r="AI256" s="111">
        <v>140</v>
      </c>
      <c r="AJ256" s="125">
        <v>41527</v>
      </c>
      <c r="BS256" s="111">
        <v>43.5</v>
      </c>
      <c r="BT256" s="125">
        <v>41527</v>
      </c>
      <c r="BU256">
        <v>19.600000000000001</v>
      </c>
      <c r="BV256" s="125">
        <v>41527</v>
      </c>
      <c r="CC256" s="111">
        <v>7.8</v>
      </c>
      <c r="CD256" s="125">
        <v>41527</v>
      </c>
      <c r="CG256" s="111">
        <v>4.25</v>
      </c>
      <c r="CH256" s="125">
        <v>41527</v>
      </c>
      <c r="CK256" s="111">
        <v>20</v>
      </c>
    </row>
    <row r="257" spans="1:89">
      <c r="A257" s="126" t="s">
        <v>7840</v>
      </c>
      <c r="B257" t="s">
        <v>259</v>
      </c>
      <c r="C257" t="s">
        <v>7794</v>
      </c>
      <c r="D257">
        <v>43</v>
      </c>
      <c r="E257" s="93">
        <v>6</v>
      </c>
      <c r="F257" s="93">
        <v>44</v>
      </c>
      <c r="K257" s="92">
        <v>5</v>
      </c>
      <c r="L257" s="159">
        <v>41569</v>
      </c>
      <c r="S257" s="111">
        <v>1576.81</v>
      </c>
      <c r="T257" s="125">
        <v>41527</v>
      </c>
      <c r="U257" s="111">
        <v>10.8</v>
      </c>
      <c r="Y257" s="111">
        <v>759.06899999999996</v>
      </c>
      <c r="Z257" s="125">
        <v>41527</v>
      </c>
      <c r="AA257" s="111" t="s">
        <v>7718</v>
      </c>
      <c r="AB257" s="125">
        <v>41527</v>
      </c>
      <c r="AE257">
        <v>36.67</v>
      </c>
      <c r="AF257" s="125">
        <v>41527</v>
      </c>
      <c r="AG257" s="111" t="s">
        <v>7718</v>
      </c>
      <c r="AH257" s="125">
        <v>41527</v>
      </c>
      <c r="AI257" s="111">
        <v>120</v>
      </c>
      <c r="AJ257" s="125">
        <v>41527</v>
      </c>
      <c r="BS257" s="111">
        <v>43</v>
      </c>
      <c r="BT257" s="125">
        <v>41527</v>
      </c>
      <c r="BU257">
        <v>20.7</v>
      </c>
      <c r="BV257" s="125">
        <v>41527</v>
      </c>
      <c r="CC257" s="111">
        <v>8.1</v>
      </c>
      <c r="CD257" s="125">
        <v>41527</v>
      </c>
      <c r="CG257" s="111">
        <v>5.13</v>
      </c>
      <c r="CH257" s="125">
        <v>41527</v>
      </c>
      <c r="CK257" s="111">
        <v>10</v>
      </c>
    </row>
    <row r="258" spans="1:89">
      <c r="A258" s="126" t="s">
        <v>7840</v>
      </c>
      <c r="B258" t="s">
        <v>257</v>
      </c>
      <c r="C258" t="s">
        <v>7795</v>
      </c>
      <c r="D258">
        <v>43</v>
      </c>
      <c r="E258" s="93">
        <v>4</v>
      </c>
      <c r="F258" s="93">
        <v>86</v>
      </c>
      <c r="K258" s="92">
        <v>5</v>
      </c>
      <c r="L258" s="159">
        <v>41569</v>
      </c>
      <c r="S258" s="111">
        <v>1478.912</v>
      </c>
      <c r="T258" s="125">
        <v>41527</v>
      </c>
      <c r="U258" s="111">
        <v>10.8</v>
      </c>
      <c r="Y258" s="111">
        <v>678.4</v>
      </c>
      <c r="Z258" s="125">
        <v>41527</v>
      </c>
      <c r="AA258" s="111">
        <v>82330.097089999996</v>
      </c>
      <c r="AB258" s="125">
        <v>41527</v>
      </c>
      <c r="AE258">
        <v>33.92</v>
      </c>
      <c r="AF258" s="125">
        <v>41527</v>
      </c>
      <c r="AG258" s="111">
        <v>4.12</v>
      </c>
      <c r="AH258" s="125">
        <v>41527</v>
      </c>
      <c r="AI258" s="111">
        <v>125</v>
      </c>
      <c r="AJ258" s="125">
        <v>41527</v>
      </c>
      <c r="BS258" s="111">
        <v>43.6</v>
      </c>
      <c r="BT258" s="125">
        <v>41527</v>
      </c>
      <c r="BU258">
        <v>20</v>
      </c>
      <c r="BV258" s="125">
        <v>41527</v>
      </c>
      <c r="CC258" s="111">
        <v>8.8000000000000007</v>
      </c>
      <c r="CD258" s="125">
        <v>41527</v>
      </c>
      <c r="CG258" s="111">
        <v>3.13</v>
      </c>
      <c r="CH258" s="125">
        <v>41527</v>
      </c>
      <c r="CK258" s="111">
        <v>20</v>
      </c>
    </row>
    <row r="259" spans="1:89">
      <c r="A259" s="126" t="s">
        <v>7840</v>
      </c>
      <c r="B259" t="s">
        <v>259</v>
      </c>
      <c r="C259" t="s">
        <v>7795</v>
      </c>
      <c r="D259">
        <v>43</v>
      </c>
      <c r="E259" s="93">
        <v>3</v>
      </c>
      <c r="F259" s="93">
        <v>67</v>
      </c>
      <c r="K259" s="92">
        <v>5</v>
      </c>
      <c r="L259" s="159">
        <v>41569</v>
      </c>
      <c r="S259" s="111">
        <v>1792.6179999999999</v>
      </c>
      <c r="T259" s="125">
        <v>41527</v>
      </c>
      <c r="U259" s="111">
        <v>10.8</v>
      </c>
      <c r="Y259" s="111">
        <v>932.50199999999995</v>
      </c>
      <c r="Z259" s="125">
        <v>41527</v>
      </c>
      <c r="AA259" s="111">
        <v>100188.2353</v>
      </c>
      <c r="AB259" s="125">
        <v>41527</v>
      </c>
      <c r="AE259">
        <v>42.58</v>
      </c>
      <c r="AF259" s="125">
        <v>41527</v>
      </c>
      <c r="AG259" s="111">
        <v>4.25</v>
      </c>
      <c r="AH259" s="125">
        <v>41527</v>
      </c>
      <c r="AI259" s="111">
        <v>135</v>
      </c>
      <c r="AJ259" s="125">
        <v>41527</v>
      </c>
      <c r="BS259" s="111">
        <v>42.1</v>
      </c>
      <c r="BT259" s="125">
        <v>41527</v>
      </c>
      <c r="BU259">
        <v>21.9</v>
      </c>
      <c r="BV259" s="125">
        <v>41527</v>
      </c>
      <c r="CC259" s="111">
        <v>8.1999999999999993</v>
      </c>
      <c r="CD259" s="125">
        <v>41527</v>
      </c>
      <c r="CG259" s="111">
        <v>4.32</v>
      </c>
      <c r="CH259" s="125">
        <v>41527</v>
      </c>
      <c r="CK259" s="111">
        <v>30</v>
      </c>
    </row>
    <row r="260" spans="1:89">
      <c r="A260" s="126" t="s">
        <v>7841</v>
      </c>
      <c r="B260" t="s">
        <v>257</v>
      </c>
      <c r="C260" t="s">
        <v>405</v>
      </c>
      <c r="D260">
        <v>44</v>
      </c>
      <c r="E260" s="93">
        <v>5</v>
      </c>
      <c r="F260" s="93">
        <v>3</v>
      </c>
      <c r="K260" s="92">
        <v>5</v>
      </c>
      <c r="L260" s="159">
        <v>41569</v>
      </c>
      <c r="S260" s="111">
        <v>1809.558</v>
      </c>
      <c r="T260" s="125">
        <v>41527</v>
      </c>
      <c r="U260" s="111">
        <v>10.8</v>
      </c>
      <c r="Y260" s="111">
        <v>795.54600000000005</v>
      </c>
      <c r="Z260" s="125">
        <v>41527</v>
      </c>
      <c r="AA260" s="111" t="s">
        <v>7718</v>
      </c>
      <c r="AB260" s="125">
        <v>41527</v>
      </c>
      <c r="AE260">
        <v>41.22</v>
      </c>
      <c r="AF260" s="125">
        <v>41527</v>
      </c>
      <c r="AG260" s="111" t="s">
        <v>7718</v>
      </c>
      <c r="AH260" s="125">
        <v>41527</v>
      </c>
      <c r="AI260" s="111">
        <v>125</v>
      </c>
      <c r="AJ260" s="125">
        <v>41527</v>
      </c>
      <c r="BS260" s="111">
        <v>43.9</v>
      </c>
      <c r="BT260" s="125">
        <v>41527</v>
      </c>
      <c r="BU260">
        <v>19.3</v>
      </c>
      <c r="BV260" s="125">
        <v>41527</v>
      </c>
      <c r="CC260" s="111">
        <v>10.7</v>
      </c>
      <c r="CD260" s="125">
        <v>41527</v>
      </c>
      <c r="CG260" s="111">
        <v>3.45</v>
      </c>
      <c r="CH260" s="125">
        <v>41527</v>
      </c>
      <c r="CK260" s="111">
        <v>20</v>
      </c>
    </row>
    <row r="261" spans="1:89">
      <c r="A261" s="126" t="s">
        <v>7841</v>
      </c>
      <c r="B261" t="s">
        <v>259</v>
      </c>
      <c r="C261" t="s">
        <v>405</v>
      </c>
      <c r="D261">
        <v>44</v>
      </c>
      <c r="E261" s="93">
        <v>2</v>
      </c>
      <c r="F261" s="93">
        <v>16</v>
      </c>
      <c r="K261" s="92">
        <v>5</v>
      </c>
      <c r="L261" s="159">
        <v>41569</v>
      </c>
      <c r="S261" s="111">
        <v>2232.13</v>
      </c>
      <c r="T261" s="125">
        <v>41527</v>
      </c>
      <c r="U261" s="111">
        <v>10.8</v>
      </c>
      <c r="Y261" s="111">
        <v>1069.346</v>
      </c>
      <c r="Z261" s="125">
        <v>41527</v>
      </c>
      <c r="AA261" s="111" t="s">
        <v>7718</v>
      </c>
      <c r="AB261" s="125">
        <v>41527</v>
      </c>
      <c r="AE261">
        <v>51.91</v>
      </c>
      <c r="AF261" s="125">
        <v>41527</v>
      </c>
      <c r="AG261" s="111" t="s">
        <v>7718</v>
      </c>
      <c r="AH261" s="125">
        <v>41527</v>
      </c>
      <c r="AI261" s="111">
        <v>135</v>
      </c>
      <c r="AJ261" s="125">
        <v>41527</v>
      </c>
      <c r="BS261" s="111">
        <v>43</v>
      </c>
      <c r="BT261" s="125">
        <v>41527</v>
      </c>
      <c r="BU261">
        <v>20.6</v>
      </c>
      <c r="BV261" s="125">
        <v>41527</v>
      </c>
      <c r="CC261" s="111">
        <v>7.2</v>
      </c>
      <c r="CD261" s="125">
        <v>41527</v>
      </c>
      <c r="CG261" s="111">
        <v>1.06</v>
      </c>
      <c r="CH261" s="125">
        <v>41527</v>
      </c>
      <c r="CK261" s="111">
        <v>20</v>
      </c>
    </row>
    <row r="262" spans="1:89">
      <c r="A262" s="126" t="s">
        <v>7841</v>
      </c>
      <c r="B262" t="s">
        <v>257</v>
      </c>
      <c r="C262" t="s">
        <v>7794</v>
      </c>
      <c r="D262">
        <v>44</v>
      </c>
      <c r="E262" s="93">
        <v>3</v>
      </c>
      <c r="F262" s="93">
        <v>32</v>
      </c>
      <c r="K262" s="92">
        <v>5</v>
      </c>
      <c r="L262" s="159">
        <v>41569</v>
      </c>
      <c r="S262" s="111">
        <v>2345.5949999999998</v>
      </c>
      <c r="T262" s="125">
        <v>41527</v>
      </c>
      <c r="U262" s="111">
        <v>10.8</v>
      </c>
      <c r="Y262" s="111">
        <v>1022.574</v>
      </c>
      <c r="Z262" s="125">
        <v>41527</v>
      </c>
      <c r="AA262" s="111" t="s">
        <v>7718</v>
      </c>
      <c r="AB262" s="125">
        <v>41527</v>
      </c>
      <c r="AE262">
        <v>52.71</v>
      </c>
      <c r="AF262" s="125">
        <v>41527</v>
      </c>
      <c r="AG262" s="111" t="s">
        <v>7718</v>
      </c>
      <c r="AH262" s="125">
        <v>41527</v>
      </c>
      <c r="AI262" s="111">
        <v>135</v>
      </c>
      <c r="AJ262" s="125">
        <v>41527</v>
      </c>
      <c r="BS262" s="111">
        <v>44.5</v>
      </c>
      <c r="BT262" s="125">
        <v>41527</v>
      </c>
      <c r="BU262">
        <v>19.399999999999999</v>
      </c>
      <c r="BV262" s="125">
        <v>41527</v>
      </c>
      <c r="CC262" s="111">
        <v>7.6</v>
      </c>
      <c r="CD262" s="125">
        <v>41527</v>
      </c>
      <c r="CG262" s="111">
        <v>2.94</v>
      </c>
      <c r="CH262" s="125">
        <v>41527</v>
      </c>
      <c r="CK262" s="111">
        <v>30</v>
      </c>
    </row>
    <row r="263" spans="1:89">
      <c r="A263" s="126" t="s">
        <v>7841</v>
      </c>
      <c r="B263" t="s">
        <v>259</v>
      </c>
      <c r="C263" t="s">
        <v>7794</v>
      </c>
      <c r="D263">
        <v>44</v>
      </c>
      <c r="E263" s="93">
        <v>6</v>
      </c>
      <c r="F263" s="93">
        <v>48</v>
      </c>
      <c r="K263" s="92">
        <v>3</v>
      </c>
      <c r="L263" s="159">
        <v>41569</v>
      </c>
      <c r="S263" s="111">
        <v>2190.076</v>
      </c>
      <c r="T263" s="125">
        <v>41527</v>
      </c>
      <c r="U263" s="111">
        <v>10.8</v>
      </c>
      <c r="Y263" s="111">
        <v>1074.57</v>
      </c>
      <c r="Z263" s="125">
        <v>41527</v>
      </c>
      <c r="AA263" s="111" t="s">
        <v>7718</v>
      </c>
      <c r="AB263" s="125">
        <v>41527</v>
      </c>
      <c r="AE263">
        <v>51.17</v>
      </c>
      <c r="AF263" s="125">
        <v>41527</v>
      </c>
      <c r="AG263" s="111" t="s">
        <v>7718</v>
      </c>
      <c r="AH263" s="125">
        <v>41527</v>
      </c>
      <c r="AI263" s="111">
        <v>130</v>
      </c>
      <c r="AJ263" s="125">
        <v>41527</v>
      </c>
      <c r="BS263" s="111">
        <v>42.8</v>
      </c>
      <c r="BT263" s="125">
        <v>41527</v>
      </c>
      <c r="BU263">
        <v>21</v>
      </c>
      <c r="BV263" s="125">
        <v>41527</v>
      </c>
      <c r="CC263" s="111">
        <v>7.9</v>
      </c>
      <c r="CD263" s="125">
        <v>41527</v>
      </c>
      <c r="CG263" s="111">
        <v>2.82</v>
      </c>
      <c r="CH263" s="125">
        <v>41527</v>
      </c>
      <c r="CK263" s="111">
        <v>20</v>
      </c>
    </row>
    <row r="264" spans="1:89">
      <c r="A264" s="126" t="s">
        <v>7841</v>
      </c>
      <c r="B264" t="s">
        <v>257</v>
      </c>
      <c r="C264" t="s">
        <v>7795</v>
      </c>
      <c r="D264">
        <v>44</v>
      </c>
      <c r="E264" s="93">
        <v>5</v>
      </c>
      <c r="F264" s="93">
        <v>67</v>
      </c>
      <c r="K264" s="92">
        <v>5</v>
      </c>
      <c r="L264" s="159">
        <v>41569</v>
      </c>
      <c r="S264" s="111">
        <v>2016.204</v>
      </c>
      <c r="T264" s="125">
        <v>41527</v>
      </c>
      <c r="U264" s="111">
        <v>10.8</v>
      </c>
      <c r="Y264" s="111">
        <v>862.79</v>
      </c>
      <c r="Z264" s="125">
        <v>41527</v>
      </c>
      <c r="AA264" s="111">
        <v>98717.391300000003</v>
      </c>
      <c r="AB264" s="125">
        <v>41527</v>
      </c>
      <c r="AE264">
        <v>45.41</v>
      </c>
      <c r="AF264" s="125">
        <v>41527</v>
      </c>
      <c r="AG264" s="111">
        <v>4.5999999999999996</v>
      </c>
      <c r="AH264" s="125">
        <v>41527</v>
      </c>
      <c r="AI264" s="111">
        <v>130</v>
      </c>
      <c r="AJ264" s="125">
        <v>41527</v>
      </c>
      <c r="BS264" s="111">
        <v>44.4</v>
      </c>
      <c r="BT264" s="125">
        <v>41527</v>
      </c>
      <c r="BU264">
        <v>19</v>
      </c>
      <c r="BV264" s="125">
        <v>41527</v>
      </c>
      <c r="CC264" s="111">
        <v>6.2</v>
      </c>
      <c r="CD264" s="125">
        <v>41527</v>
      </c>
      <c r="CG264" s="111">
        <v>2.23</v>
      </c>
      <c r="CH264" s="125">
        <v>41527</v>
      </c>
      <c r="CK264" s="111">
        <v>20</v>
      </c>
    </row>
    <row r="265" spans="1:89">
      <c r="A265" s="126" t="s">
        <v>7841</v>
      </c>
      <c r="B265" t="s">
        <v>259</v>
      </c>
      <c r="C265" t="s">
        <v>7795</v>
      </c>
      <c r="D265">
        <v>44</v>
      </c>
      <c r="E265" s="93">
        <v>3</v>
      </c>
      <c r="F265" s="93">
        <v>73</v>
      </c>
      <c r="K265" s="92">
        <v>5</v>
      </c>
      <c r="L265" s="159">
        <v>41569</v>
      </c>
      <c r="S265" s="111">
        <v>2271.9839999999999</v>
      </c>
      <c r="T265" s="125">
        <v>41527</v>
      </c>
      <c r="U265" s="111">
        <v>10.8</v>
      </c>
      <c r="Y265" s="111">
        <v>1080.384</v>
      </c>
      <c r="Z265" s="125">
        <v>41527</v>
      </c>
      <c r="AA265" s="111">
        <v>106345.3815</v>
      </c>
      <c r="AB265" s="125">
        <v>41527</v>
      </c>
      <c r="AE265">
        <v>52.96</v>
      </c>
      <c r="AF265" s="125">
        <v>41527</v>
      </c>
      <c r="AG265" s="111">
        <v>4.9800000000000004</v>
      </c>
      <c r="AH265" s="125">
        <v>41527</v>
      </c>
      <c r="AI265" s="111">
        <v>140</v>
      </c>
      <c r="AJ265" s="125">
        <v>41527</v>
      </c>
      <c r="BS265" s="111">
        <v>42.9</v>
      </c>
      <c r="BT265" s="125">
        <v>41527</v>
      </c>
      <c r="BU265">
        <v>20.399999999999999</v>
      </c>
      <c r="BV265" s="125">
        <v>41527</v>
      </c>
      <c r="CC265" s="111">
        <v>6.9</v>
      </c>
      <c r="CD265" s="125">
        <v>41527</v>
      </c>
      <c r="CG265" s="111">
        <v>2.7</v>
      </c>
      <c r="CH265" s="125">
        <v>41527</v>
      </c>
      <c r="CK265" s="111">
        <v>30</v>
      </c>
    </row>
    <row r="266" spans="1:89">
      <c r="A266" s="126" t="s">
        <v>7842</v>
      </c>
      <c r="B266" t="s">
        <v>257</v>
      </c>
      <c r="C266" t="s">
        <v>405</v>
      </c>
      <c r="D266">
        <v>45</v>
      </c>
      <c r="E266" s="93">
        <v>4</v>
      </c>
      <c r="F266" s="93">
        <v>6</v>
      </c>
      <c r="K266" s="92">
        <v>5</v>
      </c>
      <c r="L266" s="159">
        <v>41569</v>
      </c>
      <c r="S266" s="111">
        <v>1436.64</v>
      </c>
      <c r="T266" s="125">
        <v>41527</v>
      </c>
      <c r="U266" s="111">
        <v>10.8</v>
      </c>
      <c r="Y266" s="111">
        <v>662.56</v>
      </c>
      <c r="Z266" s="125">
        <v>41527</v>
      </c>
      <c r="AA266" s="111" t="s">
        <v>7718</v>
      </c>
      <c r="AB266" s="125">
        <v>41527</v>
      </c>
      <c r="AE266">
        <v>32.799999999999997</v>
      </c>
      <c r="AF266" s="125">
        <v>41527</v>
      </c>
      <c r="AG266" s="111" t="s">
        <v>7718</v>
      </c>
      <c r="AH266" s="125">
        <v>41527</v>
      </c>
      <c r="AI266" s="111">
        <v>120</v>
      </c>
      <c r="AJ266" s="125">
        <v>41527</v>
      </c>
      <c r="BS266" s="111">
        <v>43.8</v>
      </c>
      <c r="BT266" s="125">
        <v>41527</v>
      </c>
      <c r="BU266">
        <v>20.2</v>
      </c>
      <c r="BV266" s="125">
        <v>41527</v>
      </c>
      <c r="CC266" s="111">
        <v>8.6999999999999993</v>
      </c>
      <c r="CD266" s="125">
        <v>41527</v>
      </c>
      <c r="CG266" s="111">
        <v>1.93</v>
      </c>
      <c r="CH266" s="125">
        <v>41527</v>
      </c>
      <c r="CK266" s="111">
        <v>1</v>
      </c>
    </row>
    <row r="267" spans="1:89">
      <c r="A267" s="126" t="s">
        <v>7842</v>
      </c>
      <c r="B267" t="s">
        <v>259</v>
      </c>
      <c r="C267" t="s">
        <v>405</v>
      </c>
      <c r="D267">
        <v>45</v>
      </c>
      <c r="E267" s="93">
        <v>2</v>
      </c>
      <c r="F267" s="93">
        <v>19</v>
      </c>
      <c r="K267" s="92">
        <v>5</v>
      </c>
      <c r="L267" s="159">
        <v>41569</v>
      </c>
      <c r="S267" s="111">
        <v>1621.3589999999999</v>
      </c>
      <c r="T267" s="125">
        <v>41527</v>
      </c>
      <c r="U267" s="111">
        <v>10.8</v>
      </c>
      <c r="Y267" s="111">
        <v>866.25800000000004</v>
      </c>
      <c r="Z267" s="125">
        <v>41527</v>
      </c>
      <c r="AA267" s="111" t="s">
        <v>7718</v>
      </c>
      <c r="AB267" s="125">
        <v>41527</v>
      </c>
      <c r="AE267">
        <v>38.33</v>
      </c>
      <c r="AF267" s="125">
        <v>41527</v>
      </c>
      <c r="AG267" s="111" t="s">
        <v>7718</v>
      </c>
      <c r="AH267" s="125">
        <v>41527</v>
      </c>
      <c r="AI267" s="111">
        <v>125</v>
      </c>
      <c r="AJ267" s="125">
        <v>41527</v>
      </c>
      <c r="BS267" s="111">
        <v>42.3</v>
      </c>
      <c r="BT267" s="125">
        <v>41527</v>
      </c>
      <c r="BU267">
        <v>22.6</v>
      </c>
      <c r="BV267" s="125">
        <v>41527</v>
      </c>
      <c r="CC267" s="111">
        <v>8.5</v>
      </c>
      <c r="CD267" s="125">
        <v>41527</v>
      </c>
      <c r="CG267" s="111">
        <v>3.75</v>
      </c>
      <c r="CH267" s="125">
        <v>41527</v>
      </c>
      <c r="CK267" s="111">
        <v>1</v>
      </c>
    </row>
    <row r="268" spans="1:89">
      <c r="A268" s="126" t="s">
        <v>7842</v>
      </c>
      <c r="B268" t="s">
        <v>257</v>
      </c>
      <c r="C268" t="s">
        <v>7794</v>
      </c>
      <c r="D268">
        <v>45</v>
      </c>
      <c r="E268" s="93">
        <v>1</v>
      </c>
      <c r="F268" s="93">
        <v>55</v>
      </c>
      <c r="K268" s="92">
        <v>5</v>
      </c>
      <c r="L268" s="159">
        <v>41569</v>
      </c>
      <c r="S268" s="111">
        <v>1557.03</v>
      </c>
      <c r="T268" s="125">
        <v>41527</v>
      </c>
      <c r="U268" s="111">
        <v>10.8</v>
      </c>
      <c r="Y268" s="111">
        <v>764.03099999999995</v>
      </c>
      <c r="Z268" s="125">
        <v>41527</v>
      </c>
      <c r="AA268" s="111" t="s">
        <v>7718</v>
      </c>
      <c r="AB268" s="125">
        <v>41527</v>
      </c>
      <c r="AE268">
        <v>36.21</v>
      </c>
      <c r="AF268" s="125">
        <v>41527</v>
      </c>
      <c r="AG268" s="111" t="s">
        <v>7718</v>
      </c>
      <c r="AH268" s="125">
        <v>41527</v>
      </c>
      <c r="AI268" s="111">
        <v>125</v>
      </c>
      <c r="AJ268" s="125">
        <v>41527</v>
      </c>
      <c r="BS268" s="111">
        <v>43</v>
      </c>
      <c r="BT268" s="125">
        <v>41527</v>
      </c>
      <c r="BU268">
        <v>21.1</v>
      </c>
      <c r="BV268" s="125">
        <v>41527</v>
      </c>
      <c r="CC268" s="111">
        <v>8.6999999999999993</v>
      </c>
      <c r="CD268" s="125">
        <v>41527</v>
      </c>
      <c r="CG268" s="111">
        <v>4.25</v>
      </c>
      <c r="CH268" s="125">
        <v>41527</v>
      </c>
      <c r="CK268" s="111">
        <v>5</v>
      </c>
    </row>
    <row r="269" spans="1:89">
      <c r="A269" s="126" t="s">
        <v>7842</v>
      </c>
      <c r="B269" t="s">
        <v>259</v>
      </c>
      <c r="C269" t="s">
        <v>7794</v>
      </c>
      <c r="D269">
        <v>45</v>
      </c>
      <c r="E269" s="93">
        <v>5</v>
      </c>
      <c r="F269" s="93">
        <v>55</v>
      </c>
      <c r="K269" s="92">
        <v>5</v>
      </c>
      <c r="L269" s="159">
        <v>41569</v>
      </c>
      <c r="S269" s="111">
        <v>1873.126</v>
      </c>
      <c r="T269" s="125">
        <v>41527</v>
      </c>
      <c r="U269" s="111">
        <v>10.8</v>
      </c>
      <c r="Y269" s="111">
        <v>960.46600000000001</v>
      </c>
      <c r="Z269" s="125">
        <v>41527</v>
      </c>
      <c r="AA269" s="111" t="s">
        <v>7718</v>
      </c>
      <c r="AB269" s="125">
        <v>41527</v>
      </c>
      <c r="AE269">
        <v>43.46</v>
      </c>
      <c r="AF269" s="125">
        <v>41527</v>
      </c>
      <c r="AG269" s="111" t="s">
        <v>7718</v>
      </c>
      <c r="AH269" s="125">
        <v>41527</v>
      </c>
      <c r="AI269" s="111">
        <v>125</v>
      </c>
      <c r="AJ269" s="125">
        <v>41527</v>
      </c>
      <c r="BS269" s="111">
        <v>43.1</v>
      </c>
      <c r="BT269" s="125">
        <v>41527</v>
      </c>
      <c r="BU269">
        <v>22.1</v>
      </c>
      <c r="BV269" s="125">
        <v>41527</v>
      </c>
      <c r="CC269" s="111">
        <v>5.7</v>
      </c>
      <c r="CD269" s="125">
        <v>41527</v>
      </c>
      <c r="CG269" s="111">
        <v>3.33</v>
      </c>
      <c r="CH269" s="125">
        <v>41527</v>
      </c>
      <c r="CK269" s="111">
        <v>10</v>
      </c>
    </row>
    <row r="270" spans="1:89">
      <c r="A270" s="126" t="s">
        <v>7842</v>
      </c>
      <c r="B270" t="s">
        <v>257</v>
      </c>
      <c r="C270" t="s">
        <v>7795</v>
      </c>
      <c r="D270">
        <v>45</v>
      </c>
      <c r="E270" s="93">
        <v>4</v>
      </c>
      <c r="F270" s="93">
        <v>62</v>
      </c>
      <c r="K270" s="92">
        <v>5</v>
      </c>
      <c r="L270" s="159">
        <v>41569</v>
      </c>
      <c r="S270" s="111">
        <v>1587.3150000000001</v>
      </c>
      <c r="T270" s="125">
        <v>41527</v>
      </c>
      <c r="U270" s="111">
        <v>10.8</v>
      </c>
      <c r="Y270" s="111">
        <v>766.29</v>
      </c>
      <c r="Z270" s="125">
        <v>41527</v>
      </c>
      <c r="AA270" s="111">
        <v>86061.320749999999</v>
      </c>
      <c r="AB270" s="125">
        <v>41527</v>
      </c>
      <c r="AE270">
        <v>36.49</v>
      </c>
      <c r="AF270" s="125">
        <v>41527</v>
      </c>
      <c r="AG270" s="111">
        <v>4.24</v>
      </c>
      <c r="AH270" s="125">
        <v>41527</v>
      </c>
      <c r="AI270" s="111">
        <v>130</v>
      </c>
      <c r="AJ270" s="125">
        <v>41527</v>
      </c>
      <c r="BS270" s="111">
        <v>43.5</v>
      </c>
      <c r="BT270" s="125">
        <v>41527</v>
      </c>
      <c r="BU270">
        <v>21</v>
      </c>
      <c r="BV270" s="125">
        <v>41527</v>
      </c>
      <c r="CC270" s="111">
        <v>7.8</v>
      </c>
      <c r="CD270" s="125">
        <v>41527</v>
      </c>
      <c r="CG270" s="111">
        <v>2.3199999999999998</v>
      </c>
      <c r="CH270" s="125">
        <v>41527</v>
      </c>
      <c r="CK270" s="111">
        <v>5</v>
      </c>
    </row>
    <row r="271" spans="1:89">
      <c r="A271" s="126" t="s">
        <v>7842</v>
      </c>
      <c r="B271" t="s">
        <v>259</v>
      </c>
      <c r="C271" t="s">
        <v>7795</v>
      </c>
      <c r="D271">
        <v>45</v>
      </c>
      <c r="E271" s="93">
        <v>2</v>
      </c>
      <c r="F271" s="93">
        <v>68</v>
      </c>
      <c r="K271" s="92">
        <v>5</v>
      </c>
      <c r="L271" s="159">
        <v>41569</v>
      </c>
      <c r="S271" s="111">
        <v>2088.875</v>
      </c>
      <c r="T271" s="125">
        <v>41527</v>
      </c>
      <c r="U271" s="111">
        <v>10.8</v>
      </c>
      <c r="Y271" s="111">
        <v>1076.385</v>
      </c>
      <c r="Z271" s="125">
        <v>41527</v>
      </c>
      <c r="AA271" s="111">
        <v>117023.8095</v>
      </c>
      <c r="AB271" s="125">
        <v>41527</v>
      </c>
      <c r="AE271">
        <v>49.15</v>
      </c>
      <c r="AF271" s="125">
        <v>41527</v>
      </c>
      <c r="AG271" s="111">
        <v>4.2</v>
      </c>
      <c r="AH271" s="125">
        <v>41527</v>
      </c>
      <c r="AI271" s="111">
        <v>135</v>
      </c>
      <c r="AJ271" s="125">
        <v>41527</v>
      </c>
      <c r="BS271" s="111">
        <v>42.5</v>
      </c>
      <c r="BT271" s="125">
        <v>41527</v>
      </c>
      <c r="BU271">
        <v>21.9</v>
      </c>
      <c r="BV271" s="125">
        <v>41527</v>
      </c>
      <c r="CC271" s="111">
        <v>9.6999999999999993</v>
      </c>
      <c r="CD271" s="125">
        <v>41527</v>
      </c>
      <c r="CG271" s="111">
        <v>5.64</v>
      </c>
      <c r="CH271" s="125">
        <v>41527</v>
      </c>
      <c r="CK271" s="111">
        <v>5</v>
      </c>
    </row>
    <row r="272" spans="1:89">
      <c r="A272" s="126" t="s">
        <v>7843</v>
      </c>
      <c r="B272" t="s">
        <v>257</v>
      </c>
      <c r="C272" t="s">
        <v>405</v>
      </c>
      <c r="D272">
        <v>46</v>
      </c>
      <c r="E272" s="93">
        <v>6</v>
      </c>
      <c r="F272" s="93">
        <v>29</v>
      </c>
      <c r="K272" s="92">
        <v>5</v>
      </c>
      <c r="L272" s="159">
        <v>41569</v>
      </c>
      <c r="S272" s="111">
        <v>1231.8520000000001</v>
      </c>
      <c r="T272" s="125">
        <v>41527</v>
      </c>
      <c r="U272" s="111">
        <v>10.8</v>
      </c>
      <c r="Y272" s="111">
        <v>546.87599999999998</v>
      </c>
      <c r="Z272" s="125">
        <v>41527</v>
      </c>
      <c r="AA272" s="111" t="s">
        <v>7718</v>
      </c>
      <c r="AB272" s="125">
        <v>41527</v>
      </c>
      <c r="AE272">
        <v>27.62</v>
      </c>
      <c r="AF272" s="125">
        <v>41527</v>
      </c>
      <c r="AG272" s="111" t="s">
        <v>7718</v>
      </c>
      <c r="AH272" s="125">
        <v>41527</v>
      </c>
      <c r="AI272" s="111">
        <v>130</v>
      </c>
      <c r="AJ272" s="125">
        <v>41527</v>
      </c>
      <c r="BS272" s="111">
        <v>44.6</v>
      </c>
      <c r="BT272" s="125">
        <v>41527</v>
      </c>
      <c r="BU272">
        <v>19.8</v>
      </c>
      <c r="BV272" s="125">
        <v>41527</v>
      </c>
      <c r="CC272" s="111">
        <v>12.1</v>
      </c>
      <c r="CD272" s="125">
        <v>41527</v>
      </c>
      <c r="CG272" s="111">
        <v>10.49</v>
      </c>
      <c r="CH272" s="125">
        <v>41527</v>
      </c>
      <c r="CK272" s="111">
        <v>20</v>
      </c>
    </row>
    <row r="273" spans="1:89">
      <c r="A273" s="126" t="s">
        <v>7843</v>
      </c>
      <c r="B273" t="s">
        <v>259</v>
      </c>
      <c r="C273" t="s">
        <v>405</v>
      </c>
      <c r="D273">
        <v>46</v>
      </c>
      <c r="E273" s="93">
        <v>3</v>
      </c>
      <c r="F273" s="93">
        <v>8</v>
      </c>
      <c r="K273" s="92">
        <v>5</v>
      </c>
      <c r="L273" s="159">
        <v>41569</v>
      </c>
      <c r="S273" s="111">
        <v>1905.4559999999999</v>
      </c>
      <c r="T273" s="125">
        <v>41527</v>
      </c>
      <c r="U273" s="111">
        <v>10.8</v>
      </c>
      <c r="Y273" s="111">
        <v>979.69200000000001</v>
      </c>
      <c r="Z273" s="125">
        <v>41527</v>
      </c>
      <c r="AA273" s="111" t="s">
        <v>7718</v>
      </c>
      <c r="AB273" s="125">
        <v>41527</v>
      </c>
      <c r="AE273">
        <v>44.94</v>
      </c>
      <c r="AF273" s="125">
        <v>41527</v>
      </c>
      <c r="AG273" s="111" t="s">
        <v>7718</v>
      </c>
      <c r="AH273" s="125">
        <v>41527</v>
      </c>
      <c r="AI273" s="111">
        <v>140</v>
      </c>
      <c r="AJ273" s="125">
        <v>41527</v>
      </c>
      <c r="BS273" s="111">
        <v>42.4</v>
      </c>
      <c r="BT273" s="125">
        <v>41527</v>
      </c>
      <c r="BU273">
        <v>21.8</v>
      </c>
      <c r="BV273" s="125">
        <v>41527</v>
      </c>
      <c r="CC273" s="111">
        <v>8.8000000000000007</v>
      </c>
      <c r="CD273" s="125">
        <v>41527</v>
      </c>
      <c r="CG273" s="111">
        <v>1.32</v>
      </c>
      <c r="CH273" s="125">
        <v>41527</v>
      </c>
      <c r="CK273" s="111">
        <v>30</v>
      </c>
    </row>
    <row r="274" spans="1:89">
      <c r="A274" s="126" t="s">
        <v>7843</v>
      </c>
      <c r="B274" t="s">
        <v>257</v>
      </c>
      <c r="C274" t="s">
        <v>7794</v>
      </c>
      <c r="D274">
        <v>46</v>
      </c>
      <c r="E274" s="93">
        <v>3</v>
      </c>
      <c r="F274" s="93">
        <v>50</v>
      </c>
      <c r="K274" s="92">
        <v>5</v>
      </c>
      <c r="L274" s="159">
        <v>41569</v>
      </c>
      <c r="S274" s="111">
        <v>1798.998</v>
      </c>
      <c r="T274" s="125">
        <v>41527</v>
      </c>
      <c r="U274" s="111">
        <v>10.8</v>
      </c>
      <c r="Y274" s="111">
        <v>848.82299999999998</v>
      </c>
      <c r="Z274" s="125">
        <v>41527</v>
      </c>
      <c r="AA274" s="111" t="s">
        <v>7718</v>
      </c>
      <c r="AB274" s="125">
        <v>41527</v>
      </c>
      <c r="AE274">
        <v>42.23</v>
      </c>
      <c r="AF274" s="125">
        <v>41527</v>
      </c>
      <c r="AG274" s="111" t="s">
        <v>7718</v>
      </c>
      <c r="AH274" s="125">
        <v>41527</v>
      </c>
      <c r="AI274" s="111">
        <v>140</v>
      </c>
      <c r="AJ274" s="125">
        <v>41527</v>
      </c>
      <c r="BS274" s="111">
        <v>42.6</v>
      </c>
      <c r="BT274" s="125">
        <v>41527</v>
      </c>
      <c r="BU274">
        <v>20.100000000000001</v>
      </c>
      <c r="BV274" s="125">
        <v>41527</v>
      </c>
      <c r="CC274" s="111">
        <v>7.9</v>
      </c>
      <c r="CD274" s="125">
        <v>41527</v>
      </c>
      <c r="CG274" s="111">
        <v>3.41</v>
      </c>
      <c r="CH274" s="125">
        <v>41527</v>
      </c>
      <c r="CK274" s="111">
        <v>30</v>
      </c>
    </row>
    <row r="275" spans="1:89">
      <c r="A275" s="126" t="s">
        <v>7843</v>
      </c>
      <c r="B275" t="s">
        <v>259</v>
      </c>
      <c r="C275" t="s">
        <v>7794</v>
      </c>
      <c r="D275">
        <v>46</v>
      </c>
      <c r="E275" s="93">
        <v>5</v>
      </c>
      <c r="F275" s="93">
        <v>54</v>
      </c>
      <c r="K275" s="92">
        <v>5</v>
      </c>
      <c r="L275" s="159">
        <v>41569</v>
      </c>
      <c r="S275" s="111">
        <v>1582.922</v>
      </c>
      <c r="T275" s="125">
        <v>41527</v>
      </c>
      <c r="U275" s="111">
        <v>10.8</v>
      </c>
      <c r="Y275" s="111">
        <v>806.46500000000003</v>
      </c>
      <c r="Z275" s="125">
        <v>41527</v>
      </c>
      <c r="AA275" s="111" t="s">
        <v>7718</v>
      </c>
      <c r="AB275" s="125">
        <v>41527</v>
      </c>
      <c r="AE275">
        <v>37.51</v>
      </c>
      <c r="AF275" s="125">
        <v>41527</v>
      </c>
      <c r="AG275" s="111" t="s">
        <v>7718</v>
      </c>
      <c r="AH275" s="125">
        <v>41527</v>
      </c>
      <c r="AI275" s="111">
        <v>130</v>
      </c>
      <c r="AJ275" s="125">
        <v>41527</v>
      </c>
      <c r="BS275" s="111">
        <v>42.2</v>
      </c>
      <c r="BT275" s="125">
        <v>41527</v>
      </c>
      <c r="BU275">
        <v>21.5</v>
      </c>
      <c r="BV275" s="125">
        <v>41527</v>
      </c>
      <c r="CC275" s="111">
        <v>9.5</v>
      </c>
      <c r="CD275" s="125">
        <v>41527</v>
      </c>
      <c r="CG275" s="111">
        <v>2.73</v>
      </c>
      <c r="CH275" s="125">
        <v>41527</v>
      </c>
      <c r="CK275" s="111">
        <v>20</v>
      </c>
    </row>
    <row r="276" spans="1:89">
      <c r="A276" s="126" t="s">
        <v>7843</v>
      </c>
      <c r="B276" t="s">
        <v>257</v>
      </c>
      <c r="C276" t="s">
        <v>7795</v>
      </c>
      <c r="D276">
        <v>46</v>
      </c>
      <c r="E276" s="93">
        <v>4</v>
      </c>
      <c r="F276" s="93">
        <v>76</v>
      </c>
      <c r="K276" s="92">
        <v>5</v>
      </c>
      <c r="L276" s="159">
        <v>41569</v>
      </c>
      <c r="S276" s="111">
        <v>1500.7719999999999</v>
      </c>
      <c r="T276" s="125">
        <v>41527</v>
      </c>
      <c r="U276" s="111">
        <v>10.8</v>
      </c>
      <c r="Y276" s="111">
        <v>701.97400000000005</v>
      </c>
      <c r="Z276" s="125">
        <v>41527</v>
      </c>
      <c r="AA276" s="111">
        <v>75502.183409999998</v>
      </c>
      <c r="AB276" s="125">
        <v>41527</v>
      </c>
      <c r="AE276">
        <v>34.58</v>
      </c>
      <c r="AF276" s="125">
        <v>41527</v>
      </c>
      <c r="AG276" s="111">
        <v>4.58</v>
      </c>
      <c r="AH276" s="125">
        <v>41527</v>
      </c>
      <c r="AI276" s="111">
        <v>135</v>
      </c>
      <c r="AJ276" s="125">
        <v>41527</v>
      </c>
      <c r="BS276" s="111">
        <v>43.4</v>
      </c>
      <c r="BT276" s="125">
        <v>41527</v>
      </c>
      <c r="BU276">
        <v>20.3</v>
      </c>
      <c r="BV276" s="125">
        <v>41527</v>
      </c>
      <c r="CC276" s="111">
        <v>6.8</v>
      </c>
      <c r="CD276" s="125">
        <v>41527</v>
      </c>
      <c r="CG276" s="111">
        <v>2.93</v>
      </c>
      <c r="CH276" s="125">
        <v>41527</v>
      </c>
      <c r="CK276" s="111">
        <v>20</v>
      </c>
    </row>
    <row r="277" spans="1:89">
      <c r="A277" s="126" t="s">
        <v>7843</v>
      </c>
      <c r="B277" t="s">
        <v>259</v>
      </c>
      <c r="C277" t="s">
        <v>7795</v>
      </c>
      <c r="D277">
        <v>46</v>
      </c>
      <c r="E277" s="93">
        <v>3</v>
      </c>
      <c r="F277" s="93">
        <v>80</v>
      </c>
      <c r="K277" s="92">
        <v>5</v>
      </c>
      <c r="L277" s="159">
        <v>41569</v>
      </c>
      <c r="S277" s="111">
        <v>1530.58</v>
      </c>
      <c r="T277" s="125">
        <v>41527</v>
      </c>
      <c r="U277" s="111">
        <v>10.8</v>
      </c>
      <c r="Y277" s="111">
        <v>828.44500000000005</v>
      </c>
      <c r="Z277" s="125">
        <v>41527</v>
      </c>
      <c r="AA277" s="111">
        <v>79042.553190000006</v>
      </c>
      <c r="AB277" s="125">
        <v>41527</v>
      </c>
      <c r="AE277">
        <v>37.15</v>
      </c>
      <c r="AF277" s="125">
        <v>41527</v>
      </c>
      <c r="AG277" s="111">
        <v>4.7</v>
      </c>
      <c r="AH277" s="125">
        <v>41527</v>
      </c>
      <c r="AI277" s="111">
        <v>135</v>
      </c>
      <c r="AJ277" s="125">
        <v>41527</v>
      </c>
      <c r="BS277" s="111">
        <v>41.2</v>
      </c>
      <c r="BT277" s="125">
        <v>41527</v>
      </c>
      <c r="BU277">
        <v>22.3</v>
      </c>
      <c r="BV277" s="125">
        <v>41527</v>
      </c>
      <c r="CC277" s="111">
        <v>8.1</v>
      </c>
      <c r="CD277" s="125">
        <v>41527</v>
      </c>
      <c r="CG277" s="111">
        <v>2.2000000000000002</v>
      </c>
      <c r="CH277" s="125">
        <v>41527</v>
      </c>
      <c r="CK277" s="111">
        <v>20</v>
      </c>
    </row>
    <row r="278" spans="1:89">
      <c r="A278" s="126" t="s">
        <v>7844</v>
      </c>
      <c r="B278" t="s">
        <v>257</v>
      </c>
      <c r="C278" t="s">
        <v>405</v>
      </c>
      <c r="D278">
        <v>47</v>
      </c>
      <c r="E278" s="93">
        <v>4</v>
      </c>
      <c r="F278" s="93">
        <v>25</v>
      </c>
      <c r="K278" s="92">
        <v>5</v>
      </c>
      <c r="L278" s="159">
        <v>41569</v>
      </c>
      <c r="S278" s="111">
        <v>1660.23</v>
      </c>
      <c r="T278" s="125">
        <v>41527</v>
      </c>
      <c r="U278" s="111">
        <v>10.8</v>
      </c>
      <c r="Y278" s="111">
        <v>758.52</v>
      </c>
      <c r="Z278" s="125">
        <v>41527</v>
      </c>
      <c r="AA278" s="111" t="s">
        <v>7718</v>
      </c>
      <c r="AB278" s="125">
        <v>41527</v>
      </c>
      <c r="AE278">
        <v>38.700000000000003</v>
      </c>
      <c r="AF278" s="125">
        <v>41527</v>
      </c>
      <c r="AG278" s="111" t="s">
        <v>7718</v>
      </c>
      <c r="AH278" s="125">
        <v>41527</v>
      </c>
      <c r="AI278" s="111">
        <v>130</v>
      </c>
      <c r="AJ278" s="125">
        <v>41527</v>
      </c>
      <c r="BS278" s="111">
        <v>42.9</v>
      </c>
      <c r="BT278" s="125">
        <v>41527</v>
      </c>
      <c r="BU278">
        <v>19.600000000000001</v>
      </c>
      <c r="BV278" s="125">
        <v>41527</v>
      </c>
      <c r="CC278" s="111">
        <v>9.9</v>
      </c>
      <c r="CD278" s="125">
        <v>41527</v>
      </c>
      <c r="CG278" s="111">
        <v>2.61</v>
      </c>
      <c r="CH278" s="125">
        <v>41527</v>
      </c>
      <c r="CK278" s="111">
        <v>5</v>
      </c>
    </row>
    <row r="279" spans="1:89">
      <c r="A279" s="126" t="s">
        <v>7844</v>
      </c>
      <c r="B279" t="s">
        <v>259</v>
      </c>
      <c r="C279" t="s">
        <v>405</v>
      </c>
      <c r="D279">
        <v>47</v>
      </c>
      <c r="E279" s="93">
        <v>2</v>
      </c>
      <c r="F279" s="93">
        <v>20</v>
      </c>
      <c r="K279" s="92">
        <v>5</v>
      </c>
      <c r="L279" s="159">
        <v>41569</v>
      </c>
      <c r="S279" s="111">
        <v>1842.393</v>
      </c>
      <c r="T279" s="125">
        <v>41527</v>
      </c>
      <c r="U279" s="111">
        <v>10.8</v>
      </c>
      <c r="Y279" s="111">
        <v>972.49800000000005</v>
      </c>
      <c r="Z279" s="125">
        <v>41527</v>
      </c>
      <c r="AA279" s="111" t="s">
        <v>7718</v>
      </c>
      <c r="AB279" s="125">
        <v>41527</v>
      </c>
      <c r="AE279">
        <v>44.61</v>
      </c>
      <c r="AF279" s="125">
        <v>41527</v>
      </c>
      <c r="AG279" s="111" t="s">
        <v>7718</v>
      </c>
      <c r="AH279" s="125">
        <v>41527</v>
      </c>
      <c r="AI279" s="111">
        <v>120</v>
      </c>
      <c r="AJ279" s="125">
        <v>41527</v>
      </c>
      <c r="BS279" s="111">
        <v>41.3</v>
      </c>
      <c r="BT279" s="125">
        <v>41527</v>
      </c>
      <c r="BU279">
        <v>21.8</v>
      </c>
      <c r="BV279" s="125">
        <v>41527</v>
      </c>
      <c r="CC279" s="111">
        <v>8.3000000000000007</v>
      </c>
      <c r="CD279" s="125">
        <v>41527</v>
      </c>
      <c r="CG279" s="111">
        <v>3.56</v>
      </c>
      <c r="CH279" s="125">
        <v>41527</v>
      </c>
      <c r="CK279" s="111">
        <v>5</v>
      </c>
    </row>
    <row r="280" spans="1:89">
      <c r="A280" s="126" t="s">
        <v>7844</v>
      </c>
      <c r="B280" t="s">
        <v>257</v>
      </c>
      <c r="C280" t="s">
        <v>7794</v>
      </c>
      <c r="D280">
        <v>47</v>
      </c>
      <c r="E280" s="93">
        <v>3</v>
      </c>
      <c r="F280" s="93">
        <v>39</v>
      </c>
      <c r="K280" s="92">
        <v>5</v>
      </c>
      <c r="L280" s="159">
        <v>41569</v>
      </c>
      <c r="S280" s="111">
        <v>2030.432</v>
      </c>
      <c r="T280" s="125">
        <v>41527</v>
      </c>
      <c r="U280" s="111">
        <v>10.8</v>
      </c>
      <c r="Y280" s="111">
        <v>944.05600000000004</v>
      </c>
      <c r="Z280" s="125">
        <v>41527</v>
      </c>
      <c r="AA280" s="111" t="s">
        <v>7718</v>
      </c>
      <c r="AB280" s="125">
        <v>41527</v>
      </c>
      <c r="AE280">
        <v>47.44</v>
      </c>
      <c r="AF280" s="125">
        <v>41527</v>
      </c>
      <c r="AG280" s="111" t="s">
        <v>7718</v>
      </c>
      <c r="AH280" s="125">
        <v>41527</v>
      </c>
      <c r="AI280" s="111">
        <v>135</v>
      </c>
      <c r="AJ280" s="125">
        <v>41527</v>
      </c>
      <c r="BS280" s="111">
        <v>42.8</v>
      </c>
      <c r="BT280" s="125">
        <v>41527</v>
      </c>
      <c r="BU280">
        <v>19.899999999999999</v>
      </c>
      <c r="BV280" s="125">
        <v>41527</v>
      </c>
      <c r="CC280" s="111">
        <v>9.6</v>
      </c>
      <c r="CD280" s="125">
        <v>41527</v>
      </c>
      <c r="CG280" s="111">
        <v>4.18</v>
      </c>
      <c r="CH280" s="125">
        <v>41527</v>
      </c>
      <c r="CK280" s="111">
        <v>5</v>
      </c>
    </row>
    <row r="281" spans="1:89">
      <c r="A281" s="126" t="s">
        <v>7844</v>
      </c>
      <c r="B281" t="s">
        <v>259</v>
      </c>
      <c r="C281" t="s">
        <v>7794</v>
      </c>
      <c r="D281">
        <v>47</v>
      </c>
      <c r="E281" s="93">
        <v>5</v>
      </c>
      <c r="F281" s="93">
        <v>51</v>
      </c>
      <c r="K281" s="92">
        <v>5</v>
      </c>
      <c r="L281" s="159">
        <v>41569</v>
      </c>
      <c r="S281" s="111">
        <v>1689.61</v>
      </c>
      <c r="T281" s="125">
        <v>41527</v>
      </c>
      <c r="U281" s="111">
        <v>10.8</v>
      </c>
      <c r="Y281" s="111">
        <v>898.37800000000004</v>
      </c>
      <c r="Z281" s="125">
        <v>41527</v>
      </c>
      <c r="AA281" s="111" t="s">
        <v>7718</v>
      </c>
      <c r="AB281" s="125">
        <v>41527</v>
      </c>
      <c r="AE281">
        <v>41.21</v>
      </c>
      <c r="AF281" s="125">
        <v>41527</v>
      </c>
      <c r="AG281" s="111" t="s">
        <v>7718</v>
      </c>
      <c r="AH281" s="125">
        <v>41527</v>
      </c>
      <c r="AI281" s="111">
        <v>125</v>
      </c>
      <c r="AJ281" s="125">
        <v>41527</v>
      </c>
      <c r="BS281" s="111">
        <v>41</v>
      </c>
      <c r="BT281" s="125">
        <v>41527</v>
      </c>
      <c r="BU281">
        <v>21.8</v>
      </c>
      <c r="BV281" s="125">
        <v>41527</v>
      </c>
      <c r="CC281" s="111">
        <v>7.5</v>
      </c>
      <c r="CD281" s="125">
        <v>41527</v>
      </c>
      <c r="CG281" s="111">
        <v>7.23</v>
      </c>
      <c r="CH281" s="125">
        <v>41527</v>
      </c>
      <c r="CK281" s="111">
        <v>10</v>
      </c>
    </row>
    <row r="282" spans="1:89">
      <c r="A282" s="126" t="s">
        <v>7844</v>
      </c>
      <c r="B282" t="s">
        <v>257</v>
      </c>
      <c r="C282" t="s">
        <v>7795</v>
      </c>
      <c r="D282">
        <v>47</v>
      </c>
      <c r="E282" s="93">
        <v>6</v>
      </c>
      <c r="F282" s="93">
        <v>86</v>
      </c>
      <c r="K282" s="92">
        <v>5</v>
      </c>
      <c r="L282" s="159">
        <v>41569</v>
      </c>
      <c r="S282" s="111">
        <v>1199.7090000000001</v>
      </c>
      <c r="T282" s="125">
        <v>41527</v>
      </c>
      <c r="U282" s="111">
        <v>10.8</v>
      </c>
      <c r="Y282" s="111">
        <v>595.53899999999999</v>
      </c>
      <c r="Z282" s="125">
        <v>41527</v>
      </c>
      <c r="AA282" s="111">
        <v>64362.416109999998</v>
      </c>
      <c r="AB282" s="125">
        <v>41527</v>
      </c>
      <c r="AE282">
        <v>28.77</v>
      </c>
      <c r="AF282" s="125">
        <v>41527</v>
      </c>
      <c r="AG282" s="111">
        <v>4.47</v>
      </c>
      <c r="AH282" s="125">
        <v>41527</v>
      </c>
      <c r="AI282" s="111">
        <v>115</v>
      </c>
      <c r="AJ282" s="125">
        <v>41527</v>
      </c>
      <c r="BS282" s="111">
        <v>41.7</v>
      </c>
      <c r="BT282" s="125">
        <v>41527</v>
      </c>
      <c r="BU282">
        <v>20.7</v>
      </c>
      <c r="BV282" s="125">
        <v>41527</v>
      </c>
      <c r="CC282" s="111">
        <v>9</v>
      </c>
      <c r="CD282" s="125">
        <v>41527</v>
      </c>
      <c r="CG282" s="111">
        <v>5.74</v>
      </c>
      <c r="CH282" s="125">
        <v>41527</v>
      </c>
      <c r="CK282" s="111">
        <v>5</v>
      </c>
    </row>
    <row r="283" spans="1:89">
      <c r="A283" s="126" t="s">
        <v>7844</v>
      </c>
      <c r="B283" t="s">
        <v>259</v>
      </c>
      <c r="C283" t="s">
        <v>7795</v>
      </c>
      <c r="D283">
        <v>47</v>
      </c>
      <c r="E283" s="93">
        <v>1</v>
      </c>
      <c r="F283" s="93">
        <v>78</v>
      </c>
      <c r="K283" s="92">
        <v>5</v>
      </c>
      <c r="L283" s="159">
        <v>41569</v>
      </c>
      <c r="S283" s="111">
        <v>1608.4639999999999</v>
      </c>
      <c r="T283" s="125">
        <v>41527</v>
      </c>
      <c r="U283" s="111">
        <v>10.8</v>
      </c>
      <c r="Y283" s="111">
        <v>849.68</v>
      </c>
      <c r="Z283" s="125">
        <v>41527</v>
      </c>
      <c r="AA283" s="111">
        <v>88609.865470000004</v>
      </c>
      <c r="AB283" s="125">
        <v>41527</v>
      </c>
      <c r="AE283">
        <v>39.520000000000003</v>
      </c>
      <c r="AF283" s="125">
        <v>41527</v>
      </c>
      <c r="AG283" s="111">
        <v>4.46</v>
      </c>
      <c r="AH283" s="125">
        <v>41527</v>
      </c>
      <c r="AI283" s="111">
        <v>120</v>
      </c>
      <c r="AJ283" s="125">
        <v>41527</v>
      </c>
      <c r="BS283" s="111">
        <v>40.700000000000003</v>
      </c>
      <c r="BT283" s="125">
        <v>41527</v>
      </c>
      <c r="BU283">
        <v>21.5</v>
      </c>
      <c r="BV283" s="125">
        <v>41527</v>
      </c>
      <c r="CC283" s="111">
        <v>8.6</v>
      </c>
      <c r="CD283" s="125">
        <v>41527</v>
      </c>
      <c r="CG283" s="111">
        <v>5.65</v>
      </c>
      <c r="CH283" s="125">
        <v>41527</v>
      </c>
      <c r="CK283" s="111">
        <v>10</v>
      </c>
    </row>
    <row r="284" spans="1:89">
      <c r="A284" s="126" t="s">
        <v>7845</v>
      </c>
      <c r="B284" t="s">
        <v>257</v>
      </c>
      <c r="C284" t="s">
        <v>405</v>
      </c>
      <c r="D284">
        <v>48</v>
      </c>
      <c r="E284" s="93">
        <v>5</v>
      </c>
      <c r="F284" s="93">
        <v>27</v>
      </c>
      <c r="K284" s="92">
        <v>3</v>
      </c>
      <c r="L284" s="159">
        <v>41569</v>
      </c>
      <c r="S284" s="111">
        <v>1358.55</v>
      </c>
      <c r="T284" s="125">
        <v>41527</v>
      </c>
      <c r="U284" s="111">
        <v>10.8</v>
      </c>
      <c r="Y284" s="111">
        <v>552.47699999999998</v>
      </c>
      <c r="Z284" s="125">
        <v>41527</v>
      </c>
      <c r="AA284" s="111" t="s">
        <v>7718</v>
      </c>
      <c r="AB284" s="125">
        <v>41527</v>
      </c>
      <c r="AE284">
        <v>30.19</v>
      </c>
      <c r="AF284" s="125">
        <v>41527</v>
      </c>
      <c r="AG284" s="111" t="s">
        <v>7718</v>
      </c>
      <c r="AH284" s="125">
        <v>41527</v>
      </c>
      <c r="AI284" s="111">
        <v>120</v>
      </c>
      <c r="AJ284" s="125">
        <v>41527</v>
      </c>
      <c r="BS284" s="111">
        <v>45</v>
      </c>
      <c r="BT284" s="125">
        <v>41527</v>
      </c>
      <c r="BU284">
        <v>18.3</v>
      </c>
      <c r="BV284" s="125">
        <v>41527</v>
      </c>
      <c r="CC284" s="111">
        <v>10.7</v>
      </c>
      <c r="CD284" s="125">
        <v>41527</v>
      </c>
      <c r="CG284" s="111">
        <v>6.72</v>
      </c>
      <c r="CH284" s="125">
        <v>41527</v>
      </c>
      <c r="CK284" s="111">
        <v>5</v>
      </c>
    </row>
    <row r="285" spans="1:89">
      <c r="A285" s="126" t="s">
        <v>7845</v>
      </c>
      <c r="B285" t="s">
        <v>259</v>
      </c>
      <c r="C285" t="s">
        <v>405</v>
      </c>
      <c r="D285">
        <v>48</v>
      </c>
      <c r="E285" s="93">
        <v>1</v>
      </c>
      <c r="F285" s="93">
        <v>14</v>
      </c>
      <c r="K285" s="92">
        <v>5</v>
      </c>
      <c r="L285" s="159">
        <v>41569</v>
      </c>
      <c r="S285" s="111">
        <v>1799.98</v>
      </c>
      <c r="T285" s="125">
        <v>41527</v>
      </c>
      <c r="U285" s="111">
        <v>10.8</v>
      </c>
      <c r="Y285" s="111">
        <v>874.87400000000002</v>
      </c>
      <c r="Z285" s="125">
        <v>41527</v>
      </c>
      <c r="AA285" s="111" t="s">
        <v>7718</v>
      </c>
      <c r="AB285" s="125">
        <v>41527</v>
      </c>
      <c r="AE285">
        <v>41.86</v>
      </c>
      <c r="AF285" s="125">
        <v>41527</v>
      </c>
      <c r="AG285" s="111" t="s">
        <v>7718</v>
      </c>
      <c r="AH285" s="125">
        <v>41527</v>
      </c>
      <c r="AI285" s="111">
        <v>135</v>
      </c>
      <c r="AJ285" s="125">
        <v>41527</v>
      </c>
      <c r="BS285" s="111">
        <v>43</v>
      </c>
      <c r="BT285" s="125">
        <v>41527</v>
      </c>
      <c r="BU285">
        <v>20.9</v>
      </c>
      <c r="BV285" s="125">
        <v>41527</v>
      </c>
      <c r="CC285" s="111">
        <v>7.8</v>
      </c>
      <c r="CD285" s="125">
        <v>41527</v>
      </c>
      <c r="CG285" s="111">
        <v>3.47</v>
      </c>
      <c r="CH285" s="125">
        <v>41527</v>
      </c>
      <c r="CK285" s="111">
        <v>5</v>
      </c>
    </row>
    <row r="286" spans="1:89">
      <c r="A286" s="126" t="s">
        <v>7845</v>
      </c>
      <c r="B286" t="s">
        <v>257</v>
      </c>
      <c r="C286" t="s">
        <v>7794</v>
      </c>
      <c r="D286">
        <v>48</v>
      </c>
      <c r="E286" s="93">
        <v>1</v>
      </c>
      <c r="F286" s="93">
        <v>38</v>
      </c>
      <c r="K286" s="92">
        <v>5</v>
      </c>
      <c r="L286" s="159">
        <v>41569</v>
      </c>
      <c r="S286" s="111">
        <v>1690.5550000000001</v>
      </c>
      <c r="T286" s="125">
        <v>41527</v>
      </c>
      <c r="U286" s="111">
        <v>10.8</v>
      </c>
      <c r="Y286" s="111">
        <v>721.81</v>
      </c>
      <c r="Z286" s="125">
        <v>41527</v>
      </c>
      <c r="AA286" s="111" t="s">
        <v>7718</v>
      </c>
      <c r="AB286" s="125">
        <v>41527</v>
      </c>
      <c r="AE286">
        <v>37.99</v>
      </c>
      <c r="AF286" s="125">
        <v>41527</v>
      </c>
      <c r="AG286" s="111" t="s">
        <v>7718</v>
      </c>
      <c r="AH286" s="125">
        <v>41527</v>
      </c>
      <c r="AI286" s="111">
        <v>140</v>
      </c>
      <c r="AJ286" s="125">
        <v>41527</v>
      </c>
      <c r="BS286" s="111">
        <v>44.5</v>
      </c>
      <c r="BT286" s="125">
        <v>41527</v>
      </c>
      <c r="BU286">
        <v>19</v>
      </c>
      <c r="BV286" s="125">
        <v>41527</v>
      </c>
      <c r="CC286" s="111">
        <v>9.5</v>
      </c>
      <c r="CD286" s="125">
        <v>41527</v>
      </c>
      <c r="CG286" s="111">
        <v>6.14</v>
      </c>
      <c r="CH286" s="125">
        <v>41527</v>
      </c>
      <c r="CK286" s="111">
        <v>5</v>
      </c>
    </row>
    <row r="287" spans="1:89">
      <c r="A287" s="126" t="s">
        <v>7845</v>
      </c>
      <c r="B287" t="s">
        <v>259</v>
      </c>
      <c r="C287" t="s">
        <v>7794</v>
      </c>
      <c r="D287">
        <v>48</v>
      </c>
      <c r="E287" s="93">
        <v>6</v>
      </c>
      <c r="F287" s="93">
        <v>34</v>
      </c>
      <c r="K287" s="92">
        <v>3</v>
      </c>
      <c r="L287" s="159">
        <v>41569</v>
      </c>
      <c r="S287" s="111">
        <v>1781.4960000000001</v>
      </c>
      <c r="T287" s="125">
        <v>41527</v>
      </c>
      <c r="U287" s="111">
        <v>10.8</v>
      </c>
      <c r="Y287" s="111">
        <v>729.86400000000003</v>
      </c>
      <c r="Z287" s="125">
        <v>41527</v>
      </c>
      <c r="AA287" s="111" t="s">
        <v>7718</v>
      </c>
      <c r="AB287" s="125">
        <v>41527</v>
      </c>
      <c r="AE287">
        <v>39.24</v>
      </c>
      <c r="AF287" s="125">
        <v>41527</v>
      </c>
      <c r="AG287" s="111" t="s">
        <v>7718</v>
      </c>
      <c r="AH287" s="125">
        <v>41527</v>
      </c>
      <c r="AI287" s="111">
        <v>130</v>
      </c>
      <c r="AJ287" s="125">
        <v>41527</v>
      </c>
      <c r="BS287" s="111">
        <v>45.4</v>
      </c>
      <c r="BT287" s="125">
        <v>41527</v>
      </c>
      <c r="BU287">
        <v>18.600000000000001</v>
      </c>
      <c r="BV287" s="125">
        <v>41527</v>
      </c>
      <c r="CC287" s="111">
        <v>9.1999999999999993</v>
      </c>
      <c r="CD287" s="125">
        <v>41527</v>
      </c>
      <c r="CG287" s="111">
        <v>2.34</v>
      </c>
      <c r="CH287" s="125">
        <v>41527</v>
      </c>
      <c r="CK287" s="111">
        <v>10</v>
      </c>
    </row>
    <row r="288" spans="1:89">
      <c r="A288" s="126" t="s">
        <v>7845</v>
      </c>
      <c r="B288" t="s">
        <v>257</v>
      </c>
      <c r="C288" t="s">
        <v>7795</v>
      </c>
      <c r="D288">
        <v>48</v>
      </c>
      <c r="E288" s="93">
        <v>6</v>
      </c>
      <c r="F288" s="93">
        <v>67</v>
      </c>
      <c r="K288" s="92">
        <v>3</v>
      </c>
      <c r="L288" s="159">
        <v>41569</v>
      </c>
      <c r="S288" s="111">
        <v>1323.26</v>
      </c>
      <c r="T288" s="125">
        <v>41527</v>
      </c>
      <c r="U288" s="111">
        <v>10.8</v>
      </c>
      <c r="Y288" s="111">
        <v>597.89499999999998</v>
      </c>
      <c r="Z288" s="125">
        <v>41527</v>
      </c>
      <c r="AA288" s="111">
        <v>66997.792490000007</v>
      </c>
      <c r="AB288" s="125">
        <v>41527</v>
      </c>
      <c r="AE288">
        <v>30.35</v>
      </c>
      <c r="AF288" s="125">
        <v>41527</v>
      </c>
      <c r="AG288" s="111">
        <v>4.53</v>
      </c>
      <c r="AH288" s="125">
        <v>41527</v>
      </c>
      <c r="AI288" s="111">
        <v>115</v>
      </c>
      <c r="AJ288" s="125">
        <v>41527</v>
      </c>
      <c r="BS288" s="111">
        <v>43.6</v>
      </c>
      <c r="BT288" s="125">
        <v>41527</v>
      </c>
      <c r="BU288">
        <v>19.7</v>
      </c>
      <c r="BV288" s="125">
        <v>41527</v>
      </c>
      <c r="CC288" s="111">
        <v>6.3</v>
      </c>
      <c r="CD288" s="125">
        <v>41527</v>
      </c>
      <c r="CG288" s="111">
        <v>4.55</v>
      </c>
      <c r="CH288" s="125">
        <v>41527</v>
      </c>
      <c r="CK288" s="111">
        <v>5</v>
      </c>
    </row>
    <row r="289" spans="1:89">
      <c r="A289" s="126" t="s">
        <v>7845</v>
      </c>
      <c r="B289" t="s">
        <v>259</v>
      </c>
      <c r="C289" t="s">
        <v>7795</v>
      </c>
      <c r="D289">
        <v>48</v>
      </c>
      <c r="E289" s="93">
        <v>1</v>
      </c>
      <c r="F289" s="93">
        <v>68</v>
      </c>
      <c r="K289" s="92">
        <v>3</v>
      </c>
      <c r="L289" s="159">
        <v>41569</v>
      </c>
      <c r="S289" s="111">
        <v>1570.8309999999999</v>
      </c>
      <c r="T289" s="125">
        <v>41527</v>
      </c>
      <c r="U289" s="111">
        <v>10.8</v>
      </c>
      <c r="Y289" s="111">
        <v>787.29</v>
      </c>
      <c r="Z289" s="125">
        <v>41527</v>
      </c>
      <c r="AA289" s="111">
        <v>85986.238530000002</v>
      </c>
      <c r="AB289" s="125">
        <v>41527</v>
      </c>
      <c r="AE289">
        <v>37.49</v>
      </c>
      <c r="AF289" s="125">
        <v>41527</v>
      </c>
      <c r="AG289" s="111">
        <v>4.3600000000000003</v>
      </c>
      <c r="AH289" s="125">
        <v>41527</v>
      </c>
      <c r="AI289" s="111">
        <v>120</v>
      </c>
      <c r="AJ289" s="125">
        <v>41527</v>
      </c>
      <c r="BS289" s="111">
        <v>41.9</v>
      </c>
      <c r="BT289" s="125">
        <v>41527</v>
      </c>
      <c r="BU289">
        <v>21</v>
      </c>
      <c r="BV289" s="125">
        <v>41527</v>
      </c>
      <c r="CC289" s="111">
        <v>10.4</v>
      </c>
      <c r="CD289" s="125">
        <v>41527</v>
      </c>
      <c r="CG289" s="111">
        <v>9</v>
      </c>
      <c r="CH289" s="125">
        <v>41527</v>
      </c>
      <c r="CK289" s="111">
        <v>5</v>
      </c>
    </row>
    <row r="290" spans="1:89">
      <c r="A290" s="126" t="s">
        <v>7846</v>
      </c>
      <c r="B290" t="s">
        <v>257</v>
      </c>
      <c r="C290" t="s">
        <v>405</v>
      </c>
      <c r="D290">
        <v>49</v>
      </c>
      <c r="E290" s="93">
        <v>4</v>
      </c>
      <c r="F290" s="93">
        <v>19</v>
      </c>
      <c r="K290" s="92">
        <v>3</v>
      </c>
      <c r="L290" s="159">
        <v>41569</v>
      </c>
      <c r="S290" s="111">
        <v>1283.98</v>
      </c>
      <c r="T290" s="125">
        <v>41527</v>
      </c>
      <c r="U290" s="111">
        <v>10.8</v>
      </c>
      <c r="Y290" s="111">
        <v>579.28399999999999</v>
      </c>
      <c r="Z290" s="125">
        <v>41527</v>
      </c>
      <c r="AA290" s="111" t="s">
        <v>7718</v>
      </c>
      <c r="AB290" s="125">
        <v>41527</v>
      </c>
      <c r="AE290">
        <v>29.86</v>
      </c>
      <c r="AF290" s="125">
        <v>41527</v>
      </c>
      <c r="AG290" s="111" t="s">
        <v>7718</v>
      </c>
      <c r="AH290" s="125">
        <v>41527</v>
      </c>
      <c r="AI290" s="111">
        <v>120</v>
      </c>
      <c r="AJ290" s="125">
        <v>41527</v>
      </c>
      <c r="BS290" s="111">
        <v>43</v>
      </c>
      <c r="BT290" s="125">
        <v>41527</v>
      </c>
      <c r="BU290">
        <v>19.399999999999999</v>
      </c>
      <c r="BV290" s="125">
        <v>41527</v>
      </c>
      <c r="CC290" s="111">
        <v>7.1</v>
      </c>
      <c r="CD290" s="125">
        <v>41527</v>
      </c>
      <c r="CG290" s="111">
        <v>5.6</v>
      </c>
      <c r="CH290" s="125">
        <v>41527</v>
      </c>
      <c r="CK290" s="111">
        <v>5</v>
      </c>
    </row>
    <row r="291" spans="1:89">
      <c r="A291" s="126" t="s">
        <v>7846</v>
      </c>
      <c r="B291" t="s">
        <v>259</v>
      </c>
      <c r="C291" t="s">
        <v>405</v>
      </c>
      <c r="D291">
        <v>49</v>
      </c>
      <c r="E291" s="93">
        <v>1</v>
      </c>
      <c r="F291" s="93">
        <v>22</v>
      </c>
      <c r="K291" s="92">
        <v>5</v>
      </c>
      <c r="L291" s="159">
        <v>41569</v>
      </c>
      <c r="S291" s="111">
        <v>1771.4</v>
      </c>
      <c r="T291" s="125">
        <v>41527</v>
      </c>
      <c r="U291" s="111">
        <v>10.8</v>
      </c>
      <c r="Y291" s="111">
        <v>866.94399999999996</v>
      </c>
      <c r="Z291" s="125">
        <v>41527</v>
      </c>
      <c r="AA291" s="111" t="s">
        <v>7718</v>
      </c>
      <c r="AB291" s="125">
        <v>41527</v>
      </c>
      <c r="AE291">
        <v>41.68</v>
      </c>
      <c r="AF291" s="125">
        <v>41527</v>
      </c>
      <c r="AG291" s="111" t="s">
        <v>7718</v>
      </c>
      <c r="AH291" s="125">
        <v>41527</v>
      </c>
      <c r="AI291" s="111">
        <v>135</v>
      </c>
      <c r="AJ291" s="125">
        <v>41527</v>
      </c>
      <c r="BS291" s="111">
        <v>42.5</v>
      </c>
      <c r="BT291" s="125">
        <v>41527</v>
      </c>
      <c r="BU291">
        <v>20.8</v>
      </c>
      <c r="BV291" s="125">
        <v>41527</v>
      </c>
      <c r="CC291" s="111">
        <v>8.3000000000000007</v>
      </c>
      <c r="CD291" s="125">
        <v>41527</v>
      </c>
      <c r="CG291" s="111">
        <v>2.74</v>
      </c>
      <c r="CH291" s="125">
        <v>41527</v>
      </c>
      <c r="CK291" s="111">
        <v>5</v>
      </c>
    </row>
    <row r="292" spans="1:89">
      <c r="A292" s="126" t="s">
        <v>7846</v>
      </c>
      <c r="B292" t="s">
        <v>257</v>
      </c>
      <c r="C292" t="s">
        <v>7794</v>
      </c>
      <c r="D292">
        <v>49</v>
      </c>
      <c r="E292" s="93">
        <v>2</v>
      </c>
      <c r="F292" s="93">
        <v>53</v>
      </c>
      <c r="K292" s="92">
        <v>3</v>
      </c>
      <c r="L292" s="159">
        <v>41569</v>
      </c>
      <c r="S292" s="111">
        <v>1496.83</v>
      </c>
      <c r="T292" s="125">
        <v>41527</v>
      </c>
      <c r="U292" s="111">
        <v>10.8</v>
      </c>
      <c r="Y292" s="111">
        <v>713.60500000000002</v>
      </c>
      <c r="Z292" s="125">
        <v>41527</v>
      </c>
      <c r="AA292" s="111" t="s">
        <v>7718</v>
      </c>
      <c r="AB292" s="125">
        <v>41527</v>
      </c>
      <c r="AE292">
        <v>34.81</v>
      </c>
      <c r="AF292" s="125">
        <v>41527</v>
      </c>
      <c r="AG292" s="111" t="s">
        <v>7718</v>
      </c>
      <c r="AH292" s="125">
        <v>41527</v>
      </c>
      <c r="AI292" s="111">
        <v>120</v>
      </c>
      <c r="AJ292" s="125">
        <v>41527</v>
      </c>
      <c r="BS292" s="111">
        <v>43</v>
      </c>
      <c r="BT292" s="125">
        <v>41527</v>
      </c>
      <c r="BU292">
        <v>20.5</v>
      </c>
      <c r="BV292" s="125">
        <v>41527</v>
      </c>
      <c r="CC292" s="111">
        <v>12.5</v>
      </c>
      <c r="CD292" s="125">
        <v>41527</v>
      </c>
      <c r="CG292" s="111">
        <v>10.14</v>
      </c>
      <c r="CH292" s="125">
        <v>41527</v>
      </c>
      <c r="CK292" s="111">
        <v>20</v>
      </c>
    </row>
    <row r="293" spans="1:89">
      <c r="A293" s="126" t="s">
        <v>7846</v>
      </c>
      <c r="B293" t="s">
        <v>259</v>
      </c>
      <c r="C293" t="s">
        <v>7794</v>
      </c>
      <c r="D293">
        <v>49</v>
      </c>
      <c r="E293" s="93">
        <v>6</v>
      </c>
      <c r="F293" s="93">
        <v>38</v>
      </c>
      <c r="K293" s="92">
        <v>3</v>
      </c>
      <c r="L293" s="159">
        <v>41569</v>
      </c>
      <c r="S293" s="111">
        <v>1554.9480000000001</v>
      </c>
      <c r="T293" s="125">
        <v>41527</v>
      </c>
      <c r="U293" s="111">
        <v>10.8</v>
      </c>
      <c r="Y293" s="111">
        <v>768.28399999999999</v>
      </c>
      <c r="Z293" s="125">
        <v>41527</v>
      </c>
      <c r="AA293" s="111" t="s">
        <v>7718</v>
      </c>
      <c r="AB293" s="125">
        <v>41527</v>
      </c>
      <c r="AE293">
        <v>36.76</v>
      </c>
      <c r="AF293" s="125">
        <v>41527</v>
      </c>
      <c r="AG293" s="111" t="s">
        <v>7718</v>
      </c>
      <c r="AH293" s="125">
        <v>41527</v>
      </c>
      <c r="AI293" s="111">
        <v>125</v>
      </c>
      <c r="AJ293" s="125">
        <v>41527</v>
      </c>
      <c r="BS293" s="111">
        <v>42.3</v>
      </c>
      <c r="BT293" s="125">
        <v>41527</v>
      </c>
      <c r="BU293">
        <v>20.9</v>
      </c>
      <c r="BV293" s="125">
        <v>41527</v>
      </c>
      <c r="CC293" s="111">
        <v>7.9</v>
      </c>
      <c r="CD293" s="125">
        <v>41527</v>
      </c>
      <c r="CG293" s="111">
        <v>5.18</v>
      </c>
      <c r="CH293" s="125">
        <v>41527</v>
      </c>
      <c r="CK293" s="111">
        <v>10</v>
      </c>
    </row>
    <row r="294" spans="1:89">
      <c r="A294" s="126" t="s">
        <v>7846</v>
      </c>
      <c r="B294" t="s">
        <v>257</v>
      </c>
      <c r="C294" t="s">
        <v>7795</v>
      </c>
      <c r="D294">
        <v>49</v>
      </c>
      <c r="E294" s="93">
        <v>4</v>
      </c>
      <c r="F294" s="93">
        <v>84</v>
      </c>
      <c r="K294" s="92">
        <v>3</v>
      </c>
      <c r="L294" s="159">
        <v>41569</v>
      </c>
      <c r="S294" s="111">
        <v>1460.16</v>
      </c>
      <c r="T294" s="125">
        <v>41527</v>
      </c>
      <c r="U294" s="111">
        <v>10.8</v>
      </c>
      <c r="Y294" s="111">
        <v>659.1</v>
      </c>
      <c r="Z294" s="125">
        <v>41527</v>
      </c>
      <c r="AA294" s="111" t="s">
        <v>7718</v>
      </c>
      <c r="AB294" s="125">
        <v>41527</v>
      </c>
      <c r="AE294">
        <v>33.799999999999997</v>
      </c>
      <c r="AF294" s="125">
        <v>41527</v>
      </c>
      <c r="AG294" s="111" t="s">
        <v>7718</v>
      </c>
      <c r="AH294" s="125">
        <v>41527</v>
      </c>
      <c r="AI294" s="111">
        <v>125</v>
      </c>
      <c r="AJ294" s="125">
        <v>41527</v>
      </c>
      <c r="BS294" s="111">
        <v>43.2</v>
      </c>
      <c r="BT294" s="125">
        <v>41527</v>
      </c>
      <c r="BU294">
        <v>19.5</v>
      </c>
      <c r="BV294" s="125">
        <v>41527</v>
      </c>
      <c r="CC294" s="111">
        <v>8</v>
      </c>
      <c r="CD294" s="125">
        <v>41527</v>
      </c>
      <c r="CG294" s="111">
        <v>3.69</v>
      </c>
      <c r="CH294" s="125">
        <v>41527</v>
      </c>
      <c r="CK294" s="111">
        <v>10</v>
      </c>
    </row>
    <row r="295" spans="1:89">
      <c r="A295" s="126" t="s">
        <v>7846</v>
      </c>
      <c r="B295" t="s">
        <v>259</v>
      </c>
      <c r="C295" t="s">
        <v>7795</v>
      </c>
      <c r="D295">
        <v>49</v>
      </c>
      <c r="E295" s="93">
        <v>2</v>
      </c>
      <c r="F295" s="93">
        <v>87</v>
      </c>
      <c r="K295" s="92">
        <v>3</v>
      </c>
      <c r="L295" s="159">
        <v>41569</v>
      </c>
      <c r="S295" s="111">
        <v>1269.6959999999999</v>
      </c>
      <c r="T295" s="125">
        <v>41527</v>
      </c>
      <c r="U295" s="111">
        <v>10.8</v>
      </c>
      <c r="Y295" s="111">
        <v>678.41600000000005</v>
      </c>
      <c r="Z295" s="125">
        <v>41527</v>
      </c>
      <c r="AA295" s="111" t="s">
        <v>7718</v>
      </c>
      <c r="AB295" s="125">
        <v>41527</v>
      </c>
      <c r="AE295">
        <v>31.12</v>
      </c>
      <c r="AF295" s="125">
        <v>41527</v>
      </c>
      <c r="AG295" s="111" t="s">
        <v>7718</v>
      </c>
      <c r="AH295" s="125">
        <v>41527</v>
      </c>
      <c r="AI295" s="111">
        <v>130</v>
      </c>
      <c r="AJ295" s="125">
        <v>41527</v>
      </c>
      <c r="BS295" s="111">
        <v>40.799999999999997</v>
      </c>
      <c r="BT295" s="125">
        <v>41527</v>
      </c>
      <c r="BU295">
        <v>21.8</v>
      </c>
      <c r="BV295" s="125">
        <v>41527</v>
      </c>
      <c r="CC295" s="111">
        <v>11.3</v>
      </c>
      <c r="CD295" s="125">
        <v>41527</v>
      </c>
      <c r="CG295" s="111">
        <v>8.76</v>
      </c>
      <c r="CH295" s="125">
        <v>41527</v>
      </c>
      <c r="CK295" s="111">
        <v>5</v>
      </c>
    </row>
    <row r="296" spans="1:89">
      <c r="A296" s="126" t="s">
        <v>7847</v>
      </c>
      <c r="B296" t="s">
        <v>257</v>
      </c>
      <c r="C296" t="s">
        <v>405</v>
      </c>
      <c r="D296">
        <v>50</v>
      </c>
      <c r="E296" s="93">
        <v>5</v>
      </c>
      <c r="F296" s="93">
        <v>13</v>
      </c>
      <c r="K296" s="92">
        <v>5</v>
      </c>
      <c r="L296" s="159">
        <v>41569</v>
      </c>
      <c r="S296" s="111">
        <v>1804.9860000000001</v>
      </c>
      <c r="T296" s="125">
        <v>41527</v>
      </c>
      <c r="U296" s="111">
        <v>10.8</v>
      </c>
      <c r="Y296" s="111">
        <v>779.33399999999995</v>
      </c>
      <c r="Z296" s="125">
        <v>41527</v>
      </c>
      <c r="AA296" s="111" t="s">
        <v>7718</v>
      </c>
      <c r="AB296" s="125">
        <v>41527</v>
      </c>
      <c r="AE296">
        <v>40.380000000000003</v>
      </c>
      <c r="AF296" s="125">
        <v>41527</v>
      </c>
      <c r="AG296" s="111" t="s">
        <v>7718</v>
      </c>
      <c r="AH296" s="125">
        <v>41527</v>
      </c>
      <c r="AI296" s="111">
        <v>130</v>
      </c>
      <c r="AJ296" s="125">
        <v>41527</v>
      </c>
      <c r="BS296" s="111">
        <v>44.7</v>
      </c>
      <c r="BT296" s="125">
        <v>41527</v>
      </c>
      <c r="BU296">
        <v>19.3</v>
      </c>
      <c r="BV296" s="125">
        <v>41527</v>
      </c>
      <c r="CC296" s="111">
        <v>7.4</v>
      </c>
      <c r="CD296" s="125">
        <v>41527</v>
      </c>
      <c r="CG296" s="111">
        <v>3.66</v>
      </c>
      <c r="CH296" s="125">
        <v>41527</v>
      </c>
      <c r="CK296" s="111">
        <v>10</v>
      </c>
    </row>
    <row r="297" spans="1:89">
      <c r="A297" s="126" t="s">
        <v>7847</v>
      </c>
      <c r="B297" t="s">
        <v>259</v>
      </c>
      <c r="C297" t="s">
        <v>405</v>
      </c>
      <c r="D297">
        <v>50</v>
      </c>
      <c r="E297" s="93">
        <v>2</v>
      </c>
      <c r="F297" s="93">
        <v>4</v>
      </c>
      <c r="K297" s="92">
        <v>5</v>
      </c>
      <c r="L297" s="159">
        <v>41569</v>
      </c>
      <c r="S297" s="111">
        <v>2075.6959999999999</v>
      </c>
      <c r="T297" s="125">
        <v>41527</v>
      </c>
      <c r="U297" s="111">
        <v>10.8</v>
      </c>
      <c r="Y297" s="111">
        <v>1035.44</v>
      </c>
      <c r="Z297" s="125">
        <v>41527</v>
      </c>
      <c r="AA297" s="111" t="s">
        <v>7718</v>
      </c>
      <c r="AB297" s="125">
        <v>41527</v>
      </c>
      <c r="AE297">
        <v>48.16</v>
      </c>
      <c r="AF297" s="125">
        <v>41527</v>
      </c>
      <c r="AG297" s="111" t="s">
        <v>7718</v>
      </c>
      <c r="AH297" s="125">
        <v>41527</v>
      </c>
      <c r="AI297" s="111">
        <v>135</v>
      </c>
      <c r="AJ297" s="125">
        <v>41527</v>
      </c>
      <c r="BS297" s="111">
        <v>43.1</v>
      </c>
      <c r="BT297" s="125">
        <v>41527</v>
      </c>
      <c r="BU297">
        <v>21.5</v>
      </c>
      <c r="BV297" s="125">
        <v>41527</v>
      </c>
      <c r="CC297" s="111">
        <v>12.4</v>
      </c>
      <c r="CD297" s="125">
        <v>41527</v>
      </c>
      <c r="CG297" s="111">
        <v>3.27</v>
      </c>
      <c r="CH297" s="125">
        <v>41527</v>
      </c>
      <c r="CK297" s="111">
        <v>30</v>
      </c>
    </row>
    <row r="298" spans="1:89">
      <c r="A298" s="126" t="s">
        <v>7847</v>
      </c>
      <c r="B298" t="s">
        <v>257</v>
      </c>
      <c r="C298" t="s">
        <v>7794</v>
      </c>
      <c r="D298">
        <v>50</v>
      </c>
      <c r="E298" s="93">
        <v>2</v>
      </c>
      <c r="F298" s="93">
        <v>57</v>
      </c>
      <c r="K298" s="92">
        <v>5</v>
      </c>
      <c r="L298" s="159">
        <v>41569</v>
      </c>
      <c r="S298" s="111">
        <v>1424.28</v>
      </c>
      <c r="T298" s="125">
        <v>41527</v>
      </c>
      <c r="U298" s="111">
        <v>10.8</v>
      </c>
      <c r="Y298" s="111">
        <v>644.16300000000001</v>
      </c>
      <c r="Z298" s="125">
        <v>41527</v>
      </c>
      <c r="AA298" s="111" t="s">
        <v>7718</v>
      </c>
      <c r="AB298" s="125">
        <v>41527</v>
      </c>
      <c r="AE298">
        <v>32.369999999999997</v>
      </c>
      <c r="AF298" s="125">
        <v>41527</v>
      </c>
      <c r="AG298" s="111" t="s">
        <v>7718</v>
      </c>
      <c r="AH298" s="125">
        <v>41527</v>
      </c>
      <c r="AI298" s="111">
        <v>140</v>
      </c>
      <c r="AJ298" s="125">
        <v>41527</v>
      </c>
      <c r="BS298" s="111">
        <v>44</v>
      </c>
      <c r="BT298" s="125">
        <v>41527</v>
      </c>
      <c r="BU298">
        <v>19.899999999999999</v>
      </c>
      <c r="BV298" s="125">
        <v>41527</v>
      </c>
      <c r="CC298" s="111">
        <v>6.8</v>
      </c>
      <c r="CD298" s="125">
        <v>41527</v>
      </c>
      <c r="CG298" s="111">
        <v>2.44</v>
      </c>
      <c r="CH298" s="125">
        <v>41527</v>
      </c>
      <c r="CK298" s="111">
        <v>30</v>
      </c>
    </row>
    <row r="299" spans="1:89">
      <c r="A299" s="126" t="s">
        <v>7847</v>
      </c>
      <c r="B299" t="s">
        <v>259</v>
      </c>
      <c r="C299" t="s">
        <v>7794</v>
      </c>
      <c r="D299">
        <v>50</v>
      </c>
      <c r="E299" s="93">
        <v>6</v>
      </c>
      <c r="F299" s="93">
        <v>49</v>
      </c>
      <c r="K299" s="92">
        <v>3</v>
      </c>
      <c r="L299" s="159">
        <v>41569</v>
      </c>
      <c r="S299" s="111">
        <v>1779.104</v>
      </c>
      <c r="T299" s="125">
        <v>41527</v>
      </c>
      <c r="U299" s="111">
        <v>10.8</v>
      </c>
      <c r="Y299" s="111">
        <v>914.72799999999995</v>
      </c>
      <c r="Z299" s="125">
        <v>41527</v>
      </c>
      <c r="AA299" s="111" t="s">
        <v>7718</v>
      </c>
      <c r="AB299" s="125">
        <v>41527</v>
      </c>
      <c r="AE299">
        <v>41.96</v>
      </c>
      <c r="AF299" s="125">
        <v>41527</v>
      </c>
      <c r="AG299" s="111" t="s">
        <v>7718</v>
      </c>
      <c r="AH299" s="125">
        <v>41527</v>
      </c>
      <c r="AI299" s="111">
        <v>130</v>
      </c>
      <c r="AJ299" s="125">
        <v>41527</v>
      </c>
      <c r="BS299" s="111">
        <v>42.4</v>
      </c>
      <c r="BT299" s="125">
        <v>41527</v>
      </c>
      <c r="BU299">
        <v>21.8</v>
      </c>
      <c r="BV299" s="125">
        <v>41527</v>
      </c>
      <c r="CC299" s="111">
        <v>8</v>
      </c>
      <c r="CD299" s="125">
        <v>41527</v>
      </c>
      <c r="CG299" s="111">
        <v>2.66</v>
      </c>
      <c r="CH299" s="125">
        <v>41527</v>
      </c>
      <c r="CK299" s="111">
        <v>20</v>
      </c>
    </row>
    <row r="300" spans="1:89">
      <c r="A300" s="126" t="s">
        <v>7847</v>
      </c>
      <c r="B300" t="s">
        <v>257</v>
      </c>
      <c r="C300" t="s">
        <v>7795</v>
      </c>
      <c r="D300">
        <v>50</v>
      </c>
      <c r="E300" s="93">
        <v>6</v>
      </c>
      <c r="F300" s="93">
        <v>87</v>
      </c>
      <c r="K300" s="92">
        <v>5</v>
      </c>
      <c r="L300" s="159">
        <v>41569</v>
      </c>
      <c r="S300" s="111">
        <v>1577.502</v>
      </c>
      <c r="T300" s="125">
        <v>41527</v>
      </c>
      <c r="U300" s="111">
        <v>10.8</v>
      </c>
      <c r="Y300" s="111">
        <v>696.78899999999999</v>
      </c>
      <c r="Z300" s="125">
        <v>41527</v>
      </c>
      <c r="AA300" s="111" t="s">
        <v>7718</v>
      </c>
      <c r="AB300" s="125">
        <v>41527</v>
      </c>
      <c r="AE300">
        <v>35.369999999999997</v>
      </c>
      <c r="AF300" s="125">
        <v>41527</v>
      </c>
      <c r="AG300" s="111" t="s">
        <v>7718</v>
      </c>
      <c r="AH300" s="125">
        <v>41527</v>
      </c>
      <c r="AI300" s="111">
        <v>130</v>
      </c>
      <c r="AJ300" s="125">
        <v>41527</v>
      </c>
      <c r="BS300" s="111">
        <v>44.6</v>
      </c>
      <c r="BT300" s="125">
        <v>41527</v>
      </c>
      <c r="BU300">
        <v>19.7</v>
      </c>
      <c r="BV300" s="125">
        <v>41527</v>
      </c>
      <c r="CC300" s="111">
        <v>9</v>
      </c>
      <c r="CD300" s="125">
        <v>41527</v>
      </c>
      <c r="CG300" s="111">
        <v>1.72</v>
      </c>
      <c r="CH300" s="125">
        <v>41527</v>
      </c>
      <c r="CK300" s="111">
        <v>10</v>
      </c>
    </row>
    <row r="301" spans="1:89">
      <c r="A301" s="126" t="s">
        <v>7847</v>
      </c>
      <c r="B301" t="s">
        <v>259</v>
      </c>
      <c r="C301" t="s">
        <v>7795</v>
      </c>
      <c r="D301">
        <v>50</v>
      </c>
      <c r="E301" s="93">
        <v>3</v>
      </c>
      <c r="F301" s="93">
        <v>76</v>
      </c>
      <c r="K301" s="92">
        <v>5</v>
      </c>
      <c r="L301" s="159">
        <v>41569</v>
      </c>
      <c r="S301" s="111">
        <v>1949.8050000000001</v>
      </c>
      <c r="T301" s="125">
        <v>41527</v>
      </c>
      <c r="U301" s="111">
        <v>10.8</v>
      </c>
      <c r="Y301" s="111">
        <v>949.90499999999997</v>
      </c>
      <c r="Z301" s="125">
        <v>41527</v>
      </c>
      <c r="AA301" s="111" t="s">
        <v>7718</v>
      </c>
      <c r="AB301" s="125">
        <v>41527</v>
      </c>
      <c r="AE301">
        <v>45.45</v>
      </c>
      <c r="AF301" s="125">
        <v>41527</v>
      </c>
      <c r="AG301" s="111" t="s">
        <v>7718</v>
      </c>
      <c r="AH301" s="125">
        <v>41527</v>
      </c>
      <c r="AI301" s="111">
        <v>145</v>
      </c>
      <c r="AJ301" s="125">
        <v>41527</v>
      </c>
      <c r="BS301" s="111">
        <v>42.9</v>
      </c>
      <c r="BT301" s="125">
        <v>41527</v>
      </c>
      <c r="BU301">
        <v>20.9</v>
      </c>
      <c r="BV301" s="125">
        <v>41527</v>
      </c>
      <c r="CC301" s="111">
        <v>7.8</v>
      </c>
      <c r="CD301" s="125">
        <v>41527</v>
      </c>
      <c r="CG301" s="111">
        <v>2.71</v>
      </c>
      <c r="CH301" s="125">
        <v>41527</v>
      </c>
      <c r="CK301" s="111">
        <v>20</v>
      </c>
    </row>
    <row r="302" spans="1:89">
      <c r="A302" s="126" t="s">
        <v>7848</v>
      </c>
      <c r="B302" t="s">
        <v>257</v>
      </c>
      <c r="C302" t="s">
        <v>405</v>
      </c>
      <c r="D302">
        <v>51</v>
      </c>
      <c r="E302" s="93">
        <v>4</v>
      </c>
      <c r="F302" s="93">
        <v>4</v>
      </c>
      <c r="K302" s="92">
        <v>5</v>
      </c>
      <c r="L302" s="159">
        <v>41569</v>
      </c>
      <c r="S302" s="111">
        <v>1479.28</v>
      </c>
      <c r="T302" s="125">
        <v>41527</v>
      </c>
      <c r="U302" s="111">
        <v>10.8</v>
      </c>
      <c r="Y302" s="111">
        <v>675.68</v>
      </c>
      <c r="Z302" s="125">
        <v>41527</v>
      </c>
      <c r="AA302" s="111" t="s">
        <v>7718</v>
      </c>
      <c r="AB302" s="125">
        <v>41527</v>
      </c>
      <c r="AE302">
        <v>32.799999999999997</v>
      </c>
      <c r="AF302" s="125">
        <v>41527</v>
      </c>
      <c r="AG302" s="111" t="s">
        <v>7718</v>
      </c>
      <c r="AH302" s="125">
        <v>41527</v>
      </c>
      <c r="AI302" s="111">
        <v>125</v>
      </c>
      <c r="AJ302" s="125">
        <v>41527</v>
      </c>
      <c r="BS302" s="111">
        <v>45.1</v>
      </c>
      <c r="BT302" s="125">
        <v>41527</v>
      </c>
      <c r="BU302">
        <v>20.6</v>
      </c>
      <c r="BV302" s="125">
        <v>41527</v>
      </c>
      <c r="CC302" s="111">
        <v>9.9</v>
      </c>
      <c r="CD302" s="125">
        <v>41527</v>
      </c>
      <c r="CG302" s="111">
        <v>1.26</v>
      </c>
      <c r="CH302" s="125">
        <v>41527</v>
      </c>
      <c r="CK302" s="111">
        <v>10</v>
      </c>
    </row>
    <row r="303" spans="1:89">
      <c r="A303" s="126" t="s">
        <v>7848</v>
      </c>
      <c r="B303" t="s">
        <v>259</v>
      </c>
      <c r="C303" t="s">
        <v>405</v>
      </c>
      <c r="D303">
        <v>51</v>
      </c>
      <c r="E303" s="93">
        <v>2</v>
      </c>
      <c r="F303" s="93">
        <v>14</v>
      </c>
      <c r="K303" s="92">
        <v>5</v>
      </c>
      <c r="L303" s="159">
        <v>41569</v>
      </c>
      <c r="S303" s="111">
        <v>1715.979</v>
      </c>
      <c r="T303" s="125">
        <v>41527</v>
      </c>
      <c r="U303" s="111">
        <v>10.8</v>
      </c>
      <c r="Y303" s="111">
        <v>883.74900000000002</v>
      </c>
      <c r="Z303" s="125">
        <v>41527</v>
      </c>
      <c r="AA303" s="111" t="s">
        <v>7718</v>
      </c>
      <c r="AB303" s="125">
        <v>41527</v>
      </c>
      <c r="AE303">
        <v>39.630000000000003</v>
      </c>
      <c r="AF303" s="125">
        <v>41527</v>
      </c>
      <c r="AG303" s="111" t="s">
        <v>7718</v>
      </c>
      <c r="AH303" s="125">
        <v>41527</v>
      </c>
      <c r="AI303" s="111">
        <v>135</v>
      </c>
      <c r="AJ303" s="125">
        <v>41527</v>
      </c>
      <c r="BS303" s="111">
        <v>43.3</v>
      </c>
      <c r="BT303" s="125">
        <v>41527</v>
      </c>
      <c r="BU303">
        <v>22.3</v>
      </c>
      <c r="BV303" s="125">
        <v>41527</v>
      </c>
      <c r="CC303" s="111">
        <v>8.1999999999999993</v>
      </c>
      <c r="CD303" s="125">
        <v>41527</v>
      </c>
      <c r="CG303" s="111">
        <v>2.39</v>
      </c>
      <c r="CH303" s="125">
        <v>41527</v>
      </c>
      <c r="CK303" s="111">
        <v>30</v>
      </c>
    </row>
    <row r="304" spans="1:89">
      <c r="A304" s="126" t="s">
        <v>7848</v>
      </c>
      <c r="B304" t="s">
        <v>257</v>
      </c>
      <c r="C304" t="s">
        <v>7794</v>
      </c>
      <c r="D304">
        <v>51</v>
      </c>
      <c r="E304" s="93">
        <v>2</v>
      </c>
      <c r="F304" s="93">
        <v>49</v>
      </c>
      <c r="K304" s="92">
        <v>5</v>
      </c>
      <c r="L304" s="159">
        <v>41569</v>
      </c>
      <c r="S304" s="111">
        <v>1515.3720000000001</v>
      </c>
      <c r="T304" s="125">
        <v>41527</v>
      </c>
      <c r="U304" s="111">
        <v>10.8</v>
      </c>
      <c r="Y304" s="111">
        <v>696.25199999999995</v>
      </c>
      <c r="Z304" s="125">
        <v>41527</v>
      </c>
      <c r="AA304" s="111" t="s">
        <v>7718</v>
      </c>
      <c r="AB304" s="125">
        <v>41527</v>
      </c>
      <c r="AE304">
        <v>34.130000000000003</v>
      </c>
      <c r="AF304" s="125">
        <v>41527</v>
      </c>
      <c r="AG304" s="111" t="s">
        <v>7718</v>
      </c>
      <c r="AH304" s="125">
        <v>41527</v>
      </c>
      <c r="AI304" s="111">
        <v>130</v>
      </c>
      <c r="AJ304" s="125">
        <v>41527</v>
      </c>
      <c r="BS304" s="111">
        <v>44.4</v>
      </c>
      <c r="BT304" s="125">
        <v>41527</v>
      </c>
      <c r="BU304">
        <v>20.399999999999999</v>
      </c>
      <c r="BV304" s="125">
        <v>41527</v>
      </c>
      <c r="CC304" s="111">
        <v>11</v>
      </c>
      <c r="CD304" s="125">
        <v>41527</v>
      </c>
      <c r="CG304" s="111">
        <v>7.24</v>
      </c>
      <c r="CH304" s="125">
        <v>41527</v>
      </c>
      <c r="CK304" s="111">
        <v>30</v>
      </c>
    </row>
    <row r="305" spans="1:89">
      <c r="A305" s="126" t="s">
        <v>7848</v>
      </c>
      <c r="B305" t="s">
        <v>259</v>
      </c>
      <c r="C305" t="s">
        <v>7794</v>
      </c>
      <c r="D305">
        <v>51</v>
      </c>
      <c r="E305" s="93">
        <v>4</v>
      </c>
      <c r="F305" s="93">
        <v>38</v>
      </c>
      <c r="K305" s="92">
        <v>5</v>
      </c>
      <c r="L305" s="159">
        <v>41569</v>
      </c>
      <c r="S305" s="111">
        <v>1973.595</v>
      </c>
      <c r="T305" s="125">
        <v>41527</v>
      </c>
      <c r="U305" s="111">
        <v>10.8</v>
      </c>
      <c r="Y305" s="111">
        <v>989.06600000000003</v>
      </c>
      <c r="Z305" s="125">
        <v>41527</v>
      </c>
      <c r="AA305" s="111" t="s">
        <v>7718</v>
      </c>
      <c r="AB305" s="125">
        <v>41527</v>
      </c>
      <c r="AE305">
        <v>45.37</v>
      </c>
      <c r="AF305" s="125">
        <v>41527</v>
      </c>
      <c r="AG305" s="111" t="s">
        <v>7718</v>
      </c>
      <c r="AH305" s="125">
        <v>41527</v>
      </c>
      <c r="AI305" s="111">
        <v>140</v>
      </c>
      <c r="AJ305" s="125">
        <v>41527</v>
      </c>
      <c r="BS305" s="111">
        <v>43.5</v>
      </c>
      <c r="BT305" s="125">
        <v>41527</v>
      </c>
      <c r="BU305">
        <v>21.8</v>
      </c>
      <c r="BV305" s="125">
        <v>41527</v>
      </c>
      <c r="CC305" s="111">
        <v>7.1</v>
      </c>
      <c r="CD305" s="125">
        <v>41527</v>
      </c>
      <c r="CG305" s="111">
        <v>1.35</v>
      </c>
      <c r="CH305" s="125">
        <v>41527</v>
      </c>
      <c r="CK305" s="111">
        <v>30</v>
      </c>
    </row>
    <row r="306" spans="1:89">
      <c r="A306" s="126" t="s">
        <v>7848</v>
      </c>
      <c r="B306" t="s">
        <v>257</v>
      </c>
      <c r="C306" t="s">
        <v>7795</v>
      </c>
      <c r="D306">
        <v>51</v>
      </c>
      <c r="E306" s="93">
        <v>4</v>
      </c>
      <c r="F306" s="93">
        <v>67</v>
      </c>
      <c r="K306" s="92">
        <v>5</v>
      </c>
      <c r="L306" s="159">
        <v>41569</v>
      </c>
      <c r="S306" s="111">
        <v>1709.89</v>
      </c>
      <c r="T306" s="125">
        <v>41527</v>
      </c>
      <c r="U306" s="111">
        <v>10.8</v>
      </c>
      <c r="Y306" s="111">
        <v>740.32600000000002</v>
      </c>
      <c r="Z306" s="125">
        <v>41527</v>
      </c>
      <c r="AA306" s="111" t="s">
        <v>7718</v>
      </c>
      <c r="AB306" s="125">
        <v>41527</v>
      </c>
      <c r="AE306">
        <v>37.58</v>
      </c>
      <c r="AF306" s="125">
        <v>41527</v>
      </c>
      <c r="AG306" s="111" t="s">
        <v>7718</v>
      </c>
      <c r="AH306" s="125">
        <v>41527</v>
      </c>
      <c r="AI306" s="111">
        <v>130</v>
      </c>
      <c r="AJ306" s="125">
        <v>41527</v>
      </c>
      <c r="BS306" s="111">
        <v>45.5</v>
      </c>
      <c r="BT306" s="125">
        <v>41527</v>
      </c>
      <c r="BU306">
        <v>19.7</v>
      </c>
      <c r="BV306" s="125">
        <v>41527</v>
      </c>
      <c r="CC306" s="111">
        <v>6.6</v>
      </c>
      <c r="CD306" s="125">
        <v>41527</v>
      </c>
      <c r="CG306" s="111">
        <v>2.13</v>
      </c>
      <c r="CH306" s="125">
        <v>41527</v>
      </c>
      <c r="CK306" s="111">
        <v>20</v>
      </c>
    </row>
    <row r="307" spans="1:89">
      <c r="A307" s="126" t="s">
        <v>7848</v>
      </c>
      <c r="B307" t="s">
        <v>259</v>
      </c>
      <c r="C307" t="s">
        <v>7795</v>
      </c>
      <c r="D307">
        <v>51</v>
      </c>
      <c r="E307" s="93">
        <v>3</v>
      </c>
      <c r="F307" s="93">
        <v>64</v>
      </c>
      <c r="K307" s="92">
        <v>5</v>
      </c>
      <c r="L307" s="159">
        <v>41569</v>
      </c>
      <c r="S307" s="111">
        <v>1706.048</v>
      </c>
      <c r="T307" s="125">
        <v>41527</v>
      </c>
      <c r="U307" s="111">
        <v>10.8</v>
      </c>
      <c r="Y307" s="111">
        <v>847.16800000000001</v>
      </c>
      <c r="Z307" s="125">
        <v>41527</v>
      </c>
      <c r="AA307" s="111" t="s">
        <v>7718</v>
      </c>
      <c r="AB307" s="125">
        <v>41527</v>
      </c>
      <c r="AE307">
        <v>39.04</v>
      </c>
      <c r="AF307" s="125">
        <v>41527</v>
      </c>
      <c r="AG307" s="111" t="s">
        <v>7718</v>
      </c>
      <c r="AH307" s="125">
        <v>41527</v>
      </c>
      <c r="AI307" s="111">
        <v>135</v>
      </c>
      <c r="AJ307" s="125">
        <v>41527</v>
      </c>
      <c r="BS307" s="111">
        <v>43.7</v>
      </c>
      <c r="BT307" s="125">
        <v>41527</v>
      </c>
      <c r="BU307">
        <v>21.7</v>
      </c>
      <c r="BV307" s="125">
        <v>41527</v>
      </c>
      <c r="CC307" s="111">
        <v>8.4</v>
      </c>
      <c r="CD307" s="125">
        <v>41527</v>
      </c>
      <c r="CG307" s="111">
        <v>3.15</v>
      </c>
      <c r="CH307" s="125">
        <v>41527</v>
      </c>
      <c r="CK307" s="111">
        <v>30</v>
      </c>
    </row>
    <row r="308" spans="1:89">
      <c r="A308" s="126" t="s">
        <v>7849</v>
      </c>
      <c r="B308" t="s">
        <v>257</v>
      </c>
      <c r="C308" t="s">
        <v>405</v>
      </c>
      <c r="D308">
        <v>52</v>
      </c>
      <c r="E308" s="93">
        <v>5</v>
      </c>
      <c r="F308" s="93">
        <v>21</v>
      </c>
      <c r="K308" s="92">
        <v>5</v>
      </c>
      <c r="L308" s="159">
        <v>41569</v>
      </c>
      <c r="S308" s="111">
        <v>1829.395</v>
      </c>
      <c r="T308" s="125">
        <v>41527</v>
      </c>
      <c r="U308" s="111">
        <v>10.8</v>
      </c>
      <c r="Y308" s="111">
        <v>789.31200000000001</v>
      </c>
      <c r="Z308" s="125">
        <v>41527</v>
      </c>
      <c r="AA308" s="111" t="s">
        <v>7718</v>
      </c>
      <c r="AB308" s="125">
        <v>41527</v>
      </c>
      <c r="AE308">
        <v>41.11</v>
      </c>
      <c r="AF308" s="125">
        <v>41527</v>
      </c>
      <c r="AG308" s="111" t="s">
        <v>7718</v>
      </c>
      <c r="AH308" s="125">
        <v>41527</v>
      </c>
      <c r="AI308" s="111">
        <v>130</v>
      </c>
      <c r="AJ308" s="125">
        <v>41527</v>
      </c>
      <c r="BS308" s="111">
        <v>44.5</v>
      </c>
      <c r="BT308" s="125">
        <v>41527</v>
      </c>
      <c r="BU308">
        <v>19.2</v>
      </c>
      <c r="BV308" s="125">
        <v>41527</v>
      </c>
      <c r="CC308" s="111">
        <v>7</v>
      </c>
      <c r="CD308" s="125">
        <v>41527</v>
      </c>
      <c r="CG308" s="111">
        <v>2.33</v>
      </c>
      <c r="CH308" s="125">
        <v>41527</v>
      </c>
      <c r="CK308" s="111">
        <v>20</v>
      </c>
    </row>
    <row r="309" spans="1:89">
      <c r="A309" s="126" t="s">
        <v>7849</v>
      </c>
      <c r="B309" t="s">
        <v>259</v>
      </c>
      <c r="C309" t="s">
        <v>405</v>
      </c>
      <c r="D309">
        <v>52</v>
      </c>
      <c r="E309" s="93">
        <v>3</v>
      </c>
      <c r="F309" s="93">
        <v>17</v>
      </c>
      <c r="K309" s="92">
        <v>5</v>
      </c>
      <c r="L309" s="159">
        <v>41569</v>
      </c>
      <c r="S309" s="111">
        <v>2133.8809999999999</v>
      </c>
      <c r="T309" s="125">
        <v>41527</v>
      </c>
      <c r="U309" s="111">
        <v>10.8</v>
      </c>
      <c r="Y309" s="111">
        <v>1079.318</v>
      </c>
      <c r="Z309" s="125">
        <v>41527</v>
      </c>
      <c r="AA309" s="111" t="s">
        <v>7718</v>
      </c>
      <c r="AB309" s="125">
        <v>41527</v>
      </c>
      <c r="AE309">
        <v>49.51</v>
      </c>
      <c r="AF309" s="125">
        <v>41527</v>
      </c>
      <c r="AG309" s="111" t="s">
        <v>7718</v>
      </c>
      <c r="AH309" s="125">
        <v>41527</v>
      </c>
      <c r="AI309" s="111">
        <v>140</v>
      </c>
      <c r="AJ309" s="125">
        <v>41527</v>
      </c>
      <c r="BS309" s="111">
        <v>43.1</v>
      </c>
      <c r="BT309" s="125">
        <v>41527</v>
      </c>
      <c r="BU309">
        <v>21.8</v>
      </c>
      <c r="BV309" s="125">
        <v>41527</v>
      </c>
      <c r="CC309" s="111">
        <v>7.3</v>
      </c>
      <c r="CD309" s="125">
        <v>41527</v>
      </c>
      <c r="CG309" s="111">
        <v>3.65</v>
      </c>
      <c r="CH309" s="125">
        <v>41527</v>
      </c>
      <c r="CK309" s="111">
        <v>30</v>
      </c>
    </row>
    <row r="310" spans="1:89">
      <c r="A310" s="126" t="s">
        <v>7849</v>
      </c>
      <c r="B310" t="s">
        <v>257</v>
      </c>
      <c r="C310" t="s">
        <v>7794</v>
      </c>
      <c r="D310">
        <v>52</v>
      </c>
      <c r="E310" s="93">
        <v>2</v>
      </c>
      <c r="F310" s="93">
        <v>47</v>
      </c>
      <c r="K310" s="92">
        <v>7</v>
      </c>
      <c r="L310" s="159">
        <v>41569</v>
      </c>
      <c r="S310" s="111">
        <v>2107.1999999999998</v>
      </c>
      <c r="T310" s="125">
        <v>41527</v>
      </c>
      <c r="U310" s="111">
        <v>10.8</v>
      </c>
      <c r="Y310" s="111">
        <v>955.2</v>
      </c>
      <c r="Z310" s="125">
        <v>41527</v>
      </c>
      <c r="AA310" s="111" t="s">
        <v>7718</v>
      </c>
      <c r="AB310" s="125">
        <v>41527</v>
      </c>
      <c r="AE310">
        <v>48</v>
      </c>
      <c r="AF310" s="125">
        <v>41527</v>
      </c>
      <c r="AG310" s="111" t="s">
        <v>7718</v>
      </c>
      <c r="AH310" s="125">
        <v>41527</v>
      </c>
      <c r="AI310" s="111">
        <v>140</v>
      </c>
      <c r="AJ310" s="125">
        <v>41527</v>
      </c>
      <c r="BS310" s="111">
        <v>43.9</v>
      </c>
      <c r="BT310" s="125">
        <v>41527</v>
      </c>
      <c r="BU310">
        <v>19.899999999999999</v>
      </c>
      <c r="BV310" s="125">
        <v>41527</v>
      </c>
      <c r="CC310" s="111">
        <v>8.6</v>
      </c>
      <c r="CD310" s="125">
        <v>41527</v>
      </c>
      <c r="CG310" s="111">
        <v>3.93</v>
      </c>
      <c r="CH310" s="125">
        <v>41527</v>
      </c>
      <c r="CK310" s="111">
        <v>30</v>
      </c>
    </row>
    <row r="311" spans="1:89">
      <c r="A311" s="126" t="s">
        <v>7849</v>
      </c>
      <c r="B311" t="s">
        <v>259</v>
      </c>
      <c r="C311" t="s">
        <v>7794</v>
      </c>
      <c r="D311">
        <v>52</v>
      </c>
      <c r="E311" s="93">
        <v>5</v>
      </c>
      <c r="F311" s="93">
        <v>40</v>
      </c>
      <c r="K311" s="92">
        <v>5</v>
      </c>
      <c r="L311" s="159">
        <v>41569</v>
      </c>
      <c r="S311" s="111">
        <v>2087.502</v>
      </c>
      <c r="T311" s="125">
        <v>41527</v>
      </c>
      <c r="U311" s="111">
        <v>10.8</v>
      </c>
      <c r="Y311" s="111">
        <v>1131.356</v>
      </c>
      <c r="Z311" s="125">
        <v>41527</v>
      </c>
      <c r="AA311" s="111" t="s">
        <v>7718</v>
      </c>
      <c r="AB311" s="125">
        <v>41527</v>
      </c>
      <c r="AE311">
        <v>50.06</v>
      </c>
      <c r="AF311" s="125">
        <v>41527</v>
      </c>
      <c r="AG311" s="111" t="s">
        <v>7718</v>
      </c>
      <c r="AH311" s="125">
        <v>41527</v>
      </c>
      <c r="AI311" s="111">
        <v>135</v>
      </c>
      <c r="AJ311" s="125">
        <v>41527</v>
      </c>
      <c r="BS311" s="111">
        <v>41.7</v>
      </c>
      <c r="BT311" s="125">
        <v>41527</v>
      </c>
      <c r="BU311">
        <v>22.6</v>
      </c>
      <c r="BV311" s="125">
        <v>41527</v>
      </c>
      <c r="CC311" s="111">
        <v>7.1</v>
      </c>
      <c r="CD311" s="125">
        <v>41527</v>
      </c>
      <c r="CG311" s="111">
        <v>2.31</v>
      </c>
      <c r="CH311" s="125">
        <v>41527</v>
      </c>
      <c r="CK311" s="111">
        <v>30</v>
      </c>
    </row>
    <row r="312" spans="1:89">
      <c r="A312" s="126" t="s">
        <v>7849</v>
      </c>
      <c r="B312" t="s">
        <v>257</v>
      </c>
      <c r="C312" t="s">
        <v>7795</v>
      </c>
      <c r="D312">
        <v>52</v>
      </c>
      <c r="E312" s="93">
        <v>6</v>
      </c>
      <c r="F312" s="93">
        <v>76</v>
      </c>
      <c r="K312" s="92">
        <v>5</v>
      </c>
      <c r="L312" s="159">
        <v>41569</v>
      </c>
      <c r="S312" s="111">
        <v>1872.62</v>
      </c>
      <c r="T312" s="125">
        <v>41527</v>
      </c>
      <c r="U312" s="111">
        <v>10.8</v>
      </c>
      <c r="Y312" s="111">
        <v>876.18</v>
      </c>
      <c r="Z312" s="125">
        <v>41527</v>
      </c>
      <c r="AA312" s="111" t="s">
        <v>7718</v>
      </c>
      <c r="AB312" s="125">
        <v>41527</v>
      </c>
      <c r="AE312">
        <v>42.95</v>
      </c>
      <c r="AF312" s="125">
        <v>41527</v>
      </c>
      <c r="AG312" s="111" t="s">
        <v>7718</v>
      </c>
      <c r="AH312" s="125">
        <v>41527</v>
      </c>
      <c r="AI312" s="111">
        <v>125</v>
      </c>
      <c r="AJ312" s="125">
        <v>41527</v>
      </c>
      <c r="BS312" s="111">
        <v>43.6</v>
      </c>
      <c r="BT312" s="125">
        <v>41527</v>
      </c>
      <c r="BU312">
        <v>20.399999999999999</v>
      </c>
      <c r="BV312" s="125">
        <v>41527</v>
      </c>
      <c r="CC312" s="111">
        <v>6.5</v>
      </c>
      <c r="CD312" s="125">
        <v>41527</v>
      </c>
      <c r="CG312" s="111">
        <v>2.95</v>
      </c>
      <c r="CH312" s="125">
        <v>41527</v>
      </c>
      <c r="CK312" s="111">
        <v>10</v>
      </c>
    </row>
    <row r="313" spans="1:89">
      <c r="A313" s="126" t="s">
        <v>7849</v>
      </c>
      <c r="B313" t="s">
        <v>259</v>
      </c>
      <c r="C313" t="s">
        <v>7795</v>
      </c>
      <c r="D313">
        <v>52</v>
      </c>
      <c r="E313" s="93">
        <v>2</v>
      </c>
      <c r="F313" s="93">
        <v>76</v>
      </c>
      <c r="K313" s="92">
        <v>5</v>
      </c>
      <c r="L313" s="159">
        <v>41569</v>
      </c>
      <c r="S313" s="111">
        <v>2009.9860000000001</v>
      </c>
      <c r="T313" s="125">
        <v>41527</v>
      </c>
      <c r="U313" s="111">
        <v>10.8</v>
      </c>
      <c r="Y313" s="111">
        <v>1043.097</v>
      </c>
      <c r="Z313" s="125">
        <v>41527</v>
      </c>
      <c r="AA313" s="111" t="s">
        <v>7718</v>
      </c>
      <c r="AB313" s="125">
        <v>41527</v>
      </c>
      <c r="AE313">
        <v>47.63</v>
      </c>
      <c r="AF313" s="125">
        <v>41527</v>
      </c>
      <c r="AG313" s="111" t="s">
        <v>7718</v>
      </c>
      <c r="AH313" s="125">
        <v>41527</v>
      </c>
      <c r="AI313" s="111">
        <v>135</v>
      </c>
      <c r="AJ313" s="125">
        <v>41527</v>
      </c>
      <c r="BS313" s="111">
        <v>42.2</v>
      </c>
      <c r="BT313" s="125">
        <v>41527</v>
      </c>
      <c r="BU313">
        <v>21.9</v>
      </c>
      <c r="BV313" s="125">
        <v>41527</v>
      </c>
      <c r="CC313" s="111">
        <v>7.5</v>
      </c>
      <c r="CD313" s="125">
        <v>41527</v>
      </c>
      <c r="CG313" s="111">
        <v>3.16</v>
      </c>
      <c r="CH313" s="125">
        <v>41527</v>
      </c>
      <c r="CK313" s="111">
        <v>20</v>
      </c>
    </row>
    <row r="314" spans="1:89">
      <c r="A314" s="126" t="s">
        <v>7850</v>
      </c>
      <c r="B314" t="s">
        <v>257</v>
      </c>
      <c r="C314" t="s">
        <v>405</v>
      </c>
      <c r="D314">
        <v>53</v>
      </c>
      <c r="E314" s="93">
        <v>4</v>
      </c>
      <c r="F314" s="93">
        <v>18</v>
      </c>
      <c r="K314" s="92">
        <v>5</v>
      </c>
      <c r="L314" s="159">
        <v>41569</v>
      </c>
      <c r="S314" s="111">
        <v>1611.461</v>
      </c>
      <c r="T314" s="125">
        <v>41527</v>
      </c>
      <c r="U314" s="111">
        <v>10.8</v>
      </c>
      <c r="Y314" s="111">
        <v>707.03300000000002</v>
      </c>
      <c r="Z314" s="125">
        <v>41527</v>
      </c>
      <c r="AA314" s="111" t="s">
        <v>7718</v>
      </c>
      <c r="AB314" s="125">
        <v>41527</v>
      </c>
      <c r="AE314">
        <v>35.89</v>
      </c>
      <c r="AF314" s="125">
        <v>41527</v>
      </c>
      <c r="AG314" s="111" t="s">
        <v>7718</v>
      </c>
      <c r="AH314" s="125">
        <v>41527</v>
      </c>
      <c r="AI314" s="111">
        <v>120</v>
      </c>
      <c r="AJ314" s="125">
        <v>41527</v>
      </c>
      <c r="BS314" s="111">
        <v>44.9</v>
      </c>
      <c r="BT314" s="125">
        <v>41527</v>
      </c>
      <c r="BU314">
        <v>19.7</v>
      </c>
      <c r="BV314" s="125">
        <v>41527</v>
      </c>
      <c r="CC314" s="111">
        <v>6.8</v>
      </c>
      <c r="CD314" s="125">
        <v>41527</v>
      </c>
      <c r="CG314" s="111">
        <v>2.95</v>
      </c>
      <c r="CH314" s="125">
        <v>41527</v>
      </c>
      <c r="CK314" s="111">
        <v>10</v>
      </c>
    </row>
    <row r="315" spans="1:89">
      <c r="A315" s="126" t="s">
        <v>7850</v>
      </c>
      <c r="B315" t="s">
        <v>259</v>
      </c>
      <c r="C315" t="s">
        <v>405</v>
      </c>
      <c r="D315">
        <v>53</v>
      </c>
      <c r="E315" s="93">
        <v>1</v>
      </c>
      <c r="F315" s="93">
        <v>27</v>
      </c>
      <c r="K315" s="92">
        <v>7</v>
      </c>
      <c r="L315" s="159">
        <v>41569</v>
      </c>
      <c r="S315" s="111">
        <v>2002</v>
      </c>
      <c r="T315" s="125">
        <v>41527</v>
      </c>
      <c r="U315" s="111">
        <v>10.8</v>
      </c>
      <c r="Y315" s="111">
        <v>946.4</v>
      </c>
      <c r="Z315" s="125">
        <v>41527</v>
      </c>
      <c r="AA315" s="111" t="s">
        <v>7718</v>
      </c>
      <c r="AB315" s="125">
        <v>41527</v>
      </c>
      <c r="AE315">
        <v>45.5</v>
      </c>
      <c r="AF315" s="125">
        <v>41527</v>
      </c>
      <c r="AG315" s="111" t="s">
        <v>7718</v>
      </c>
      <c r="AH315" s="125">
        <v>41527</v>
      </c>
      <c r="AI315" s="111">
        <v>130</v>
      </c>
      <c r="AJ315" s="125">
        <v>41527</v>
      </c>
      <c r="BS315" s="111">
        <v>44</v>
      </c>
      <c r="BT315" s="125">
        <v>41527</v>
      </c>
      <c r="BU315">
        <v>20.8</v>
      </c>
      <c r="BV315" s="125">
        <v>41527</v>
      </c>
      <c r="CC315" s="111">
        <v>12</v>
      </c>
      <c r="CD315" s="125">
        <v>41527</v>
      </c>
      <c r="CG315" s="111">
        <v>2.71</v>
      </c>
      <c r="CH315" s="125">
        <v>41527</v>
      </c>
      <c r="CK315" s="111">
        <v>10</v>
      </c>
    </row>
    <row r="316" spans="1:89">
      <c r="A316" s="126" t="s">
        <v>7850</v>
      </c>
      <c r="B316" t="s">
        <v>257</v>
      </c>
      <c r="C316" t="s">
        <v>7794</v>
      </c>
      <c r="D316">
        <v>53</v>
      </c>
      <c r="E316" s="93">
        <v>1</v>
      </c>
      <c r="F316" s="93">
        <v>53</v>
      </c>
      <c r="K316" s="92">
        <v>5</v>
      </c>
      <c r="L316" s="159">
        <v>41569</v>
      </c>
      <c r="S316" s="111">
        <v>1888.7760000000001</v>
      </c>
      <c r="T316" s="125">
        <v>41527</v>
      </c>
      <c r="U316" s="111">
        <v>10.8</v>
      </c>
      <c r="Y316" s="111">
        <v>850.8</v>
      </c>
      <c r="Z316" s="125">
        <v>41527</v>
      </c>
      <c r="AA316" s="111" t="s">
        <v>7718</v>
      </c>
      <c r="AB316" s="125">
        <v>41527</v>
      </c>
      <c r="AE316">
        <v>42.54</v>
      </c>
      <c r="AF316" s="125">
        <v>41527</v>
      </c>
      <c r="AG316" s="111" t="s">
        <v>7718</v>
      </c>
      <c r="AH316" s="125">
        <v>41527</v>
      </c>
      <c r="AI316" s="111">
        <v>125</v>
      </c>
      <c r="AJ316" s="125">
        <v>41527</v>
      </c>
      <c r="BS316" s="111">
        <v>44.4</v>
      </c>
      <c r="BT316" s="125">
        <v>41527</v>
      </c>
      <c r="BU316">
        <v>20</v>
      </c>
      <c r="BV316" s="125">
        <v>41527</v>
      </c>
      <c r="CC316" s="111">
        <v>9.8000000000000007</v>
      </c>
      <c r="CD316" s="125">
        <v>41527</v>
      </c>
      <c r="CG316" s="111">
        <v>5.78</v>
      </c>
      <c r="CH316" s="125">
        <v>41527</v>
      </c>
      <c r="CK316" s="111">
        <v>20</v>
      </c>
    </row>
    <row r="317" spans="1:89">
      <c r="A317" s="126" t="s">
        <v>7850</v>
      </c>
      <c r="B317" t="s">
        <v>259</v>
      </c>
      <c r="C317" t="s">
        <v>7794</v>
      </c>
      <c r="D317">
        <v>53</v>
      </c>
      <c r="E317" s="93">
        <v>5</v>
      </c>
      <c r="F317" s="93">
        <v>39</v>
      </c>
      <c r="K317" s="92">
        <v>5</v>
      </c>
      <c r="L317" s="159">
        <v>41569</v>
      </c>
      <c r="S317" s="111">
        <v>1885.4</v>
      </c>
      <c r="T317" s="125">
        <v>41527</v>
      </c>
      <c r="U317" s="111">
        <v>10.8</v>
      </c>
      <c r="Y317" s="111">
        <v>895.56500000000005</v>
      </c>
      <c r="Z317" s="125">
        <v>41527</v>
      </c>
      <c r="AA317" s="111" t="s">
        <v>7718</v>
      </c>
      <c r="AB317" s="125">
        <v>41527</v>
      </c>
      <c r="AE317">
        <v>42.85</v>
      </c>
      <c r="AF317" s="125">
        <v>41527</v>
      </c>
      <c r="AG317" s="111" t="s">
        <v>7718</v>
      </c>
      <c r="AH317" s="125">
        <v>41527</v>
      </c>
      <c r="AI317" s="111">
        <v>120</v>
      </c>
      <c r="AJ317" s="125">
        <v>41527</v>
      </c>
      <c r="BS317" s="111">
        <v>44</v>
      </c>
      <c r="BT317" s="125">
        <v>41527</v>
      </c>
      <c r="BU317">
        <v>20.9</v>
      </c>
      <c r="BV317" s="125">
        <v>41527</v>
      </c>
      <c r="CC317" s="111">
        <v>7.6</v>
      </c>
      <c r="CD317" s="125">
        <v>41527</v>
      </c>
      <c r="CG317" s="111">
        <v>1.18</v>
      </c>
      <c r="CH317" s="125">
        <v>41527</v>
      </c>
      <c r="CK317" s="111">
        <v>10</v>
      </c>
    </row>
    <row r="318" spans="1:89">
      <c r="A318" s="126" t="s">
        <v>7850</v>
      </c>
      <c r="B318" t="s">
        <v>257</v>
      </c>
      <c r="C318" t="s">
        <v>7795</v>
      </c>
      <c r="D318">
        <v>53</v>
      </c>
      <c r="E318" s="93">
        <v>5</v>
      </c>
      <c r="F318" s="93">
        <v>71</v>
      </c>
      <c r="K318" s="92">
        <v>5</v>
      </c>
      <c r="L318" s="159">
        <v>41569</v>
      </c>
      <c r="S318" s="111">
        <v>1811.15</v>
      </c>
      <c r="T318" s="125">
        <v>41527</v>
      </c>
      <c r="U318" s="111">
        <v>10.8</v>
      </c>
      <c r="Y318" s="111">
        <v>814</v>
      </c>
      <c r="Z318" s="125">
        <v>41527</v>
      </c>
      <c r="AA318" s="111" t="s">
        <v>7718</v>
      </c>
      <c r="AB318" s="125">
        <v>41527</v>
      </c>
      <c r="AE318">
        <v>40.700000000000003</v>
      </c>
      <c r="AF318" s="125">
        <v>41527</v>
      </c>
      <c r="AG318" s="111" t="s">
        <v>7718</v>
      </c>
      <c r="AH318" s="125">
        <v>41527</v>
      </c>
      <c r="AI318" s="111">
        <v>115</v>
      </c>
      <c r="AJ318" s="125">
        <v>41527</v>
      </c>
      <c r="BS318" s="111">
        <v>44.5</v>
      </c>
      <c r="BT318" s="125">
        <v>41527</v>
      </c>
      <c r="BU318">
        <v>20</v>
      </c>
      <c r="BV318" s="125">
        <v>41527</v>
      </c>
      <c r="CC318" s="111">
        <v>5.8</v>
      </c>
      <c r="CD318" s="125">
        <v>41527</v>
      </c>
      <c r="CG318" s="111">
        <v>2.5299999999999998</v>
      </c>
      <c r="CH318" s="125">
        <v>41527</v>
      </c>
      <c r="CK318" s="111">
        <v>10</v>
      </c>
    </row>
    <row r="319" spans="1:89">
      <c r="A319" s="126" t="s">
        <v>7850</v>
      </c>
      <c r="B319" t="s">
        <v>259</v>
      </c>
      <c r="C319" t="s">
        <v>7795</v>
      </c>
      <c r="D319">
        <v>53</v>
      </c>
      <c r="E319" s="93">
        <v>2</v>
      </c>
      <c r="F319" s="93">
        <v>75</v>
      </c>
      <c r="K319" s="92">
        <v>5</v>
      </c>
      <c r="L319" s="159">
        <v>41569</v>
      </c>
      <c r="S319" s="111">
        <v>1914.444</v>
      </c>
      <c r="T319" s="125">
        <v>41527</v>
      </c>
      <c r="U319" s="111">
        <v>10.8</v>
      </c>
      <c r="Y319" s="111">
        <v>979.58699999999999</v>
      </c>
      <c r="Z319" s="125">
        <v>41527</v>
      </c>
      <c r="AA319" s="111" t="s">
        <v>7718</v>
      </c>
      <c r="AB319" s="125">
        <v>41527</v>
      </c>
      <c r="AE319">
        <v>44.73</v>
      </c>
      <c r="AF319" s="125">
        <v>41527</v>
      </c>
      <c r="AG319" s="111" t="s">
        <v>7718</v>
      </c>
      <c r="AH319" s="125">
        <v>41527</v>
      </c>
      <c r="AI319" s="111">
        <v>120</v>
      </c>
      <c r="AJ319" s="125">
        <v>41527</v>
      </c>
      <c r="BS319" s="111">
        <v>42.8</v>
      </c>
      <c r="BT319" s="125">
        <v>41527</v>
      </c>
      <c r="BU319">
        <v>21.9</v>
      </c>
      <c r="BV319" s="125">
        <v>41527</v>
      </c>
      <c r="CC319" s="111">
        <v>8.3000000000000007</v>
      </c>
      <c r="CD319" s="125">
        <v>41527</v>
      </c>
      <c r="CG319" s="111">
        <v>3.98</v>
      </c>
      <c r="CH319" s="125">
        <v>41527</v>
      </c>
      <c r="CK319" s="111">
        <v>20</v>
      </c>
    </row>
    <row r="320" spans="1:89">
      <c r="A320" s="126" t="s">
        <v>7851</v>
      </c>
      <c r="B320" t="s">
        <v>257</v>
      </c>
      <c r="C320" t="s">
        <v>405</v>
      </c>
      <c r="D320">
        <v>54</v>
      </c>
      <c r="E320" s="93">
        <v>4</v>
      </c>
      <c r="F320" s="93">
        <v>10</v>
      </c>
      <c r="K320" s="92">
        <v>5</v>
      </c>
      <c r="L320" s="159">
        <v>41569</v>
      </c>
      <c r="S320" s="111">
        <v>1904.412</v>
      </c>
      <c r="T320" s="125">
        <v>41527</v>
      </c>
      <c r="U320" s="111">
        <v>10.8</v>
      </c>
      <c r="Y320" s="111">
        <v>781.94399999999996</v>
      </c>
      <c r="Z320" s="125">
        <v>41527</v>
      </c>
      <c r="AA320" s="111" t="s">
        <v>7718</v>
      </c>
      <c r="AB320" s="125">
        <v>41527</v>
      </c>
      <c r="AE320">
        <v>42.04</v>
      </c>
      <c r="AF320" s="125">
        <v>41527</v>
      </c>
      <c r="AG320" s="111" t="s">
        <v>7718</v>
      </c>
      <c r="AH320" s="125">
        <v>41527</v>
      </c>
      <c r="AI320" s="111">
        <v>150</v>
      </c>
      <c r="AJ320" s="125">
        <v>41527</v>
      </c>
      <c r="BS320" s="111">
        <v>45.3</v>
      </c>
      <c r="BT320" s="125">
        <v>41527</v>
      </c>
      <c r="BU320">
        <v>18.600000000000001</v>
      </c>
      <c r="BV320" s="125">
        <v>41527</v>
      </c>
      <c r="CC320" s="111">
        <v>7.4</v>
      </c>
      <c r="CD320" s="125">
        <v>41527</v>
      </c>
      <c r="CG320" s="111">
        <v>0.82</v>
      </c>
      <c r="CH320" s="125">
        <v>41527</v>
      </c>
      <c r="CK320" s="111">
        <v>30</v>
      </c>
    </row>
    <row r="321" spans="1:89">
      <c r="A321" s="126" t="s">
        <v>7851</v>
      </c>
      <c r="B321" t="s">
        <v>259</v>
      </c>
      <c r="C321" t="s">
        <v>405</v>
      </c>
      <c r="D321">
        <v>54</v>
      </c>
      <c r="E321" s="93">
        <v>1</v>
      </c>
      <c r="F321" s="93">
        <v>8</v>
      </c>
      <c r="K321" s="92">
        <v>7</v>
      </c>
      <c r="L321" s="159">
        <v>41569</v>
      </c>
      <c r="S321" s="111">
        <v>2198.4479999999999</v>
      </c>
      <c r="T321" s="125">
        <v>41527</v>
      </c>
      <c r="U321" s="111">
        <v>10.8</v>
      </c>
      <c r="Y321" s="111">
        <v>1078.8679999999999</v>
      </c>
      <c r="Z321" s="125">
        <v>41527</v>
      </c>
      <c r="AA321" s="111" t="s">
        <v>7718</v>
      </c>
      <c r="AB321" s="125">
        <v>41527</v>
      </c>
      <c r="AE321">
        <v>50.89</v>
      </c>
      <c r="AF321" s="125">
        <v>41527</v>
      </c>
      <c r="AG321" s="111" t="s">
        <v>7718</v>
      </c>
      <c r="AH321" s="125">
        <v>41527</v>
      </c>
      <c r="AI321" s="111">
        <v>155</v>
      </c>
      <c r="AJ321" s="125">
        <v>41527</v>
      </c>
      <c r="BS321" s="111">
        <v>43.2</v>
      </c>
      <c r="BT321" s="125">
        <v>41527</v>
      </c>
      <c r="BU321">
        <v>21.2</v>
      </c>
      <c r="BV321" s="125">
        <v>41527</v>
      </c>
      <c r="CC321" s="111">
        <v>8</v>
      </c>
      <c r="CD321" s="125">
        <v>41527</v>
      </c>
      <c r="CG321" s="111">
        <v>1.08</v>
      </c>
      <c r="CH321" s="125">
        <v>41527</v>
      </c>
      <c r="CK321" s="111">
        <v>20</v>
      </c>
    </row>
    <row r="322" spans="1:89">
      <c r="A322" s="126" t="s">
        <v>7851</v>
      </c>
      <c r="B322" t="s">
        <v>257</v>
      </c>
      <c r="C322" t="s">
        <v>7794</v>
      </c>
      <c r="D322">
        <v>54</v>
      </c>
      <c r="E322" s="93">
        <v>1</v>
      </c>
      <c r="F322" s="93">
        <v>34</v>
      </c>
      <c r="K322" s="92">
        <v>7</v>
      </c>
      <c r="L322" s="159">
        <v>41569</v>
      </c>
      <c r="S322" s="111">
        <v>1577.8520000000001</v>
      </c>
      <c r="T322" s="125">
        <v>41527</v>
      </c>
      <c r="U322" s="111">
        <v>10.8</v>
      </c>
      <c r="Y322" s="111">
        <v>743.37599999999998</v>
      </c>
      <c r="Z322" s="125">
        <v>41527</v>
      </c>
      <c r="AA322" s="111" t="s">
        <v>7718</v>
      </c>
      <c r="AB322" s="125">
        <v>41527</v>
      </c>
      <c r="AE322">
        <v>36.44</v>
      </c>
      <c r="AF322" s="125">
        <v>41527</v>
      </c>
      <c r="AG322" s="111" t="s">
        <v>7718</v>
      </c>
      <c r="AH322" s="125">
        <v>41527</v>
      </c>
      <c r="AI322" s="111">
        <v>155</v>
      </c>
      <c r="AJ322" s="125">
        <v>41527</v>
      </c>
      <c r="BS322" s="111">
        <v>43.3</v>
      </c>
      <c r="BT322" s="125">
        <v>41527</v>
      </c>
      <c r="BU322">
        <v>20.399999999999999</v>
      </c>
      <c r="BV322" s="125">
        <v>41527</v>
      </c>
      <c r="CC322" s="111">
        <v>9</v>
      </c>
      <c r="CD322" s="125">
        <v>41527</v>
      </c>
      <c r="CG322" s="111">
        <v>5.92</v>
      </c>
      <c r="CH322" s="125">
        <v>41527</v>
      </c>
      <c r="CK322" s="111">
        <v>20</v>
      </c>
    </row>
    <row r="323" spans="1:89">
      <c r="A323" s="126" t="s">
        <v>7851</v>
      </c>
      <c r="B323" t="s">
        <v>259</v>
      </c>
      <c r="C323" t="s">
        <v>7794</v>
      </c>
      <c r="D323">
        <v>54</v>
      </c>
      <c r="E323" s="93">
        <v>5</v>
      </c>
      <c r="F323" s="93">
        <v>36</v>
      </c>
      <c r="K323" s="92">
        <v>5</v>
      </c>
      <c r="L323" s="159">
        <v>41569</v>
      </c>
      <c r="S323" s="111">
        <v>1709.905</v>
      </c>
      <c r="T323" s="125">
        <v>41527</v>
      </c>
      <c r="U323" s="111">
        <v>10.8</v>
      </c>
      <c r="Y323" s="111">
        <v>767.31500000000005</v>
      </c>
      <c r="Z323" s="125">
        <v>41527</v>
      </c>
      <c r="AA323" s="111" t="s">
        <v>7718</v>
      </c>
      <c r="AB323" s="125">
        <v>41527</v>
      </c>
      <c r="AE323">
        <v>38.950000000000003</v>
      </c>
      <c r="AF323" s="125">
        <v>41527</v>
      </c>
      <c r="AG323" s="111" t="s">
        <v>7718</v>
      </c>
      <c r="AH323" s="125">
        <v>41527</v>
      </c>
      <c r="AI323" s="111">
        <v>145</v>
      </c>
      <c r="AJ323" s="125">
        <v>41527</v>
      </c>
      <c r="BS323" s="111">
        <v>43.9</v>
      </c>
      <c r="BT323" s="125">
        <v>41527</v>
      </c>
      <c r="BU323">
        <v>19.7</v>
      </c>
      <c r="BV323" s="125">
        <v>41527</v>
      </c>
      <c r="CC323" s="111">
        <v>7.5</v>
      </c>
      <c r="CD323" s="125">
        <v>41527</v>
      </c>
      <c r="CG323" s="111">
        <v>1.39</v>
      </c>
      <c r="CH323" s="125">
        <v>41527</v>
      </c>
      <c r="CK323" s="111">
        <v>20</v>
      </c>
    </row>
    <row r="324" spans="1:89">
      <c r="A324" s="126" t="s">
        <v>7851</v>
      </c>
      <c r="B324" t="s">
        <v>257</v>
      </c>
      <c r="C324" t="s">
        <v>7795</v>
      </c>
      <c r="D324">
        <v>54</v>
      </c>
      <c r="E324" s="93">
        <v>5</v>
      </c>
      <c r="F324" s="93">
        <v>75</v>
      </c>
      <c r="K324" s="92">
        <v>5</v>
      </c>
      <c r="L324" s="159">
        <v>41569</v>
      </c>
      <c r="S324" s="111">
        <v>1701.2349999999999</v>
      </c>
      <c r="T324" s="125">
        <v>41527</v>
      </c>
      <c r="U324" s="111">
        <v>10.8</v>
      </c>
      <c r="Y324" s="111">
        <v>734.01599999999996</v>
      </c>
      <c r="Z324" s="125">
        <v>41527</v>
      </c>
      <c r="AA324" s="111" t="s">
        <v>7718</v>
      </c>
      <c r="AB324" s="125">
        <v>41527</v>
      </c>
      <c r="AE324">
        <v>38.229999999999997</v>
      </c>
      <c r="AF324" s="125">
        <v>41527</v>
      </c>
      <c r="AG324" s="111" t="s">
        <v>7718</v>
      </c>
      <c r="AH324" s="125">
        <v>41527</v>
      </c>
      <c r="AI324" s="111">
        <v>145</v>
      </c>
      <c r="AJ324" s="125">
        <v>41527</v>
      </c>
      <c r="BS324" s="111">
        <v>44.5</v>
      </c>
      <c r="BT324" s="125">
        <v>41527</v>
      </c>
      <c r="BU324">
        <v>19.2</v>
      </c>
      <c r="BV324" s="125">
        <v>41527</v>
      </c>
      <c r="CC324" s="111">
        <v>6.1</v>
      </c>
      <c r="CD324" s="125">
        <v>41527</v>
      </c>
      <c r="CG324" s="111">
        <v>1.55</v>
      </c>
      <c r="CH324" s="125">
        <v>41527</v>
      </c>
      <c r="CK324" s="111">
        <v>20</v>
      </c>
    </row>
    <row r="325" spans="1:89">
      <c r="A325" s="126" t="s">
        <v>7851</v>
      </c>
      <c r="B325" t="s">
        <v>259</v>
      </c>
      <c r="C325" t="s">
        <v>7795</v>
      </c>
      <c r="D325">
        <v>54</v>
      </c>
      <c r="E325" s="93">
        <v>2</v>
      </c>
      <c r="F325" s="93">
        <v>70</v>
      </c>
      <c r="K325" s="92">
        <v>5</v>
      </c>
      <c r="L325" s="159">
        <v>41569</v>
      </c>
      <c r="S325" s="111">
        <v>2099.34</v>
      </c>
      <c r="T325" s="125">
        <v>41527</v>
      </c>
      <c r="U325" s="111">
        <v>10.8</v>
      </c>
      <c r="Y325" s="111">
        <v>967.81500000000005</v>
      </c>
      <c r="Z325" s="125">
        <v>41527</v>
      </c>
      <c r="AA325" s="111" t="s">
        <v>7718</v>
      </c>
      <c r="AB325" s="125">
        <v>41527</v>
      </c>
      <c r="AE325">
        <v>48.15</v>
      </c>
      <c r="AF325" s="125">
        <v>41527</v>
      </c>
      <c r="AG325" s="111" t="s">
        <v>7718</v>
      </c>
      <c r="AH325" s="125">
        <v>41527</v>
      </c>
      <c r="AI325" s="111">
        <v>155</v>
      </c>
      <c r="AJ325" s="125">
        <v>41527</v>
      </c>
      <c r="BS325" s="111">
        <v>43.6</v>
      </c>
      <c r="BT325" s="125">
        <v>41527</v>
      </c>
      <c r="BU325">
        <v>20.100000000000001</v>
      </c>
      <c r="BV325" s="125">
        <v>41527</v>
      </c>
      <c r="CC325" s="111">
        <v>8.1</v>
      </c>
      <c r="CD325" s="125">
        <v>41527</v>
      </c>
      <c r="CG325" s="111">
        <v>2.4700000000000002</v>
      </c>
      <c r="CH325" s="125">
        <v>41527</v>
      </c>
      <c r="CK325" s="111">
        <v>20</v>
      </c>
    </row>
    <row r="326" spans="1:89">
      <c r="A326" s="126" t="s">
        <v>7852</v>
      </c>
      <c r="B326" t="s">
        <v>257</v>
      </c>
      <c r="C326" t="s">
        <v>405</v>
      </c>
      <c r="D326">
        <v>55</v>
      </c>
      <c r="E326" s="93">
        <v>4</v>
      </c>
      <c r="F326" s="93">
        <v>7</v>
      </c>
      <c r="K326" s="92">
        <v>5</v>
      </c>
      <c r="L326" s="159">
        <v>41569</v>
      </c>
      <c r="S326" s="111">
        <v>1874.566</v>
      </c>
      <c r="T326" s="125">
        <v>41527</v>
      </c>
      <c r="U326" s="111">
        <v>10.8</v>
      </c>
      <c r="Y326" s="111">
        <v>792.76800000000003</v>
      </c>
      <c r="Z326" s="125">
        <v>41527</v>
      </c>
      <c r="AA326" s="111" t="s">
        <v>7718</v>
      </c>
      <c r="AB326" s="125">
        <v>41527</v>
      </c>
      <c r="AE326">
        <v>41.29</v>
      </c>
      <c r="AF326" s="125">
        <v>41527</v>
      </c>
      <c r="AG326" s="111" t="s">
        <v>7718</v>
      </c>
      <c r="AH326" s="125">
        <v>41527</v>
      </c>
      <c r="AI326" s="111">
        <v>115</v>
      </c>
      <c r="AJ326" s="125">
        <v>41527</v>
      </c>
      <c r="BS326" s="111">
        <v>45.4</v>
      </c>
      <c r="BT326" s="125">
        <v>41527</v>
      </c>
      <c r="BU326">
        <v>19.2</v>
      </c>
      <c r="BV326" s="125">
        <v>41527</v>
      </c>
      <c r="CC326" s="111">
        <v>7.7</v>
      </c>
      <c r="CD326" s="125">
        <v>41527</v>
      </c>
      <c r="CG326" s="111">
        <v>1.59</v>
      </c>
      <c r="CH326" s="125">
        <v>41527</v>
      </c>
      <c r="CK326" s="111">
        <v>20</v>
      </c>
    </row>
    <row r="327" spans="1:89">
      <c r="A327" s="126" t="s">
        <v>7852</v>
      </c>
      <c r="B327" t="s">
        <v>259</v>
      </c>
      <c r="C327" t="s">
        <v>405</v>
      </c>
      <c r="D327">
        <v>55</v>
      </c>
      <c r="E327" s="93">
        <v>3</v>
      </c>
      <c r="F327" s="93">
        <v>22</v>
      </c>
      <c r="K327" s="92">
        <v>5</v>
      </c>
      <c r="L327" s="159">
        <v>41569</v>
      </c>
      <c r="S327" s="111">
        <v>2267.694</v>
      </c>
      <c r="T327" s="125">
        <v>41527</v>
      </c>
      <c r="U327" s="111">
        <v>10.8</v>
      </c>
      <c r="Y327" s="111">
        <v>1157.634</v>
      </c>
      <c r="Z327" s="125">
        <v>41527</v>
      </c>
      <c r="AA327" s="111" t="s">
        <v>7718</v>
      </c>
      <c r="AB327" s="125">
        <v>41527</v>
      </c>
      <c r="AE327">
        <v>52.86</v>
      </c>
      <c r="AF327" s="125">
        <v>41527</v>
      </c>
      <c r="AG327" s="111" t="s">
        <v>7718</v>
      </c>
      <c r="AH327" s="125">
        <v>41527</v>
      </c>
      <c r="AI327" s="111">
        <v>130</v>
      </c>
      <c r="AJ327" s="125">
        <v>41527</v>
      </c>
      <c r="BS327" s="111">
        <v>42.9</v>
      </c>
      <c r="BT327" s="125">
        <v>41527</v>
      </c>
      <c r="BU327">
        <v>21.9</v>
      </c>
      <c r="BV327" s="125">
        <v>41527</v>
      </c>
      <c r="CC327" s="111">
        <v>8.8000000000000007</v>
      </c>
      <c r="CD327" s="125">
        <v>41527</v>
      </c>
      <c r="CG327" s="111">
        <v>2.73</v>
      </c>
      <c r="CH327" s="125">
        <v>41527</v>
      </c>
      <c r="CK327" s="111">
        <v>20</v>
      </c>
    </row>
    <row r="328" spans="1:89">
      <c r="A328" s="126" t="s">
        <v>7852</v>
      </c>
      <c r="B328" t="s">
        <v>257</v>
      </c>
      <c r="C328" t="s">
        <v>7794</v>
      </c>
      <c r="D328">
        <v>55</v>
      </c>
      <c r="E328" s="93">
        <v>2</v>
      </c>
      <c r="F328" s="93">
        <v>50</v>
      </c>
      <c r="K328" s="92">
        <v>5</v>
      </c>
      <c r="L328" s="159">
        <v>41569</v>
      </c>
      <c r="S328" s="111">
        <v>2209.241</v>
      </c>
      <c r="T328" s="125">
        <v>41527</v>
      </c>
      <c r="U328" s="111">
        <v>10.8</v>
      </c>
      <c r="Y328" s="111">
        <v>1027.3219999999999</v>
      </c>
      <c r="Z328" s="125">
        <v>41527</v>
      </c>
      <c r="AA328" s="111" t="s">
        <v>7718</v>
      </c>
      <c r="AB328" s="125">
        <v>41527</v>
      </c>
      <c r="AE328">
        <v>49.87</v>
      </c>
      <c r="AF328" s="125">
        <v>41527</v>
      </c>
      <c r="AG328" s="111" t="s">
        <v>7718</v>
      </c>
      <c r="AH328" s="125">
        <v>41527</v>
      </c>
      <c r="AI328" s="111">
        <v>125</v>
      </c>
      <c r="AJ328" s="125">
        <v>41527</v>
      </c>
      <c r="BS328" s="111">
        <v>44.3</v>
      </c>
      <c r="BT328" s="125">
        <v>41527</v>
      </c>
      <c r="BU328">
        <v>20.6</v>
      </c>
      <c r="BV328" s="125">
        <v>41527</v>
      </c>
      <c r="CC328" s="111">
        <v>7.5</v>
      </c>
      <c r="CD328" s="125">
        <v>41527</v>
      </c>
      <c r="CG328" s="111">
        <v>1.25</v>
      </c>
      <c r="CH328" s="125">
        <v>41527</v>
      </c>
      <c r="CK328" s="111">
        <v>30</v>
      </c>
    </row>
    <row r="329" spans="1:89">
      <c r="A329" s="126" t="s">
        <v>7852</v>
      </c>
      <c r="B329" t="s">
        <v>259</v>
      </c>
      <c r="C329" t="s">
        <v>7794</v>
      </c>
      <c r="D329">
        <v>55</v>
      </c>
      <c r="E329" s="93">
        <v>5</v>
      </c>
      <c r="F329" s="93">
        <v>48</v>
      </c>
      <c r="K329" s="92">
        <v>3</v>
      </c>
      <c r="L329" s="159">
        <v>41569</v>
      </c>
      <c r="S329" s="111">
        <v>1921.491</v>
      </c>
      <c r="T329" s="125">
        <v>41527</v>
      </c>
      <c r="U329" s="111">
        <v>10.8</v>
      </c>
      <c r="Y329" s="111">
        <v>949.548</v>
      </c>
      <c r="Z329" s="125">
        <v>41527</v>
      </c>
      <c r="AA329" s="111" t="s">
        <v>7718</v>
      </c>
      <c r="AB329" s="125">
        <v>41527</v>
      </c>
      <c r="AE329">
        <v>44.79</v>
      </c>
      <c r="AF329" s="125">
        <v>41527</v>
      </c>
      <c r="AG329" s="111" t="s">
        <v>7718</v>
      </c>
      <c r="AH329" s="125">
        <v>41527</v>
      </c>
      <c r="AI329" s="111">
        <v>120</v>
      </c>
      <c r="AJ329" s="125">
        <v>41527</v>
      </c>
      <c r="BS329" s="111">
        <v>42.9</v>
      </c>
      <c r="BT329" s="125">
        <v>41527</v>
      </c>
      <c r="BU329">
        <v>21.2</v>
      </c>
      <c r="BV329" s="125">
        <v>41527</v>
      </c>
      <c r="CC329" s="111">
        <v>7.3</v>
      </c>
      <c r="CD329" s="125">
        <v>41527</v>
      </c>
      <c r="CG329" s="111">
        <v>3.65</v>
      </c>
      <c r="CH329" s="125">
        <v>41527</v>
      </c>
      <c r="CK329" s="111">
        <v>20</v>
      </c>
    </row>
    <row r="330" spans="1:89">
      <c r="A330" s="126" t="s">
        <v>7852</v>
      </c>
      <c r="B330" t="s">
        <v>257</v>
      </c>
      <c r="C330" t="s">
        <v>7795</v>
      </c>
      <c r="D330">
        <v>55</v>
      </c>
      <c r="E330" s="93">
        <v>5</v>
      </c>
      <c r="F330" s="93">
        <v>86</v>
      </c>
      <c r="K330" s="92">
        <v>5</v>
      </c>
      <c r="L330" s="159">
        <v>41569</v>
      </c>
      <c r="S330" s="111">
        <v>1797.0509999999999</v>
      </c>
      <c r="T330" s="125">
        <v>41527</v>
      </c>
      <c r="U330" s="111">
        <v>10.8</v>
      </c>
      <c r="Y330" s="111">
        <v>733.89499999999998</v>
      </c>
      <c r="Z330" s="125">
        <v>41527</v>
      </c>
      <c r="AA330" s="111" t="s">
        <v>7718</v>
      </c>
      <c r="AB330" s="125">
        <v>41527</v>
      </c>
      <c r="AE330">
        <v>39.67</v>
      </c>
      <c r="AF330" s="125">
        <v>41527</v>
      </c>
      <c r="AG330" s="111" t="s">
        <v>7718</v>
      </c>
      <c r="AH330" s="125">
        <v>41527</v>
      </c>
      <c r="AI330" s="111">
        <v>115</v>
      </c>
      <c r="AJ330" s="125">
        <v>41527</v>
      </c>
      <c r="BS330" s="111">
        <v>45.3</v>
      </c>
      <c r="BT330" s="125">
        <v>41527</v>
      </c>
      <c r="BU330">
        <v>18.5</v>
      </c>
      <c r="BV330" s="125">
        <v>41527</v>
      </c>
      <c r="CC330" s="111">
        <v>8.1999999999999993</v>
      </c>
      <c r="CD330" s="125">
        <v>41527</v>
      </c>
      <c r="CG330" s="111">
        <v>2.29</v>
      </c>
      <c r="CH330" s="125">
        <v>41527</v>
      </c>
      <c r="CK330" s="111">
        <v>10</v>
      </c>
    </row>
    <row r="331" spans="1:89">
      <c r="A331" s="126" t="s">
        <v>7852</v>
      </c>
      <c r="B331" t="s">
        <v>259</v>
      </c>
      <c r="C331" t="s">
        <v>7795</v>
      </c>
      <c r="D331">
        <v>55</v>
      </c>
      <c r="E331" s="93">
        <v>1</v>
      </c>
      <c r="F331" s="93">
        <v>70</v>
      </c>
      <c r="K331" s="92">
        <v>5</v>
      </c>
      <c r="L331" s="159">
        <v>41569</v>
      </c>
      <c r="S331" s="111">
        <v>1885.3</v>
      </c>
      <c r="T331" s="125">
        <v>41527</v>
      </c>
      <c r="U331" s="111">
        <v>10.8</v>
      </c>
      <c r="Y331" s="111">
        <v>940.43200000000002</v>
      </c>
      <c r="Z331" s="125">
        <v>41527</v>
      </c>
      <c r="AA331" s="111" t="s">
        <v>7718</v>
      </c>
      <c r="AB331" s="125">
        <v>41527</v>
      </c>
      <c r="AE331">
        <v>44.36</v>
      </c>
      <c r="AF331" s="125">
        <v>41527</v>
      </c>
      <c r="AG331" s="111" t="s">
        <v>7718</v>
      </c>
      <c r="AH331" s="125">
        <v>41527</v>
      </c>
      <c r="AI331" s="111">
        <v>115</v>
      </c>
      <c r="AJ331" s="125">
        <v>41527</v>
      </c>
      <c r="BS331" s="111">
        <v>42.5</v>
      </c>
      <c r="BT331" s="125">
        <v>41527</v>
      </c>
      <c r="BU331">
        <v>21.2</v>
      </c>
      <c r="BV331" s="125">
        <v>41527</v>
      </c>
      <c r="CC331" s="111">
        <v>8.8000000000000007</v>
      </c>
      <c r="CD331" s="125">
        <v>41527</v>
      </c>
      <c r="CG331" s="111">
        <v>7.81</v>
      </c>
      <c r="CH331" s="125">
        <v>41527</v>
      </c>
      <c r="CK331" s="111">
        <v>20</v>
      </c>
    </row>
    <row r="332" spans="1:89">
      <c r="A332" s="126" t="s">
        <v>7853</v>
      </c>
      <c r="B332" t="s">
        <v>257</v>
      </c>
      <c r="C332" t="s">
        <v>405</v>
      </c>
      <c r="D332">
        <v>56</v>
      </c>
      <c r="E332" s="93">
        <v>5</v>
      </c>
      <c r="F332" s="93">
        <v>25</v>
      </c>
      <c r="K332" s="92">
        <v>5</v>
      </c>
      <c r="L332" s="159">
        <v>41569</v>
      </c>
      <c r="S332" s="111">
        <v>1870.44</v>
      </c>
      <c r="T332" s="125">
        <v>41527</v>
      </c>
      <c r="U332" s="111">
        <v>10.8</v>
      </c>
      <c r="Y332" s="111">
        <v>840.84</v>
      </c>
      <c r="Z332" s="125">
        <v>41527</v>
      </c>
      <c r="AA332" s="111" t="s">
        <v>7718</v>
      </c>
      <c r="AB332" s="125">
        <v>41527</v>
      </c>
      <c r="AE332">
        <v>42.9</v>
      </c>
      <c r="AF332" s="125">
        <v>41527</v>
      </c>
      <c r="AG332" s="111" t="s">
        <v>7718</v>
      </c>
      <c r="AH332" s="125">
        <v>41527</v>
      </c>
      <c r="AI332" s="111">
        <v>130</v>
      </c>
      <c r="AJ332" s="125">
        <v>41527</v>
      </c>
      <c r="BS332" s="111">
        <v>43.6</v>
      </c>
      <c r="BT332" s="125">
        <v>41527</v>
      </c>
      <c r="BU332">
        <v>19.600000000000001</v>
      </c>
      <c r="BV332" s="125">
        <v>41527</v>
      </c>
      <c r="CC332" s="111">
        <v>9.4</v>
      </c>
      <c r="CD332" s="125">
        <v>41527</v>
      </c>
      <c r="CG332" s="111">
        <v>4.24</v>
      </c>
      <c r="CH332" s="125">
        <v>41527</v>
      </c>
      <c r="CK332" s="111">
        <v>10</v>
      </c>
    </row>
    <row r="333" spans="1:89">
      <c r="A333" s="126" t="s">
        <v>7853</v>
      </c>
      <c r="B333" t="s">
        <v>259</v>
      </c>
      <c r="C333" t="s">
        <v>405</v>
      </c>
      <c r="D333">
        <v>56</v>
      </c>
      <c r="E333" s="93">
        <v>3</v>
      </c>
      <c r="F333" s="93">
        <v>19</v>
      </c>
      <c r="K333" s="92">
        <v>5</v>
      </c>
      <c r="L333" s="159">
        <v>41569</v>
      </c>
      <c r="S333" s="111">
        <v>2081.4360000000001</v>
      </c>
      <c r="T333" s="125">
        <v>41527</v>
      </c>
      <c r="U333" s="111">
        <v>10.8</v>
      </c>
      <c r="Y333" s="111">
        <v>1026.06</v>
      </c>
      <c r="Z333" s="125">
        <v>41527</v>
      </c>
      <c r="AA333" s="111" t="s">
        <v>7718</v>
      </c>
      <c r="AB333" s="125">
        <v>41527</v>
      </c>
      <c r="AE333">
        <v>48.86</v>
      </c>
      <c r="AF333" s="125">
        <v>41527</v>
      </c>
      <c r="AG333" s="111" t="s">
        <v>7718</v>
      </c>
      <c r="AH333" s="125">
        <v>41527</v>
      </c>
      <c r="AI333" s="111">
        <v>140</v>
      </c>
      <c r="AJ333" s="125">
        <v>41527</v>
      </c>
      <c r="BS333" s="111">
        <v>42.6</v>
      </c>
      <c r="BT333" s="125">
        <v>41527</v>
      </c>
      <c r="BU333">
        <v>21</v>
      </c>
      <c r="BV333" s="125">
        <v>41527</v>
      </c>
      <c r="CC333" s="111">
        <v>7.8</v>
      </c>
      <c r="CD333" s="125">
        <v>41527</v>
      </c>
      <c r="CG333" s="111">
        <v>2.65</v>
      </c>
      <c r="CH333" s="125">
        <v>41527</v>
      </c>
      <c r="CK333" s="111">
        <v>10</v>
      </c>
    </row>
    <row r="334" spans="1:89">
      <c r="A334" s="126" t="s">
        <v>7853</v>
      </c>
      <c r="B334" t="s">
        <v>257</v>
      </c>
      <c r="C334" t="s">
        <v>7794</v>
      </c>
      <c r="D334">
        <v>56</v>
      </c>
      <c r="E334" s="93">
        <v>1</v>
      </c>
      <c r="F334" s="93">
        <v>51</v>
      </c>
      <c r="K334" s="92">
        <v>7</v>
      </c>
      <c r="L334" s="159">
        <v>41569</v>
      </c>
      <c r="S334" s="111">
        <v>2037.2940000000001</v>
      </c>
      <c r="T334" s="125">
        <v>41527</v>
      </c>
      <c r="U334" s="111">
        <v>10.8</v>
      </c>
      <c r="Y334" s="111">
        <v>899.76599999999996</v>
      </c>
      <c r="Z334" s="125">
        <v>41527</v>
      </c>
      <c r="AA334" s="111" t="s">
        <v>7718</v>
      </c>
      <c r="AB334" s="125">
        <v>41527</v>
      </c>
      <c r="AE334">
        <v>46.62</v>
      </c>
      <c r="AF334" s="125">
        <v>41527</v>
      </c>
      <c r="AG334" s="111" t="s">
        <v>7718</v>
      </c>
      <c r="AH334" s="125">
        <v>41527</v>
      </c>
      <c r="AI334" s="111">
        <v>145</v>
      </c>
      <c r="AJ334" s="125">
        <v>41527</v>
      </c>
      <c r="BS334" s="111">
        <v>43.7</v>
      </c>
      <c r="BT334" s="125">
        <v>41527</v>
      </c>
      <c r="BU334">
        <v>19.3</v>
      </c>
      <c r="BV334" s="125">
        <v>41527</v>
      </c>
      <c r="CC334" s="111">
        <v>9.1</v>
      </c>
      <c r="CD334" s="125">
        <v>41527</v>
      </c>
      <c r="CG334" s="111">
        <v>4.0999999999999996</v>
      </c>
      <c r="CH334" s="125">
        <v>41527</v>
      </c>
      <c r="CK334" s="111">
        <v>5</v>
      </c>
    </row>
    <row r="335" spans="1:89">
      <c r="A335" s="126" t="s">
        <v>7853</v>
      </c>
      <c r="B335" t="s">
        <v>259</v>
      </c>
      <c r="C335" t="s">
        <v>7794</v>
      </c>
      <c r="D335">
        <v>56</v>
      </c>
      <c r="E335" s="93">
        <v>6</v>
      </c>
      <c r="F335" s="93">
        <v>37</v>
      </c>
      <c r="K335" s="92">
        <v>5</v>
      </c>
      <c r="L335" s="159">
        <v>41569</v>
      </c>
      <c r="S335" s="111">
        <v>2024.3520000000001</v>
      </c>
      <c r="T335" s="125">
        <v>41527</v>
      </c>
      <c r="U335" s="111">
        <v>10.8</v>
      </c>
      <c r="Y335" s="111">
        <v>941.88599999999997</v>
      </c>
      <c r="Z335" s="125">
        <v>41527</v>
      </c>
      <c r="AA335" s="111" t="s">
        <v>7718</v>
      </c>
      <c r="AB335" s="125">
        <v>41527</v>
      </c>
      <c r="AE335">
        <v>46.86</v>
      </c>
      <c r="AF335" s="125">
        <v>41527</v>
      </c>
      <c r="AG335" s="111" t="s">
        <v>7718</v>
      </c>
      <c r="AH335" s="125">
        <v>41527</v>
      </c>
      <c r="AI335" s="111">
        <v>135</v>
      </c>
      <c r="AJ335" s="125">
        <v>41527</v>
      </c>
      <c r="BS335" s="111">
        <v>43.2</v>
      </c>
      <c r="BT335" s="125">
        <v>41527</v>
      </c>
      <c r="BU335">
        <v>20.100000000000001</v>
      </c>
      <c r="BV335" s="125">
        <v>41527</v>
      </c>
      <c r="CC335" s="111">
        <v>7.5</v>
      </c>
      <c r="CD335" s="125">
        <v>41527</v>
      </c>
      <c r="CG335" s="111">
        <v>1.62</v>
      </c>
      <c r="CH335" s="125">
        <v>41527</v>
      </c>
      <c r="CK335" s="111">
        <v>5</v>
      </c>
    </row>
    <row r="336" spans="1:89">
      <c r="A336" s="126" t="s">
        <v>7853</v>
      </c>
      <c r="B336" t="s">
        <v>257</v>
      </c>
      <c r="C336" t="s">
        <v>7795</v>
      </c>
      <c r="D336">
        <v>56</v>
      </c>
      <c r="E336" s="93">
        <v>4</v>
      </c>
      <c r="F336" s="93">
        <v>73</v>
      </c>
      <c r="K336" s="92">
        <v>5</v>
      </c>
      <c r="L336" s="159">
        <v>41569</v>
      </c>
      <c r="S336" s="111">
        <v>1852.84</v>
      </c>
      <c r="T336" s="125">
        <v>41527</v>
      </c>
      <c r="U336" s="111">
        <v>10.8</v>
      </c>
      <c r="Y336" s="111">
        <v>850.62199999999996</v>
      </c>
      <c r="Z336" s="125">
        <v>41527</v>
      </c>
      <c r="AA336" s="111" t="s">
        <v>7718</v>
      </c>
      <c r="AB336" s="125">
        <v>41527</v>
      </c>
      <c r="AE336">
        <v>42.11</v>
      </c>
      <c r="AF336" s="125">
        <v>41527</v>
      </c>
      <c r="AG336" s="111" t="s">
        <v>7718</v>
      </c>
      <c r="AH336" s="125">
        <v>41527</v>
      </c>
      <c r="AI336" s="111">
        <v>140</v>
      </c>
      <c r="AJ336" s="125">
        <v>41527</v>
      </c>
      <c r="BS336" s="111">
        <v>44</v>
      </c>
      <c r="BT336" s="125">
        <v>41527</v>
      </c>
      <c r="BU336">
        <v>20.2</v>
      </c>
      <c r="BV336" s="125">
        <v>41527</v>
      </c>
      <c r="CC336" s="111">
        <v>5.7</v>
      </c>
      <c r="CD336" s="125">
        <v>41527</v>
      </c>
      <c r="CG336" s="111">
        <v>1.83</v>
      </c>
      <c r="CH336" s="125">
        <v>41527</v>
      </c>
      <c r="CK336" s="111">
        <v>5</v>
      </c>
    </row>
    <row r="337" spans="1:89">
      <c r="A337" s="126" t="s">
        <v>7853</v>
      </c>
      <c r="B337" t="s">
        <v>259</v>
      </c>
      <c r="C337" t="s">
        <v>7795</v>
      </c>
      <c r="D337">
        <v>56</v>
      </c>
      <c r="E337" s="93">
        <v>1</v>
      </c>
      <c r="F337" s="93">
        <v>67</v>
      </c>
      <c r="K337" s="92">
        <v>5</v>
      </c>
      <c r="L337" s="159">
        <v>41569</v>
      </c>
      <c r="S337" s="111">
        <v>1976.163</v>
      </c>
      <c r="T337" s="125">
        <v>41527</v>
      </c>
      <c r="U337" s="111">
        <v>10.8</v>
      </c>
      <c r="Y337" s="111">
        <v>1018.885</v>
      </c>
      <c r="Z337" s="125">
        <v>41527</v>
      </c>
      <c r="AA337" s="111" t="s">
        <v>7718</v>
      </c>
      <c r="AB337" s="125">
        <v>41527</v>
      </c>
      <c r="AE337">
        <v>47.39</v>
      </c>
      <c r="AF337" s="125">
        <v>41527</v>
      </c>
      <c r="AG337" s="111" t="s">
        <v>7718</v>
      </c>
      <c r="AH337" s="125">
        <v>41527</v>
      </c>
      <c r="AI337" s="111">
        <v>140</v>
      </c>
      <c r="AJ337" s="125">
        <v>41527</v>
      </c>
      <c r="BS337" s="111">
        <v>41.7</v>
      </c>
      <c r="BT337" s="125">
        <v>41527</v>
      </c>
      <c r="BU337">
        <v>21.5</v>
      </c>
      <c r="BV337" s="125">
        <v>41527</v>
      </c>
      <c r="CC337" s="111">
        <v>9.1999999999999993</v>
      </c>
      <c r="CD337" s="125">
        <v>41527</v>
      </c>
      <c r="CG337" s="111">
        <v>6.07</v>
      </c>
      <c r="CH337" s="125">
        <v>41527</v>
      </c>
      <c r="CK337" s="111">
        <v>5</v>
      </c>
    </row>
    <row r="338" spans="1:89">
      <c r="A338" s="126" t="s">
        <v>7854</v>
      </c>
      <c r="B338" t="s">
        <v>257</v>
      </c>
      <c r="C338" t="s">
        <v>405</v>
      </c>
      <c r="D338">
        <v>57</v>
      </c>
      <c r="E338" s="93">
        <v>4</v>
      </c>
      <c r="F338" s="93">
        <v>17</v>
      </c>
      <c r="K338" s="92">
        <v>5</v>
      </c>
      <c r="L338" s="159">
        <v>41569</v>
      </c>
      <c r="S338" s="111">
        <v>1520.922</v>
      </c>
      <c r="T338" s="125">
        <v>41527</v>
      </c>
      <c r="U338" s="111">
        <v>10.8</v>
      </c>
      <c r="Y338" s="111">
        <v>698.52300000000002</v>
      </c>
      <c r="Z338" s="125">
        <v>41527</v>
      </c>
      <c r="AA338" s="111" t="s">
        <v>7718</v>
      </c>
      <c r="AB338" s="125">
        <v>41527</v>
      </c>
      <c r="AE338">
        <v>34.409999999999997</v>
      </c>
      <c r="AF338" s="125">
        <v>41527</v>
      </c>
      <c r="AG338" s="111" t="s">
        <v>7718</v>
      </c>
      <c r="AH338" s="125">
        <v>41527</v>
      </c>
      <c r="AI338" s="111">
        <v>130</v>
      </c>
      <c r="AJ338" s="125">
        <v>41527</v>
      </c>
      <c r="BS338" s="111">
        <v>44.2</v>
      </c>
      <c r="BT338" s="125">
        <v>41527</v>
      </c>
      <c r="BU338">
        <v>20.3</v>
      </c>
      <c r="BV338" s="125">
        <v>41527</v>
      </c>
      <c r="CC338" s="111">
        <v>6.4</v>
      </c>
      <c r="CD338" s="125">
        <v>41527</v>
      </c>
      <c r="CG338" s="111">
        <v>3.58</v>
      </c>
      <c r="CH338" s="125">
        <v>41527</v>
      </c>
      <c r="CK338" s="111">
        <v>20</v>
      </c>
    </row>
    <row r="339" spans="1:89">
      <c r="A339" s="126" t="s">
        <v>7854</v>
      </c>
      <c r="B339" t="s">
        <v>259</v>
      </c>
      <c r="C339" t="s">
        <v>405</v>
      </c>
      <c r="D339">
        <v>57</v>
      </c>
      <c r="E339" s="93">
        <v>2</v>
      </c>
      <c r="F339" s="93">
        <v>25</v>
      </c>
      <c r="K339" s="92">
        <v>5</v>
      </c>
      <c r="L339" s="159">
        <v>41569</v>
      </c>
      <c r="S339" s="111">
        <v>1715.89</v>
      </c>
      <c r="T339" s="125">
        <v>41527</v>
      </c>
      <c r="U339" s="111">
        <v>10.8</v>
      </c>
      <c r="Y339" s="111">
        <v>940.04499999999996</v>
      </c>
      <c r="Z339" s="125">
        <v>41527</v>
      </c>
      <c r="AA339" s="111" t="s">
        <v>7718</v>
      </c>
      <c r="AB339" s="125">
        <v>41527</v>
      </c>
      <c r="AE339">
        <v>41.05</v>
      </c>
      <c r="AF339" s="125">
        <v>41527</v>
      </c>
      <c r="AG339" s="111" t="s">
        <v>7718</v>
      </c>
      <c r="AH339" s="125">
        <v>41527</v>
      </c>
      <c r="AI339" s="111">
        <v>130</v>
      </c>
      <c r="AJ339" s="125">
        <v>41527</v>
      </c>
      <c r="BS339" s="111">
        <v>41.8</v>
      </c>
      <c r="BT339" s="125">
        <v>41527</v>
      </c>
      <c r="BU339">
        <v>22.9</v>
      </c>
      <c r="BV339" s="125">
        <v>41527</v>
      </c>
      <c r="CC339" s="111">
        <v>11.7</v>
      </c>
      <c r="CD339" s="125">
        <v>41527</v>
      </c>
      <c r="CG339" s="111">
        <v>4.59</v>
      </c>
      <c r="CH339" s="125">
        <v>41527</v>
      </c>
      <c r="CK339" s="111">
        <v>20</v>
      </c>
    </row>
    <row r="340" spans="1:89">
      <c r="A340" s="126" t="s">
        <v>7854</v>
      </c>
      <c r="B340" t="s">
        <v>257</v>
      </c>
      <c r="C340" t="s">
        <v>7794</v>
      </c>
      <c r="D340">
        <v>57</v>
      </c>
      <c r="E340" s="93">
        <v>2</v>
      </c>
      <c r="F340" s="93">
        <v>58</v>
      </c>
      <c r="K340" s="92">
        <v>5</v>
      </c>
      <c r="L340" s="159">
        <v>41569</v>
      </c>
      <c r="S340" s="111">
        <v>1683.4860000000001</v>
      </c>
      <c r="T340" s="125">
        <v>41527</v>
      </c>
      <c r="U340" s="111">
        <v>10.8</v>
      </c>
      <c r="Y340" s="111">
        <v>843.69600000000003</v>
      </c>
      <c r="Z340" s="125">
        <v>41527</v>
      </c>
      <c r="AA340" s="111" t="s">
        <v>7718</v>
      </c>
      <c r="AB340" s="125">
        <v>41527</v>
      </c>
      <c r="AE340">
        <v>39.06</v>
      </c>
      <c r="AF340" s="125">
        <v>41527</v>
      </c>
      <c r="AG340" s="111" t="s">
        <v>7718</v>
      </c>
      <c r="AH340" s="125">
        <v>41527</v>
      </c>
      <c r="AI340" s="111">
        <v>135</v>
      </c>
      <c r="AJ340" s="125">
        <v>41527</v>
      </c>
      <c r="BS340" s="111">
        <v>43.1</v>
      </c>
      <c r="BT340" s="125">
        <v>41527</v>
      </c>
      <c r="BU340">
        <v>21.6</v>
      </c>
      <c r="BV340" s="125">
        <v>41527</v>
      </c>
      <c r="CC340" s="111">
        <v>6.5</v>
      </c>
      <c r="CD340" s="125">
        <v>41527</v>
      </c>
      <c r="CG340" s="111">
        <v>3.57</v>
      </c>
      <c r="CH340" s="125">
        <v>41527</v>
      </c>
      <c r="CK340" s="111">
        <v>30</v>
      </c>
    </row>
    <row r="341" spans="1:89">
      <c r="A341" s="126" t="s">
        <v>7854</v>
      </c>
      <c r="B341" t="s">
        <v>259</v>
      </c>
      <c r="C341" t="s">
        <v>7794</v>
      </c>
      <c r="D341">
        <v>57</v>
      </c>
      <c r="E341" s="93">
        <v>6</v>
      </c>
      <c r="F341" s="93">
        <v>57</v>
      </c>
      <c r="K341" s="92">
        <v>5</v>
      </c>
      <c r="L341" s="159">
        <v>41569</v>
      </c>
      <c r="S341" s="111">
        <v>1190.268</v>
      </c>
      <c r="T341" s="125">
        <v>41527</v>
      </c>
      <c r="U341" s="111">
        <v>10.8</v>
      </c>
      <c r="Y341" s="111">
        <v>603.47699999999998</v>
      </c>
      <c r="Z341" s="125">
        <v>41527</v>
      </c>
      <c r="AA341" s="111" t="s">
        <v>7718</v>
      </c>
      <c r="AB341" s="125">
        <v>41527</v>
      </c>
      <c r="AE341">
        <v>27.81</v>
      </c>
      <c r="AF341" s="125">
        <v>41527</v>
      </c>
      <c r="AG341" s="111" t="s">
        <v>7718</v>
      </c>
      <c r="AH341" s="125">
        <v>41527</v>
      </c>
      <c r="AI341" s="111">
        <v>120</v>
      </c>
      <c r="AJ341" s="125">
        <v>41527</v>
      </c>
      <c r="BS341" s="111">
        <v>42.8</v>
      </c>
      <c r="BT341" s="125">
        <v>41527</v>
      </c>
      <c r="BU341">
        <v>21.7</v>
      </c>
      <c r="BV341" s="125">
        <v>41527</v>
      </c>
      <c r="CC341" s="111">
        <v>5.8</v>
      </c>
      <c r="CD341" s="125">
        <v>41527</v>
      </c>
      <c r="CG341" s="111">
        <v>5.5</v>
      </c>
      <c r="CH341" s="125">
        <v>41527</v>
      </c>
      <c r="CK341" s="111">
        <v>20</v>
      </c>
    </row>
    <row r="342" spans="1:89">
      <c r="A342" s="126" t="s">
        <v>7854</v>
      </c>
      <c r="B342" t="s">
        <v>257</v>
      </c>
      <c r="C342" t="s">
        <v>7795</v>
      </c>
      <c r="D342">
        <v>57</v>
      </c>
      <c r="E342" s="93">
        <v>6</v>
      </c>
      <c r="F342" s="93">
        <v>81</v>
      </c>
      <c r="K342" s="92">
        <v>5</v>
      </c>
      <c r="L342" s="159">
        <v>41569</v>
      </c>
      <c r="S342" s="111">
        <v>1229.2380000000001</v>
      </c>
      <c r="T342" s="125">
        <v>41527</v>
      </c>
      <c r="U342" s="111">
        <v>10.8</v>
      </c>
      <c r="Y342" s="111">
        <v>645.13199999999995</v>
      </c>
      <c r="Z342" s="125">
        <v>41527</v>
      </c>
      <c r="AA342" s="111" t="s">
        <v>7718</v>
      </c>
      <c r="AB342" s="125">
        <v>41527</v>
      </c>
      <c r="AE342">
        <v>29.06</v>
      </c>
      <c r="AF342" s="125">
        <v>41527</v>
      </c>
      <c r="AG342" s="111" t="s">
        <v>7718</v>
      </c>
      <c r="AH342" s="125">
        <v>41527</v>
      </c>
      <c r="AI342" s="111">
        <v>115</v>
      </c>
      <c r="AJ342" s="125">
        <v>41527</v>
      </c>
      <c r="BS342" s="111">
        <v>42.3</v>
      </c>
      <c r="BT342" s="125">
        <v>41527</v>
      </c>
      <c r="BU342">
        <v>22.2</v>
      </c>
      <c r="BV342" s="125">
        <v>41527</v>
      </c>
      <c r="CC342" s="111">
        <v>8</v>
      </c>
      <c r="CD342" s="125">
        <v>41527</v>
      </c>
      <c r="CG342" s="111">
        <v>3.78</v>
      </c>
      <c r="CH342" s="125">
        <v>41527</v>
      </c>
      <c r="CK342" s="111">
        <v>10</v>
      </c>
    </row>
    <row r="343" spans="1:89">
      <c r="A343" s="126" t="s">
        <v>7854</v>
      </c>
      <c r="B343" t="s">
        <v>259</v>
      </c>
      <c r="C343" t="s">
        <v>7795</v>
      </c>
      <c r="D343">
        <v>57</v>
      </c>
      <c r="E343" s="93">
        <v>3</v>
      </c>
      <c r="F343" s="93">
        <v>83</v>
      </c>
      <c r="K343" s="92">
        <v>5</v>
      </c>
      <c r="L343" s="159">
        <v>41569</v>
      </c>
      <c r="S343" s="111">
        <v>1887.261</v>
      </c>
      <c r="T343" s="125">
        <v>41527</v>
      </c>
      <c r="U343" s="111">
        <v>10.8</v>
      </c>
      <c r="Y343" s="111">
        <v>859.8</v>
      </c>
      <c r="Z343" s="125">
        <v>41527</v>
      </c>
      <c r="AA343" s="111" t="s">
        <v>7718</v>
      </c>
      <c r="AB343" s="125">
        <v>41527</v>
      </c>
      <c r="AE343">
        <v>42.99</v>
      </c>
      <c r="AF343" s="125">
        <v>41527</v>
      </c>
      <c r="AG343" s="111" t="s">
        <v>7718</v>
      </c>
      <c r="AH343" s="125">
        <v>41527</v>
      </c>
      <c r="AI343" s="111">
        <v>135</v>
      </c>
      <c r="AJ343" s="125">
        <v>41527</v>
      </c>
      <c r="BS343" s="111">
        <v>43.9</v>
      </c>
      <c r="BT343" s="125">
        <v>41527</v>
      </c>
      <c r="BU343">
        <v>20</v>
      </c>
      <c r="BV343" s="125">
        <v>41527</v>
      </c>
      <c r="CC343" s="111">
        <v>6.6</v>
      </c>
      <c r="CD343" s="125">
        <v>41527</v>
      </c>
      <c r="CG343" s="111">
        <v>2.16</v>
      </c>
      <c r="CH343" s="125">
        <v>41527</v>
      </c>
      <c r="CK343" s="111">
        <v>20</v>
      </c>
    </row>
    <row r="344" spans="1:89">
      <c r="A344" s="126" t="s">
        <v>7855</v>
      </c>
      <c r="B344" t="s">
        <v>257</v>
      </c>
      <c r="C344" t="s">
        <v>405</v>
      </c>
      <c r="D344">
        <v>58</v>
      </c>
      <c r="E344" s="93">
        <v>4</v>
      </c>
      <c r="F344" s="93">
        <v>23</v>
      </c>
      <c r="K344" s="92">
        <v>3</v>
      </c>
      <c r="L344" s="159">
        <v>41569</v>
      </c>
      <c r="S344" s="111">
        <v>1675.8219999999999</v>
      </c>
      <c r="T344" s="125">
        <v>41527</v>
      </c>
      <c r="U344" s="111">
        <v>10.8</v>
      </c>
      <c r="Y344" s="111">
        <v>676.91499999999996</v>
      </c>
      <c r="Z344" s="125">
        <v>41527</v>
      </c>
      <c r="AA344" s="111" t="s">
        <v>7718</v>
      </c>
      <c r="AB344" s="125">
        <v>41527</v>
      </c>
      <c r="AE344">
        <v>36.590000000000003</v>
      </c>
      <c r="AF344" s="125">
        <v>41527</v>
      </c>
      <c r="AG344" s="111" t="s">
        <v>7718</v>
      </c>
      <c r="AH344" s="125">
        <v>41527</v>
      </c>
      <c r="AI344" s="111">
        <v>135</v>
      </c>
      <c r="AJ344" s="125">
        <v>41527</v>
      </c>
      <c r="BS344" s="111">
        <v>45.8</v>
      </c>
      <c r="BT344" s="125">
        <v>41527</v>
      </c>
      <c r="BU344">
        <v>18.5</v>
      </c>
      <c r="BV344" s="125">
        <v>41527</v>
      </c>
      <c r="CC344" s="111">
        <v>7.9</v>
      </c>
      <c r="CD344" s="125">
        <v>41527</v>
      </c>
      <c r="CG344" s="111">
        <v>1.67</v>
      </c>
      <c r="CH344" s="125">
        <v>41527</v>
      </c>
      <c r="CK344" s="111">
        <v>5</v>
      </c>
    </row>
    <row r="345" spans="1:89">
      <c r="A345" s="126" t="s">
        <v>7855</v>
      </c>
      <c r="B345" t="s">
        <v>259</v>
      </c>
      <c r="C345" t="s">
        <v>405</v>
      </c>
      <c r="D345">
        <v>58</v>
      </c>
      <c r="E345" s="93">
        <v>2</v>
      </c>
      <c r="F345" s="93">
        <v>17</v>
      </c>
      <c r="K345" s="92">
        <v>3</v>
      </c>
      <c r="L345" s="159">
        <v>41569</v>
      </c>
      <c r="S345" s="111">
        <v>1921.942</v>
      </c>
      <c r="T345" s="125">
        <v>41527</v>
      </c>
      <c r="U345" s="111">
        <v>10.8</v>
      </c>
      <c r="Y345" s="111">
        <v>928.13599999999997</v>
      </c>
      <c r="Z345" s="125">
        <v>41527</v>
      </c>
      <c r="AA345" s="111" t="s">
        <v>7718</v>
      </c>
      <c r="AB345" s="125">
        <v>41527</v>
      </c>
      <c r="AE345">
        <v>43.78</v>
      </c>
      <c r="AF345" s="125">
        <v>41527</v>
      </c>
      <c r="AG345" s="111" t="s">
        <v>7718</v>
      </c>
      <c r="AH345" s="125">
        <v>41527</v>
      </c>
      <c r="AI345" s="111">
        <v>140</v>
      </c>
      <c r="AJ345" s="125">
        <v>41527</v>
      </c>
      <c r="BS345" s="111">
        <v>43.9</v>
      </c>
      <c r="BT345" s="125">
        <v>41527</v>
      </c>
      <c r="BU345">
        <v>21.2</v>
      </c>
      <c r="BV345" s="125">
        <v>41527</v>
      </c>
      <c r="CC345" s="111">
        <v>8.4</v>
      </c>
      <c r="CD345" s="125">
        <v>41527</v>
      </c>
      <c r="CG345" s="111">
        <v>3.52</v>
      </c>
      <c r="CH345" s="125">
        <v>41527</v>
      </c>
      <c r="CK345" s="111">
        <v>5</v>
      </c>
    </row>
    <row r="346" spans="1:89">
      <c r="A346" s="126" t="s">
        <v>7855</v>
      </c>
      <c r="B346" t="s">
        <v>257</v>
      </c>
      <c r="C346" t="s">
        <v>7794</v>
      </c>
      <c r="D346">
        <v>58</v>
      </c>
      <c r="E346" s="93">
        <v>2</v>
      </c>
      <c r="F346" s="93">
        <v>43</v>
      </c>
      <c r="K346" s="92">
        <v>8</v>
      </c>
      <c r="L346" s="159">
        <v>41569</v>
      </c>
      <c r="S346" s="111">
        <v>1920.3579999999999</v>
      </c>
      <c r="T346" s="125">
        <v>41527</v>
      </c>
      <c r="U346" s="111">
        <v>10.8</v>
      </c>
      <c r="Y346" s="111">
        <v>847.34199999999998</v>
      </c>
      <c r="Z346" s="125">
        <v>41527</v>
      </c>
      <c r="AA346" s="111" t="s">
        <v>7718</v>
      </c>
      <c r="AB346" s="125">
        <v>41527</v>
      </c>
      <c r="AE346">
        <v>42.58</v>
      </c>
      <c r="AF346" s="125">
        <v>41527</v>
      </c>
      <c r="AG346" s="111" t="s">
        <v>7718</v>
      </c>
      <c r="AH346" s="125">
        <v>41527</v>
      </c>
      <c r="AI346" s="111">
        <v>140</v>
      </c>
      <c r="AJ346" s="125">
        <v>41527</v>
      </c>
      <c r="BS346" s="111">
        <v>45.1</v>
      </c>
      <c r="BT346" s="125">
        <v>41527</v>
      </c>
      <c r="BU346">
        <v>19.899999999999999</v>
      </c>
      <c r="BV346" s="125">
        <v>41527</v>
      </c>
      <c r="CC346" s="111">
        <v>10</v>
      </c>
      <c r="CD346" s="125">
        <v>41527</v>
      </c>
      <c r="CG346" s="111">
        <v>4.66</v>
      </c>
      <c r="CH346" s="125">
        <v>41527</v>
      </c>
      <c r="CK346" s="111">
        <v>10</v>
      </c>
    </row>
    <row r="347" spans="1:89">
      <c r="A347" s="126" t="s">
        <v>7855</v>
      </c>
      <c r="B347" t="s">
        <v>259</v>
      </c>
      <c r="C347" t="s">
        <v>7794</v>
      </c>
      <c r="D347">
        <v>58</v>
      </c>
      <c r="E347" s="93">
        <v>4</v>
      </c>
      <c r="F347" s="93">
        <v>57</v>
      </c>
      <c r="K347" s="92">
        <v>5</v>
      </c>
      <c r="L347" s="159">
        <v>41569</v>
      </c>
      <c r="S347" s="111">
        <v>2019.377</v>
      </c>
      <c r="T347" s="125">
        <v>41527</v>
      </c>
      <c r="U347" s="111">
        <v>10.8</v>
      </c>
      <c r="Y347" s="111">
        <v>975.03099999999995</v>
      </c>
      <c r="Z347" s="125">
        <v>41527</v>
      </c>
      <c r="AA347" s="111" t="s">
        <v>7718</v>
      </c>
      <c r="AB347" s="125">
        <v>41527</v>
      </c>
      <c r="AE347">
        <v>46.21</v>
      </c>
      <c r="AF347" s="125">
        <v>41527</v>
      </c>
      <c r="AG347" s="111" t="s">
        <v>7718</v>
      </c>
      <c r="AH347" s="125">
        <v>41527</v>
      </c>
      <c r="AI347" s="111">
        <v>140</v>
      </c>
      <c r="AJ347" s="125">
        <v>41527</v>
      </c>
      <c r="BS347" s="111">
        <v>43.7</v>
      </c>
      <c r="BT347" s="125">
        <v>41527</v>
      </c>
      <c r="BU347">
        <v>21.1</v>
      </c>
      <c r="BV347" s="125">
        <v>41527</v>
      </c>
      <c r="CC347" s="111">
        <v>5.9</v>
      </c>
      <c r="CD347" s="125">
        <v>41527</v>
      </c>
      <c r="CG347" s="111">
        <v>1.1000000000000001</v>
      </c>
      <c r="CH347" s="125">
        <v>41527</v>
      </c>
      <c r="CK347" s="111">
        <v>10</v>
      </c>
    </row>
    <row r="348" spans="1:89">
      <c r="A348" s="126" t="s">
        <v>7855</v>
      </c>
      <c r="B348" t="s">
        <v>257</v>
      </c>
      <c r="C348" t="s">
        <v>7795</v>
      </c>
      <c r="D348">
        <v>58</v>
      </c>
      <c r="E348" s="93">
        <v>4</v>
      </c>
      <c r="F348" s="93">
        <v>83</v>
      </c>
      <c r="K348" s="92">
        <v>5</v>
      </c>
      <c r="L348" s="159">
        <v>41569</v>
      </c>
      <c r="S348" s="111">
        <v>1816.53</v>
      </c>
      <c r="T348" s="125">
        <v>41527</v>
      </c>
      <c r="U348" s="111">
        <v>10.8</v>
      </c>
      <c r="Y348" s="111">
        <v>765.91</v>
      </c>
      <c r="Z348" s="125">
        <v>41527</v>
      </c>
      <c r="AA348" s="111" t="s">
        <v>7718</v>
      </c>
      <c r="AB348" s="125">
        <v>41527</v>
      </c>
      <c r="AE348">
        <v>40.1</v>
      </c>
      <c r="AF348" s="125">
        <v>41527</v>
      </c>
      <c r="AG348" s="111" t="s">
        <v>7718</v>
      </c>
      <c r="AH348" s="125">
        <v>41527</v>
      </c>
      <c r="AI348" s="111">
        <v>135</v>
      </c>
      <c r="AJ348" s="125">
        <v>41527</v>
      </c>
      <c r="BS348" s="111">
        <v>45.3</v>
      </c>
      <c r="BT348" s="125">
        <v>41527</v>
      </c>
      <c r="BU348">
        <v>19.100000000000001</v>
      </c>
      <c r="BV348" s="125">
        <v>41527</v>
      </c>
      <c r="CC348" s="111">
        <v>7.2</v>
      </c>
      <c r="CD348" s="125">
        <v>41527</v>
      </c>
      <c r="CG348" s="111">
        <v>4.04</v>
      </c>
      <c r="CH348" s="125">
        <v>41527</v>
      </c>
      <c r="CK348" s="111">
        <v>10</v>
      </c>
    </row>
    <row r="349" spans="1:89">
      <c r="A349" s="126" t="s">
        <v>7855</v>
      </c>
      <c r="B349" t="s">
        <v>259</v>
      </c>
      <c r="C349" t="s">
        <v>7795</v>
      </c>
      <c r="D349">
        <v>58</v>
      </c>
      <c r="E349" s="93">
        <v>1</v>
      </c>
      <c r="F349" s="93">
        <v>61</v>
      </c>
      <c r="K349" s="92">
        <v>5</v>
      </c>
      <c r="L349" s="159">
        <v>41569</v>
      </c>
      <c r="S349" s="111">
        <v>1902.1690000000001</v>
      </c>
      <c r="T349" s="125">
        <v>41527</v>
      </c>
      <c r="U349" s="111">
        <v>10.8</v>
      </c>
      <c r="Y349" s="111">
        <v>957.67399999999998</v>
      </c>
      <c r="Z349" s="125">
        <v>41527</v>
      </c>
      <c r="AA349" s="111" t="s">
        <v>7718</v>
      </c>
      <c r="AB349" s="125">
        <v>41527</v>
      </c>
      <c r="AE349">
        <v>43.93</v>
      </c>
      <c r="AF349" s="125">
        <v>41527</v>
      </c>
      <c r="AG349" s="111" t="s">
        <v>7718</v>
      </c>
      <c r="AH349" s="125">
        <v>41527</v>
      </c>
      <c r="AI349" s="111">
        <v>145</v>
      </c>
      <c r="AJ349" s="125">
        <v>41527</v>
      </c>
      <c r="BS349" s="111">
        <v>43.3</v>
      </c>
      <c r="BT349" s="125">
        <v>41527</v>
      </c>
      <c r="BU349">
        <v>21.8</v>
      </c>
      <c r="BV349" s="125">
        <v>41527</v>
      </c>
      <c r="CC349" s="111">
        <v>9.1</v>
      </c>
      <c r="CD349" s="125">
        <v>41527</v>
      </c>
      <c r="CG349" s="111">
        <v>2.5</v>
      </c>
      <c r="CH349" s="125">
        <v>41527</v>
      </c>
      <c r="CK349" s="111">
        <v>5</v>
      </c>
    </row>
    <row r="350" spans="1:89">
      <c r="A350" s="126" t="s">
        <v>7856</v>
      </c>
      <c r="B350" t="s">
        <v>257</v>
      </c>
      <c r="C350" t="s">
        <v>405</v>
      </c>
      <c r="D350">
        <v>59</v>
      </c>
      <c r="E350" s="93">
        <v>6</v>
      </c>
      <c r="F350" s="93">
        <v>14</v>
      </c>
      <c r="K350" s="92">
        <v>3</v>
      </c>
      <c r="L350" s="159">
        <v>41569</v>
      </c>
      <c r="S350" s="111">
        <v>1500.52</v>
      </c>
      <c r="T350" s="125">
        <v>41527</v>
      </c>
      <c r="U350" s="111">
        <v>10.8</v>
      </c>
      <c r="Y350" s="111">
        <v>629.56600000000003</v>
      </c>
      <c r="Z350" s="125">
        <v>41527</v>
      </c>
      <c r="AA350" s="111" t="s">
        <v>7718</v>
      </c>
      <c r="AB350" s="125">
        <v>41527</v>
      </c>
      <c r="AE350">
        <v>32.619999999999997</v>
      </c>
      <c r="AF350" s="125">
        <v>41527</v>
      </c>
      <c r="AG350" s="111" t="s">
        <v>7718</v>
      </c>
      <c r="AH350" s="125">
        <v>41527</v>
      </c>
      <c r="AI350" s="111">
        <v>130</v>
      </c>
      <c r="AJ350" s="125">
        <v>41527</v>
      </c>
      <c r="BS350" s="111">
        <v>46</v>
      </c>
      <c r="BT350" s="125">
        <v>41527</v>
      </c>
      <c r="BU350">
        <v>19.3</v>
      </c>
      <c r="BV350" s="125">
        <v>41527</v>
      </c>
      <c r="CC350" s="111">
        <v>7.2</v>
      </c>
      <c r="CD350" s="125">
        <v>41527</v>
      </c>
      <c r="CG350" s="111">
        <v>7.71</v>
      </c>
      <c r="CH350" s="125">
        <v>41527</v>
      </c>
      <c r="CK350" s="111">
        <v>20</v>
      </c>
    </row>
    <row r="351" spans="1:89">
      <c r="A351" s="126" t="s">
        <v>7856</v>
      </c>
      <c r="B351" t="s">
        <v>259</v>
      </c>
      <c r="C351" t="s">
        <v>405</v>
      </c>
      <c r="D351">
        <v>59</v>
      </c>
      <c r="E351" s="93">
        <v>1</v>
      </c>
      <c r="F351" s="93">
        <v>28</v>
      </c>
      <c r="K351" s="92">
        <v>7</v>
      </c>
      <c r="L351" s="159">
        <v>41569</v>
      </c>
      <c r="S351" s="111">
        <v>2264.3420000000001</v>
      </c>
      <c r="T351" s="125">
        <v>41527</v>
      </c>
      <c r="U351" s="111">
        <v>10.8</v>
      </c>
      <c r="Y351" s="111">
        <v>1111.8630000000001</v>
      </c>
      <c r="Z351" s="125">
        <v>41527</v>
      </c>
      <c r="AA351" s="111" t="s">
        <v>7718</v>
      </c>
      <c r="AB351" s="125">
        <v>41527</v>
      </c>
      <c r="AE351">
        <v>50.77</v>
      </c>
      <c r="AF351" s="125">
        <v>41527</v>
      </c>
      <c r="AG351" s="111" t="s">
        <v>7718</v>
      </c>
      <c r="AH351" s="125">
        <v>41527</v>
      </c>
      <c r="AI351" s="111">
        <v>140</v>
      </c>
      <c r="AJ351" s="125">
        <v>41527</v>
      </c>
      <c r="BS351" s="111">
        <v>44.6</v>
      </c>
      <c r="BT351" s="125">
        <v>41527</v>
      </c>
      <c r="BU351">
        <v>21.9</v>
      </c>
      <c r="BV351" s="125">
        <v>41527</v>
      </c>
      <c r="CC351" s="111">
        <v>12.2</v>
      </c>
      <c r="CD351" s="125">
        <v>41527</v>
      </c>
      <c r="CG351" s="111">
        <v>2.92</v>
      </c>
      <c r="CH351" s="125">
        <v>41527</v>
      </c>
      <c r="CK351" s="111">
        <v>5</v>
      </c>
    </row>
    <row r="352" spans="1:89">
      <c r="A352" s="126" t="s">
        <v>7856</v>
      </c>
      <c r="B352" t="s">
        <v>257</v>
      </c>
      <c r="C352" t="s">
        <v>7794</v>
      </c>
      <c r="D352">
        <v>59</v>
      </c>
      <c r="E352" s="93">
        <v>1</v>
      </c>
      <c r="F352" s="93">
        <v>39</v>
      </c>
      <c r="K352" s="92">
        <v>5</v>
      </c>
      <c r="L352" s="159">
        <v>41569</v>
      </c>
      <c r="S352" s="111">
        <v>2088.2399999999998</v>
      </c>
      <c r="T352" s="125">
        <v>41527</v>
      </c>
      <c r="U352" s="111">
        <v>10.8</v>
      </c>
      <c r="Y352" s="111">
        <v>867.84</v>
      </c>
      <c r="Z352" s="125">
        <v>41527</v>
      </c>
      <c r="AA352" s="111" t="s">
        <v>7718</v>
      </c>
      <c r="AB352" s="125">
        <v>41527</v>
      </c>
      <c r="AE352">
        <v>45.2</v>
      </c>
      <c r="AF352" s="125">
        <v>41527</v>
      </c>
      <c r="AG352" s="111" t="s">
        <v>7718</v>
      </c>
      <c r="AH352" s="125">
        <v>41527</v>
      </c>
      <c r="AI352" s="111">
        <v>140</v>
      </c>
      <c r="AJ352" s="125">
        <v>41527</v>
      </c>
      <c r="BS352" s="111">
        <v>46.2</v>
      </c>
      <c r="BT352" s="125">
        <v>41527</v>
      </c>
      <c r="BU352">
        <v>19.2</v>
      </c>
      <c r="BV352" s="125">
        <v>41527</v>
      </c>
      <c r="CC352" s="111">
        <v>9.4</v>
      </c>
      <c r="CD352" s="125">
        <v>41527</v>
      </c>
      <c r="CG352" s="111">
        <v>5.93</v>
      </c>
      <c r="CH352" s="125">
        <v>41527</v>
      </c>
      <c r="CK352" s="111">
        <v>20</v>
      </c>
    </row>
    <row r="353" spans="1:89">
      <c r="A353" s="126" t="s">
        <v>7856</v>
      </c>
      <c r="B353" t="s">
        <v>259</v>
      </c>
      <c r="C353" t="s">
        <v>7794</v>
      </c>
      <c r="D353">
        <v>59</v>
      </c>
      <c r="E353" s="93">
        <v>5</v>
      </c>
      <c r="F353" s="93">
        <v>32</v>
      </c>
      <c r="K353" s="92">
        <v>5</v>
      </c>
      <c r="L353" s="159">
        <v>41569</v>
      </c>
      <c r="S353" s="111">
        <v>2179.944</v>
      </c>
      <c r="T353" s="125">
        <v>41527</v>
      </c>
      <c r="U353" s="111">
        <v>10.8</v>
      </c>
      <c r="Y353" s="111">
        <v>1050.5160000000001</v>
      </c>
      <c r="Z353" s="125">
        <v>41527</v>
      </c>
      <c r="AA353" s="111" t="s">
        <v>7718</v>
      </c>
      <c r="AB353" s="125">
        <v>41527</v>
      </c>
      <c r="AE353">
        <v>49.32</v>
      </c>
      <c r="AF353" s="125">
        <v>41527</v>
      </c>
      <c r="AG353" s="111" t="s">
        <v>7718</v>
      </c>
      <c r="AH353" s="125">
        <v>41527</v>
      </c>
      <c r="AI353" s="111">
        <v>135</v>
      </c>
      <c r="AJ353" s="125">
        <v>41527</v>
      </c>
      <c r="BS353" s="111">
        <v>44.2</v>
      </c>
      <c r="BT353" s="125">
        <v>41527</v>
      </c>
      <c r="BU353">
        <v>21.3</v>
      </c>
      <c r="BV353" s="125">
        <v>41527</v>
      </c>
      <c r="CC353" s="111">
        <v>6.2</v>
      </c>
      <c r="CD353" s="125">
        <v>41527</v>
      </c>
      <c r="CG353" s="111">
        <v>3.82</v>
      </c>
      <c r="CH353" s="125">
        <v>41527</v>
      </c>
      <c r="CK353" s="111">
        <v>10</v>
      </c>
    </row>
    <row r="354" spans="1:89">
      <c r="A354" s="126" t="s">
        <v>7856</v>
      </c>
      <c r="B354" t="s">
        <v>257</v>
      </c>
      <c r="C354" t="s">
        <v>7795</v>
      </c>
      <c r="D354">
        <v>59</v>
      </c>
      <c r="E354" s="93">
        <v>4</v>
      </c>
      <c r="F354" s="93">
        <v>60</v>
      </c>
      <c r="K354" s="92">
        <v>5</v>
      </c>
      <c r="L354" s="159">
        <v>41569</v>
      </c>
      <c r="S354" s="111">
        <v>2064.123</v>
      </c>
      <c r="T354" s="125">
        <v>41527</v>
      </c>
      <c r="U354" s="111">
        <v>10.8</v>
      </c>
      <c r="Y354" s="111">
        <v>863.42399999999998</v>
      </c>
      <c r="Z354" s="125">
        <v>41527</v>
      </c>
      <c r="AA354" s="111" t="s">
        <v>7718</v>
      </c>
      <c r="AB354" s="125">
        <v>41527</v>
      </c>
      <c r="AE354">
        <v>44.97</v>
      </c>
      <c r="AF354" s="125">
        <v>41527</v>
      </c>
      <c r="AG354" s="111" t="s">
        <v>7718</v>
      </c>
      <c r="AH354" s="125">
        <v>41527</v>
      </c>
      <c r="AI354" s="111">
        <v>140</v>
      </c>
      <c r="AJ354" s="125">
        <v>41527</v>
      </c>
      <c r="BS354" s="111">
        <v>45.9</v>
      </c>
      <c r="BT354" s="125">
        <v>41527</v>
      </c>
      <c r="BU354">
        <v>19.2</v>
      </c>
      <c r="BV354" s="125">
        <v>41527</v>
      </c>
      <c r="CC354" s="111">
        <v>8.5</v>
      </c>
      <c r="CD354" s="125">
        <v>41527</v>
      </c>
      <c r="CG354" s="111">
        <v>0.74</v>
      </c>
      <c r="CH354" s="125">
        <v>41527</v>
      </c>
      <c r="CK354" s="111">
        <v>20</v>
      </c>
    </row>
    <row r="355" spans="1:89">
      <c r="A355" s="126" t="s">
        <v>7856</v>
      </c>
      <c r="B355" t="s">
        <v>259</v>
      </c>
      <c r="C355" t="s">
        <v>7795</v>
      </c>
      <c r="D355">
        <v>59</v>
      </c>
      <c r="E355" s="93">
        <v>2</v>
      </c>
      <c r="F355" s="93">
        <v>74</v>
      </c>
      <c r="K355" s="92">
        <v>5</v>
      </c>
      <c r="L355" s="159">
        <v>41569</v>
      </c>
      <c r="S355" s="111">
        <v>2449.373</v>
      </c>
      <c r="T355" s="125">
        <v>41527</v>
      </c>
      <c r="U355" s="111">
        <v>10.8</v>
      </c>
      <c r="Y355" s="111">
        <v>1238.894</v>
      </c>
      <c r="Z355" s="125">
        <v>41527</v>
      </c>
      <c r="AA355" s="111" t="s">
        <v>7718</v>
      </c>
      <c r="AB355" s="125">
        <v>41527</v>
      </c>
      <c r="AE355">
        <v>56.83</v>
      </c>
      <c r="AF355" s="125">
        <v>41527</v>
      </c>
      <c r="AG355" s="111" t="s">
        <v>7718</v>
      </c>
      <c r="AH355" s="125">
        <v>41527</v>
      </c>
      <c r="AI355" s="111">
        <v>135</v>
      </c>
      <c r="AJ355" s="125">
        <v>41527</v>
      </c>
      <c r="BS355" s="111">
        <v>43.1</v>
      </c>
      <c r="BT355" s="125">
        <v>41527</v>
      </c>
      <c r="BU355">
        <v>21.8</v>
      </c>
      <c r="BV355" s="125">
        <v>41527</v>
      </c>
      <c r="CC355" s="111">
        <v>8.4</v>
      </c>
      <c r="CD355" s="125">
        <v>41527</v>
      </c>
      <c r="CG355" s="111">
        <v>5.45</v>
      </c>
      <c r="CH355" s="125">
        <v>41527</v>
      </c>
      <c r="CK355" s="111">
        <v>20</v>
      </c>
    </row>
    <row r="356" spans="1:89">
      <c r="A356" s="126" t="s">
        <v>7857</v>
      </c>
      <c r="B356" t="s">
        <v>257</v>
      </c>
      <c r="C356" t="s">
        <v>405</v>
      </c>
      <c r="D356">
        <v>60</v>
      </c>
      <c r="E356" s="93">
        <v>6</v>
      </c>
      <c r="F356" s="93">
        <v>8</v>
      </c>
      <c r="K356" s="92">
        <v>5</v>
      </c>
      <c r="L356" s="159">
        <v>41569</v>
      </c>
      <c r="S356" s="111">
        <v>1744.9770000000001</v>
      </c>
      <c r="T356" s="125">
        <v>41527</v>
      </c>
      <c r="U356" s="111">
        <v>10.8</v>
      </c>
      <c r="Y356" s="111">
        <v>775.98299999999995</v>
      </c>
      <c r="Z356" s="125">
        <v>41527</v>
      </c>
      <c r="AA356" s="111" t="s">
        <v>7718</v>
      </c>
      <c r="AB356" s="125">
        <v>41527</v>
      </c>
      <c r="AE356">
        <v>39.39</v>
      </c>
      <c r="AF356" s="125">
        <v>41527</v>
      </c>
      <c r="AG356" s="111" t="s">
        <v>7718</v>
      </c>
      <c r="AH356" s="125">
        <v>41527</v>
      </c>
      <c r="AI356" s="111">
        <v>120</v>
      </c>
      <c r="AJ356" s="125">
        <v>41527</v>
      </c>
      <c r="BS356" s="111">
        <v>44.3</v>
      </c>
      <c r="BT356" s="125">
        <v>41527</v>
      </c>
      <c r="BU356">
        <v>19.7</v>
      </c>
      <c r="BV356" s="125">
        <v>41527</v>
      </c>
      <c r="CC356" s="111">
        <v>8.1999999999999993</v>
      </c>
      <c r="CD356" s="125">
        <v>41527</v>
      </c>
      <c r="CG356" s="111">
        <v>7.96</v>
      </c>
      <c r="CH356" s="125">
        <v>41527</v>
      </c>
      <c r="CK356" s="111">
        <v>20</v>
      </c>
    </row>
    <row r="357" spans="1:89">
      <c r="A357" s="126" t="s">
        <v>7857</v>
      </c>
      <c r="B357" t="s">
        <v>259</v>
      </c>
      <c r="C357" t="s">
        <v>405</v>
      </c>
      <c r="D357">
        <v>60</v>
      </c>
      <c r="E357" s="93">
        <v>1</v>
      </c>
      <c r="F357" s="93">
        <v>4</v>
      </c>
      <c r="K357" s="92">
        <v>7</v>
      </c>
      <c r="L357" s="159">
        <v>41569</v>
      </c>
      <c r="S357" s="111">
        <v>1850.6179999999999</v>
      </c>
      <c r="T357" s="125">
        <v>41527</v>
      </c>
      <c r="U357" s="111">
        <v>10.8</v>
      </c>
      <c r="Y357" s="111">
        <v>953.48</v>
      </c>
      <c r="Z357" s="125">
        <v>41527</v>
      </c>
      <c r="AA357" s="111" t="s">
        <v>7718</v>
      </c>
      <c r="AB357" s="125">
        <v>41527</v>
      </c>
      <c r="AE357">
        <v>43.34</v>
      </c>
      <c r="AF357" s="125">
        <v>41527</v>
      </c>
      <c r="AG357" s="111" t="s">
        <v>7718</v>
      </c>
      <c r="AH357" s="125">
        <v>41527</v>
      </c>
      <c r="AI357" s="111">
        <v>130</v>
      </c>
      <c r="AJ357" s="125">
        <v>41527</v>
      </c>
      <c r="BS357" s="111">
        <v>42.7</v>
      </c>
      <c r="BT357" s="125">
        <v>41527</v>
      </c>
      <c r="BU357">
        <v>22</v>
      </c>
      <c r="BV357" s="125">
        <v>41527</v>
      </c>
      <c r="CC357" s="111">
        <v>11.1</v>
      </c>
      <c r="CD357" s="125">
        <v>41527</v>
      </c>
      <c r="CG357" s="111">
        <v>1.66</v>
      </c>
      <c r="CH357" s="125">
        <v>41527</v>
      </c>
      <c r="CK357" s="111">
        <v>20</v>
      </c>
    </row>
    <row r="358" spans="1:89">
      <c r="A358" s="126" t="s">
        <v>7857</v>
      </c>
      <c r="B358" t="s">
        <v>257</v>
      </c>
      <c r="C358" t="s">
        <v>7794</v>
      </c>
      <c r="D358">
        <v>60</v>
      </c>
      <c r="E358" s="93">
        <v>3</v>
      </c>
      <c r="F358" s="93">
        <v>34</v>
      </c>
      <c r="K358" s="92">
        <v>5</v>
      </c>
      <c r="L358" s="159">
        <v>41569</v>
      </c>
      <c r="S358" s="111">
        <v>1883.039</v>
      </c>
      <c r="T358" s="125">
        <v>41527</v>
      </c>
      <c r="U358" s="111">
        <v>10.8</v>
      </c>
      <c r="Y358" s="111">
        <v>930.59699999999998</v>
      </c>
      <c r="Z358" s="125">
        <v>41527</v>
      </c>
      <c r="AA358" s="111" t="s">
        <v>7718</v>
      </c>
      <c r="AB358" s="125">
        <v>41527</v>
      </c>
      <c r="AE358">
        <v>43.69</v>
      </c>
      <c r="AF358" s="125">
        <v>41527</v>
      </c>
      <c r="AG358" s="111" t="s">
        <v>7718</v>
      </c>
      <c r="AH358" s="125">
        <v>41527</v>
      </c>
      <c r="AI358" s="111">
        <v>140</v>
      </c>
      <c r="AJ358" s="125">
        <v>41527</v>
      </c>
      <c r="BS358" s="111">
        <v>43.1</v>
      </c>
      <c r="BT358" s="125">
        <v>41527</v>
      </c>
      <c r="BU358">
        <v>21.3</v>
      </c>
      <c r="BV358" s="125">
        <v>41527</v>
      </c>
      <c r="CC358" s="111">
        <v>9</v>
      </c>
      <c r="CD358" s="125">
        <v>41527</v>
      </c>
      <c r="CG358" s="111">
        <v>1.0900000000000001</v>
      </c>
      <c r="CH358" s="125">
        <v>41527</v>
      </c>
      <c r="CK358" s="111">
        <v>20</v>
      </c>
    </row>
    <row r="359" spans="1:89">
      <c r="A359" s="126" t="s">
        <v>7857</v>
      </c>
      <c r="B359" t="s">
        <v>259</v>
      </c>
      <c r="C359" t="s">
        <v>7794</v>
      </c>
      <c r="D359">
        <v>60</v>
      </c>
      <c r="E359" s="93">
        <v>6</v>
      </c>
      <c r="F359" s="93">
        <v>55</v>
      </c>
      <c r="K359" s="92">
        <v>3</v>
      </c>
      <c r="L359" s="159">
        <v>41569</v>
      </c>
      <c r="S359" s="111">
        <v>1711.71</v>
      </c>
      <c r="T359" s="125">
        <v>41527</v>
      </c>
      <c r="U359" s="111">
        <v>10.8</v>
      </c>
      <c r="Y359" s="111">
        <v>849.87</v>
      </c>
      <c r="Z359" s="125">
        <v>41527</v>
      </c>
      <c r="AA359" s="111" t="s">
        <v>7718</v>
      </c>
      <c r="AB359" s="125">
        <v>41527</v>
      </c>
      <c r="AE359">
        <v>39.9</v>
      </c>
      <c r="AF359" s="125">
        <v>41527</v>
      </c>
      <c r="AG359" s="111" t="s">
        <v>7718</v>
      </c>
      <c r="AH359" s="125">
        <v>41527</v>
      </c>
      <c r="AI359" s="111">
        <v>115</v>
      </c>
      <c r="AJ359" s="125">
        <v>41527</v>
      </c>
      <c r="BS359" s="111">
        <v>42.9</v>
      </c>
      <c r="BT359" s="125">
        <v>41527</v>
      </c>
      <c r="BU359">
        <v>21.3</v>
      </c>
      <c r="BV359" s="125">
        <v>41527</v>
      </c>
      <c r="CC359" s="111">
        <v>6.1</v>
      </c>
      <c r="CD359" s="125">
        <v>41527</v>
      </c>
      <c r="CG359" s="111">
        <v>4.25</v>
      </c>
      <c r="CH359" s="125">
        <v>41527</v>
      </c>
      <c r="CK359" s="111">
        <v>20</v>
      </c>
    </row>
    <row r="360" spans="1:89">
      <c r="A360" s="126" t="s">
        <v>7857</v>
      </c>
      <c r="B360" t="s">
        <v>257</v>
      </c>
      <c r="C360" t="s">
        <v>7795</v>
      </c>
      <c r="D360">
        <v>60</v>
      </c>
      <c r="E360" s="93">
        <v>4</v>
      </c>
      <c r="F360" s="93">
        <v>85</v>
      </c>
      <c r="K360" s="92">
        <v>5</v>
      </c>
      <c r="L360" s="159">
        <v>41569</v>
      </c>
      <c r="S360" s="111">
        <v>1654.5909999999999</v>
      </c>
      <c r="T360" s="125">
        <v>41527</v>
      </c>
      <c r="U360" s="111">
        <v>10.8</v>
      </c>
      <c r="Y360" s="111">
        <v>734.95500000000004</v>
      </c>
      <c r="Z360" s="125">
        <v>41527</v>
      </c>
      <c r="AA360" s="111" t="s">
        <v>7718</v>
      </c>
      <c r="AB360" s="125">
        <v>41527</v>
      </c>
      <c r="AE360">
        <v>37.69</v>
      </c>
      <c r="AF360" s="125">
        <v>41527</v>
      </c>
      <c r="AG360" s="111" t="s">
        <v>7718</v>
      </c>
      <c r="AH360" s="125">
        <v>41527</v>
      </c>
      <c r="AI360" s="111">
        <v>125</v>
      </c>
      <c r="AJ360" s="125">
        <v>41527</v>
      </c>
      <c r="BS360" s="111">
        <v>43.9</v>
      </c>
      <c r="BT360" s="125">
        <v>41527</v>
      </c>
      <c r="BU360">
        <v>19.5</v>
      </c>
      <c r="BV360" s="125">
        <v>41527</v>
      </c>
      <c r="CC360" s="111">
        <v>8.1</v>
      </c>
      <c r="CD360" s="125">
        <v>41527</v>
      </c>
      <c r="CG360" s="111">
        <v>1.72</v>
      </c>
      <c r="CH360" s="125">
        <v>41527</v>
      </c>
      <c r="CK360" s="111">
        <v>20</v>
      </c>
    </row>
    <row r="361" spans="1:89">
      <c r="A361" s="126" t="s">
        <v>7857</v>
      </c>
      <c r="B361" t="s">
        <v>259</v>
      </c>
      <c r="C361" t="s">
        <v>7795</v>
      </c>
      <c r="D361">
        <v>60</v>
      </c>
      <c r="E361" s="93">
        <v>3</v>
      </c>
      <c r="F361" s="93">
        <v>62</v>
      </c>
      <c r="K361" s="92">
        <v>5</v>
      </c>
      <c r="L361" s="159">
        <v>41569</v>
      </c>
      <c r="S361" s="111">
        <v>2261.2080000000001</v>
      </c>
      <c r="T361" s="125">
        <v>41527</v>
      </c>
      <c r="U361" s="111">
        <v>10.8</v>
      </c>
      <c r="Y361" s="111">
        <v>1173.068</v>
      </c>
      <c r="Z361" s="125">
        <v>41527</v>
      </c>
      <c r="AA361" s="111" t="s">
        <v>7718</v>
      </c>
      <c r="AB361" s="125">
        <v>41527</v>
      </c>
      <c r="AE361">
        <v>53.08</v>
      </c>
      <c r="AF361" s="125">
        <v>41527</v>
      </c>
      <c r="AG361" s="111" t="s">
        <v>7718</v>
      </c>
      <c r="AH361" s="125">
        <v>41527</v>
      </c>
      <c r="AI361" s="111">
        <v>135</v>
      </c>
      <c r="AJ361" s="125">
        <v>41527</v>
      </c>
      <c r="BS361" s="111">
        <v>42.6</v>
      </c>
      <c r="BT361" s="125">
        <v>41527</v>
      </c>
      <c r="BU361">
        <v>22.1</v>
      </c>
      <c r="BV361" s="125">
        <v>41527</v>
      </c>
      <c r="CC361" s="111">
        <v>8.4</v>
      </c>
      <c r="CD361" s="125">
        <v>41527</v>
      </c>
      <c r="CG361" s="111">
        <v>1.28</v>
      </c>
      <c r="CH361" s="125">
        <v>41527</v>
      </c>
      <c r="CK361" s="111">
        <v>20</v>
      </c>
    </row>
    <row r="362" spans="1:89">
      <c r="A362" s="126" t="s">
        <v>7858</v>
      </c>
      <c r="B362" t="s">
        <v>257</v>
      </c>
      <c r="C362" t="s">
        <v>405</v>
      </c>
      <c r="D362">
        <v>61</v>
      </c>
      <c r="E362" s="93">
        <v>6</v>
      </c>
      <c r="F362" s="93">
        <v>24</v>
      </c>
      <c r="K362" s="92">
        <v>5</v>
      </c>
      <c r="L362" s="159">
        <v>41569</v>
      </c>
      <c r="S362" s="111">
        <v>1407.15</v>
      </c>
      <c r="T362" s="125">
        <v>41527</v>
      </c>
      <c r="U362" s="111">
        <v>10.8</v>
      </c>
      <c r="Y362" s="111">
        <v>609.76499999999999</v>
      </c>
      <c r="Z362" s="125">
        <v>41527</v>
      </c>
      <c r="AA362" s="111" t="s">
        <v>7718</v>
      </c>
      <c r="AB362" s="125">
        <v>41527</v>
      </c>
      <c r="AE362">
        <v>31.27</v>
      </c>
      <c r="AF362" s="125">
        <v>41527</v>
      </c>
      <c r="AG362" s="111" t="s">
        <v>7718</v>
      </c>
      <c r="AH362" s="125">
        <v>41527</v>
      </c>
      <c r="AI362" s="111">
        <v>130</v>
      </c>
      <c r="AJ362" s="125">
        <v>41527</v>
      </c>
      <c r="BS362" s="111">
        <v>45</v>
      </c>
      <c r="BT362" s="125">
        <v>41527</v>
      </c>
      <c r="BU362">
        <v>19.5</v>
      </c>
      <c r="BV362" s="125">
        <v>41527</v>
      </c>
      <c r="CC362" s="111">
        <v>8.1</v>
      </c>
      <c r="CD362" s="125">
        <v>41527</v>
      </c>
      <c r="CG362" s="111">
        <v>5.57</v>
      </c>
      <c r="CH362" s="125">
        <v>41527</v>
      </c>
      <c r="CK362" s="111">
        <v>10</v>
      </c>
    </row>
    <row r="363" spans="1:89">
      <c r="A363" s="126" t="s">
        <v>7858</v>
      </c>
      <c r="B363" t="s">
        <v>259</v>
      </c>
      <c r="C363" t="s">
        <v>405</v>
      </c>
      <c r="D363">
        <v>61</v>
      </c>
      <c r="E363" s="93">
        <v>2</v>
      </c>
      <c r="F363" s="93">
        <v>13</v>
      </c>
      <c r="K363" s="92">
        <v>5</v>
      </c>
      <c r="L363" s="159">
        <v>41569</v>
      </c>
      <c r="S363" s="111">
        <v>1944.56</v>
      </c>
      <c r="T363" s="125">
        <v>41527</v>
      </c>
      <c r="U363" s="111">
        <v>10.8</v>
      </c>
      <c r="Y363" s="111">
        <v>958.9</v>
      </c>
      <c r="Z363" s="125">
        <v>41527</v>
      </c>
      <c r="AA363" s="111" t="s">
        <v>7718</v>
      </c>
      <c r="AB363" s="125">
        <v>41527</v>
      </c>
      <c r="AE363">
        <v>44.6</v>
      </c>
      <c r="AF363" s="125">
        <v>41527</v>
      </c>
      <c r="AG363" s="111" t="s">
        <v>7718</v>
      </c>
      <c r="AH363" s="125">
        <v>41527</v>
      </c>
      <c r="AI363" s="111">
        <v>140</v>
      </c>
      <c r="AJ363" s="125">
        <v>41527</v>
      </c>
      <c r="BS363" s="111">
        <v>43.6</v>
      </c>
      <c r="BT363" s="125">
        <v>41527</v>
      </c>
      <c r="BU363">
        <v>21.5</v>
      </c>
      <c r="BV363" s="125">
        <v>41527</v>
      </c>
      <c r="CC363" s="111">
        <v>7.3</v>
      </c>
      <c r="CD363" s="125">
        <v>41527</v>
      </c>
      <c r="CG363" s="111">
        <v>1.78</v>
      </c>
      <c r="CH363" s="125">
        <v>41527</v>
      </c>
      <c r="CK363" s="111">
        <v>20</v>
      </c>
    </row>
    <row r="364" spans="1:89">
      <c r="A364" s="126" t="s">
        <v>7858</v>
      </c>
      <c r="B364" t="s">
        <v>257</v>
      </c>
      <c r="C364" t="s">
        <v>7794</v>
      </c>
      <c r="D364">
        <v>61</v>
      </c>
      <c r="E364" s="93">
        <v>2</v>
      </c>
      <c r="F364" s="93">
        <v>39</v>
      </c>
      <c r="K364" s="92">
        <v>5</v>
      </c>
      <c r="L364" s="159">
        <v>41569</v>
      </c>
      <c r="S364" s="111">
        <v>1793.306</v>
      </c>
      <c r="T364" s="125">
        <v>41527</v>
      </c>
      <c r="U364" s="111">
        <v>10.8</v>
      </c>
      <c r="Y364" s="111">
        <v>802.79399999999998</v>
      </c>
      <c r="Z364" s="125">
        <v>41527</v>
      </c>
      <c r="AA364" s="111" t="s">
        <v>7718</v>
      </c>
      <c r="AB364" s="125">
        <v>41527</v>
      </c>
      <c r="AE364">
        <v>39.94</v>
      </c>
      <c r="AF364" s="125">
        <v>41527</v>
      </c>
      <c r="AG364" s="111" t="s">
        <v>7718</v>
      </c>
      <c r="AH364" s="125">
        <v>41527</v>
      </c>
      <c r="AI364" s="111">
        <v>145</v>
      </c>
      <c r="AJ364" s="125">
        <v>41527</v>
      </c>
      <c r="BS364" s="111">
        <v>44.9</v>
      </c>
      <c r="BT364" s="125">
        <v>41527</v>
      </c>
      <c r="BU364">
        <v>20.100000000000001</v>
      </c>
      <c r="BV364" s="125">
        <v>41527</v>
      </c>
      <c r="CC364" s="111">
        <v>8.1999999999999993</v>
      </c>
      <c r="CD364" s="125">
        <v>41527</v>
      </c>
      <c r="CG364" s="111">
        <v>1.62</v>
      </c>
      <c r="CH364" s="125">
        <v>41527</v>
      </c>
      <c r="CK364" s="111">
        <v>20</v>
      </c>
    </row>
    <row r="365" spans="1:89">
      <c r="A365" s="126" t="s">
        <v>7858</v>
      </c>
      <c r="B365" t="s">
        <v>259</v>
      </c>
      <c r="C365" t="s">
        <v>7794</v>
      </c>
      <c r="D365">
        <v>61</v>
      </c>
      <c r="E365" s="93">
        <v>6</v>
      </c>
      <c r="F365" s="93">
        <v>46</v>
      </c>
      <c r="K365" s="92">
        <v>3</v>
      </c>
      <c r="L365" s="159">
        <v>41569</v>
      </c>
      <c r="S365" s="111">
        <v>1773.204</v>
      </c>
      <c r="T365" s="125">
        <v>41527</v>
      </c>
      <c r="U365" s="111">
        <v>10.8</v>
      </c>
      <c r="Y365" s="111">
        <v>907.31700000000001</v>
      </c>
      <c r="Z365" s="125">
        <v>41527</v>
      </c>
      <c r="AA365" s="111" t="s">
        <v>7718</v>
      </c>
      <c r="AB365" s="125">
        <v>41527</v>
      </c>
      <c r="AE365">
        <v>41.43</v>
      </c>
      <c r="AF365" s="125">
        <v>41527</v>
      </c>
      <c r="AG365" s="111" t="s">
        <v>7718</v>
      </c>
      <c r="AH365" s="125">
        <v>41527</v>
      </c>
      <c r="AI365" s="111">
        <v>130</v>
      </c>
      <c r="AJ365" s="125">
        <v>41527</v>
      </c>
      <c r="BS365" s="111">
        <v>42.8</v>
      </c>
      <c r="BT365" s="125">
        <v>41527</v>
      </c>
      <c r="BU365">
        <v>21.9</v>
      </c>
      <c r="BV365" s="125">
        <v>41527</v>
      </c>
      <c r="CC365" s="111">
        <v>7.8</v>
      </c>
      <c r="CD365" s="125">
        <v>41527</v>
      </c>
      <c r="CG365" s="111">
        <v>4.4400000000000004</v>
      </c>
      <c r="CH365" s="125">
        <v>41527</v>
      </c>
      <c r="CK365" s="111">
        <v>20</v>
      </c>
    </row>
    <row r="366" spans="1:89">
      <c r="A366" s="126" t="s">
        <v>7858</v>
      </c>
      <c r="B366" t="s">
        <v>257</v>
      </c>
      <c r="C366" t="s">
        <v>7795</v>
      </c>
      <c r="D366">
        <v>61</v>
      </c>
      <c r="E366" s="93">
        <v>5</v>
      </c>
      <c r="F366" s="93">
        <v>70</v>
      </c>
      <c r="K366" s="92">
        <v>5</v>
      </c>
      <c r="L366" s="159">
        <v>41569</v>
      </c>
      <c r="S366" s="111">
        <v>1458.114</v>
      </c>
      <c r="T366" s="125">
        <v>41527</v>
      </c>
      <c r="U366" s="111">
        <v>10.8</v>
      </c>
      <c r="Y366" s="111">
        <v>665.44799999999998</v>
      </c>
      <c r="Z366" s="125">
        <v>41527</v>
      </c>
      <c r="AA366" s="111" t="s">
        <v>7718</v>
      </c>
      <c r="AB366" s="125">
        <v>41527</v>
      </c>
      <c r="AE366">
        <v>32.619999999999997</v>
      </c>
      <c r="AF366" s="125">
        <v>41527</v>
      </c>
      <c r="AG366" s="111" t="s">
        <v>7718</v>
      </c>
      <c r="AH366" s="125">
        <v>41527</v>
      </c>
      <c r="AI366" s="111">
        <v>125</v>
      </c>
      <c r="AJ366" s="125">
        <v>41527</v>
      </c>
      <c r="BS366" s="111">
        <v>44.7</v>
      </c>
      <c r="BT366" s="125">
        <v>41527</v>
      </c>
      <c r="BU366">
        <v>20.399999999999999</v>
      </c>
      <c r="BV366" s="125">
        <v>41527</v>
      </c>
      <c r="CC366" s="111">
        <v>6.6</v>
      </c>
      <c r="CD366" s="125">
        <v>41527</v>
      </c>
      <c r="CG366" s="111">
        <v>1.93</v>
      </c>
      <c r="CH366" s="125">
        <v>41527</v>
      </c>
      <c r="CK366" s="111">
        <v>20</v>
      </c>
    </row>
    <row r="367" spans="1:89">
      <c r="A367" s="126" t="s">
        <v>7858</v>
      </c>
      <c r="B367" t="s">
        <v>259</v>
      </c>
      <c r="C367" t="s">
        <v>7795</v>
      </c>
      <c r="D367">
        <v>61</v>
      </c>
      <c r="E367" s="93">
        <v>1</v>
      </c>
      <c r="F367" s="93">
        <v>84</v>
      </c>
      <c r="K367" s="92">
        <v>5</v>
      </c>
      <c r="L367" s="159">
        <v>41569</v>
      </c>
      <c r="S367" s="111">
        <v>1640.079</v>
      </c>
      <c r="T367" s="125">
        <v>41527</v>
      </c>
      <c r="U367" s="111">
        <v>10.8</v>
      </c>
      <c r="Y367" s="111">
        <v>766.11400000000003</v>
      </c>
      <c r="Z367" s="125">
        <v>41527</v>
      </c>
      <c r="AA367" s="111" t="s">
        <v>7718</v>
      </c>
      <c r="AB367" s="125">
        <v>41527</v>
      </c>
      <c r="AE367">
        <v>37.19</v>
      </c>
      <c r="AF367" s="125">
        <v>41527</v>
      </c>
      <c r="AG367" s="111" t="s">
        <v>7718</v>
      </c>
      <c r="AH367" s="125">
        <v>41527</v>
      </c>
      <c r="AI367" s="111">
        <v>140</v>
      </c>
      <c r="AJ367" s="125">
        <v>41527</v>
      </c>
      <c r="BS367" s="111">
        <v>44.1</v>
      </c>
      <c r="BT367" s="125">
        <v>41527</v>
      </c>
      <c r="BU367">
        <v>20.6</v>
      </c>
      <c r="BV367" s="125">
        <v>41527</v>
      </c>
      <c r="CC367" s="111">
        <v>9.9</v>
      </c>
      <c r="CD367" s="125">
        <v>41527</v>
      </c>
      <c r="CG367" s="111">
        <v>4.9000000000000004</v>
      </c>
      <c r="CH367" s="125">
        <v>41527</v>
      </c>
      <c r="CK367" s="111">
        <v>20</v>
      </c>
    </row>
    <row r="368" spans="1:89">
      <c r="A368" s="126" t="s">
        <v>7859</v>
      </c>
      <c r="B368" t="s">
        <v>257</v>
      </c>
      <c r="C368" t="s">
        <v>405</v>
      </c>
      <c r="D368">
        <v>62</v>
      </c>
      <c r="E368" s="93">
        <v>5</v>
      </c>
      <c r="F368" s="93">
        <v>2</v>
      </c>
      <c r="K368" s="92">
        <v>5</v>
      </c>
      <c r="L368" s="159">
        <v>41569</v>
      </c>
      <c r="S368" s="111">
        <v>1360.59</v>
      </c>
      <c r="T368" s="125">
        <v>41527</v>
      </c>
      <c r="U368" s="111">
        <v>10.8</v>
      </c>
      <c r="Y368" s="111">
        <v>611.32500000000005</v>
      </c>
      <c r="Z368" s="125">
        <v>41527</v>
      </c>
      <c r="AA368" s="111" t="s">
        <v>7718</v>
      </c>
      <c r="AB368" s="125">
        <v>41527</v>
      </c>
      <c r="AE368">
        <v>31.35</v>
      </c>
      <c r="AF368" s="125">
        <v>41527</v>
      </c>
      <c r="AG368" s="111" t="s">
        <v>7718</v>
      </c>
      <c r="AH368" s="125">
        <v>41527</v>
      </c>
      <c r="AI368" s="111">
        <v>135</v>
      </c>
      <c r="AJ368" s="125">
        <v>41527</v>
      </c>
      <c r="BS368" s="111">
        <v>43.4</v>
      </c>
      <c r="BT368" s="125">
        <v>41527</v>
      </c>
      <c r="BU368">
        <v>19.5</v>
      </c>
      <c r="BV368" s="125">
        <v>41527</v>
      </c>
      <c r="CC368" s="111">
        <v>11.4</v>
      </c>
      <c r="CD368" s="125">
        <v>41527</v>
      </c>
      <c r="CG368" s="111">
        <v>5.1100000000000003</v>
      </c>
      <c r="CH368" s="125">
        <v>41527</v>
      </c>
      <c r="CK368" s="111">
        <v>30</v>
      </c>
    </row>
    <row r="369" spans="1:89">
      <c r="A369" s="126" t="s">
        <v>7859</v>
      </c>
      <c r="B369" t="s">
        <v>259</v>
      </c>
      <c r="C369" t="s">
        <v>405</v>
      </c>
      <c r="D369">
        <v>62</v>
      </c>
      <c r="E369" s="93">
        <v>3</v>
      </c>
      <c r="F369" s="93">
        <v>29</v>
      </c>
      <c r="K369" s="92">
        <v>5</v>
      </c>
      <c r="L369" s="159">
        <v>41569</v>
      </c>
      <c r="S369" s="111">
        <v>1902.1859999999999</v>
      </c>
      <c r="T369" s="125">
        <v>41527</v>
      </c>
      <c r="U369" s="111">
        <v>10.8</v>
      </c>
      <c r="Y369" s="111">
        <v>922.27200000000005</v>
      </c>
      <c r="Z369" s="125">
        <v>41527</v>
      </c>
      <c r="AA369" s="111" t="s">
        <v>7718</v>
      </c>
      <c r="AB369" s="125">
        <v>41527</v>
      </c>
      <c r="AE369">
        <v>44.34</v>
      </c>
      <c r="AF369" s="125">
        <v>41527</v>
      </c>
      <c r="AG369" s="111" t="s">
        <v>7718</v>
      </c>
      <c r="AH369" s="125">
        <v>41527</v>
      </c>
      <c r="AI369" s="111">
        <v>145</v>
      </c>
      <c r="AJ369" s="125">
        <v>41527</v>
      </c>
      <c r="BS369" s="111">
        <v>42.9</v>
      </c>
      <c r="BT369" s="125">
        <v>41527</v>
      </c>
      <c r="BU369">
        <v>20.8</v>
      </c>
      <c r="BV369" s="125">
        <v>41527</v>
      </c>
      <c r="CC369" s="111">
        <v>12.8</v>
      </c>
      <c r="CD369" s="125">
        <v>41527</v>
      </c>
      <c r="CG369" s="111">
        <v>3.79</v>
      </c>
      <c r="CH369" s="125">
        <v>41527</v>
      </c>
      <c r="CK369" s="111">
        <v>20</v>
      </c>
    </row>
    <row r="370" spans="1:89">
      <c r="A370" s="126" t="s">
        <v>7859</v>
      </c>
      <c r="B370" t="s">
        <v>257</v>
      </c>
      <c r="C370" t="s">
        <v>7794</v>
      </c>
      <c r="D370">
        <v>62</v>
      </c>
      <c r="E370" s="93">
        <v>2</v>
      </c>
      <c r="F370" s="93">
        <v>40</v>
      </c>
      <c r="K370" s="92">
        <v>5</v>
      </c>
      <c r="L370" s="159">
        <v>41569</v>
      </c>
      <c r="S370" s="111">
        <v>1944.81</v>
      </c>
      <c r="T370" s="125">
        <v>41527</v>
      </c>
      <c r="U370" s="111">
        <v>10.8</v>
      </c>
      <c r="Y370" s="111">
        <v>846.72</v>
      </c>
      <c r="Z370" s="125">
        <v>41527</v>
      </c>
      <c r="AA370" s="111" t="s">
        <v>7718</v>
      </c>
      <c r="AB370" s="125">
        <v>41527</v>
      </c>
      <c r="AE370">
        <v>44.1</v>
      </c>
      <c r="AF370" s="125">
        <v>41527</v>
      </c>
      <c r="AG370" s="111" t="s">
        <v>7718</v>
      </c>
      <c r="AH370" s="125">
        <v>41527</v>
      </c>
      <c r="AI370" s="111">
        <v>150</v>
      </c>
      <c r="AJ370" s="125">
        <v>41527</v>
      </c>
      <c r="BS370" s="111">
        <v>44.1</v>
      </c>
      <c r="BT370" s="125">
        <v>41527</v>
      </c>
      <c r="BU370">
        <v>19.2</v>
      </c>
      <c r="BV370" s="125">
        <v>41527</v>
      </c>
      <c r="CC370" s="111">
        <v>8</v>
      </c>
      <c r="CD370" s="125">
        <v>41527</v>
      </c>
      <c r="CG370" s="111">
        <v>2.42</v>
      </c>
      <c r="CH370" s="125">
        <v>41527</v>
      </c>
      <c r="CK370" s="111">
        <v>30</v>
      </c>
    </row>
    <row r="371" spans="1:89">
      <c r="A371" s="126" t="s">
        <v>7859</v>
      </c>
      <c r="B371" t="s">
        <v>259</v>
      </c>
      <c r="C371" t="s">
        <v>7794</v>
      </c>
      <c r="D371">
        <v>62</v>
      </c>
      <c r="E371" s="93">
        <v>4</v>
      </c>
      <c r="F371" s="93">
        <v>50</v>
      </c>
      <c r="K371" s="92">
        <v>3</v>
      </c>
      <c r="L371" s="159">
        <v>41569</v>
      </c>
      <c r="S371" s="111">
        <v>1845.1110000000001</v>
      </c>
      <c r="T371" s="125">
        <v>41527</v>
      </c>
      <c r="U371" s="111">
        <v>10.8</v>
      </c>
      <c r="Y371" s="111">
        <v>860.48099999999999</v>
      </c>
      <c r="Z371" s="125">
        <v>41527</v>
      </c>
      <c r="AA371" s="111" t="s">
        <v>7718</v>
      </c>
      <c r="AB371" s="125">
        <v>41527</v>
      </c>
      <c r="AE371">
        <v>42.81</v>
      </c>
      <c r="AF371" s="125">
        <v>41527</v>
      </c>
      <c r="AG371" s="111" t="s">
        <v>7718</v>
      </c>
      <c r="AH371" s="125">
        <v>41527</v>
      </c>
      <c r="AI371" s="111">
        <v>140</v>
      </c>
      <c r="AJ371" s="125">
        <v>41527</v>
      </c>
      <c r="BS371" s="111">
        <v>43.1</v>
      </c>
      <c r="BT371" s="125">
        <v>41527</v>
      </c>
      <c r="BU371">
        <v>20.100000000000001</v>
      </c>
      <c r="BV371" s="125">
        <v>41527</v>
      </c>
      <c r="CC371" s="111">
        <v>10</v>
      </c>
      <c r="CD371" s="125">
        <v>41527</v>
      </c>
      <c r="CG371" s="111">
        <v>4.5599999999999996</v>
      </c>
      <c r="CH371" s="125">
        <v>41527</v>
      </c>
      <c r="CK371" s="111">
        <v>30</v>
      </c>
    </row>
    <row r="372" spans="1:89">
      <c r="A372" s="126" t="s">
        <v>7859</v>
      </c>
      <c r="B372" t="s">
        <v>257</v>
      </c>
      <c r="C372" t="s">
        <v>7795</v>
      </c>
      <c r="D372">
        <v>62</v>
      </c>
      <c r="E372" s="93">
        <v>4</v>
      </c>
      <c r="F372" s="93">
        <v>74</v>
      </c>
      <c r="K372" s="92">
        <v>5</v>
      </c>
      <c r="L372" s="159">
        <v>41569</v>
      </c>
      <c r="S372" s="111">
        <v>1700.16</v>
      </c>
      <c r="T372" s="125">
        <v>41527</v>
      </c>
      <c r="U372" s="111">
        <v>10.8</v>
      </c>
      <c r="Y372" s="111">
        <v>741.88800000000003</v>
      </c>
      <c r="Z372" s="125">
        <v>41527</v>
      </c>
      <c r="AA372" s="111" t="s">
        <v>7718</v>
      </c>
      <c r="AB372" s="125">
        <v>41527</v>
      </c>
      <c r="AE372">
        <v>38.64</v>
      </c>
      <c r="AF372" s="125">
        <v>41527</v>
      </c>
      <c r="AG372" s="111" t="s">
        <v>7718</v>
      </c>
      <c r="AH372" s="125">
        <v>41527</v>
      </c>
      <c r="AI372" s="111">
        <v>145</v>
      </c>
      <c r="AJ372" s="125">
        <v>41527</v>
      </c>
      <c r="BS372" s="111">
        <v>44</v>
      </c>
      <c r="BT372" s="125">
        <v>41527</v>
      </c>
      <c r="BU372">
        <v>19.2</v>
      </c>
      <c r="BV372" s="125">
        <v>41527</v>
      </c>
      <c r="CC372" s="111">
        <v>5.5</v>
      </c>
      <c r="CD372" s="125">
        <v>41527</v>
      </c>
      <c r="CG372" s="111">
        <v>2.74</v>
      </c>
      <c r="CH372" s="125">
        <v>41527</v>
      </c>
      <c r="CK372" s="111">
        <v>20</v>
      </c>
    </row>
    <row r="373" spans="1:89">
      <c r="A373" s="126" t="s">
        <v>7859</v>
      </c>
      <c r="B373" t="s">
        <v>259</v>
      </c>
      <c r="C373" t="s">
        <v>7795</v>
      </c>
      <c r="D373">
        <v>62</v>
      </c>
      <c r="E373" s="93">
        <v>2</v>
      </c>
      <c r="F373" s="93">
        <v>85</v>
      </c>
      <c r="K373" s="92">
        <v>5</v>
      </c>
      <c r="L373" s="159">
        <v>41569</v>
      </c>
      <c r="S373" s="111">
        <v>1844.64</v>
      </c>
      <c r="T373" s="125">
        <v>41527</v>
      </c>
      <c r="U373" s="111">
        <v>10.8</v>
      </c>
      <c r="Y373" s="111">
        <v>876.96</v>
      </c>
      <c r="Z373" s="125">
        <v>41527</v>
      </c>
      <c r="AA373" s="111" t="s">
        <v>7718</v>
      </c>
      <c r="AB373" s="125">
        <v>41527</v>
      </c>
      <c r="AE373">
        <v>43.2</v>
      </c>
      <c r="AF373" s="125">
        <v>41527</v>
      </c>
      <c r="AG373" s="111" t="s">
        <v>7718</v>
      </c>
      <c r="AH373" s="125">
        <v>41527</v>
      </c>
      <c r="AI373" s="111">
        <v>135</v>
      </c>
      <c r="AJ373" s="125">
        <v>41527</v>
      </c>
      <c r="BS373" s="111">
        <v>42.7</v>
      </c>
      <c r="BT373" s="125">
        <v>41527</v>
      </c>
      <c r="BU373">
        <v>20.3</v>
      </c>
      <c r="BV373" s="125">
        <v>41527</v>
      </c>
      <c r="CC373" s="111">
        <v>9.8000000000000007</v>
      </c>
      <c r="CD373" s="125">
        <v>41527</v>
      </c>
      <c r="CG373" s="111">
        <v>4.93</v>
      </c>
      <c r="CH373" s="125">
        <v>41527</v>
      </c>
      <c r="CK373" s="111">
        <v>30</v>
      </c>
    </row>
    <row r="374" spans="1:89">
      <c r="A374" s="126" t="s">
        <v>7860</v>
      </c>
      <c r="B374" t="s">
        <v>257</v>
      </c>
      <c r="C374" t="s">
        <v>405</v>
      </c>
      <c r="D374">
        <v>63</v>
      </c>
      <c r="E374" s="93">
        <v>4</v>
      </c>
      <c r="F374" s="93">
        <v>11</v>
      </c>
      <c r="K374" s="92">
        <v>5</v>
      </c>
      <c r="L374" s="159">
        <v>41569</v>
      </c>
      <c r="S374" s="111">
        <v>1696.365</v>
      </c>
      <c r="T374" s="125">
        <v>41527</v>
      </c>
      <c r="U374" s="111">
        <v>10.8</v>
      </c>
      <c r="Y374" s="111">
        <v>770.38499999999999</v>
      </c>
      <c r="Z374" s="125">
        <v>41527</v>
      </c>
      <c r="AA374" s="111" t="s">
        <v>7718</v>
      </c>
      <c r="AB374" s="125">
        <v>41527</v>
      </c>
      <c r="AE374">
        <v>37.950000000000003</v>
      </c>
      <c r="AF374" s="125">
        <v>41527</v>
      </c>
      <c r="AG374" s="111" t="s">
        <v>7718</v>
      </c>
      <c r="AH374" s="125">
        <v>41527</v>
      </c>
      <c r="AI374" s="111">
        <v>125</v>
      </c>
      <c r="AJ374" s="125">
        <v>41527</v>
      </c>
      <c r="BS374" s="111">
        <v>44.7</v>
      </c>
      <c r="BT374" s="125">
        <v>41527</v>
      </c>
      <c r="BU374">
        <v>20.3</v>
      </c>
      <c r="BV374" s="125">
        <v>41527</v>
      </c>
      <c r="CC374" s="111">
        <v>7.5</v>
      </c>
      <c r="CD374" s="125">
        <v>41527</v>
      </c>
      <c r="CG374" s="111">
        <v>1.03</v>
      </c>
      <c r="CH374" s="125">
        <v>41527</v>
      </c>
      <c r="CK374" s="111">
        <v>5</v>
      </c>
    </row>
    <row r="375" spans="1:89">
      <c r="A375" s="126" t="s">
        <v>7860</v>
      </c>
      <c r="B375" t="s">
        <v>259</v>
      </c>
      <c r="C375" t="s">
        <v>405</v>
      </c>
      <c r="D375">
        <v>63</v>
      </c>
      <c r="E375" s="93">
        <v>2</v>
      </c>
      <c r="F375" s="93">
        <v>22</v>
      </c>
      <c r="K375" s="92">
        <v>5</v>
      </c>
      <c r="L375" s="159">
        <v>41569</v>
      </c>
      <c r="S375" s="111">
        <v>2203.71</v>
      </c>
      <c r="T375" s="125">
        <v>41527</v>
      </c>
      <c r="U375" s="111">
        <v>10.8</v>
      </c>
      <c r="Y375" s="111">
        <v>1079.058</v>
      </c>
      <c r="Z375" s="125">
        <v>41527</v>
      </c>
      <c r="AA375" s="111" t="s">
        <v>7718</v>
      </c>
      <c r="AB375" s="125">
        <v>41527</v>
      </c>
      <c r="AE375">
        <v>50.66</v>
      </c>
      <c r="AF375" s="125">
        <v>41527</v>
      </c>
      <c r="AG375" s="111" t="s">
        <v>7718</v>
      </c>
      <c r="AH375" s="125">
        <v>41527</v>
      </c>
      <c r="AI375" s="111">
        <v>145</v>
      </c>
      <c r="AJ375" s="125">
        <v>41527</v>
      </c>
      <c r="BS375" s="111">
        <v>43.5</v>
      </c>
      <c r="BT375" s="125">
        <v>41527</v>
      </c>
      <c r="BU375">
        <v>21.3</v>
      </c>
      <c r="BV375" s="125">
        <v>41527</v>
      </c>
      <c r="CC375" s="111">
        <v>8.4</v>
      </c>
      <c r="CD375" s="125">
        <v>41527</v>
      </c>
      <c r="CG375" s="111">
        <v>1.02</v>
      </c>
      <c r="CH375" s="125">
        <v>41527</v>
      </c>
      <c r="CK375" s="111">
        <v>20</v>
      </c>
    </row>
    <row r="376" spans="1:89">
      <c r="A376" s="126" t="s">
        <v>7860</v>
      </c>
      <c r="B376" t="s">
        <v>257</v>
      </c>
      <c r="C376" t="s">
        <v>7794</v>
      </c>
      <c r="D376">
        <v>63</v>
      </c>
      <c r="E376" s="93">
        <v>3</v>
      </c>
      <c r="F376" s="93">
        <v>33</v>
      </c>
      <c r="K376" s="92">
        <v>5</v>
      </c>
      <c r="L376" s="159">
        <v>41569</v>
      </c>
      <c r="S376" s="111">
        <v>1944.768</v>
      </c>
      <c r="T376" s="125">
        <v>41527</v>
      </c>
      <c r="U376" s="111">
        <v>10.8</v>
      </c>
      <c r="Y376" s="111">
        <v>833.47199999999998</v>
      </c>
      <c r="Z376" s="125">
        <v>41527</v>
      </c>
      <c r="AA376" s="111" t="s">
        <v>7718</v>
      </c>
      <c r="AB376" s="125">
        <v>41527</v>
      </c>
      <c r="AE376">
        <v>43.41</v>
      </c>
      <c r="AF376" s="125">
        <v>41527</v>
      </c>
      <c r="AG376" s="111" t="s">
        <v>7718</v>
      </c>
      <c r="AH376" s="125">
        <v>41527</v>
      </c>
      <c r="AI376" s="111">
        <v>145</v>
      </c>
      <c r="AJ376" s="125">
        <v>41527</v>
      </c>
      <c r="BS376" s="111">
        <v>44.8</v>
      </c>
      <c r="BT376" s="125">
        <v>41527</v>
      </c>
      <c r="BU376">
        <v>19.2</v>
      </c>
      <c r="BV376" s="125">
        <v>41527</v>
      </c>
      <c r="CC376" s="111">
        <v>7</v>
      </c>
      <c r="CD376" s="125">
        <v>41527</v>
      </c>
      <c r="CG376" s="111">
        <v>3.01</v>
      </c>
      <c r="CH376" s="125">
        <v>41527</v>
      </c>
      <c r="CK376" s="111">
        <v>10</v>
      </c>
    </row>
    <row r="377" spans="1:89">
      <c r="A377" s="126" t="s">
        <v>7860</v>
      </c>
      <c r="B377" t="s">
        <v>259</v>
      </c>
      <c r="C377" t="s">
        <v>7794</v>
      </c>
      <c r="D377">
        <v>63</v>
      </c>
      <c r="E377" s="93">
        <v>5</v>
      </c>
      <c r="F377" s="93">
        <v>41</v>
      </c>
      <c r="K377" s="92">
        <v>5</v>
      </c>
      <c r="L377" s="159">
        <v>41569</v>
      </c>
      <c r="S377" s="111">
        <v>2461</v>
      </c>
      <c r="T377" s="125">
        <v>41527</v>
      </c>
      <c r="U377" s="111">
        <v>10.8</v>
      </c>
      <c r="Y377" s="111">
        <v>1259.25</v>
      </c>
      <c r="Z377" s="125">
        <v>41527</v>
      </c>
      <c r="AA377" s="111" t="s">
        <v>7718</v>
      </c>
      <c r="AB377" s="125">
        <v>41527</v>
      </c>
      <c r="AE377">
        <v>57.5</v>
      </c>
      <c r="AF377" s="125">
        <v>41527</v>
      </c>
      <c r="AG377" s="111" t="s">
        <v>7718</v>
      </c>
      <c r="AH377" s="125">
        <v>41527</v>
      </c>
      <c r="AI377" s="111">
        <v>140</v>
      </c>
      <c r="AJ377" s="125">
        <v>41527</v>
      </c>
      <c r="BS377" s="111">
        <v>42.8</v>
      </c>
      <c r="BT377" s="125">
        <v>41527</v>
      </c>
      <c r="BU377">
        <v>21.9</v>
      </c>
      <c r="BV377" s="125">
        <v>41527</v>
      </c>
      <c r="CC377" s="111">
        <v>7.8</v>
      </c>
      <c r="CD377" s="125">
        <v>41527</v>
      </c>
      <c r="CG377" s="111">
        <v>1.91</v>
      </c>
      <c r="CH377" s="125">
        <v>41527</v>
      </c>
      <c r="CK377" s="111">
        <v>10</v>
      </c>
    </row>
    <row r="378" spans="1:89">
      <c r="A378" s="126" t="s">
        <v>7860</v>
      </c>
      <c r="B378" t="s">
        <v>257</v>
      </c>
      <c r="C378" t="s">
        <v>7795</v>
      </c>
      <c r="D378">
        <v>63</v>
      </c>
      <c r="E378" s="93">
        <v>5</v>
      </c>
      <c r="F378" s="93">
        <v>64</v>
      </c>
      <c r="K378" s="92">
        <v>5</v>
      </c>
      <c r="L378" s="159">
        <v>41569</v>
      </c>
      <c r="S378" s="111">
        <v>2034</v>
      </c>
      <c r="T378" s="125">
        <v>41527</v>
      </c>
      <c r="U378" s="111">
        <v>10.8</v>
      </c>
      <c r="Y378" s="111">
        <v>877.5</v>
      </c>
      <c r="Z378" s="125">
        <v>41527</v>
      </c>
      <c r="AA378" s="111" t="s">
        <v>7718</v>
      </c>
      <c r="AB378" s="125">
        <v>41527</v>
      </c>
      <c r="AE378">
        <v>45</v>
      </c>
      <c r="AF378" s="125">
        <v>41527</v>
      </c>
      <c r="AG378" s="111" t="s">
        <v>7718</v>
      </c>
      <c r="AH378" s="125">
        <v>41527</v>
      </c>
      <c r="AI378" s="111">
        <v>135</v>
      </c>
      <c r="AJ378" s="125">
        <v>41527</v>
      </c>
      <c r="BS378" s="111">
        <v>45.2</v>
      </c>
      <c r="BT378" s="125">
        <v>41527</v>
      </c>
      <c r="BU378">
        <v>19.5</v>
      </c>
      <c r="BV378" s="125">
        <v>41527</v>
      </c>
      <c r="CC378" s="111">
        <v>6.8</v>
      </c>
      <c r="CD378" s="125">
        <v>41527</v>
      </c>
      <c r="CG378" s="111">
        <v>0.89</v>
      </c>
      <c r="CH378" s="125">
        <v>41527</v>
      </c>
      <c r="CK378" s="111">
        <v>5</v>
      </c>
    </row>
    <row r="379" spans="1:89">
      <c r="A379" s="126" t="s">
        <v>7860</v>
      </c>
      <c r="B379" t="s">
        <v>259</v>
      </c>
      <c r="C379" t="s">
        <v>7795</v>
      </c>
      <c r="D379">
        <v>63</v>
      </c>
      <c r="E379" s="93">
        <v>1</v>
      </c>
      <c r="F379" s="93">
        <v>66</v>
      </c>
      <c r="K379" s="92">
        <v>5</v>
      </c>
      <c r="L379" s="159">
        <v>41569</v>
      </c>
      <c r="S379" s="111">
        <v>1938.104</v>
      </c>
      <c r="T379" s="125">
        <v>41527</v>
      </c>
      <c r="U379" s="111">
        <v>10.8</v>
      </c>
      <c r="Y379" s="111">
        <v>1001.049</v>
      </c>
      <c r="Z379" s="125">
        <v>41527</v>
      </c>
      <c r="AA379" s="111" t="s">
        <v>7718</v>
      </c>
      <c r="AB379" s="125">
        <v>41527</v>
      </c>
      <c r="AE379">
        <v>45.71</v>
      </c>
      <c r="AF379" s="125">
        <v>41527</v>
      </c>
      <c r="AG379" s="111" t="s">
        <v>7718</v>
      </c>
      <c r="AH379" s="125">
        <v>41527</v>
      </c>
      <c r="AI379" s="111">
        <v>140</v>
      </c>
      <c r="AJ379" s="125">
        <v>41527</v>
      </c>
      <c r="BS379" s="111">
        <v>42.4</v>
      </c>
      <c r="BT379" s="125">
        <v>41527</v>
      </c>
      <c r="BU379">
        <v>21.9</v>
      </c>
      <c r="BV379" s="125">
        <v>41527</v>
      </c>
      <c r="CC379" s="111">
        <v>7.8</v>
      </c>
      <c r="CD379" s="125">
        <v>41527</v>
      </c>
      <c r="CG379" s="111">
        <v>3.14</v>
      </c>
      <c r="CH379" s="125">
        <v>41527</v>
      </c>
      <c r="CK379" s="111">
        <v>5</v>
      </c>
    </row>
    <row r="380" spans="1:89">
      <c r="A380" s="126" t="s">
        <v>7861</v>
      </c>
      <c r="B380" t="s">
        <v>257</v>
      </c>
      <c r="C380" t="s">
        <v>405</v>
      </c>
      <c r="D380">
        <v>64</v>
      </c>
      <c r="E380" s="93">
        <v>4</v>
      </c>
      <c r="F380" s="93">
        <v>5</v>
      </c>
      <c r="K380" s="92">
        <v>5</v>
      </c>
      <c r="L380" s="159">
        <v>41569</v>
      </c>
      <c r="S380" s="111">
        <v>1894.64</v>
      </c>
      <c r="T380" s="125">
        <v>41527</v>
      </c>
      <c r="U380" s="111">
        <v>10.8</v>
      </c>
      <c r="Y380" s="111">
        <v>861.2</v>
      </c>
      <c r="Z380" s="125">
        <v>41527</v>
      </c>
      <c r="AA380" s="111" t="s">
        <v>7718</v>
      </c>
      <c r="AB380" s="125">
        <v>41527</v>
      </c>
      <c r="AE380">
        <v>43.06</v>
      </c>
      <c r="AF380" s="125">
        <v>41527</v>
      </c>
      <c r="AG380" s="111" t="s">
        <v>7718</v>
      </c>
      <c r="AH380" s="125">
        <v>41527</v>
      </c>
      <c r="AI380" s="111">
        <v>130</v>
      </c>
      <c r="AJ380" s="125">
        <v>41527</v>
      </c>
      <c r="BS380" s="111">
        <v>44</v>
      </c>
      <c r="BT380" s="125">
        <v>41527</v>
      </c>
      <c r="BU380">
        <v>20</v>
      </c>
      <c r="BV380" s="125">
        <v>41527</v>
      </c>
      <c r="CC380" s="111">
        <v>10</v>
      </c>
      <c r="CD380" s="125">
        <v>41527</v>
      </c>
      <c r="CG380" s="111">
        <v>1.1000000000000001</v>
      </c>
      <c r="CH380" s="125">
        <v>41527</v>
      </c>
      <c r="CK380" s="111">
        <v>20</v>
      </c>
    </row>
    <row r="381" spans="1:89">
      <c r="A381" s="126" t="s">
        <v>7861</v>
      </c>
      <c r="B381" t="s">
        <v>259</v>
      </c>
      <c r="C381" t="s">
        <v>405</v>
      </c>
      <c r="D381">
        <v>64</v>
      </c>
      <c r="E381" s="93">
        <v>2</v>
      </c>
      <c r="F381" s="93">
        <v>5</v>
      </c>
      <c r="K381" s="92">
        <v>5</v>
      </c>
      <c r="L381" s="159">
        <v>41569</v>
      </c>
      <c r="S381" s="111">
        <v>2438.598</v>
      </c>
      <c r="T381" s="125">
        <v>41527</v>
      </c>
      <c r="U381" s="111">
        <v>10.8</v>
      </c>
      <c r="Y381" s="111">
        <v>1216.47</v>
      </c>
      <c r="Z381" s="125">
        <v>41527</v>
      </c>
      <c r="AA381" s="111" t="s">
        <v>7718</v>
      </c>
      <c r="AB381" s="125">
        <v>41527</v>
      </c>
      <c r="AE381">
        <v>56.58</v>
      </c>
      <c r="AF381" s="125">
        <v>41527</v>
      </c>
      <c r="AG381" s="111" t="s">
        <v>7718</v>
      </c>
      <c r="AH381" s="125">
        <v>41527</v>
      </c>
      <c r="AI381" s="111">
        <v>145</v>
      </c>
      <c r="AJ381" s="125">
        <v>41527</v>
      </c>
      <c r="BS381" s="111">
        <v>43.1</v>
      </c>
      <c r="BT381" s="125">
        <v>41527</v>
      </c>
      <c r="BU381">
        <v>21.5</v>
      </c>
      <c r="BV381" s="125">
        <v>41527</v>
      </c>
      <c r="CC381" s="111">
        <v>10</v>
      </c>
      <c r="CD381" s="125">
        <v>41527</v>
      </c>
      <c r="CG381" s="111">
        <v>0.96</v>
      </c>
      <c r="CH381" s="125">
        <v>41527</v>
      </c>
      <c r="CK381" s="111">
        <v>30</v>
      </c>
    </row>
    <row r="382" spans="1:89">
      <c r="A382" s="126" t="s">
        <v>7861</v>
      </c>
      <c r="B382" t="s">
        <v>257</v>
      </c>
      <c r="C382" t="s">
        <v>7794</v>
      </c>
      <c r="D382">
        <v>64</v>
      </c>
      <c r="E382" s="93">
        <v>3</v>
      </c>
      <c r="F382" s="93">
        <v>55</v>
      </c>
      <c r="K382" s="92">
        <v>7</v>
      </c>
      <c r="L382" s="159">
        <v>41569</v>
      </c>
      <c r="S382" s="111">
        <v>1968.6849999999999</v>
      </c>
      <c r="T382" s="125">
        <v>41527</v>
      </c>
      <c r="U382" s="111">
        <v>10.8</v>
      </c>
      <c r="Y382" s="111">
        <v>914.51499999999999</v>
      </c>
      <c r="Z382" s="125">
        <v>41527</v>
      </c>
      <c r="AA382" s="111" t="s">
        <v>7718</v>
      </c>
      <c r="AB382" s="125">
        <v>41527</v>
      </c>
      <c r="AE382">
        <v>45.05</v>
      </c>
      <c r="AF382" s="125">
        <v>41527</v>
      </c>
      <c r="AG382" s="111" t="s">
        <v>7718</v>
      </c>
      <c r="AH382" s="125">
        <v>41527</v>
      </c>
      <c r="AI382" s="111">
        <v>150</v>
      </c>
      <c r="AJ382" s="125">
        <v>41527</v>
      </c>
      <c r="BS382" s="111">
        <v>43.7</v>
      </c>
      <c r="BT382" s="125">
        <v>41527</v>
      </c>
      <c r="BU382">
        <v>20.3</v>
      </c>
      <c r="BV382" s="125">
        <v>41527</v>
      </c>
      <c r="CC382" s="111">
        <v>6.7</v>
      </c>
      <c r="CD382" s="125">
        <v>41527</v>
      </c>
      <c r="CG382" s="111">
        <v>2.94</v>
      </c>
      <c r="CH382" s="125">
        <v>41527</v>
      </c>
      <c r="CK382" s="111">
        <v>30</v>
      </c>
    </row>
    <row r="383" spans="1:89">
      <c r="A383" s="126" t="s">
        <v>7861</v>
      </c>
      <c r="B383" t="s">
        <v>259</v>
      </c>
      <c r="C383" t="s">
        <v>7794</v>
      </c>
      <c r="D383">
        <v>64</v>
      </c>
      <c r="E383" s="93">
        <v>4</v>
      </c>
      <c r="F383" s="93">
        <v>34</v>
      </c>
      <c r="K383" s="92">
        <v>5</v>
      </c>
      <c r="L383" s="159">
        <v>41569</v>
      </c>
      <c r="S383" s="111">
        <v>2175.75</v>
      </c>
      <c r="T383" s="125">
        <v>41527</v>
      </c>
      <c r="U383" s="111">
        <v>10.8</v>
      </c>
      <c r="Y383" s="111">
        <v>957.33</v>
      </c>
      <c r="Z383" s="125">
        <v>41527</v>
      </c>
      <c r="AA383" s="111" t="s">
        <v>7718</v>
      </c>
      <c r="AB383" s="125">
        <v>41527</v>
      </c>
      <c r="AE383">
        <v>48.35</v>
      </c>
      <c r="AF383" s="125">
        <v>41527</v>
      </c>
      <c r="AG383" s="111" t="s">
        <v>7718</v>
      </c>
      <c r="AH383" s="125">
        <v>41527</v>
      </c>
      <c r="AI383" s="111">
        <v>145</v>
      </c>
      <c r="AJ383" s="125">
        <v>41527</v>
      </c>
      <c r="BS383" s="111">
        <v>45</v>
      </c>
      <c r="BT383" s="125">
        <v>41527</v>
      </c>
      <c r="BU383">
        <v>19.8</v>
      </c>
      <c r="BV383" s="125">
        <v>41527</v>
      </c>
      <c r="CC383" s="111">
        <v>10.8</v>
      </c>
      <c r="CD383" s="125">
        <v>41527</v>
      </c>
      <c r="CG383" s="111">
        <v>4.3499999999999996</v>
      </c>
      <c r="CH383" s="125">
        <v>41527</v>
      </c>
      <c r="CK383" s="111">
        <v>20</v>
      </c>
    </row>
    <row r="384" spans="1:89">
      <c r="A384" s="126" t="s">
        <v>7861</v>
      </c>
      <c r="B384" t="s">
        <v>257</v>
      </c>
      <c r="C384" t="s">
        <v>7795</v>
      </c>
      <c r="D384">
        <v>64</v>
      </c>
      <c r="E384" s="93">
        <v>6</v>
      </c>
      <c r="F384" s="93">
        <v>64</v>
      </c>
      <c r="K384" s="92">
        <v>5</v>
      </c>
      <c r="L384" s="159">
        <v>41569</v>
      </c>
      <c r="S384" s="111">
        <v>1887.623</v>
      </c>
      <c r="T384" s="125">
        <v>41527</v>
      </c>
      <c r="U384" s="111">
        <v>10.8</v>
      </c>
      <c r="Y384" s="111">
        <v>843.678</v>
      </c>
      <c r="Z384" s="125">
        <v>41527</v>
      </c>
      <c r="AA384" s="111">
        <v>86605.691059999997</v>
      </c>
      <c r="AB384" s="125">
        <v>41527</v>
      </c>
      <c r="AE384">
        <v>42.61</v>
      </c>
      <c r="AF384" s="125">
        <v>41527</v>
      </c>
      <c r="AG384" s="111">
        <v>4.92</v>
      </c>
      <c r="AH384" s="125">
        <v>41527</v>
      </c>
      <c r="AI384" s="111">
        <v>130</v>
      </c>
      <c r="AJ384" s="125">
        <v>41527</v>
      </c>
      <c r="BS384" s="111">
        <v>44.3</v>
      </c>
      <c r="BT384" s="125">
        <v>41527</v>
      </c>
      <c r="BU384">
        <v>19.8</v>
      </c>
      <c r="BV384" s="125">
        <v>41527</v>
      </c>
      <c r="CC384" s="111">
        <v>6.9</v>
      </c>
      <c r="CD384" s="125">
        <v>41527</v>
      </c>
      <c r="CG384" s="111">
        <v>1.83</v>
      </c>
      <c r="CH384" s="125">
        <v>41527</v>
      </c>
      <c r="CK384" s="111">
        <v>30</v>
      </c>
    </row>
    <row r="385" spans="1:89">
      <c r="A385" s="126" t="s">
        <v>7861</v>
      </c>
      <c r="B385" t="s">
        <v>259</v>
      </c>
      <c r="C385" t="s">
        <v>7795</v>
      </c>
      <c r="D385">
        <v>64</v>
      </c>
      <c r="E385" s="93">
        <v>1</v>
      </c>
      <c r="F385" s="93">
        <v>63</v>
      </c>
      <c r="K385" s="92">
        <v>5</v>
      </c>
      <c r="L385" s="159">
        <v>41569</v>
      </c>
      <c r="S385" s="111">
        <v>2069.739</v>
      </c>
      <c r="T385" s="125">
        <v>41527</v>
      </c>
      <c r="U385" s="111">
        <v>10.8</v>
      </c>
      <c r="Y385" s="111">
        <v>1081.3530000000001</v>
      </c>
      <c r="Z385" s="125">
        <v>41527</v>
      </c>
      <c r="AA385" s="111">
        <v>96699.604739999995</v>
      </c>
      <c r="AB385" s="125">
        <v>41527</v>
      </c>
      <c r="AE385">
        <v>48.93</v>
      </c>
      <c r="AF385" s="125">
        <v>41527</v>
      </c>
      <c r="AG385" s="111">
        <v>5.0599999999999996</v>
      </c>
      <c r="AH385" s="125">
        <v>41527</v>
      </c>
      <c r="AI385" s="111">
        <v>150</v>
      </c>
      <c r="AJ385" s="125">
        <v>41527</v>
      </c>
      <c r="BS385" s="111">
        <v>42.3</v>
      </c>
      <c r="BT385" s="125">
        <v>41527</v>
      </c>
      <c r="BU385">
        <v>22.1</v>
      </c>
      <c r="BV385" s="125">
        <v>41527</v>
      </c>
      <c r="CC385" s="111">
        <v>8.8000000000000007</v>
      </c>
      <c r="CD385" s="125">
        <v>41527</v>
      </c>
      <c r="CG385" s="111">
        <v>2.33</v>
      </c>
      <c r="CH385" s="125">
        <v>41527</v>
      </c>
      <c r="CK385" s="111">
        <v>30</v>
      </c>
    </row>
    <row r="386" spans="1:89">
      <c r="A386" s="126" t="s">
        <v>7862</v>
      </c>
      <c r="B386" t="s">
        <v>257</v>
      </c>
      <c r="C386" t="s">
        <v>405</v>
      </c>
      <c r="D386">
        <v>65</v>
      </c>
      <c r="E386" s="93">
        <v>6</v>
      </c>
      <c r="F386" s="93">
        <v>17</v>
      </c>
      <c r="K386" s="92">
        <v>5</v>
      </c>
      <c r="L386" s="159">
        <v>41569</v>
      </c>
      <c r="S386" s="111">
        <v>1773.0060000000001</v>
      </c>
      <c r="T386" s="125">
        <v>41527</v>
      </c>
      <c r="U386" s="111">
        <v>10.8</v>
      </c>
      <c r="Y386" s="111">
        <v>757.66200000000003</v>
      </c>
      <c r="Z386" s="125">
        <v>41527</v>
      </c>
      <c r="AA386" s="111" t="s">
        <v>7718</v>
      </c>
      <c r="AB386" s="125">
        <v>41527</v>
      </c>
      <c r="AE386">
        <v>38.46</v>
      </c>
      <c r="AF386" s="125">
        <v>41527</v>
      </c>
      <c r="AG386" s="111" t="s">
        <v>7718</v>
      </c>
      <c r="AH386" s="125">
        <v>41527</v>
      </c>
      <c r="AI386" s="111">
        <v>130</v>
      </c>
      <c r="AJ386" s="125">
        <v>41527</v>
      </c>
      <c r="BS386" s="111">
        <v>46.1</v>
      </c>
      <c r="BT386" s="125">
        <v>41527</v>
      </c>
      <c r="BU386">
        <v>19.7</v>
      </c>
      <c r="BV386" s="125">
        <v>41527</v>
      </c>
      <c r="CC386" s="111">
        <v>7.1</v>
      </c>
      <c r="CD386" s="125">
        <v>41527</v>
      </c>
      <c r="CG386" s="111">
        <v>3.23</v>
      </c>
      <c r="CH386" s="125">
        <v>41527</v>
      </c>
      <c r="CK386" s="111">
        <v>20</v>
      </c>
    </row>
    <row r="387" spans="1:89">
      <c r="A387" s="126" t="s">
        <v>7862</v>
      </c>
      <c r="B387" t="s">
        <v>259</v>
      </c>
      <c r="C387" t="s">
        <v>405</v>
      </c>
      <c r="D387">
        <v>65</v>
      </c>
      <c r="E387" s="93">
        <v>3</v>
      </c>
      <c r="F387" s="93">
        <v>4</v>
      </c>
      <c r="K387" s="92">
        <v>3</v>
      </c>
      <c r="L387" s="159">
        <v>41569</v>
      </c>
      <c r="S387" s="111">
        <v>2165.33</v>
      </c>
      <c r="T387" s="125">
        <v>41527</v>
      </c>
      <c r="U387" s="111">
        <v>10.8</v>
      </c>
      <c r="Y387" s="111">
        <v>1063.2449999999999</v>
      </c>
      <c r="Z387" s="125">
        <v>41527</v>
      </c>
      <c r="AA387" s="111" t="s">
        <v>7718</v>
      </c>
      <c r="AB387" s="125">
        <v>41527</v>
      </c>
      <c r="AE387">
        <v>48.55</v>
      </c>
      <c r="AF387" s="125">
        <v>41527</v>
      </c>
      <c r="AG387" s="111" t="s">
        <v>7718</v>
      </c>
      <c r="AH387" s="125">
        <v>41527</v>
      </c>
      <c r="AI387" s="111">
        <v>145</v>
      </c>
      <c r="AJ387" s="125">
        <v>41527</v>
      </c>
      <c r="BS387" s="111">
        <v>44.6</v>
      </c>
      <c r="BT387" s="125">
        <v>41527</v>
      </c>
      <c r="BU387">
        <v>21.9</v>
      </c>
      <c r="BV387" s="125">
        <v>41527</v>
      </c>
      <c r="CC387" s="111">
        <v>12.6</v>
      </c>
      <c r="CD387" s="125">
        <v>41527</v>
      </c>
      <c r="CG387" s="111">
        <v>2.25</v>
      </c>
      <c r="CH387" s="125">
        <v>41527</v>
      </c>
      <c r="CK387" s="111">
        <v>10</v>
      </c>
    </row>
    <row r="388" spans="1:89">
      <c r="A388" s="126" t="s">
        <v>7862</v>
      </c>
      <c r="B388" t="s">
        <v>257</v>
      </c>
      <c r="C388" t="s">
        <v>7794</v>
      </c>
      <c r="D388">
        <v>65</v>
      </c>
      <c r="E388" s="93">
        <v>3</v>
      </c>
      <c r="F388" s="93">
        <v>52</v>
      </c>
      <c r="K388" s="92">
        <v>5</v>
      </c>
      <c r="L388" s="159">
        <v>41569</v>
      </c>
      <c r="S388" s="111">
        <v>1879.56</v>
      </c>
      <c r="T388" s="125">
        <v>41527</v>
      </c>
      <c r="U388" s="111">
        <v>10.8</v>
      </c>
      <c r="Y388" s="111">
        <v>821.28599999999994</v>
      </c>
      <c r="Z388" s="125">
        <v>41527</v>
      </c>
      <c r="AA388" s="111" t="s">
        <v>7718</v>
      </c>
      <c r="AB388" s="125">
        <v>41527</v>
      </c>
      <c r="AE388">
        <v>40.86</v>
      </c>
      <c r="AF388" s="125">
        <v>41527</v>
      </c>
      <c r="AG388" s="111" t="s">
        <v>7718</v>
      </c>
      <c r="AH388" s="125">
        <v>41527</v>
      </c>
      <c r="AI388" s="111">
        <v>140</v>
      </c>
      <c r="AJ388" s="125">
        <v>41527</v>
      </c>
      <c r="BS388" s="111">
        <v>46</v>
      </c>
      <c r="BT388" s="125">
        <v>41527</v>
      </c>
      <c r="BU388">
        <v>20.100000000000001</v>
      </c>
      <c r="BV388" s="125">
        <v>41527</v>
      </c>
      <c r="CC388" s="111">
        <v>11.4</v>
      </c>
      <c r="CD388" s="125">
        <v>41527</v>
      </c>
      <c r="CG388" s="111">
        <v>9.67</v>
      </c>
      <c r="CH388" s="125">
        <v>41527</v>
      </c>
      <c r="CK388" s="111">
        <v>20</v>
      </c>
    </row>
    <row r="389" spans="1:89">
      <c r="A389" s="126" t="s">
        <v>7862</v>
      </c>
      <c r="B389" t="s">
        <v>259</v>
      </c>
      <c r="C389" t="s">
        <v>7794</v>
      </c>
      <c r="D389">
        <v>65</v>
      </c>
      <c r="E389" s="93">
        <v>6</v>
      </c>
      <c r="F389" s="93">
        <v>39</v>
      </c>
      <c r="K389" s="92">
        <v>3</v>
      </c>
      <c r="L389" s="159">
        <v>41569</v>
      </c>
      <c r="S389" s="111">
        <v>2095.4830000000002</v>
      </c>
      <c r="T389" s="125">
        <v>41527</v>
      </c>
      <c r="U389" s="111">
        <v>10.8</v>
      </c>
      <c r="Y389" s="111">
        <v>966.06899999999996</v>
      </c>
      <c r="Z389" s="125">
        <v>41527</v>
      </c>
      <c r="AA389" s="111" t="s">
        <v>7718</v>
      </c>
      <c r="AB389" s="125">
        <v>41527</v>
      </c>
      <c r="AE389">
        <v>46.67</v>
      </c>
      <c r="AF389" s="125">
        <v>41527</v>
      </c>
      <c r="AG389" s="111" t="s">
        <v>7718</v>
      </c>
      <c r="AH389" s="125">
        <v>41527</v>
      </c>
      <c r="AI389" s="111">
        <v>125</v>
      </c>
      <c r="AJ389" s="125">
        <v>41527</v>
      </c>
      <c r="BS389" s="111">
        <v>44.9</v>
      </c>
      <c r="BT389" s="125">
        <v>41527</v>
      </c>
      <c r="BU389">
        <v>20.7</v>
      </c>
      <c r="BV389" s="125">
        <v>41527</v>
      </c>
      <c r="CC389" s="111">
        <v>7.6</v>
      </c>
      <c r="CD389" s="125">
        <v>41527</v>
      </c>
      <c r="CG389" s="111">
        <v>2.79</v>
      </c>
      <c r="CH389" s="125">
        <v>41527</v>
      </c>
      <c r="CK389" s="111">
        <v>10</v>
      </c>
    </row>
    <row r="390" spans="1:89">
      <c r="A390" s="126" t="s">
        <v>7862</v>
      </c>
      <c r="B390" t="s">
        <v>257</v>
      </c>
      <c r="C390" t="s">
        <v>7795</v>
      </c>
      <c r="D390">
        <v>65</v>
      </c>
      <c r="E390" s="93">
        <v>4</v>
      </c>
      <c r="F390" s="93">
        <v>66</v>
      </c>
      <c r="K390" s="92">
        <v>3</v>
      </c>
      <c r="L390" s="159">
        <v>41569</v>
      </c>
      <c r="S390" s="111">
        <v>1865.4860000000001</v>
      </c>
      <c r="T390" s="125">
        <v>41527</v>
      </c>
      <c r="U390" s="111">
        <v>10.8</v>
      </c>
      <c r="Y390" s="111">
        <v>825.90899999999999</v>
      </c>
      <c r="Z390" s="125">
        <v>41527</v>
      </c>
      <c r="AA390" s="111">
        <v>96455.399059999996</v>
      </c>
      <c r="AB390" s="125">
        <v>41527</v>
      </c>
      <c r="AE390">
        <v>41.09</v>
      </c>
      <c r="AF390" s="125">
        <v>41527</v>
      </c>
      <c r="AG390" s="111">
        <v>4.26</v>
      </c>
      <c r="AH390" s="125">
        <v>41527</v>
      </c>
      <c r="AI390" s="111">
        <v>125</v>
      </c>
      <c r="AJ390" s="125">
        <v>41527</v>
      </c>
      <c r="BS390" s="111">
        <v>45.4</v>
      </c>
      <c r="BT390" s="125">
        <v>41527</v>
      </c>
      <c r="BU390">
        <v>20.100000000000001</v>
      </c>
      <c r="BV390" s="125">
        <v>41527</v>
      </c>
      <c r="CC390" s="111">
        <v>6.8</v>
      </c>
      <c r="CD390" s="125">
        <v>41527</v>
      </c>
      <c r="CG390" s="111">
        <v>1.9</v>
      </c>
      <c r="CH390" s="125">
        <v>41527</v>
      </c>
      <c r="CK390" s="111">
        <v>10</v>
      </c>
    </row>
    <row r="391" spans="1:89">
      <c r="A391" s="126" t="s">
        <v>7862</v>
      </c>
      <c r="B391" t="s">
        <v>259</v>
      </c>
      <c r="C391" t="s">
        <v>7795</v>
      </c>
      <c r="D391">
        <v>65</v>
      </c>
      <c r="E391" s="93">
        <v>2</v>
      </c>
      <c r="F391" s="93">
        <v>61</v>
      </c>
      <c r="K391" s="92">
        <v>5</v>
      </c>
      <c r="L391" s="159">
        <v>41569</v>
      </c>
      <c r="S391" s="111">
        <v>2316.81</v>
      </c>
      <c r="T391" s="125">
        <v>41527</v>
      </c>
      <c r="U391" s="111">
        <v>10.8</v>
      </c>
      <c r="Y391" s="111">
        <v>1182.3720000000001</v>
      </c>
      <c r="Z391" s="125">
        <v>41527</v>
      </c>
      <c r="AA391" s="111">
        <v>114537.6344</v>
      </c>
      <c r="AB391" s="125">
        <v>41527</v>
      </c>
      <c r="AE391">
        <v>53.26</v>
      </c>
      <c r="AF391" s="125">
        <v>41527</v>
      </c>
      <c r="AG391" s="111">
        <v>4.6500000000000004</v>
      </c>
      <c r="AH391" s="125">
        <v>41527</v>
      </c>
      <c r="AI391" s="111">
        <v>130</v>
      </c>
      <c r="AJ391" s="125">
        <v>41527</v>
      </c>
      <c r="BS391" s="111">
        <v>43.5</v>
      </c>
      <c r="BT391" s="125">
        <v>41527</v>
      </c>
      <c r="BU391">
        <v>22.2</v>
      </c>
      <c r="BV391" s="125">
        <v>41527</v>
      </c>
      <c r="CC391" s="111">
        <v>10.3</v>
      </c>
      <c r="CD391" s="125">
        <v>41527</v>
      </c>
      <c r="CG391" s="111">
        <v>2.25</v>
      </c>
      <c r="CH391" s="125">
        <v>41527</v>
      </c>
      <c r="CK391" s="111">
        <v>30</v>
      </c>
    </row>
    <row r="392" spans="1:89">
      <c r="A392" s="126" t="s">
        <v>7863</v>
      </c>
      <c r="B392" t="s">
        <v>257</v>
      </c>
      <c r="C392" t="s">
        <v>405</v>
      </c>
      <c r="D392">
        <v>66</v>
      </c>
      <c r="E392" s="93">
        <v>4</v>
      </c>
      <c r="F392" s="93">
        <v>14</v>
      </c>
      <c r="K392" s="92">
        <v>5</v>
      </c>
      <c r="L392" s="159">
        <v>41569</v>
      </c>
      <c r="S392" s="111">
        <v>1870.297</v>
      </c>
      <c r="T392" s="125">
        <v>41527</v>
      </c>
      <c r="U392" s="111">
        <v>10.8</v>
      </c>
      <c r="Y392" s="111">
        <v>829.4</v>
      </c>
      <c r="Z392" s="125">
        <v>41527</v>
      </c>
      <c r="AA392" s="111" t="s">
        <v>7718</v>
      </c>
      <c r="AB392" s="125">
        <v>41527</v>
      </c>
      <c r="AE392">
        <v>41.47</v>
      </c>
      <c r="AF392" s="125">
        <v>41527</v>
      </c>
      <c r="AG392" s="111" t="s">
        <v>7718</v>
      </c>
      <c r="AH392" s="125">
        <v>41527</v>
      </c>
      <c r="AI392" s="111">
        <v>125</v>
      </c>
      <c r="AJ392" s="125">
        <v>41527</v>
      </c>
      <c r="BS392" s="111">
        <v>45.1</v>
      </c>
      <c r="BT392" s="125">
        <v>41527</v>
      </c>
      <c r="BU392">
        <v>20</v>
      </c>
      <c r="BV392" s="125">
        <v>41527</v>
      </c>
      <c r="CC392" s="111">
        <v>6.8</v>
      </c>
      <c r="CD392" s="125">
        <v>41527</v>
      </c>
      <c r="CG392" s="111">
        <v>1.47</v>
      </c>
      <c r="CH392" s="125">
        <v>41527</v>
      </c>
      <c r="CK392" s="111">
        <v>1</v>
      </c>
    </row>
    <row r="393" spans="1:89">
      <c r="A393" s="126" t="s">
        <v>7863</v>
      </c>
      <c r="B393" t="s">
        <v>259</v>
      </c>
      <c r="C393" t="s">
        <v>405</v>
      </c>
      <c r="D393">
        <v>66</v>
      </c>
      <c r="E393" s="93">
        <v>2</v>
      </c>
      <c r="F393" s="93">
        <v>3</v>
      </c>
      <c r="K393" s="92">
        <v>5</v>
      </c>
      <c r="L393" s="159">
        <v>41569</v>
      </c>
      <c r="S393" s="111">
        <v>2453.9839999999999</v>
      </c>
      <c r="T393" s="125">
        <v>41527</v>
      </c>
      <c r="U393" s="111">
        <v>10.8</v>
      </c>
      <c r="Y393" s="111">
        <v>1177.0239999999999</v>
      </c>
      <c r="Z393" s="125">
        <v>41527</v>
      </c>
      <c r="AA393" s="111" t="s">
        <v>7718</v>
      </c>
      <c r="AB393" s="125">
        <v>41527</v>
      </c>
      <c r="AE393">
        <v>55.52</v>
      </c>
      <c r="AF393" s="125">
        <v>41527</v>
      </c>
      <c r="AG393" s="111" t="s">
        <v>7718</v>
      </c>
      <c r="AH393" s="125">
        <v>41527</v>
      </c>
      <c r="AI393" s="111">
        <v>125</v>
      </c>
      <c r="AJ393" s="125">
        <v>41527</v>
      </c>
      <c r="BS393" s="111">
        <v>44.2</v>
      </c>
      <c r="BT393" s="125">
        <v>41527</v>
      </c>
      <c r="BU393">
        <v>21.2</v>
      </c>
      <c r="BV393" s="125">
        <v>41527</v>
      </c>
      <c r="CC393" s="111">
        <v>11.5</v>
      </c>
      <c r="CD393" s="125">
        <v>41527</v>
      </c>
      <c r="CG393" s="111">
        <v>1.89</v>
      </c>
      <c r="CH393" s="125">
        <v>41527</v>
      </c>
      <c r="CK393" s="111">
        <v>5</v>
      </c>
    </row>
    <row r="394" spans="1:89">
      <c r="A394" s="126" t="s">
        <v>7863</v>
      </c>
      <c r="B394" t="s">
        <v>257</v>
      </c>
      <c r="C394" t="s">
        <v>7794</v>
      </c>
      <c r="D394">
        <v>66</v>
      </c>
      <c r="E394" s="93">
        <v>1</v>
      </c>
      <c r="F394" s="93">
        <v>37</v>
      </c>
      <c r="K394" s="92">
        <v>5</v>
      </c>
      <c r="L394" s="159">
        <v>41569</v>
      </c>
      <c r="S394" s="111" t="s">
        <v>7718</v>
      </c>
      <c r="T394" s="125">
        <v>41527</v>
      </c>
      <c r="U394" s="111">
        <v>10.8</v>
      </c>
      <c r="Y394" s="111" t="s">
        <v>7718</v>
      </c>
      <c r="Z394" s="125">
        <v>41527</v>
      </c>
      <c r="AA394" s="111" t="s">
        <v>7718</v>
      </c>
      <c r="AB394" s="125">
        <v>41527</v>
      </c>
      <c r="AE394" t="s">
        <v>7718</v>
      </c>
      <c r="AF394" s="125">
        <v>41527</v>
      </c>
      <c r="AG394" s="111" t="s">
        <v>7718</v>
      </c>
      <c r="AH394" s="125">
        <v>41527</v>
      </c>
      <c r="AI394" s="111">
        <v>125</v>
      </c>
      <c r="AJ394" s="125">
        <v>41527</v>
      </c>
      <c r="BS394" s="111" t="s">
        <v>7718</v>
      </c>
      <c r="BT394" s="125">
        <v>41527</v>
      </c>
      <c r="BU394" t="s">
        <v>7718</v>
      </c>
      <c r="BV394" s="125">
        <v>41527</v>
      </c>
      <c r="CD394" s="125">
        <v>41527</v>
      </c>
      <c r="CH394" s="125">
        <v>41527</v>
      </c>
      <c r="CK394" s="111">
        <v>5</v>
      </c>
    </row>
    <row r="395" spans="1:89">
      <c r="A395" s="126" t="s">
        <v>7863</v>
      </c>
      <c r="B395" t="s">
        <v>259</v>
      </c>
      <c r="C395" t="s">
        <v>7794</v>
      </c>
      <c r="D395">
        <v>66</v>
      </c>
      <c r="E395" s="93">
        <v>6</v>
      </c>
      <c r="F395" s="93">
        <v>32</v>
      </c>
      <c r="K395" s="92">
        <v>5</v>
      </c>
      <c r="L395" s="159">
        <v>41569</v>
      </c>
      <c r="S395" s="111">
        <v>2486</v>
      </c>
      <c r="T395" s="125">
        <v>41527</v>
      </c>
      <c r="U395" s="111">
        <v>10.8</v>
      </c>
      <c r="Y395" s="111">
        <v>1186.5</v>
      </c>
      <c r="Z395" s="125">
        <v>41527</v>
      </c>
      <c r="AA395" s="111" t="s">
        <v>7718</v>
      </c>
      <c r="AB395" s="125">
        <v>41527</v>
      </c>
      <c r="AE395">
        <v>56.5</v>
      </c>
      <c r="AF395" s="125">
        <v>41527</v>
      </c>
      <c r="AG395" s="111" t="s">
        <v>7718</v>
      </c>
      <c r="AH395" s="125">
        <v>41527</v>
      </c>
      <c r="AI395" s="111">
        <v>130</v>
      </c>
      <c r="AJ395" s="125">
        <v>41527</v>
      </c>
      <c r="BS395" s="111">
        <v>44</v>
      </c>
      <c r="BT395" s="125">
        <v>41527</v>
      </c>
      <c r="BU395">
        <v>21</v>
      </c>
      <c r="BV395" s="125">
        <v>41527</v>
      </c>
      <c r="CC395" s="111">
        <v>5.8</v>
      </c>
      <c r="CD395" s="125">
        <v>41527</v>
      </c>
      <c r="CG395" s="111">
        <v>1.93</v>
      </c>
      <c r="CH395" s="125">
        <v>41527</v>
      </c>
      <c r="CK395" s="111">
        <v>5</v>
      </c>
    </row>
    <row r="396" spans="1:89">
      <c r="A396" s="126" t="s">
        <v>7863</v>
      </c>
      <c r="B396" t="s">
        <v>257</v>
      </c>
      <c r="C396" t="s">
        <v>7795</v>
      </c>
      <c r="D396">
        <v>66</v>
      </c>
      <c r="E396" s="93">
        <v>6</v>
      </c>
      <c r="F396" s="93">
        <v>85</v>
      </c>
      <c r="K396" s="92">
        <v>5</v>
      </c>
      <c r="L396" s="159">
        <v>41569</v>
      </c>
      <c r="S396" s="111">
        <v>1872.45</v>
      </c>
      <c r="T396" s="125">
        <v>41527</v>
      </c>
      <c r="U396" s="111">
        <v>10.8</v>
      </c>
      <c r="Y396" s="111">
        <v>819.71699999999998</v>
      </c>
      <c r="Z396" s="125">
        <v>41527</v>
      </c>
      <c r="AA396" s="111">
        <v>84573.170729999998</v>
      </c>
      <c r="AB396" s="125">
        <v>41527</v>
      </c>
      <c r="AE396">
        <v>41.61</v>
      </c>
      <c r="AF396" s="125">
        <v>41527</v>
      </c>
      <c r="AG396" s="111">
        <v>4.92</v>
      </c>
      <c r="AH396" s="125">
        <v>41527</v>
      </c>
      <c r="AI396" s="111">
        <v>115</v>
      </c>
      <c r="AJ396" s="125">
        <v>41527</v>
      </c>
      <c r="BS396" s="111">
        <v>45</v>
      </c>
      <c r="BT396" s="125">
        <v>41527</v>
      </c>
      <c r="BU396">
        <v>19.7</v>
      </c>
      <c r="BV396" s="125">
        <v>41527</v>
      </c>
      <c r="CC396" s="111">
        <v>7.7</v>
      </c>
      <c r="CD396" s="125">
        <v>41527</v>
      </c>
      <c r="CG396" s="111">
        <v>0.92</v>
      </c>
      <c r="CH396" s="125">
        <v>41527</v>
      </c>
      <c r="CK396" s="111">
        <v>1</v>
      </c>
    </row>
    <row r="397" spans="1:89">
      <c r="A397" s="126" t="s">
        <v>7863</v>
      </c>
      <c r="B397" t="s">
        <v>259</v>
      </c>
      <c r="C397" t="s">
        <v>7795</v>
      </c>
      <c r="D397">
        <v>66</v>
      </c>
      <c r="E397" s="93">
        <v>3</v>
      </c>
      <c r="F397" s="93">
        <v>68</v>
      </c>
      <c r="K397" s="92">
        <v>5</v>
      </c>
      <c r="L397" s="159">
        <v>41569</v>
      </c>
      <c r="S397" s="111">
        <v>2128.02</v>
      </c>
      <c r="T397" s="125">
        <v>41527</v>
      </c>
      <c r="U397" s="111">
        <v>10.8</v>
      </c>
      <c r="Y397" s="111">
        <v>1046.8879999999999</v>
      </c>
      <c r="Z397" s="125">
        <v>41527</v>
      </c>
      <c r="AA397" s="111">
        <v>94622.823980000001</v>
      </c>
      <c r="AB397" s="125">
        <v>41527</v>
      </c>
      <c r="AE397">
        <v>48.92</v>
      </c>
      <c r="AF397" s="125">
        <v>41527</v>
      </c>
      <c r="AG397" s="111">
        <v>5.17</v>
      </c>
      <c r="AH397" s="125">
        <v>41527</v>
      </c>
      <c r="AI397" s="111">
        <v>130</v>
      </c>
      <c r="AJ397" s="125">
        <v>41527</v>
      </c>
      <c r="BS397" s="111">
        <v>43.5</v>
      </c>
      <c r="BT397" s="125">
        <v>41527</v>
      </c>
      <c r="BU397">
        <v>21.4</v>
      </c>
      <c r="BV397" s="125">
        <v>41527</v>
      </c>
      <c r="CC397" s="111">
        <v>6.9</v>
      </c>
      <c r="CD397" s="125">
        <v>41527</v>
      </c>
      <c r="CG397" s="111">
        <v>2.44</v>
      </c>
      <c r="CH397" s="125">
        <v>41527</v>
      </c>
      <c r="CK397" s="111">
        <v>5</v>
      </c>
    </row>
    <row r="398" spans="1:89">
      <c r="A398" s="126" t="s">
        <v>7864</v>
      </c>
      <c r="B398" t="s">
        <v>257</v>
      </c>
      <c r="C398" t="s">
        <v>405</v>
      </c>
      <c r="D398">
        <v>67</v>
      </c>
      <c r="E398" s="93">
        <v>6</v>
      </c>
      <c r="F398" s="93">
        <v>18</v>
      </c>
      <c r="K398" s="92">
        <v>5</v>
      </c>
      <c r="L398" s="159">
        <v>41569</v>
      </c>
      <c r="S398" s="111">
        <v>1650.5050000000001</v>
      </c>
      <c r="T398" s="125">
        <v>41527</v>
      </c>
      <c r="U398" s="111">
        <v>10.8</v>
      </c>
      <c r="Y398" s="111">
        <v>723.255</v>
      </c>
      <c r="Z398" s="125">
        <v>41527</v>
      </c>
      <c r="AA398" s="111" t="s">
        <v>7718</v>
      </c>
      <c r="AB398" s="125">
        <v>41527</v>
      </c>
      <c r="AE398">
        <v>37.090000000000003</v>
      </c>
      <c r="AF398" s="125">
        <v>41527</v>
      </c>
      <c r="AG398" s="111" t="s">
        <v>7718</v>
      </c>
      <c r="AH398" s="125">
        <v>41527</v>
      </c>
      <c r="AI398" s="111">
        <v>125</v>
      </c>
      <c r="AJ398" s="125">
        <v>41527</v>
      </c>
      <c r="BS398" s="111">
        <v>44.5</v>
      </c>
      <c r="BT398" s="125">
        <v>41527</v>
      </c>
      <c r="BU398">
        <v>19.5</v>
      </c>
      <c r="BV398" s="125">
        <v>41527</v>
      </c>
      <c r="CC398" s="111">
        <v>7</v>
      </c>
      <c r="CD398" s="125">
        <v>41527</v>
      </c>
      <c r="CG398" s="111">
        <v>4.29</v>
      </c>
      <c r="CH398" s="125">
        <v>41527</v>
      </c>
      <c r="CK398" s="111">
        <v>10</v>
      </c>
    </row>
    <row r="399" spans="1:89">
      <c r="A399" s="126" t="s">
        <v>7864</v>
      </c>
      <c r="B399" t="s">
        <v>259</v>
      </c>
      <c r="C399" t="s">
        <v>405</v>
      </c>
      <c r="D399">
        <v>67</v>
      </c>
      <c r="E399" s="93">
        <v>3</v>
      </c>
      <c r="F399" s="93">
        <v>27</v>
      </c>
      <c r="K399" s="92">
        <v>5</v>
      </c>
      <c r="L399" s="159">
        <v>41569</v>
      </c>
      <c r="S399" s="111">
        <v>2001.6479999999999</v>
      </c>
      <c r="T399" s="125">
        <v>41527</v>
      </c>
      <c r="U399" s="111">
        <v>10.8</v>
      </c>
      <c r="Y399" s="111">
        <v>946.96799999999996</v>
      </c>
      <c r="Z399" s="125">
        <v>41527</v>
      </c>
      <c r="AA399" s="111" t="s">
        <v>7718</v>
      </c>
      <c r="AB399" s="125">
        <v>41527</v>
      </c>
      <c r="AE399">
        <v>44.88</v>
      </c>
      <c r="AF399" s="125">
        <v>41527</v>
      </c>
      <c r="AG399" s="111" t="s">
        <v>7718</v>
      </c>
      <c r="AH399" s="125">
        <v>41527</v>
      </c>
      <c r="AI399" s="111">
        <v>135</v>
      </c>
      <c r="AJ399" s="125">
        <v>41527</v>
      </c>
      <c r="BS399" s="111">
        <v>44.6</v>
      </c>
      <c r="BT399" s="125">
        <v>41527</v>
      </c>
      <c r="BU399">
        <v>21.1</v>
      </c>
      <c r="BV399" s="125">
        <v>41527</v>
      </c>
      <c r="CC399" s="111">
        <v>13.1</v>
      </c>
      <c r="CD399" s="125">
        <v>41527</v>
      </c>
      <c r="CG399" s="111">
        <v>3.85</v>
      </c>
      <c r="CH399" s="125">
        <v>41527</v>
      </c>
      <c r="CK399" s="111">
        <v>20</v>
      </c>
    </row>
    <row r="400" spans="1:89">
      <c r="A400" s="126" t="s">
        <v>7864</v>
      </c>
      <c r="B400" t="s">
        <v>257</v>
      </c>
      <c r="C400" t="s">
        <v>7794</v>
      </c>
      <c r="D400">
        <v>67</v>
      </c>
      <c r="E400" s="93">
        <v>2</v>
      </c>
      <c r="F400" s="93">
        <v>31</v>
      </c>
      <c r="K400" s="92">
        <v>5</v>
      </c>
      <c r="L400" s="159">
        <v>41569</v>
      </c>
      <c r="S400" s="111">
        <v>1819.348</v>
      </c>
      <c r="T400" s="125">
        <v>41527</v>
      </c>
      <c r="U400" s="111">
        <v>10.8</v>
      </c>
      <c r="Y400" s="111">
        <v>773.93200000000002</v>
      </c>
      <c r="Z400" s="125">
        <v>41527</v>
      </c>
      <c r="AA400" s="111" t="s">
        <v>7718</v>
      </c>
      <c r="AB400" s="125">
        <v>41527</v>
      </c>
      <c r="AE400">
        <v>40.520000000000003</v>
      </c>
      <c r="AF400" s="125">
        <v>41527</v>
      </c>
      <c r="AG400" s="111" t="s">
        <v>7718</v>
      </c>
      <c r="AH400" s="125">
        <v>41527</v>
      </c>
      <c r="AI400" s="111">
        <v>135</v>
      </c>
      <c r="AJ400" s="125">
        <v>41527</v>
      </c>
      <c r="BS400" s="111">
        <v>44.9</v>
      </c>
      <c r="BT400" s="125">
        <v>41527</v>
      </c>
      <c r="BU400">
        <v>19.100000000000001</v>
      </c>
      <c r="BV400" s="125">
        <v>41527</v>
      </c>
      <c r="CC400" s="111">
        <v>7.8</v>
      </c>
      <c r="CD400" s="125">
        <v>41527</v>
      </c>
      <c r="CG400" s="111">
        <v>4.05</v>
      </c>
      <c r="CH400" s="125">
        <v>41527</v>
      </c>
      <c r="CK400" s="111">
        <v>20</v>
      </c>
    </row>
    <row r="401" spans="1:89">
      <c r="A401" s="126" t="s">
        <v>7864</v>
      </c>
      <c r="B401" t="s">
        <v>259</v>
      </c>
      <c r="C401" t="s">
        <v>7794</v>
      </c>
      <c r="D401">
        <v>67</v>
      </c>
      <c r="E401" s="93">
        <v>4</v>
      </c>
      <c r="F401" s="93">
        <v>37</v>
      </c>
      <c r="K401" s="92">
        <v>5</v>
      </c>
      <c r="L401" s="159">
        <v>41569</v>
      </c>
      <c r="S401" s="111">
        <v>1919.52</v>
      </c>
      <c r="T401" s="125">
        <v>41527</v>
      </c>
      <c r="U401" s="111">
        <v>10.8</v>
      </c>
      <c r="Y401" s="111">
        <v>955.29600000000005</v>
      </c>
      <c r="Z401" s="125">
        <v>41527</v>
      </c>
      <c r="AA401" s="111" t="s">
        <v>7718</v>
      </c>
      <c r="AB401" s="125">
        <v>41527</v>
      </c>
      <c r="AE401">
        <v>44.64</v>
      </c>
      <c r="AF401" s="125">
        <v>41527</v>
      </c>
      <c r="AG401" s="111" t="s">
        <v>7718</v>
      </c>
      <c r="AH401" s="125">
        <v>41527</v>
      </c>
      <c r="AI401" s="111">
        <v>130</v>
      </c>
      <c r="AJ401" s="125">
        <v>41527</v>
      </c>
      <c r="BS401" s="111">
        <v>43</v>
      </c>
      <c r="BT401" s="125">
        <v>41527</v>
      </c>
      <c r="BU401">
        <v>21.4</v>
      </c>
      <c r="BV401" s="125">
        <v>41527</v>
      </c>
      <c r="CC401" s="111">
        <v>7.3</v>
      </c>
      <c r="CD401" s="125">
        <v>41527</v>
      </c>
      <c r="CG401" s="111">
        <v>2.15</v>
      </c>
      <c r="CH401" s="125">
        <v>41527</v>
      </c>
      <c r="CK401" s="111">
        <v>30</v>
      </c>
    </row>
    <row r="402" spans="1:89">
      <c r="A402" s="126" t="s">
        <v>7864</v>
      </c>
      <c r="B402" t="s">
        <v>257</v>
      </c>
      <c r="C402" t="s">
        <v>7795</v>
      </c>
      <c r="D402">
        <v>67</v>
      </c>
      <c r="E402" s="93">
        <v>6</v>
      </c>
      <c r="F402" s="93">
        <v>63</v>
      </c>
      <c r="K402" s="92">
        <v>5</v>
      </c>
      <c r="L402" s="159">
        <v>41569</v>
      </c>
      <c r="S402" s="111">
        <v>1621.76</v>
      </c>
      <c r="T402" s="125">
        <v>41527</v>
      </c>
      <c r="U402" s="111">
        <v>10.8</v>
      </c>
      <c r="Y402" s="111">
        <v>698.66</v>
      </c>
      <c r="Z402" s="125">
        <v>41527</v>
      </c>
      <c r="AA402" s="111">
        <v>72837.022129999998</v>
      </c>
      <c r="AB402" s="125">
        <v>41527</v>
      </c>
      <c r="AE402">
        <v>36.200000000000003</v>
      </c>
      <c r="AF402" s="125">
        <v>41527</v>
      </c>
      <c r="AG402" s="111">
        <v>4.97</v>
      </c>
      <c r="AH402" s="125">
        <v>41527</v>
      </c>
      <c r="AI402" s="111">
        <v>125</v>
      </c>
      <c r="AJ402" s="125">
        <v>41527</v>
      </c>
      <c r="BS402" s="111">
        <v>44.8</v>
      </c>
      <c r="BT402" s="125">
        <v>41527</v>
      </c>
      <c r="BU402">
        <v>19.3</v>
      </c>
      <c r="BV402" s="125">
        <v>41527</v>
      </c>
      <c r="CC402" s="111">
        <v>7.8</v>
      </c>
      <c r="CD402" s="125">
        <v>41527</v>
      </c>
      <c r="CG402" s="111">
        <v>1.54</v>
      </c>
      <c r="CH402" s="125">
        <v>41527</v>
      </c>
      <c r="CK402" s="111">
        <v>20</v>
      </c>
    </row>
    <row r="403" spans="1:89">
      <c r="A403" s="126" t="s">
        <v>7864</v>
      </c>
      <c r="B403" t="s">
        <v>259</v>
      </c>
      <c r="C403" t="s">
        <v>7795</v>
      </c>
      <c r="D403">
        <v>67</v>
      </c>
      <c r="E403" s="93">
        <v>1</v>
      </c>
      <c r="F403" s="93">
        <v>85</v>
      </c>
      <c r="K403" s="92">
        <v>5</v>
      </c>
      <c r="L403" s="159">
        <v>41569</v>
      </c>
      <c r="S403" s="111">
        <v>1758.134</v>
      </c>
      <c r="T403" s="125">
        <v>41527</v>
      </c>
      <c r="U403" s="111">
        <v>10.8</v>
      </c>
      <c r="Y403" s="111">
        <v>830.45500000000004</v>
      </c>
      <c r="Z403" s="125">
        <v>41527</v>
      </c>
      <c r="AA403" s="111">
        <v>85644.820300000007</v>
      </c>
      <c r="AB403" s="125">
        <v>41527</v>
      </c>
      <c r="AE403">
        <v>40.51</v>
      </c>
      <c r="AF403" s="125">
        <v>41527</v>
      </c>
      <c r="AG403" s="111">
        <v>4.7300000000000004</v>
      </c>
      <c r="AH403" s="125">
        <v>41527</v>
      </c>
      <c r="AI403" s="111">
        <v>130</v>
      </c>
      <c r="AJ403" s="125">
        <v>41527</v>
      </c>
      <c r="BS403" s="111">
        <v>43.4</v>
      </c>
      <c r="BT403" s="125">
        <v>41527</v>
      </c>
      <c r="BU403">
        <v>20.5</v>
      </c>
      <c r="BV403" s="125">
        <v>41527</v>
      </c>
      <c r="CC403" s="111">
        <v>9.4</v>
      </c>
      <c r="CD403" s="125">
        <v>41527</v>
      </c>
      <c r="CG403" s="111">
        <v>3.5</v>
      </c>
      <c r="CH403" s="125">
        <v>41527</v>
      </c>
      <c r="CK403" s="111">
        <v>20</v>
      </c>
    </row>
    <row r="404" spans="1:89">
      <c r="A404" s="126" t="s">
        <v>7865</v>
      </c>
      <c r="B404" t="s">
        <v>257</v>
      </c>
      <c r="C404" t="s">
        <v>405</v>
      </c>
      <c r="D404">
        <v>68</v>
      </c>
      <c r="E404" s="93">
        <v>4</v>
      </c>
      <c r="F404" s="93">
        <v>20</v>
      </c>
      <c r="K404" s="92">
        <v>5</v>
      </c>
      <c r="L404" s="159">
        <v>41569</v>
      </c>
      <c r="S404" s="111">
        <v>1842.75</v>
      </c>
      <c r="T404" s="125">
        <v>41527</v>
      </c>
      <c r="U404" s="111">
        <v>10.8</v>
      </c>
      <c r="Y404" s="111">
        <v>810.81</v>
      </c>
      <c r="Z404" s="125">
        <v>41527</v>
      </c>
      <c r="AA404" s="111" t="s">
        <v>7718</v>
      </c>
      <c r="AB404" s="125">
        <v>41527</v>
      </c>
      <c r="AE404">
        <v>40.950000000000003</v>
      </c>
      <c r="AF404" s="125">
        <v>41527</v>
      </c>
      <c r="AG404" s="111" t="s">
        <v>7718</v>
      </c>
      <c r="AH404" s="125">
        <v>41527</v>
      </c>
      <c r="AI404" s="111">
        <v>140</v>
      </c>
      <c r="AJ404" s="125">
        <v>41527</v>
      </c>
      <c r="BS404" s="111">
        <v>45</v>
      </c>
      <c r="BT404" s="125">
        <v>41527</v>
      </c>
      <c r="BU404">
        <v>19.8</v>
      </c>
      <c r="BV404" s="125">
        <v>41527</v>
      </c>
      <c r="CC404" s="111">
        <v>7.2</v>
      </c>
      <c r="CD404" s="125">
        <v>41527</v>
      </c>
      <c r="CG404" s="111">
        <v>1.84</v>
      </c>
      <c r="CH404" s="125">
        <v>41527</v>
      </c>
      <c r="CK404" s="111">
        <v>5</v>
      </c>
    </row>
    <row r="405" spans="1:89">
      <c r="A405" s="126" t="s">
        <v>7865</v>
      </c>
      <c r="B405" t="s">
        <v>259</v>
      </c>
      <c r="C405" t="s">
        <v>405</v>
      </c>
      <c r="D405">
        <v>68</v>
      </c>
      <c r="E405" s="93">
        <v>2</v>
      </c>
      <c r="F405" s="93">
        <v>24</v>
      </c>
      <c r="K405" s="92">
        <v>5</v>
      </c>
      <c r="L405" s="159">
        <v>41569</v>
      </c>
      <c r="S405" s="111">
        <v>1902.434</v>
      </c>
      <c r="T405" s="125">
        <v>41527</v>
      </c>
      <c r="U405" s="111">
        <v>10.8</v>
      </c>
      <c r="Y405" s="111">
        <v>993.15</v>
      </c>
      <c r="Z405" s="125">
        <v>41527</v>
      </c>
      <c r="AA405" s="111" t="s">
        <v>7718</v>
      </c>
      <c r="AB405" s="125">
        <v>41527</v>
      </c>
      <c r="AE405">
        <v>44.14</v>
      </c>
      <c r="AF405" s="125">
        <v>41527</v>
      </c>
      <c r="AG405" s="111" t="s">
        <v>7718</v>
      </c>
      <c r="AH405" s="125">
        <v>41527</v>
      </c>
      <c r="AI405" s="111">
        <v>145</v>
      </c>
      <c r="AJ405" s="125">
        <v>41527</v>
      </c>
      <c r="BS405" s="111">
        <v>43.1</v>
      </c>
      <c r="BT405" s="125">
        <v>41527</v>
      </c>
      <c r="BU405">
        <v>22.5</v>
      </c>
      <c r="BV405" s="125">
        <v>41527</v>
      </c>
      <c r="CC405" s="111">
        <v>8.8000000000000007</v>
      </c>
      <c r="CD405" s="125">
        <v>41527</v>
      </c>
      <c r="CG405" s="111">
        <v>1.89</v>
      </c>
      <c r="CH405" s="125">
        <v>41527</v>
      </c>
      <c r="CK405" s="111">
        <v>10</v>
      </c>
    </row>
    <row r="406" spans="1:89">
      <c r="A406" s="126" t="s">
        <v>7865</v>
      </c>
      <c r="B406" t="s">
        <v>257</v>
      </c>
      <c r="C406" t="s">
        <v>7794</v>
      </c>
      <c r="D406">
        <v>68</v>
      </c>
      <c r="E406" s="93">
        <v>2</v>
      </c>
      <c r="F406" s="93">
        <v>48</v>
      </c>
      <c r="K406" s="92">
        <v>7</v>
      </c>
      <c r="L406" s="159">
        <v>41569</v>
      </c>
      <c r="S406" s="111">
        <v>2122.7640000000001</v>
      </c>
      <c r="T406" s="125">
        <v>41527</v>
      </c>
      <c r="U406" s="111">
        <v>10.8</v>
      </c>
      <c r="Y406" s="111">
        <v>989.66700000000003</v>
      </c>
      <c r="Z406" s="125">
        <v>41527</v>
      </c>
      <c r="AA406" s="111" t="s">
        <v>7718</v>
      </c>
      <c r="AB406" s="125">
        <v>41527</v>
      </c>
      <c r="AE406">
        <v>47.81</v>
      </c>
      <c r="AF406" s="125">
        <v>41527</v>
      </c>
      <c r="AG406" s="111" t="s">
        <v>7718</v>
      </c>
      <c r="AH406" s="125">
        <v>41527</v>
      </c>
      <c r="AI406" s="111">
        <v>150</v>
      </c>
      <c r="AJ406" s="125">
        <v>41527</v>
      </c>
      <c r="BS406" s="111">
        <v>44.4</v>
      </c>
      <c r="BT406" s="125">
        <v>41527</v>
      </c>
      <c r="BU406">
        <v>20.7</v>
      </c>
      <c r="BV406" s="125">
        <v>41527</v>
      </c>
      <c r="CC406" s="111">
        <v>8</v>
      </c>
      <c r="CD406" s="125">
        <v>41527</v>
      </c>
      <c r="CG406" s="111">
        <v>1.88</v>
      </c>
      <c r="CH406" s="125">
        <v>41527</v>
      </c>
      <c r="CK406" s="111">
        <v>10</v>
      </c>
    </row>
    <row r="407" spans="1:89">
      <c r="A407" s="126" t="s">
        <v>7865</v>
      </c>
      <c r="B407" t="s">
        <v>259</v>
      </c>
      <c r="C407" t="s">
        <v>7794</v>
      </c>
      <c r="D407">
        <v>68</v>
      </c>
      <c r="E407" s="93">
        <v>4</v>
      </c>
      <c r="F407" s="93">
        <v>40</v>
      </c>
      <c r="K407" s="92">
        <v>5</v>
      </c>
      <c r="L407" s="159">
        <v>41569</v>
      </c>
      <c r="S407" s="111">
        <v>2310.4499999999998</v>
      </c>
      <c r="T407" s="125">
        <v>41527</v>
      </c>
      <c r="U407" s="111">
        <v>10.8</v>
      </c>
      <c r="Y407" s="111">
        <v>1134.125</v>
      </c>
      <c r="Z407" s="125">
        <v>41527</v>
      </c>
      <c r="AA407" s="111" t="s">
        <v>7718</v>
      </c>
      <c r="AB407" s="125">
        <v>41527</v>
      </c>
      <c r="AE407">
        <v>52.75</v>
      </c>
      <c r="AF407" s="125">
        <v>41527</v>
      </c>
      <c r="AG407" s="111" t="s">
        <v>7718</v>
      </c>
      <c r="AH407" s="125">
        <v>41527</v>
      </c>
      <c r="AI407" s="111">
        <v>145</v>
      </c>
      <c r="AJ407" s="125">
        <v>41527</v>
      </c>
      <c r="BS407" s="111">
        <v>43.8</v>
      </c>
      <c r="BT407" s="125">
        <v>41527</v>
      </c>
      <c r="BU407">
        <v>21.5</v>
      </c>
      <c r="BV407" s="125">
        <v>41527</v>
      </c>
      <c r="CC407" s="111">
        <v>7.6</v>
      </c>
      <c r="CD407" s="125">
        <v>41527</v>
      </c>
      <c r="CG407" s="111">
        <v>0.78</v>
      </c>
      <c r="CH407" s="125">
        <v>41527</v>
      </c>
      <c r="CK407" s="111">
        <v>5</v>
      </c>
    </row>
    <row r="408" spans="1:89">
      <c r="A408" s="126" t="s">
        <v>7865</v>
      </c>
      <c r="B408" t="s">
        <v>257</v>
      </c>
      <c r="C408" t="s">
        <v>7795</v>
      </c>
      <c r="D408">
        <v>68</v>
      </c>
      <c r="E408" s="93">
        <v>4</v>
      </c>
      <c r="F408" s="93">
        <v>70</v>
      </c>
      <c r="K408" s="92">
        <v>5</v>
      </c>
      <c r="L408" s="159">
        <v>41569</v>
      </c>
      <c r="S408" s="111">
        <v>1921.0650000000001</v>
      </c>
      <c r="T408" s="125">
        <v>41527</v>
      </c>
      <c r="U408" s="111">
        <v>10.8</v>
      </c>
      <c r="Y408" s="111">
        <v>880.66800000000001</v>
      </c>
      <c r="Z408" s="125">
        <v>41527</v>
      </c>
      <c r="AA408" s="111">
        <v>91075.949370000002</v>
      </c>
      <c r="AB408" s="125">
        <v>41527</v>
      </c>
      <c r="AE408">
        <v>43.17</v>
      </c>
      <c r="AF408" s="125">
        <v>41527</v>
      </c>
      <c r="AG408" s="111">
        <v>4.74</v>
      </c>
      <c r="AH408" s="125">
        <v>41527</v>
      </c>
      <c r="AI408" s="111">
        <v>145</v>
      </c>
      <c r="AJ408" s="125">
        <v>41527</v>
      </c>
      <c r="BS408" s="111">
        <v>44.5</v>
      </c>
      <c r="BT408" s="125">
        <v>41527</v>
      </c>
      <c r="BU408">
        <v>20.399999999999999</v>
      </c>
      <c r="BV408" s="125">
        <v>41527</v>
      </c>
      <c r="CC408" s="111">
        <v>6.6</v>
      </c>
      <c r="CD408" s="125">
        <v>41527</v>
      </c>
      <c r="CG408" s="111">
        <v>1.32</v>
      </c>
      <c r="CH408" s="125">
        <v>41527</v>
      </c>
      <c r="CK408" s="111">
        <v>5</v>
      </c>
    </row>
    <row r="409" spans="1:89">
      <c r="A409" s="126" t="s">
        <v>7865</v>
      </c>
      <c r="B409" t="s">
        <v>259</v>
      </c>
      <c r="C409" t="s">
        <v>7795</v>
      </c>
      <c r="D409">
        <v>68</v>
      </c>
      <c r="E409" s="93">
        <v>3</v>
      </c>
      <c r="F409" s="93">
        <v>69</v>
      </c>
      <c r="K409" s="92">
        <v>5</v>
      </c>
      <c r="L409" s="159">
        <v>41569</v>
      </c>
      <c r="S409" s="111">
        <v>2268.2240000000002</v>
      </c>
      <c r="T409" s="125">
        <v>41527</v>
      </c>
      <c r="U409" s="111">
        <v>10.8</v>
      </c>
      <c r="Y409" s="111">
        <v>1216.4480000000001</v>
      </c>
      <c r="Z409" s="125">
        <v>41527</v>
      </c>
      <c r="AA409" s="111">
        <v>109300.4115</v>
      </c>
      <c r="AB409" s="125">
        <v>41527</v>
      </c>
      <c r="AE409">
        <v>53.12</v>
      </c>
      <c r="AF409" s="125">
        <v>41527</v>
      </c>
      <c r="AG409" s="111">
        <v>4.8600000000000003</v>
      </c>
      <c r="AH409" s="125">
        <v>41527</v>
      </c>
      <c r="AI409" s="111">
        <v>145</v>
      </c>
      <c r="AJ409" s="125">
        <v>41527</v>
      </c>
      <c r="BS409" s="111">
        <v>42.7</v>
      </c>
      <c r="BT409" s="125">
        <v>41527</v>
      </c>
      <c r="BU409">
        <v>22.9</v>
      </c>
      <c r="BV409" s="125">
        <v>41527</v>
      </c>
      <c r="CC409" s="111">
        <v>7.5</v>
      </c>
      <c r="CD409" s="125">
        <v>41527</v>
      </c>
      <c r="CG409" s="111">
        <v>1.45</v>
      </c>
      <c r="CH409" s="125">
        <v>41527</v>
      </c>
      <c r="CK409" s="111">
        <v>5</v>
      </c>
    </row>
    <row r="410" spans="1:89">
      <c r="A410" s="126" t="s">
        <v>7866</v>
      </c>
      <c r="B410" t="s">
        <v>257</v>
      </c>
      <c r="C410" t="s">
        <v>405</v>
      </c>
      <c r="D410">
        <v>69</v>
      </c>
      <c r="E410" s="93">
        <v>4</v>
      </c>
      <c r="F410" s="93">
        <v>21</v>
      </c>
      <c r="K410" s="92">
        <v>5</v>
      </c>
      <c r="L410" s="159">
        <v>41569</v>
      </c>
      <c r="S410" s="111">
        <v>1603.2840000000001</v>
      </c>
      <c r="T410" s="125">
        <v>41527</v>
      </c>
      <c r="U410" s="111">
        <v>10.8</v>
      </c>
      <c r="Y410" s="111">
        <v>729.42200000000003</v>
      </c>
      <c r="Z410" s="125">
        <v>41527</v>
      </c>
      <c r="AA410" s="111" t="s">
        <v>7718</v>
      </c>
      <c r="AB410" s="125">
        <v>41527</v>
      </c>
      <c r="AE410">
        <v>36.11</v>
      </c>
      <c r="AF410" s="125">
        <v>41527</v>
      </c>
      <c r="AG410" s="111" t="s">
        <v>7718</v>
      </c>
      <c r="AH410" s="125">
        <v>41527</v>
      </c>
      <c r="AI410" s="111">
        <v>135</v>
      </c>
      <c r="AJ410" s="125">
        <v>41527</v>
      </c>
      <c r="BS410" s="111">
        <v>44.4</v>
      </c>
      <c r="BT410" s="125">
        <v>41527</v>
      </c>
      <c r="BU410">
        <v>20.2</v>
      </c>
      <c r="BV410" s="125">
        <v>41527</v>
      </c>
      <c r="CC410" s="111">
        <v>8.1</v>
      </c>
      <c r="CD410" s="125">
        <v>41527</v>
      </c>
      <c r="CG410" s="111">
        <v>2.67</v>
      </c>
      <c r="CH410" s="125">
        <v>41527</v>
      </c>
      <c r="CK410" s="111">
        <v>10</v>
      </c>
    </row>
    <row r="411" spans="1:89">
      <c r="A411" s="126" t="s">
        <v>7866</v>
      </c>
      <c r="B411" t="s">
        <v>259</v>
      </c>
      <c r="C411" t="s">
        <v>405</v>
      </c>
      <c r="D411">
        <v>69</v>
      </c>
      <c r="E411" s="93">
        <v>1</v>
      </c>
      <c r="F411" s="93">
        <v>2</v>
      </c>
      <c r="K411" s="92">
        <v>7</v>
      </c>
      <c r="L411" s="159">
        <v>41569</v>
      </c>
      <c r="S411" s="111">
        <v>2027.1679999999999</v>
      </c>
      <c r="T411" s="125">
        <v>41527</v>
      </c>
      <c r="U411" s="111">
        <v>10.8</v>
      </c>
      <c r="Y411" s="111">
        <v>1169.52</v>
      </c>
      <c r="Z411" s="125">
        <v>41527</v>
      </c>
      <c r="AA411" s="111" t="s">
        <v>7718</v>
      </c>
      <c r="AB411" s="125">
        <v>41527</v>
      </c>
      <c r="AE411">
        <v>48.73</v>
      </c>
      <c r="AF411" s="125">
        <v>41527</v>
      </c>
      <c r="AG411" s="111" t="s">
        <v>7718</v>
      </c>
      <c r="AH411" s="125">
        <v>41527</v>
      </c>
      <c r="AI411" s="111">
        <v>135</v>
      </c>
      <c r="AJ411" s="125">
        <v>41527</v>
      </c>
      <c r="BS411" s="111">
        <v>41.6</v>
      </c>
      <c r="BT411" s="125">
        <v>41527</v>
      </c>
      <c r="BU411">
        <v>24</v>
      </c>
      <c r="BV411" s="125">
        <v>41527</v>
      </c>
      <c r="CC411" s="111">
        <v>12.3</v>
      </c>
      <c r="CD411" s="125">
        <v>41527</v>
      </c>
      <c r="CG411" s="111">
        <v>1.29</v>
      </c>
      <c r="CH411" s="125">
        <v>41527</v>
      </c>
      <c r="CK411" s="111">
        <v>20</v>
      </c>
    </row>
    <row r="412" spans="1:89">
      <c r="A412" s="126" t="s">
        <v>7866</v>
      </c>
      <c r="B412" t="s">
        <v>257</v>
      </c>
      <c r="C412" t="s">
        <v>7794</v>
      </c>
      <c r="D412">
        <v>69</v>
      </c>
      <c r="E412" s="93">
        <v>1</v>
      </c>
      <c r="F412" s="93">
        <v>31</v>
      </c>
      <c r="K412" s="92">
        <v>7</v>
      </c>
      <c r="L412" s="159">
        <v>41569</v>
      </c>
      <c r="S412" s="111">
        <v>1883.636</v>
      </c>
      <c r="T412" s="125">
        <v>41527</v>
      </c>
      <c r="U412" s="111">
        <v>10.8</v>
      </c>
      <c r="Y412" s="111">
        <v>863.15599999999995</v>
      </c>
      <c r="Z412" s="125">
        <v>41527</v>
      </c>
      <c r="AA412" s="111" t="s">
        <v>7718</v>
      </c>
      <c r="AB412" s="125">
        <v>41527</v>
      </c>
      <c r="AE412">
        <v>42.52</v>
      </c>
      <c r="AF412" s="125">
        <v>41527</v>
      </c>
      <c r="AG412" s="111" t="s">
        <v>7718</v>
      </c>
      <c r="AH412" s="125">
        <v>41527</v>
      </c>
      <c r="AI412" s="111">
        <v>140</v>
      </c>
      <c r="AJ412" s="125">
        <v>41527</v>
      </c>
      <c r="BS412" s="111">
        <v>44.3</v>
      </c>
      <c r="BT412" s="125">
        <v>41527</v>
      </c>
      <c r="BU412">
        <v>20.3</v>
      </c>
      <c r="BV412" s="125">
        <v>41527</v>
      </c>
      <c r="CC412" s="111">
        <v>6.6</v>
      </c>
      <c r="CD412" s="125">
        <v>41527</v>
      </c>
      <c r="CG412" s="111">
        <v>3.8</v>
      </c>
      <c r="CH412" s="125">
        <v>41527</v>
      </c>
      <c r="CK412" s="111">
        <v>20</v>
      </c>
    </row>
    <row r="413" spans="1:89">
      <c r="A413" s="126" t="s">
        <v>7866</v>
      </c>
      <c r="B413" t="s">
        <v>259</v>
      </c>
      <c r="C413" t="s">
        <v>7794</v>
      </c>
      <c r="D413">
        <v>69</v>
      </c>
      <c r="E413" s="93">
        <v>4</v>
      </c>
      <c r="F413" s="93">
        <v>35</v>
      </c>
      <c r="K413" s="92">
        <v>5</v>
      </c>
      <c r="L413" s="159">
        <v>41569</v>
      </c>
      <c r="S413" s="111">
        <v>2099.4499999999998</v>
      </c>
      <c r="T413" s="125">
        <v>41527</v>
      </c>
      <c r="U413" s="111">
        <v>10.8</v>
      </c>
      <c r="Y413" s="111">
        <v>1099.4749999999999</v>
      </c>
      <c r="Z413" s="125">
        <v>41527</v>
      </c>
      <c r="AA413" s="111" t="s">
        <v>7718</v>
      </c>
      <c r="AB413" s="125">
        <v>41527</v>
      </c>
      <c r="AE413">
        <v>49.75</v>
      </c>
      <c r="AF413" s="125">
        <v>41527</v>
      </c>
      <c r="AG413" s="111" t="s">
        <v>7718</v>
      </c>
      <c r="AH413" s="125">
        <v>41527</v>
      </c>
      <c r="AI413" s="111">
        <v>140</v>
      </c>
      <c r="AJ413" s="125">
        <v>41527</v>
      </c>
      <c r="BS413" s="111">
        <v>42.2</v>
      </c>
      <c r="BT413" s="125">
        <v>41527</v>
      </c>
      <c r="BU413">
        <v>22.1</v>
      </c>
      <c r="BV413" s="125">
        <v>41527</v>
      </c>
      <c r="CC413" s="111">
        <v>8.6999999999999993</v>
      </c>
      <c r="CD413" s="125">
        <v>41527</v>
      </c>
      <c r="CG413" s="111">
        <v>2.7</v>
      </c>
      <c r="CH413" s="125">
        <v>41527</v>
      </c>
      <c r="CK413" s="111">
        <v>20</v>
      </c>
    </row>
    <row r="414" spans="1:89">
      <c r="A414" s="126" t="s">
        <v>7866</v>
      </c>
      <c r="B414" t="s">
        <v>257</v>
      </c>
      <c r="C414" t="s">
        <v>7795</v>
      </c>
      <c r="D414">
        <v>69</v>
      </c>
      <c r="E414" s="93">
        <v>6</v>
      </c>
      <c r="F414" s="93">
        <v>61</v>
      </c>
      <c r="K414" s="92">
        <v>3</v>
      </c>
      <c r="L414" s="159">
        <v>41569</v>
      </c>
      <c r="S414" s="111">
        <v>1763.58</v>
      </c>
      <c r="T414" s="125">
        <v>41527</v>
      </c>
      <c r="U414" s="111">
        <v>10.8</v>
      </c>
      <c r="Y414" s="111">
        <v>805.98</v>
      </c>
      <c r="Z414" s="125">
        <v>41527</v>
      </c>
      <c r="AA414" s="111">
        <v>89062.5</v>
      </c>
      <c r="AB414" s="125">
        <v>41527</v>
      </c>
      <c r="AE414">
        <v>39.9</v>
      </c>
      <c r="AF414" s="125">
        <v>41527</v>
      </c>
      <c r="AG414" s="111">
        <v>4.4800000000000004</v>
      </c>
      <c r="AH414" s="125">
        <v>41527</v>
      </c>
      <c r="AI414" s="111">
        <v>135</v>
      </c>
      <c r="AJ414" s="125">
        <v>41527</v>
      </c>
      <c r="BS414" s="111">
        <v>44.2</v>
      </c>
      <c r="BT414" s="125">
        <v>41527</v>
      </c>
      <c r="BU414">
        <v>20.2</v>
      </c>
      <c r="BV414" s="125">
        <v>41527</v>
      </c>
      <c r="CC414" s="111">
        <v>8.1999999999999993</v>
      </c>
      <c r="CD414" s="125">
        <v>41527</v>
      </c>
      <c r="CG414" s="111">
        <v>0.15</v>
      </c>
      <c r="CH414" s="125">
        <v>41527</v>
      </c>
      <c r="CK414" s="111">
        <v>10</v>
      </c>
    </row>
    <row r="415" spans="1:89">
      <c r="A415" s="126" t="s">
        <v>7866</v>
      </c>
      <c r="B415" t="s">
        <v>259</v>
      </c>
      <c r="C415" t="s">
        <v>7795</v>
      </c>
      <c r="D415">
        <v>69</v>
      </c>
      <c r="E415" s="93">
        <v>2</v>
      </c>
      <c r="F415" s="93">
        <v>73</v>
      </c>
      <c r="K415" s="92">
        <v>5</v>
      </c>
      <c r="L415" s="159">
        <v>41569</v>
      </c>
      <c r="S415" s="111">
        <v>1862.6320000000001</v>
      </c>
      <c r="T415" s="125">
        <v>41527</v>
      </c>
      <c r="U415" s="111">
        <v>10.8</v>
      </c>
      <c r="Y415" s="111">
        <v>979.63900000000001</v>
      </c>
      <c r="Z415" s="125">
        <v>41527</v>
      </c>
      <c r="AA415" s="111">
        <v>105347.7218</v>
      </c>
      <c r="AB415" s="125">
        <v>41527</v>
      </c>
      <c r="AE415">
        <v>43.93</v>
      </c>
      <c r="AF415" s="125">
        <v>41527</v>
      </c>
      <c r="AG415" s="111">
        <v>4.17</v>
      </c>
      <c r="AH415" s="125">
        <v>41527</v>
      </c>
      <c r="AI415" s="111">
        <v>135</v>
      </c>
      <c r="AJ415" s="125">
        <v>41527</v>
      </c>
      <c r="BS415" s="111">
        <v>42.4</v>
      </c>
      <c r="BT415" s="125">
        <v>41527</v>
      </c>
      <c r="BU415">
        <v>22.3</v>
      </c>
      <c r="BV415" s="125">
        <v>41527</v>
      </c>
      <c r="CC415" s="111">
        <v>7.7</v>
      </c>
      <c r="CD415" s="125">
        <v>41527</v>
      </c>
      <c r="CG415" s="111">
        <v>3.99</v>
      </c>
      <c r="CH415" s="125">
        <v>41527</v>
      </c>
      <c r="CK415" s="111">
        <v>30</v>
      </c>
    </row>
    <row r="416" spans="1:89">
      <c r="A416" s="126" t="s">
        <v>7867</v>
      </c>
      <c r="B416" t="s">
        <v>257</v>
      </c>
      <c r="C416" t="s">
        <v>405</v>
      </c>
      <c r="D416">
        <v>70</v>
      </c>
      <c r="E416" s="93">
        <v>5</v>
      </c>
      <c r="F416" s="93">
        <v>5</v>
      </c>
      <c r="K416" s="92">
        <v>5</v>
      </c>
      <c r="L416" s="159">
        <v>41569</v>
      </c>
      <c r="S416" s="111">
        <v>1852.74</v>
      </c>
      <c r="T416" s="125">
        <v>41527</v>
      </c>
      <c r="U416" s="111">
        <v>10.8</v>
      </c>
      <c r="Y416" s="111">
        <v>854.46</v>
      </c>
      <c r="Z416" s="125">
        <v>41527</v>
      </c>
      <c r="AA416" s="111" t="s">
        <v>7718</v>
      </c>
      <c r="AB416" s="125">
        <v>41527</v>
      </c>
      <c r="AE416">
        <v>42.3</v>
      </c>
      <c r="AF416" s="125">
        <v>41527</v>
      </c>
      <c r="AG416" s="111" t="s">
        <v>7718</v>
      </c>
      <c r="AH416" s="125">
        <v>41527</v>
      </c>
      <c r="AI416" s="111">
        <v>125</v>
      </c>
      <c r="AJ416" s="125">
        <v>41527</v>
      </c>
      <c r="BS416" s="111">
        <v>43.8</v>
      </c>
      <c r="BT416" s="125">
        <v>41527</v>
      </c>
      <c r="BU416">
        <v>20.2</v>
      </c>
      <c r="BV416" s="125">
        <v>41527</v>
      </c>
      <c r="CC416" s="111">
        <v>10.3</v>
      </c>
      <c r="CD416" s="125">
        <v>41527</v>
      </c>
      <c r="CG416" s="111">
        <v>3.76</v>
      </c>
      <c r="CH416" s="125">
        <v>41527</v>
      </c>
      <c r="CK416" s="111">
        <v>5</v>
      </c>
    </row>
    <row r="417" spans="1:89">
      <c r="A417" s="126" t="s">
        <v>7867</v>
      </c>
      <c r="B417" t="s">
        <v>259</v>
      </c>
      <c r="C417" t="s">
        <v>405</v>
      </c>
      <c r="D417">
        <v>70</v>
      </c>
      <c r="E417" s="93">
        <v>3</v>
      </c>
      <c r="F417" s="93">
        <v>24</v>
      </c>
      <c r="K417" s="92">
        <v>5</v>
      </c>
      <c r="L417" s="159">
        <v>41569</v>
      </c>
      <c r="S417" s="111">
        <v>2354.654</v>
      </c>
      <c r="T417" s="125">
        <v>41527</v>
      </c>
      <c r="U417" s="111">
        <v>10.8</v>
      </c>
      <c r="Y417" s="111">
        <v>1120.2280000000001</v>
      </c>
      <c r="Z417" s="125">
        <v>41527</v>
      </c>
      <c r="AA417" s="111" t="s">
        <v>7718</v>
      </c>
      <c r="AB417" s="125">
        <v>41527</v>
      </c>
      <c r="AE417">
        <v>54.38</v>
      </c>
      <c r="AF417" s="125">
        <v>41527</v>
      </c>
      <c r="AG417" s="111" t="s">
        <v>7718</v>
      </c>
      <c r="AH417" s="125">
        <v>41527</v>
      </c>
      <c r="AI417" s="111">
        <v>145</v>
      </c>
      <c r="AJ417" s="125">
        <v>41527</v>
      </c>
      <c r="BS417" s="111">
        <v>43.3</v>
      </c>
      <c r="BT417" s="125">
        <v>41527</v>
      </c>
      <c r="BU417">
        <v>20.6</v>
      </c>
      <c r="BV417" s="125">
        <v>41527</v>
      </c>
      <c r="CC417" s="111">
        <v>8.8000000000000007</v>
      </c>
      <c r="CD417" s="125">
        <v>41527</v>
      </c>
      <c r="CG417" s="111">
        <v>1.41</v>
      </c>
      <c r="CH417" s="125">
        <v>41527</v>
      </c>
      <c r="CK417" s="111">
        <v>1</v>
      </c>
    </row>
    <row r="418" spans="1:89">
      <c r="A418" s="126" t="s">
        <v>7867</v>
      </c>
      <c r="B418" t="s">
        <v>257</v>
      </c>
      <c r="C418" t="s">
        <v>7794</v>
      </c>
      <c r="D418">
        <v>70</v>
      </c>
      <c r="E418" s="93">
        <v>2</v>
      </c>
      <c r="F418" s="93">
        <v>51</v>
      </c>
      <c r="K418" s="92">
        <v>5</v>
      </c>
      <c r="L418" s="159">
        <v>41569</v>
      </c>
      <c r="S418" s="111">
        <v>1953.9179999999999</v>
      </c>
      <c r="T418" s="125">
        <v>41527</v>
      </c>
      <c r="U418" s="111">
        <v>10.8</v>
      </c>
      <c r="Y418" s="111">
        <v>860.97299999999996</v>
      </c>
      <c r="Z418" s="125">
        <v>41527</v>
      </c>
      <c r="AA418" s="111" t="s">
        <v>7718</v>
      </c>
      <c r="AB418" s="125">
        <v>41527</v>
      </c>
      <c r="AE418">
        <v>44.61</v>
      </c>
      <c r="AF418" s="125">
        <v>41527</v>
      </c>
      <c r="AG418" s="111" t="s">
        <v>7718</v>
      </c>
      <c r="AH418" s="125">
        <v>41527</v>
      </c>
      <c r="AI418" s="111">
        <v>140</v>
      </c>
      <c r="AJ418" s="125">
        <v>41527</v>
      </c>
      <c r="BS418" s="111">
        <v>43.8</v>
      </c>
      <c r="BT418" s="125">
        <v>41527</v>
      </c>
      <c r="BU418">
        <v>19.3</v>
      </c>
      <c r="BV418" s="125">
        <v>41527</v>
      </c>
      <c r="CC418" s="111">
        <v>9.1999999999999993</v>
      </c>
      <c r="CD418" s="125">
        <v>41527</v>
      </c>
      <c r="CG418" s="111">
        <v>4.4000000000000004</v>
      </c>
      <c r="CH418" s="125">
        <v>41527</v>
      </c>
      <c r="CK418" s="111">
        <v>1</v>
      </c>
    </row>
    <row r="419" spans="1:89">
      <c r="A419" s="126" t="s">
        <v>7867</v>
      </c>
      <c r="B419" t="s">
        <v>259</v>
      </c>
      <c r="C419" t="s">
        <v>7794</v>
      </c>
      <c r="D419">
        <v>70</v>
      </c>
      <c r="E419" s="93">
        <v>6</v>
      </c>
      <c r="F419" s="93">
        <v>58</v>
      </c>
      <c r="K419" s="92">
        <v>5</v>
      </c>
      <c r="L419" s="159">
        <v>41569</v>
      </c>
      <c r="S419" s="111">
        <v>1433.9680000000001</v>
      </c>
      <c r="T419" s="125">
        <v>41527</v>
      </c>
      <c r="U419" s="111">
        <v>10.8</v>
      </c>
      <c r="Y419" s="111">
        <v>737.27599999999995</v>
      </c>
      <c r="Z419" s="125">
        <v>41527</v>
      </c>
      <c r="AA419" s="111" t="s">
        <v>7718</v>
      </c>
      <c r="AB419" s="125">
        <v>41527</v>
      </c>
      <c r="AE419">
        <v>33.82</v>
      </c>
      <c r="AF419" s="125">
        <v>41527</v>
      </c>
      <c r="AG419" s="111" t="s">
        <v>7718</v>
      </c>
      <c r="AH419" s="125">
        <v>41527</v>
      </c>
      <c r="AI419" s="111">
        <v>120</v>
      </c>
      <c r="AJ419" s="125">
        <v>41527</v>
      </c>
      <c r="BS419" s="111">
        <v>42.4</v>
      </c>
      <c r="BT419" s="125">
        <v>41527</v>
      </c>
      <c r="BU419">
        <v>21.8</v>
      </c>
      <c r="BV419" s="125">
        <v>41527</v>
      </c>
      <c r="CC419" s="111">
        <v>6.1</v>
      </c>
      <c r="CD419" s="125">
        <v>41527</v>
      </c>
      <c r="CG419" s="111">
        <v>2.64</v>
      </c>
      <c r="CH419" s="125">
        <v>41527</v>
      </c>
      <c r="CK419" s="111">
        <v>1</v>
      </c>
    </row>
    <row r="420" spans="1:89">
      <c r="A420" s="126" t="s">
        <v>7867</v>
      </c>
      <c r="B420" t="s">
        <v>257</v>
      </c>
      <c r="C420" t="s">
        <v>7795</v>
      </c>
      <c r="D420">
        <v>70</v>
      </c>
      <c r="E420" s="93">
        <v>5</v>
      </c>
      <c r="F420" s="93">
        <v>61</v>
      </c>
      <c r="K420" s="92">
        <v>5</v>
      </c>
      <c r="L420" s="159">
        <v>41569</v>
      </c>
      <c r="S420" s="111">
        <v>1868.6120000000001</v>
      </c>
      <c r="T420" s="125">
        <v>41527</v>
      </c>
      <c r="U420" s="111">
        <v>10.8</v>
      </c>
      <c r="Y420" s="111">
        <v>855.2</v>
      </c>
      <c r="Z420" s="125">
        <v>41527</v>
      </c>
      <c r="AA420" s="111">
        <v>86383.838380000001</v>
      </c>
      <c r="AB420" s="125">
        <v>41527</v>
      </c>
      <c r="AE420">
        <v>42.76</v>
      </c>
      <c r="AF420" s="125">
        <v>41527</v>
      </c>
      <c r="AG420" s="111">
        <v>4.95</v>
      </c>
      <c r="AH420" s="125">
        <v>41527</v>
      </c>
      <c r="AI420" s="111">
        <v>125</v>
      </c>
      <c r="AJ420" s="125">
        <v>41527</v>
      </c>
      <c r="BS420" s="111">
        <v>43.7</v>
      </c>
      <c r="BT420" s="125">
        <v>41527</v>
      </c>
      <c r="BU420">
        <v>20</v>
      </c>
      <c r="BV420" s="125">
        <v>41527</v>
      </c>
      <c r="CC420" s="111">
        <v>8.1999999999999993</v>
      </c>
      <c r="CD420" s="125">
        <v>41527</v>
      </c>
      <c r="CG420" s="111">
        <v>0.76</v>
      </c>
      <c r="CH420" s="125">
        <v>41527</v>
      </c>
      <c r="CK420" s="111">
        <v>5</v>
      </c>
    </row>
    <row r="421" spans="1:89">
      <c r="A421" s="126" t="s">
        <v>7867</v>
      </c>
      <c r="B421" t="s">
        <v>259</v>
      </c>
      <c r="C421" t="s">
        <v>7795</v>
      </c>
      <c r="D421">
        <v>70</v>
      </c>
      <c r="E421" s="93">
        <v>3</v>
      </c>
      <c r="F421" s="93">
        <v>61</v>
      </c>
      <c r="K421" s="92">
        <v>5</v>
      </c>
      <c r="L421" s="159">
        <v>41569</v>
      </c>
      <c r="S421" s="111">
        <v>2237.8719999999998</v>
      </c>
      <c r="T421" s="125">
        <v>41527</v>
      </c>
      <c r="U421" s="111">
        <v>10.8</v>
      </c>
      <c r="Y421" s="111">
        <v>1300.8320000000001</v>
      </c>
      <c r="Z421" s="125">
        <v>41527</v>
      </c>
      <c r="AA421" s="111">
        <v>110460.9218</v>
      </c>
      <c r="AB421" s="125">
        <v>41527</v>
      </c>
      <c r="AE421">
        <v>55.12</v>
      </c>
      <c r="AF421" s="125">
        <v>41527</v>
      </c>
      <c r="AG421" s="111">
        <v>4.99</v>
      </c>
      <c r="AH421" s="125">
        <v>41527</v>
      </c>
      <c r="AI421" s="111">
        <v>140</v>
      </c>
      <c r="AJ421" s="125">
        <v>41527</v>
      </c>
      <c r="BS421" s="111">
        <v>40.6</v>
      </c>
      <c r="BT421" s="125">
        <v>41527</v>
      </c>
      <c r="BU421">
        <v>23.6</v>
      </c>
      <c r="BV421" s="125">
        <v>41527</v>
      </c>
      <c r="CC421" s="111">
        <v>9.1</v>
      </c>
      <c r="CD421" s="125">
        <v>41527</v>
      </c>
      <c r="CG421" s="111">
        <v>3.31</v>
      </c>
      <c r="CH421" s="125">
        <v>41527</v>
      </c>
      <c r="CK421" s="111">
        <v>5</v>
      </c>
    </row>
    <row r="422" spans="1:89">
      <c r="A422" s="126" t="s">
        <v>7868</v>
      </c>
      <c r="B422" t="s">
        <v>257</v>
      </c>
      <c r="C422" t="s">
        <v>405</v>
      </c>
      <c r="D422">
        <v>71</v>
      </c>
      <c r="E422" s="93">
        <v>6</v>
      </c>
      <c r="F422" s="93">
        <v>16</v>
      </c>
      <c r="K422" s="92">
        <v>3</v>
      </c>
      <c r="L422" s="159">
        <v>41569</v>
      </c>
      <c r="S422" s="111">
        <v>1406.2660000000001</v>
      </c>
      <c r="T422" s="125">
        <v>41527</v>
      </c>
      <c r="U422" s="111">
        <v>10.8</v>
      </c>
      <c r="Y422" s="111">
        <v>662.90800000000002</v>
      </c>
      <c r="Z422" s="125">
        <v>41527</v>
      </c>
      <c r="AA422" s="111" t="s">
        <v>7718</v>
      </c>
      <c r="AB422" s="125">
        <v>41527</v>
      </c>
      <c r="AE422">
        <v>32.18</v>
      </c>
      <c r="AF422" s="125">
        <v>41527</v>
      </c>
      <c r="AG422" s="111" t="s">
        <v>7718</v>
      </c>
      <c r="AH422" s="125">
        <v>41527</v>
      </c>
      <c r="AI422" s="111">
        <v>120</v>
      </c>
      <c r="AJ422" s="125">
        <v>41527</v>
      </c>
      <c r="BS422" s="111">
        <v>43.7</v>
      </c>
      <c r="BT422" s="125">
        <v>41527</v>
      </c>
      <c r="BU422">
        <v>20.6</v>
      </c>
      <c r="BV422" s="125">
        <v>41527</v>
      </c>
      <c r="CC422" s="111">
        <v>7</v>
      </c>
      <c r="CD422" s="125">
        <v>41527</v>
      </c>
      <c r="CG422" s="111">
        <v>7.44</v>
      </c>
      <c r="CH422" s="125">
        <v>41527</v>
      </c>
      <c r="CK422" s="111">
        <v>5</v>
      </c>
    </row>
    <row r="423" spans="1:89">
      <c r="A423" s="126" t="s">
        <v>7868</v>
      </c>
      <c r="B423" t="s">
        <v>259</v>
      </c>
      <c r="C423" t="s">
        <v>405</v>
      </c>
      <c r="D423">
        <v>71</v>
      </c>
      <c r="E423" s="93">
        <v>3</v>
      </c>
      <c r="F423" s="93">
        <v>9</v>
      </c>
      <c r="K423" s="92">
        <v>3</v>
      </c>
      <c r="L423" s="159">
        <v>41569</v>
      </c>
      <c r="S423" s="111">
        <v>1961.028</v>
      </c>
      <c r="T423" s="125">
        <v>41527</v>
      </c>
      <c r="U423" s="111">
        <v>10.8</v>
      </c>
      <c r="Y423" s="111">
        <v>1033.828</v>
      </c>
      <c r="Z423" s="125">
        <v>41527</v>
      </c>
      <c r="AA423" s="111" t="s">
        <v>7718</v>
      </c>
      <c r="AB423" s="125">
        <v>41527</v>
      </c>
      <c r="AE423">
        <v>46.36</v>
      </c>
      <c r="AF423" s="125">
        <v>41527</v>
      </c>
      <c r="AG423" s="111" t="s">
        <v>7718</v>
      </c>
      <c r="AH423" s="125">
        <v>41527</v>
      </c>
      <c r="AI423" s="111">
        <v>130</v>
      </c>
      <c r="AJ423" s="125">
        <v>41527</v>
      </c>
      <c r="BS423" s="111">
        <v>42.3</v>
      </c>
      <c r="BT423" s="125">
        <v>41527</v>
      </c>
      <c r="BU423">
        <v>22.3</v>
      </c>
      <c r="BV423" s="125">
        <v>41527</v>
      </c>
      <c r="CC423" s="111">
        <v>7.9</v>
      </c>
      <c r="CD423" s="125">
        <v>41527</v>
      </c>
      <c r="CG423" s="111">
        <v>0.97</v>
      </c>
      <c r="CH423" s="125">
        <v>41527</v>
      </c>
      <c r="CK423" s="111">
        <v>5</v>
      </c>
    </row>
    <row r="424" spans="1:89">
      <c r="A424" s="126" t="s">
        <v>7868</v>
      </c>
      <c r="B424" t="s">
        <v>257</v>
      </c>
      <c r="C424" t="s">
        <v>7794</v>
      </c>
      <c r="D424">
        <v>71</v>
      </c>
      <c r="E424" s="93">
        <v>1</v>
      </c>
      <c r="F424" s="93">
        <v>32</v>
      </c>
      <c r="K424" s="92">
        <v>7</v>
      </c>
      <c r="L424" s="159">
        <v>41569</v>
      </c>
      <c r="S424" s="111">
        <v>1870.36</v>
      </c>
      <c r="T424" s="125">
        <v>41527</v>
      </c>
      <c r="U424" s="111">
        <v>10.8</v>
      </c>
      <c r="Y424" s="111">
        <v>843.16</v>
      </c>
      <c r="Z424" s="125">
        <v>41527</v>
      </c>
      <c r="AA424" s="111" t="s">
        <v>7718</v>
      </c>
      <c r="AB424" s="125">
        <v>41527</v>
      </c>
      <c r="AE424">
        <v>42.8</v>
      </c>
      <c r="AF424" s="125">
        <v>41527</v>
      </c>
      <c r="AG424" s="111" t="s">
        <v>7718</v>
      </c>
      <c r="AH424" s="125">
        <v>41527</v>
      </c>
      <c r="AI424" s="111">
        <v>125</v>
      </c>
      <c r="AJ424" s="125">
        <v>41527</v>
      </c>
      <c r="BS424" s="111">
        <v>43.7</v>
      </c>
      <c r="BT424" s="125">
        <v>41527</v>
      </c>
      <c r="BU424">
        <v>19.7</v>
      </c>
      <c r="BV424" s="125">
        <v>41527</v>
      </c>
      <c r="CC424" s="111">
        <v>6.1</v>
      </c>
      <c r="CD424" s="125">
        <v>41527</v>
      </c>
      <c r="CG424" s="111">
        <v>2.3199999999999998</v>
      </c>
      <c r="CH424" s="125">
        <v>41527</v>
      </c>
      <c r="CK424" s="111">
        <v>5</v>
      </c>
    </row>
    <row r="425" spans="1:89">
      <c r="A425" s="126" t="s">
        <v>7868</v>
      </c>
      <c r="B425" t="s">
        <v>259</v>
      </c>
      <c r="C425" t="s">
        <v>7794</v>
      </c>
      <c r="D425">
        <v>71</v>
      </c>
      <c r="E425" s="93">
        <v>4</v>
      </c>
      <c r="F425" s="93">
        <v>31</v>
      </c>
      <c r="K425" s="92">
        <v>5</v>
      </c>
      <c r="L425" s="159">
        <v>41569</v>
      </c>
      <c r="S425" s="111">
        <v>2118.3040000000001</v>
      </c>
      <c r="T425" s="125">
        <v>41527</v>
      </c>
      <c r="U425" s="111">
        <v>10.8</v>
      </c>
      <c r="Y425" s="111">
        <v>1089.1279999999999</v>
      </c>
      <c r="Z425" s="125">
        <v>41527</v>
      </c>
      <c r="AA425" s="111" t="s">
        <v>7718</v>
      </c>
      <c r="AB425" s="125">
        <v>41527</v>
      </c>
      <c r="AE425">
        <v>49.96</v>
      </c>
      <c r="AF425" s="125">
        <v>41527</v>
      </c>
      <c r="AG425" s="111" t="s">
        <v>7718</v>
      </c>
      <c r="AH425" s="125">
        <v>41527</v>
      </c>
      <c r="AI425" s="111">
        <v>125</v>
      </c>
      <c r="AJ425" s="125">
        <v>41527</v>
      </c>
      <c r="BS425" s="111">
        <v>42.4</v>
      </c>
      <c r="BT425" s="125">
        <v>41527</v>
      </c>
      <c r="BU425">
        <v>21.8</v>
      </c>
      <c r="BV425" s="125">
        <v>41527</v>
      </c>
      <c r="CC425" s="111">
        <v>5.8</v>
      </c>
      <c r="CD425" s="125">
        <v>41527</v>
      </c>
      <c r="CG425" s="111">
        <v>2.2999999999999998</v>
      </c>
      <c r="CH425" s="125">
        <v>41527</v>
      </c>
      <c r="CK425" s="111">
        <v>5</v>
      </c>
    </row>
    <row r="426" spans="1:89">
      <c r="A426" s="126" t="s">
        <v>7868</v>
      </c>
      <c r="B426" t="s">
        <v>257</v>
      </c>
      <c r="C426" t="s">
        <v>7795</v>
      </c>
      <c r="D426">
        <v>71</v>
      </c>
      <c r="E426" s="93">
        <v>5</v>
      </c>
      <c r="F426" s="93">
        <v>65</v>
      </c>
      <c r="K426" s="92">
        <v>5</v>
      </c>
      <c r="L426" s="159">
        <v>41569</v>
      </c>
      <c r="S426" s="111">
        <v>1521.0239999999999</v>
      </c>
      <c r="T426" s="125">
        <v>41527</v>
      </c>
      <c r="U426" s="111">
        <v>10.8</v>
      </c>
      <c r="Y426" s="111">
        <v>846.25599999999997</v>
      </c>
      <c r="Z426" s="125">
        <v>41527</v>
      </c>
      <c r="AA426" s="111">
        <v>78484.210529999997</v>
      </c>
      <c r="AB426" s="125">
        <v>41527</v>
      </c>
      <c r="AE426">
        <v>37.28</v>
      </c>
      <c r="AF426" s="125">
        <v>41527</v>
      </c>
      <c r="AG426" s="111">
        <v>4.75</v>
      </c>
      <c r="AH426" s="125">
        <v>41527</v>
      </c>
      <c r="AI426" s="111">
        <v>120</v>
      </c>
      <c r="AJ426" s="125">
        <v>41527</v>
      </c>
      <c r="BS426" s="111">
        <v>40.799999999999997</v>
      </c>
      <c r="BT426" s="125">
        <v>41527</v>
      </c>
      <c r="BU426">
        <v>22.7</v>
      </c>
      <c r="BV426" s="125">
        <v>41527</v>
      </c>
      <c r="CC426" s="111">
        <v>8.4</v>
      </c>
      <c r="CD426" s="125">
        <v>41527</v>
      </c>
      <c r="CG426" s="111">
        <v>1.71</v>
      </c>
      <c r="CH426" s="125">
        <v>41527</v>
      </c>
      <c r="CK426" s="111">
        <v>10</v>
      </c>
    </row>
    <row r="427" spans="1:89">
      <c r="A427" s="126" t="s">
        <v>7868</v>
      </c>
      <c r="B427" t="s">
        <v>259</v>
      </c>
      <c r="C427" t="s">
        <v>7795</v>
      </c>
      <c r="D427">
        <v>71</v>
      </c>
      <c r="E427" s="93">
        <v>1</v>
      </c>
      <c r="F427" s="93">
        <v>72</v>
      </c>
      <c r="K427" s="92">
        <v>5</v>
      </c>
      <c r="L427" s="159">
        <v>41569</v>
      </c>
      <c r="S427" s="111">
        <v>1373.9090000000001</v>
      </c>
      <c r="T427" s="125">
        <v>41527</v>
      </c>
      <c r="U427" s="111">
        <v>10.8</v>
      </c>
      <c r="Y427" s="111">
        <v>666.33</v>
      </c>
      <c r="Z427" s="125">
        <v>41527</v>
      </c>
      <c r="AA427" s="111">
        <v>65020.491800000003</v>
      </c>
      <c r="AB427" s="125">
        <v>41527</v>
      </c>
      <c r="AE427">
        <v>31.73</v>
      </c>
      <c r="AF427" s="125">
        <v>41527</v>
      </c>
      <c r="AG427" s="111">
        <v>4.88</v>
      </c>
      <c r="AH427" s="125">
        <v>41527</v>
      </c>
      <c r="AI427" s="111">
        <v>120</v>
      </c>
      <c r="AJ427" s="125">
        <v>41527</v>
      </c>
      <c r="BS427" s="111">
        <v>43.3</v>
      </c>
      <c r="BT427" s="125">
        <v>41527</v>
      </c>
      <c r="BU427">
        <v>21</v>
      </c>
      <c r="BV427" s="125">
        <v>41527</v>
      </c>
      <c r="CC427" s="111">
        <v>6.9</v>
      </c>
      <c r="CD427" s="125">
        <v>41527</v>
      </c>
      <c r="CG427" s="111">
        <v>4.3600000000000003</v>
      </c>
      <c r="CH427" s="125">
        <v>41527</v>
      </c>
      <c r="CK427" s="111">
        <v>5</v>
      </c>
    </row>
    <row r="428" spans="1:89">
      <c r="A428" s="126" t="s">
        <v>7869</v>
      </c>
      <c r="B428" t="s">
        <v>257</v>
      </c>
      <c r="C428" t="s">
        <v>405</v>
      </c>
      <c r="D428">
        <v>72</v>
      </c>
      <c r="E428" s="93">
        <v>5</v>
      </c>
      <c r="F428" s="93">
        <v>28</v>
      </c>
      <c r="K428" s="92">
        <v>3</v>
      </c>
      <c r="L428" s="159">
        <v>41569</v>
      </c>
      <c r="S428" s="111">
        <v>1522.336</v>
      </c>
      <c r="T428" s="125">
        <v>41527</v>
      </c>
      <c r="U428" s="111">
        <v>10.8</v>
      </c>
      <c r="Y428" s="111">
        <v>639.91999999999996</v>
      </c>
      <c r="Z428" s="125">
        <v>41527</v>
      </c>
      <c r="AA428" s="111" t="s">
        <v>7718</v>
      </c>
      <c r="AB428" s="125">
        <v>41527</v>
      </c>
      <c r="AE428">
        <v>33.68</v>
      </c>
      <c r="AF428" s="125">
        <v>41527</v>
      </c>
      <c r="AG428" s="111" t="s">
        <v>7718</v>
      </c>
      <c r="AH428" s="125">
        <v>41527</v>
      </c>
      <c r="AI428" s="111">
        <v>120</v>
      </c>
      <c r="AJ428" s="125">
        <v>41527</v>
      </c>
      <c r="BS428" s="111">
        <v>45.2</v>
      </c>
      <c r="BT428" s="125">
        <v>41527</v>
      </c>
      <c r="BU428">
        <v>19</v>
      </c>
      <c r="BV428" s="125">
        <v>41527</v>
      </c>
      <c r="CC428" s="111">
        <v>11.4</v>
      </c>
      <c r="CD428" s="125">
        <v>41527</v>
      </c>
      <c r="CG428" s="111">
        <v>5.97</v>
      </c>
      <c r="CH428" s="125">
        <v>41527</v>
      </c>
      <c r="CK428" s="111">
        <v>5</v>
      </c>
    </row>
    <row r="429" spans="1:89">
      <c r="A429" s="126" t="s">
        <v>7869</v>
      </c>
      <c r="B429" t="s">
        <v>259</v>
      </c>
      <c r="C429" t="s">
        <v>405</v>
      </c>
      <c r="D429">
        <v>72</v>
      </c>
      <c r="E429" s="93">
        <v>2</v>
      </c>
      <c r="F429" s="93">
        <v>28</v>
      </c>
      <c r="K429" s="92">
        <v>5</v>
      </c>
      <c r="L429" s="159">
        <v>41569</v>
      </c>
      <c r="S429" s="111">
        <v>1993.152</v>
      </c>
      <c r="T429" s="125">
        <v>41527</v>
      </c>
      <c r="U429" s="111">
        <v>10.8</v>
      </c>
      <c r="Y429" s="111">
        <v>943.18799999999999</v>
      </c>
      <c r="Z429" s="125">
        <v>41527</v>
      </c>
      <c r="AA429" s="111" t="s">
        <v>7718</v>
      </c>
      <c r="AB429" s="125">
        <v>41527</v>
      </c>
      <c r="AE429">
        <v>44.49</v>
      </c>
      <c r="AF429" s="125">
        <v>41527</v>
      </c>
      <c r="AG429" s="111" t="s">
        <v>7718</v>
      </c>
      <c r="AH429" s="125">
        <v>41527</v>
      </c>
      <c r="AI429" s="111">
        <v>125</v>
      </c>
      <c r="AJ429" s="125">
        <v>41527</v>
      </c>
      <c r="BS429" s="111">
        <v>44.8</v>
      </c>
      <c r="BT429" s="125">
        <v>41527</v>
      </c>
      <c r="BU429">
        <v>21.2</v>
      </c>
      <c r="BV429" s="125">
        <v>41527</v>
      </c>
      <c r="CC429" s="111">
        <v>13.6</v>
      </c>
      <c r="CD429" s="125">
        <v>41527</v>
      </c>
      <c r="CG429" s="111">
        <v>3.21</v>
      </c>
      <c r="CH429" s="125">
        <v>41527</v>
      </c>
      <c r="CK429" s="111">
        <v>5</v>
      </c>
    </row>
    <row r="430" spans="1:89">
      <c r="A430" s="126" t="s">
        <v>7869</v>
      </c>
      <c r="B430" t="s">
        <v>257</v>
      </c>
      <c r="C430" t="s">
        <v>7794</v>
      </c>
      <c r="D430">
        <v>72</v>
      </c>
      <c r="E430" s="93">
        <v>3</v>
      </c>
      <c r="F430" s="93">
        <v>42</v>
      </c>
      <c r="K430" s="92">
        <v>5</v>
      </c>
      <c r="L430" s="159">
        <v>41569</v>
      </c>
      <c r="S430" s="111">
        <v>1919.0050000000001</v>
      </c>
      <c r="T430" s="125">
        <v>41527</v>
      </c>
      <c r="U430" s="111">
        <v>10.8</v>
      </c>
      <c r="Y430" s="111">
        <v>816.96</v>
      </c>
      <c r="Z430" s="125">
        <v>41527</v>
      </c>
      <c r="AA430" s="111" t="s">
        <v>7718</v>
      </c>
      <c r="AB430" s="125">
        <v>41527</v>
      </c>
      <c r="AE430">
        <v>42.55</v>
      </c>
      <c r="AF430" s="125">
        <v>41527</v>
      </c>
      <c r="AG430" s="111" t="s">
        <v>7718</v>
      </c>
      <c r="AH430" s="125">
        <v>41527</v>
      </c>
      <c r="AI430" s="111">
        <v>130</v>
      </c>
      <c r="AJ430" s="125">
        <v>41527</v>
      </c>
      <c r="BS430" s="111">
        <v>45.1</v>
      </c>
      <c r="BT430" s="125">
        <v>41527</v>
      </c>
      <c r="BU430">
        <v>19.2</v>
      </c>
      <c r="BV430" s="125">
        <v>41527</v>
      </c>
      <c r="CC430" s="111">
        <v>10.6</v>
      </c>
      <c r="CD430" s="125">
        <v>41527</v>
      </c>
      <c r="CG430" s="111">
        <v>5.47</v>
      </c>
      <c r="CH430" s="125">
        <v>41527</v>
      </c>
      <c r="CK430" s="111">
        <v>10</v>
      </c>
    </row>
    <row r="431" spans="1:89">
      <c r="A431" s="126" t="s">
        <v>7869</v>
      </c>
      <c r="B431" t="s">
        <v>259</v>
      </c>
      <c r="C431" t="s">
        <v>7794</v>
      </c>
      <c r="D431">
        <v>72</v>
      </c>
      <c r="E431" s="93">
        <v>4</v>
      </c>
      <c r="F431" s="93">
        <v>51</v>
      </c>
      <c r="K431" s="92">
        <v>3</v>
      </c>
      <c r="L431" s="159">
        <v>41569</v>
      </c>
      <c r="S431" s="111">
        <v>1833.38</v>
      </c>
      <c r="T431" s="125">
        <v>41527</v>
      </c>
      <c r="U431" s="111">
        <v>10.8</v>
      </c>
      <c r="Y431" s="111">
        <v>853.61500000000001</v>
      </c>
      <c r="Z431" s="125">
        <v>41527</v>
      </c>
      <c r="AA431" s="111" t="s">
        <v>7718</v>
      </c>
      <c r="AB431" s="125">
        <v>41527</v>
      </c>
      <c r="AE431">
        <v>42.05</v>
      </c>
      <c r="AF431" s="125">
        <v>41527</v>
      </c>
      <c r="AG431" s="111" t="s">
        <v>7718</v>
      </c>
      <c r="AH431" s="125">
        <v>41527</v>
      </c>
      <c r="AI431" s="111">
        <v>130</v>
      </c>
      <c r="AJ431" s="125">
        <v>41527</v>
      </c>
      <c r="BS431" s="111">
        <v>43.6</v>
      </c>
      <c r="BT431" s="125">
        <v>41527</v>
      </c>
      <c r="BU431">
        <v>20.3</v>
      </c>
      <c r="BV431" s="125">
        <v>41527</v>
      </c>
      <c r="CC431" s="111">
        <v>8.4</v>
      </c>
      <c r="CD431" s="125">
        <v>41527</v>
      </c>
      <c r="CG431" s="111">
        <v>6.33</v>
      </c>
      <c r="CH431" s="125">
        <v>41527</v>
      </c>
      <c r="CK431" s="111">
        <v>10</v>
      </c>
    </row>
    <row r="432" spans="1:89">
      <c r="A432" s="126" t="s">
        <v>7869</v>
      </c>
      <c r="B432" t="s">
        <v>257</v>
      </c>
      <c r="C432" t="s">
        <v>7795</v>
      </c>
      <c r="D432">
        <v>72</v>
      </c>
      <c r="E432" s="93">
        <v>4</v>
      </c>
      <c r="F432" s="93">
        <v>68</v>
      </c>
      <c r="K432" s="92">
        <v>5</v>
      </c>
      <c r="L432" s="159">
        <v>41569</v>
      </c>
      <c r="S432" s="111">
        <v>1949.558</v>
      </c>
      <c r="T432" s="125">
        <v>41527</v>
      </c>
      <c r="U432" s="111">
        <v>10.8</v>
      </c>
      <c r="Y432" s="111">
        <v>838.00599999999997</v>
      </c>
      <c r="Z432" s="125">
        <v>41527</v>
      </c>
      <c r="AA432" s="111">
        <v>97354.260089999996</v>
      </c>
      <c r="AB432" s="125">
        <v>41527</v>
      </c>
      <c r="AE432">
        <v>43.42</v>
      </c>
      <c r="AF432" s="125">
        <v>41527</v>
      </c>
      <c r="AG432" s="111">
        <v>4.46</v>
      </c>
      <c r="AH432" s="125">
        <v>41527</v>
      </c>
      <c r="AI432" s="111">
        <v>120</v>
      </c>
      <c r="AJ432" s="125">
        <v>41527</v>
      </c>
      <c r="BS432" s="111">
        <v>44.9</v>
      </c>
      <c r="BT432" s="125">
        <v>41527</v>
      </c>
      <c r="BU432">
        <v>19.3</v>
      </c>
      <c r="BV432" s="125">
        <v>41527</v>
      </c>
      <c r="CC432" s="111">
        <v>7.9</v>
      </c>
      <c r="CD432" s="125">
        <v>41527</v>
      </c>
      <c r="CG432" s="111">
        <v>3.85</v>
      </c>
      <c r="CH432" s="125">
        <v>41527</v>
      </c>
      <c r="CK432" s="111">
        <v>5</v>
      </c>
    </row>
    <row r="433" spans="1:89">
      <c r="A433" s="126" t="s">
        <v>7869</v>
      </c>
      <c r="B433" t="s">
        <v>259</v>
      </c>
      <c r="C433" t="s">
        <v>7795</v>
      </c>
      <c r="D433">
        <v>72</v>
      </c>
      <c r="E433" s="93">
        <v>3</v>
      </c>
      <c r="F433" s="93">
        <v>79</v>
      </c>
      <c r="K433" s="92">
        <v>5</v>
      </c>
      <c r="L433" s="159">
        <v>41569</v>
      </c>
      <c r="S433" s="111">
        <v>1585.44</v>
      </c>
      <c r="T433" s="125">
        <v>41527</v>
      </c>
      <c r="U433" s="111">
        <v>10.8</v>
      </c>
      <c r="Y433" s="111">
        <v>781.71</v>
      </c>
      <c r="Z433" s="125">
        <v>41527</v>
      </c>
      <c r="AA433" s="111">
        <v>76617.954070000007</v>
      </c>
      <c r="AB433" s="125">
        <v>41527</v>
      </c>
      <c r="AE433">
        <v>36.700000000000003</v>
      </c>
      <c r="AF433" s="125">
        <v>41527</v>
      </c>
      <c r="AG433" s="111">
        <v>4.79</v>
      </c>
      <c r="AH433" s="125">
        <v>41527</v>
      </c>
      <c r="AI433" s="111">
        <v>125</v>
      </c>
      <c r="AJ433" s="125">
        <v>41527</v>
      </c>
      <c r="BS433" s="111">
        <v>43.2</v>
      </c>
      <c r="BT433" s="125">
        <v>41527</v>
      </c>
      <c r="BU433">
        <v>21.3</v>
      </c>
      <c r="BV433" s="125">
        <v>41527</v>
      </c>
      <c r="CC433" s="111">
        <v>9.4</v>
      </c>
      <c r="CD433" s="125">
        <v>41527</v>
      </c>
      <c r="CG433" s="111">
        <v>9.25</v>
      </c>
      <c r="CH433" s="125">
        <v>41527</v>
      </c>
      <c r="CK433" s="111">
        <v>5</v>
      </c>
    </row>
    <row r="434" spans="1:89">
      <c r="A434" s="126" t="s">
        <v>7870</v>
      </c>
      <c r="B434" t="s">
        <v>257</v>
      </c>
      <c r="C434" t="s">
        <v>405</v>
      </c>
      <c r="D434">
        <v>73</v>
      </c>
      <c r="E434" s="93">
        <v>6</v>
      </c>
      <c r="F434" s="93">
        <v>28</v>
      </c>
      <c r="K434" s="92">
        <v>3</v>
      </c>
      <c r="L434" s="159">
        <v>41569</v>
      </c>
      <c r="S434" s="111">
        <v>1657.18</v>
      </c>
      <c r="T434" s="125">
        <v>41527</v>
      </c>
      <c r="U434" s="111">
        <v>10.8</v>
      </c>
      <c r="Y434" s="111">
        <v>752.24800000000005</v>
      </c>
      <c r="Z434" s="125">
        <v>41527</v>
      </c>
      <c r="AA434" s="111" t="s">
        <v>7718</v>
      </c>
      <c r="AB434" s="125">
        <v>41527</v>
      </c>
      <c r="AE434">
        <v>37.24</v>
      </c>
      <c r="AF434" s="125">
        <v>41527</v>
      </c>
      <c r="AG434" s="111" t="s">
        <v>7718</v>
      </c>
      <c r="AH434" s="125">
        <v>41527</v>
      </c>
      <c r="AI434" s="111">
        <v>115</v>
      </c>
      <c r="AJ434" s="125">
        <v>41527</v>
      </c>
      <c r="BS434" s="111">
        <v>44.5</v>
      </c>
      <c r="BT434" s="125">
        <v>41527</v>
      </c>
      <c r="BU434">
        <v>20.2</v>
      </c>
      <c r="BV434" s="125">
        <v>41527</v>
      </c>
      <c r="CC434" s="111">
        <v>10.7</v>
      </c>
      <c r="CD434" s="125">
        <v>41527</v>
      </c>
      <c r="CG434" s="111">
        <v>6.48</v>
      </c>
      <c r="CH434" s="125">
        <v>41527</v>
      </c>
      <c r="CK434" s="111">
        <v>10</v>
      </c>
    </row>
    <row r="435" spans="1:89">
      <c r="A435" s="126" t="s">
        <v>7870</v>
      </c>
      <c r="B435" t="s">
        <v>259</v>
      </c>
      <c r="C435" t="s">
        <v>405</v>
      </c>
      <c r="D435">
        <v>73</v>
      </c>
      <c r="E435" s="93">
        <v>1</v>
      </c>
      <c r="F435" s="93">
        <v>18</v>
      </c>
      <c r="K435" s="92">
        <v>7</v>
      </c>
      <c r="L435" s="159">
        <v>41569</v>
      </c>
      <c r="S435" s="111">
        <v>2080.12</v>
      </c>
      <c r="T435" s="125">
        <v>41527</v>
      </c>
      <c r="U435" s="111">
        <v>10.8</v>
      </c>
      <c r="Y435" s="111">
        <v>1018.64</v>
      </c>
      <c r="Z435" s="125">
        <v>41527</v>
      </c>
      <c r="AA435" s="111" t="s">
        <v>7718</v>
      </c>
      <c r="AB435" s="125">
        <v>41527</v>
      </c>
      <c r="AE435">
        <v>47.6</v>
      </c>
      <c r="AF435" s="125">
        <v>41527</v>
      </c>
      <c r="AG435" s="111" t="s">
        <v>7718</v>
      </c>
      <c r="AH435" s="125">
        <v>41527</v>
      </c>
      <c r="AI435" s="111">
        <v>130</v>
      </c>
      <c r="AJ435" s="125">
        <v>41527</v>
      </c>
      <c r="BS435" s="111">
        <v>43.7</v>
      </c>
      <c r="BT435" s="125">
        <v>41527</v>
      </c>
      <c r="BU435">
        <v>21.4</v>
      </c>
      <c r="BV435" s="125">
        <v>41527</v>
      </c>
      <c r="CC435" s="111">
        <v>7.7</v>
      </c>
      <c r="CD435" s="125">
        <v>41527</v>
      </c>
      <c r="CG435" s="111">
        <v>2.6</v>
      </c>
      <c r="CH435" s="125">
        <v>41527</v>
      </c>
      <c r="CK435" s="111">
        <v>10</v>
      </c>
    </row>
    <row r="436" spans="1:89">
      <c r="A436" s="126" t="s">
        <v>7870</v>
      </c>
      <c r="B436" t="s">
        <v>257</v>
      </c>
      <c r="C436" t="s">
        <v>7794</v>
      </c>
      <c r="D436">
        <v>73</v>
      </c>
      <c r="E436" s="93">
        <v>2</v>
      </c>
      <c r="F436" s="93">
        <v>52</v>
      </c>
      <c r="K436" s="92">
        <v>5</v>
      </c>
      <c r="L436" s="159">
        <v>41569</v>
      </c>
      <c r="S436" s="111">
        <v>1857.875</v>
      </c>
      <c r="T436" s="125">
        <v>41527</v>
      </c>
      <c r="U436" s="111">
        <v>10.8</v>
      </c>
      <c r="Y436" s="111">
        <v>826.65</v>
      </c>
      <c r="Z436" s="125">
        <v>41527</v>
      </c>
      <c r="AA436" s="111" t="s">
        <v>7718</v>
      </c>
      <c r="AB436" s="125">
        <v>41527</v>
      </c>
      <c r="AE436">
        <v>41.75</v>
      </c>
      <c r="AF436" s="125">
        <v>41527</v>
      </c>
      <c r="AG436" s="111" t="s">
        <v>7718</v>
      </c>
      <c r="AH436" s="125">
        <v>41527</v>
      </c>
      <c r="AI436" s="111">
        <v>125</v>
      </c>
      <c r="AJ436" s="125">
        <v>41527</v>
      </c>
      <c r="BS436" s="111">
        <v>44.5</v>
      </c>
      <c r="BT436" s="125">
        <v>41527</v>
      </c>
      <c r="BU436">
        <v>19.8</v>
      </c>
      <c r="BV436" s="125">
        <v>41527</v>
      </c>
      <c r="CC436" s="111">
        <v>11</v>
      </c>
      <c r="CD436" s="125">
        <v>41527</v>
      </c>
      <c r="CG436" s="111">
        <v>6.88</v>
      </c>
      <c r="CH436" s="125">
        <v>41527</v>
      </c>
      <c r="CK436" s="111">
        <v>20</v>
      </c>
    </row>
    <row r="437" spans="1:89">
      <c r="A437" s="126" t="s">
        <v>7870</v>
      </c>
      <c r="B437" t="s">
        <v>259</v>
      </c>
      <c r="C437" t="s">
        <v>7794</v>
      </c>
      <c r="D437">
        <v>73</v>
      </c>
      <c r="E437" s="93">
        <v>4</v>
      </c>
      <c r="F437" s="93">
        <v>52</v>
      </c>
      <c r="K437" s="92">
        <v>5</v>
      </c>
      <c r="L437" s="159">
        <v>41569</v>
      </c>
      <c r="S437" s="111">
        <v>2015.0129999999999</v>
      </c>
      <c r="T437" s="125">
        <v>41527</v>
      </c>
      <c r="U437" s="111">
        <v>10.8</v>
      </c>
      <c r="Y437" s="111">
        <v>1014.552</v>
      </c>
      <c r="Z437" s="125">
        <v>41527</v>
      </c>
      <c r="AA437" s="111" t="s">
        <v>7718</v>
      </c>
      <c r="AB437" s="125">
        <v>41527</v>
      </c>
      <c r="AE437">
        <v>46.97</v>
      </c>
      <c r="AF437" s="125">
        <v>41527</v>
      </c>
      <c r="AG437" s="111" t="s">
        <v>7718</v>
      </c>
      <c r="AH437" s="125">
        <v>41527</v>
      </c>
      <c r="AI437" s="111">
        <v>130</v>
      </c>
      <c r="AJ437" s="125">
        <v>41527</v>
      </c>
      <c r="BS437" s="111">
        <v>42.9</v>
      </c>
      <c r="BT437" s="125">
        <v>41527</v>
      </c>
      <c r="BU437">
        <v>21.6</v>
      </c>
      <c r="BV437" s="125">
        <v>41527</v>
      </c>
      <c r="CC437" s="111">
        <v>7.7</v>
      </c>
      <c r="CD437" s="125">
        <v>41527</v>
      </c>
      <c r="CG437" s="111">
        <v>3.15</v>
      </c>
      <c r="CH437" s="125">
        <v>41527</v>
      </c>
      <c r="CK437" s="111">
        <v>20</v>
      </c>
    </row>
    <row r="438" spans="1:89">
      <c r="A438" s="126" t="s">
        <v>7870</v>
      </c>
      <c r="B438" t="s">
        <v>257</v>
      </c>
      <c r="C438" t="s">
        <v>7795</v>
      </c>
      <c r="D438">
        <v>73</v>
      </c>
      <c r="E438" s="93">
        <v>4</v>
      </c>
      <c r="F438" s="93">
        <v>61</v>
      </c>
      <c r="K438" s="92">
        <v>5</v>
      </c>
      <c r="L438" s="159">
        <v>41569</v>
      </c>
      <c r="S438" s="111">
        <v>1962.895</v>
      </c>
      <c r="T438" s="125">
        <v>41527</v>
      </c>
      <c r="U438" s="111">
        <v>10.8</v>
      </c>
      <c r="Y438" s="111">
        <v>877.78899999999999</v>
      </c>
      <c r="Z438" s="125">
        <v>41527</v>
      </c>
      <c r="AA438" s="111">
        <v>87001.972389999995</v>
      </c>
      <c r="AB438" s="125">
        <v>41527</v>
      </c>
      <c r="AE438">
        <v>44.11</v>
      </c>
      <c r="AF438" s="125">
        <v>41527</v>
      </c>
      <c r="AG438" s="111">
        <v>5.07</v>
      </c>
      <c r="AH438" s="125">
        <v>41527</v>
      </c>
      <c r="AI438" s="111">
        <v>130</v>
      </c>
      <c r="AJ438" s="125">
        <v>41527</v>
      </c>
      <c r="BS438" s="111">
        <v>44.5</v>
      </c>
      <c r="BT438" s="125">
        <v>41527</v>
      </c>
      <c r="BU438">
        <v>19.899999999999999</v>
      </c>
      <c r="BV438" s="125">
        <v>41527</v>
      </c>
      <c r="CC438" s="111">
        <v>8.1</v>
      </c>
      <c r="CD438" s="125">
        <v>41527</v>
      </c>
      <c r="CG438" s="111">
        <v>1.85</v>
      </c>
      <c r="CH438" s="125">
        <v>41527</v>
      </c>
      <c r="CK438" s="111">
        <v>20</v>
      </c>
    </row>
    <row r="439" spans="1:89">
      <c r="A439" s="126" t="s">
        <v>7870</v>
      </c>
      <c r="B439" t="s">
        <v>259</v>
      </c>
      <c r="C439" t="s">
        <v>7795</v>
      </c>
      <c r="D439">
        <v>73</v>
      </c>
      <c r="E439" s="93">
        <v>1</v>
      </c>
      <c r="F439" s="93">
        <v>81</v>
      </c>
      <c r="K439" s="92">
        <v>5</v>
      </c>
      <c r="L439" s="159">
        <v>41569</v>
      </c>
      <c r="S439" s="111">
        <v>1900.279</v>
      </c>
      <c r="T439" s="125">
        <v>41527</v>
      </c>
      <c r="U439" s="111">
        <v>10.8</v>
      </c>
      <c r="Y439" s="111">
        <v>939.11699999999996</v>
      </c>
      <c r="Z439" s="125">
        <v>41527</v>
      </c>
      <c r="AA439" s="111">
        <v>89251.012149999995</v>
      </c>
      <c r="AB439" s="125">
        <v>41527</v>
      </c>
      <c r="AE439">
        <v>44.09</v>
      </c>
      <c r="AF439" s="125">
        <v>41527</v>
      </c>
      <c r="AG439" s="111">
        <v>4.9400000000000004</v>
      </c>
      <c r="AH439" s="125">
        <v>41527</v>
      </c>
      <c r="AI439" s="111">
        <v>125</v>
      </c>
      <c r="AJ439" s="125">
        <v>41527</v>
      </c>
      <c r="BS439" s="111">
        <v>43.1</v>
      </c>
      <c r="BT439" s="125">
        <v>41527</v>
      </c>
      <c r="BU439">
        <v>21.3</v>
      </c>
      <c r="BV439" s="125">
        <v>41527</v>
      </c>
      <c r="CC439" s="111">
        <v>9.1999999999999993</v>
      </c>
      <c r="CD439" s="125">
        <v>41527</v>
      </c>
      <c r="CG439" s="111">
        <v>6.8</v>
      </c>
      <c r="CH439" s="125">
        <v>41527</v>
      </c>
      <c r="CK439" s="111">
        <v>10</v>
      </c>
    </row>
    <row r="440" spans="1:89">
      <c r="A440" s="126" t="s">
        <v>7871</v>
      </c>
      <c r="B440" t="s">
        <v>257</v>
      </c>
      <c r="C440" t="s">
        <v>405</v>
      </c>
      <c r="D440">
        <v>74</v>
      </c>
      <c r="E440" s="93">
        <v>4</v>
      </c>
      <c r="F440" s="93">
        <v>27</v>
      </c>
      <c r="K440" s="92">
        <v>5</v>
      </c>
      <c r="L440" s="159">
        <v>41569</v>
      </c>
      <c r="S440" s="111">
        <v>1858.6590000000001</v>
      </c>
      <c r="T440" s="125">
        <v>41527</v>
      </c>
      <c r="U440" s="111">
        <v>10.8</v>
      </c>
      <c r="Y440" s="111">
        <v>800.08500000000004</v>
      </c>
      <c r="Z440" s="125">
        <v>41527</v>
      </c>
      <c r="AA440" s="111" t="s">
        <v>7718</v>
      </c>
      <c r="AB440" s="125">
        <v>41527</v>
      </c>
      <c r="AE440">
        <v>41.03</v>
      </c>
      <c r="AF440" s="125">
        <v>41527</v>
      </c>
      <c r="AG440" s="111" t="s">
        <v>7718</v>
      </c>
      <c r="AH440" s="125">
        <v>41527</v>
      </c>
      <c r="AI440" s="111">
        <v>135</v>
      </c>
      <c r="AJ440" s="125">
        <v>41527</v>
      </c>
      <c r="BS440" s="111">
        <v>45.3</v>
      </c>
      <c r="BT440" s="125">
        <v>41527</v>
      </c>
      <c r="BU440">
        <v>19.5</v>
      </c>
      <c r="BV440" s="125">
        <v>41527</v>
      </c>
      <c r="CC440" s="111">
        <v>10.5</v>
      </c>
      <c r="CD440" s="125">
        <v>41527</v>
      </c>
      <c r="CG440" s="111">
        <v>3.83</v>
      </c>
      <c r="CH440" s="125">
        <v>41527</v>
      </c>
      <c r="CK440" s="111">
        <v>30</v>
      </c>
    </row>
    <row r="441" spans="1:89">
      <c r="A441" s="126" t="s">
        <v>7871</v>
      </c>
      <c r="B441" t="s">
        <v>259</v>
      </c>
      <c r="C441" t="s">
        <v>405</v>
      </c>
      <c r="D441">
        <v>74</v>
      </c>
      <c r="E441" s="93">
        <v>1</v>
      </c>
      <c r="F441" s="93">
        <v>7</v>
      </c>
      <c r="K441" s="92">
        <v>7</v>
      </c>
      <c r="L441" s="159">
        <v>41569</v>
      </c>
      <c r="S441" s="111">
        <v>2110.87</v>
      </c>
      <c r="T441" s="125">
        <v>41527</v>
      </c>
      <c r="U441" s="111">
        <v>10.8</v>
      </c>
      <c r="Y441" s="111">
        <v>1124.1610000000001</v>
      </c>
      <c r="Z441" s="125">
        <v>41527</v>
      </c>
      <c r="AA441" s="111" t="s">
        <v>7718</v>
      </c>
      <c r="AB441" s="125">
        <v>41527</v>
      </c>
      <c r="AE441">
        <v>49.09</v>
      </c>
      <c r="AF441" s="125">
        <v>41527</v>
      </c>
      <c r="AG441" s="111" t="s">
        <v>7718</v>
      </c>
      <c r="AH441" s="125">
        <v>41527</v>
      </c>
      <c r="AI441" s="111">
        <v>125</v>
      </c>
      <c r="AJ441" s="125">
        <v>41527</v>
      </c>
      <c r="BS441" s="111">
        <v>43</v>
      </c>
      <c r="BT441" s="125">
        <v>41527</v>
      </c>
      <c r="BU441">
        <v>22.9</v>
      </c>
      <c r="BV441" s="125">
        <v>41527</v>
      </c>
      <c r="CC441" s="111">
        <v>8.1999999999999993</v>
      </c>
      <c r="CD441" s="125">
        <v>41527</v>
      </c>
      <c r="CG441" s="111">
        <v>1.52</v>
      </c>
      <c r="CH441" s="125">
        <v>41527</v>
      </c>
      <c r="CK441" s="111">
        <v>20</v>
      </c>
    </row>
    <row r="442" spans="1:89">
      <c r="A442" s="126" t="s">
        <v>7871</v>
      </c>
      <c r="B442" t="s">
        <v>257</v>
      </c>
      <c r="C442" t="s">
        <v>7794</v>
      </c>
      <c r="D442">
        <v>74</v>
      </c>
      <c r="E442" s="93">
        <v>1</v>
      </c>
      <c r="F442" s="93">
        <v>46</v>
      </c>
      <c r="K442" s="92">
        <v>5</v>
      </c>
      <c r="L442" s="159">
        <v>41569</v>
      </c>
      <c r="S442" s="111">
        <v>1962.45</v>
      </c>
      <c r="T442" s="125">
        <v>41527</v>
      </c>
      <c r="U442" s="111">
        <v>10.8</v>
      </c>
      <c r="Y442" s="111">
        <v>873.18</v>
      </c>
      <c r="Z442" s="125">
        <v>41527</v>
      </c>
      <c r="AA442" s="111" t="s">
        <v>7718</v>
      </c>
      <c r="AB442" s="125">
        <v>41527</v>
      </c>
      <c r="AE442">
        <v>44.1</v>
      </c>
      <c r="AF442" s="125">
        <v>41527</v>
      </c>
      <c r="AG442" s="111" t="s">
        <v>7718</v>
      </c>
      <c r="AH442" s="125">
        <v>41527</v>
      </c>
      <c r="AI442" s="111">
        <v>130</v>
      </c>
      <c r="AJ442" s="125">
        <v>41527</v>
      </c>
      <c r="BS442" s="111">
        <v>44.5</v>
      </c>
      <c r="BT442" s="125">
        <v>41527</v>
      </c>
      <c r="BU442">
        <v>19.8</v>
      </c>
      <c r="BV442" s="125">
        <v>41527</v>
      </c>
      <c r="CC442" s="111">
        <v>8.4</v>
      </c>
      <c r="CD442" s="125">
        <v>41527</v>
      </c>
      <c r="CG442" s="111">
        <v>1.92</v>
      </c>
      <c r="CH442" s="125">
        <v>41527</v>
      </c>
      <c r="CK442" s="111">
        <v>20</v>
      </c>
    </row>
    <row r="443" spans="1:89">
      <c r="A443" s="126" t="s">
        <v>7871</v>
      </c>
      <c r="B443" t="s">
        <v>259</v>
      </c>
      <c r="C443" t="s">
        <v>7794</v>
      </c>
      <c r="D443">
        <v>74</v>
      </c>
      <c r="E443" s="93">
        <v>4</v>
      </c>
      <c r="F443" s="93">
        <v>49</v>
      </c>
      <c r="K443" s="92">
        <v>5</v>
      </c>
      <c r="L443" s="159">
        <v>41569</v>
      </c>
      <c r="S443" s="111">
        <v>2230.4479999999999</v>
      </c>
      <c r="T443" s="125">
        <v>41527</v>
      </c>
      <c r="U443" s="111">
        <v>10.8</v>
      </c>
      <c r="Y443" s="111">
        <v>1076.944</v>
      </c>
      <c r="Z443" s="125">
        <v>41527</v>
      </c>
      <c r="AA443" s="111" t="s">
        <v>7718</v>
      </c>
      <c r="AB443" s="125">
        <v>41527</v>
      </c>
      <c r="AE443">
        <v>51.04</v>
      </c>
      <c r="AF443" s="125">
        <v>41527</v>
      </c>
      <c r="AG443" s="111" t="s">
        <v>7718</v>
      </c>
      <c r="AH443" s="125">
        <v>41527</v>
      </c>
      <c r="AI443" s="111">
        <v>130</v>
      </c>
      <c r="AJ443" s="125">
        <v>41527</v>
      </c>
      <c r="BS443" s="111">
        <v>43.7</v>
      </c>
      <c r="BT443" s="125">
        <v>41527</v>
      </c>
      <c r="BU443">
        <v>21.1</v>
      </c>
      <c r="BV443" s="125">
        <v>41527</v>
      </c>
      <c r="CC443" s="111">
        <v>7.7</v>
      </c>
      <c r="CD443" s="125">
        <v>41527</v>
      </c>
      <c r="CG443" s="111">
        <v>4.5</v>
      </c>
      <c r="CH443" s="125">
        <v>41527</v>
      </c>
      <c r="CK443" s="111">
        <v>20</v>
      </c>
    </row>
    <row r="444" spans="1:89">
      <c r="A444" s="126" t="s">
        <v>7871</v>
      </c>
      <c r="B444" t="s">
        <v>257</v>
      </c>
      <c r="C444" t="s">
        <v>7795</v>
      </c>
      <c r="D444">
        <v>74</v>
      </c>
      <c r="E444" s="93">
        <v>6</v>
      </c>
      <c r="F444" s="93">
        <v>83</v>
      </c>
      <c r="K444" s="92">
        <v>5</v>
      </c>
      <c r="L444" s="159">
        <v>41569</v>
      </c>
      <c r="S444" s="111">
        <v>1648.279</v>
      </c>
      <c r="T444" s="125">
        <v>41527</v>
      </c>
      <c r="U444" s="111">
        <v>10.8</v>
      </c>
      <c r="Y444" s="111">
        <v>701.16099999999994</v>
      </c>
      <c r="Z444" s="125">
        <v>41527</v>
      </c>
      <c r="AA444" s="111">
        <v>83621.867880000005</v>
      </c>
      <c r="AB444" s="125">
        <v>41527</v>
      </c>
      <c r="AE444">
        <v>36.71</v>
      </c>
      <c r="AF444" s="125">
        <v>41527</v>
      </c>
      <c r="AG444" s="111">
        <v>4.3899999999999997</v>
      </c>
      <c r="AH444" s="125">
        <v>41527</v>
      </c>
      <c r="AI444" s="111">
        <v>110</v>
      </c>
      <c r="AJ444" s="125">
        <v>41527</v>
      </c>
      <c r="BS444" s="111">
        <v>44.9</v>
      </c>
      <c r="BT444" s="125">
        <v>41527</v>
      </c>
      <c r="BU444">
        <v>19.100000000000001</v>
      </c>
      <c r="BV444" s="125">
        <v>41527</v>
      </c>
      <c r="CC444" s="111">
        <v>7.1</v>
      </c>
      <c r="CD444" s="125">
        <v>41527</v>
      </c>
      <c r="CG444" s="111">
        <v>1.44</v>
      </c>
      <c r="CH444" s="125">
        <v>41527</v>
      </c>
      <c r="CK444" s="111">
        <v>20</v>
      </c>
    </row>
    <row r="445" spans="1:89">
      <c r="A445" s="126" t="s">
        <v>7871</v>
      </c>
      <c r="B445" t="s">
        <v>259</v>
      </c>
      <c r="C445" t="s">
        <v>7795</v>
      </c>
      <c r="D445">
        <v>74</v>
      </c>
      <c r="E445" s="93">
        <v>2</v>
      </c>
      <c r="F445" s="93">
        <v>86</v>
      </c>
      <c r="K445" s="92">
        <v>5</v>
      </c>
      <c r="L445" s="159">
        <v>41569</v>
      </c>
      <c r="S445" s="111">
        <v>1582.866</v>
      </c>
      <c r="T445" s="125">
        <v>41527</v>
      </c>
      <c r="U445" s="111">
        <v>10.8</v>
      </c>
      <c r="Y445" s="111">
        <v>815.75599999999997</v>
      </c>
      <c r="Z445" s="125">
        <v>41527</v>
      </c>
      <c r="AA445" s="111">
        <v>92623.76238</v>
      </c>
      <c r="AB445" s="125">
        <v>41527</v>
      </c>
      <c r="AE445">
        <v>37.42</v>
      </c>
      <c r="AF445" s="125">
        <v>41527</v>
      </c>
      <c r="AG445" s="111">
        <v>4.04</v>
      </c>
      <c r="AH445" s="125">
        <v>41527</v>
      </c>
      <c r="AI445" s="111">
        <v>120</v>
      </c>
      <c r="AJ445" s="125">
        <v>41527</v>
      </c>
      <c r="BS445" s="111">
        <v>42.3</v>
      </c>
      <c r="BT445" s="125">
        <v>41527</v>
      </c>
      <c r="BU445">
        <v>21.8</v>
      </c>
      <c r="BV445" s="125">
        <v>41527</v>
      </c>
      <c r="CC445" s="111">
        <v>10.4</v>
      </c>
      <c r="CD445" s="125">
        <v>41527</v>
      </c>
      <c r="CG445" s="111">
        <v>6.02</v>
      </c>
      <c r="CH445" s="125">
        <v>41527</v>
      </c>
      <c r="CK445" s="111">
        <v>20</v>
      </c>
    </row>
    <row r="446" spans="1:89">
      <c r="A446" s="126" t="s">
        <v>7872</v>
      </c>
      <c r="B446" t="s">
        <v>257</v>
      </c>
      <c r="C446" t="s">
        <v>405</v>
      </c>
      <c r="D446">
        <v>75</v>
      </c>
      <c r="E446" s="93">
        <v>6</v>
      </c>
      <c r="F446" s="93">
        <v>15</v>
      </c>
      <c r="K446" s="92">
        <v>3</v>
      </c>
      <c r="L446" s="159">
        <v>41569</v>
      </c>
      <c r="S446" s="111">
        <v>1239.325</v>
      </c>
      <c r="T446" s="125">
        <v>41527</v>
      </c>
      <c r="U446" s="111">
        <v>10.8</v>
      </c>
      <c r="Y446" s="111">
        <v>551.42999999999995</v>
      </c>
      <c r="Z446" s="125">
        <v>41527</v>
      </c>
      <c r="AA446" s="111" t="s">
        <v>7718</v>
      </c>
      <c r="AB446" s="125">
        <v>41527</v>
      </c>
      <c r="AE446">
        <v>27.85</v>
      </c>
      <c r="AF446" s="125">
        <v>41527</v>
      </c>
      <c r="AG446" s="111" t="s">
        <v>7718</v>
      </c>
      <c r="AH446" s="125">
        <v>41527</v>
      </c>
      <c r="AI446" s="111">
        <v>110</v>
      </c>
      <c r="AJ446" s="125">
        <v>41527</v>
      </c>
      <c r="BS446" s="111">
        <v>44.5</v>
      </c>
      <c r="BT446" s="125">
        <v>41527</v>
      </c>
      <c r="BU446">
        <v>19.8</v>
      </c>
      <c r="BV446" s="125">
        <v>41527</v>
      </c>
      <c r="CC446" s="111">
        <v>7.2</v>
      </c>
      <c r="CD446" s="125">
        <v>41527</v>
      </c>
      <c r="CG446" s="111">
        <v>10.23</v>
      </c>
      <c r="CH446" s="125">
        <v>41527</v>
      </c>
      <c r="CK446" s="111">
        <v>5</v>
      </c>
    </row>
    <row r="447" spans="1:89">
      <c r="A447" s="126" t="s">
        <v>7872</v>
      </c>
      <c r="B447" t="s">
        <v>259</v>
      </c>
      <c r="C447" t="s">
        <v>405</v>
      </c>
      <c r="D447">
        <v>75</v>
      </c>
      <c r="E447" s="93">
        <v>1</v>
      </c>
      <c r="F447" s="93">
        <v>13</v>
      </c>
      <c r="K447" s="92">
        <v>5</v>
      </c>
      <c r="L447" s="159">
        <v>41569</v>
      </c>
      <c r="S447" s="111">
        <v>2129.556</v>
      </c>
      <c r="T447" s="125">
        <v>41527</v>
      </c>
      <c r="U447" s="111">
        <v>10.8</v>
      </c>
      <c r="Y447" s="111">
        <v>1035.8699999999999</v>
      </c>
      <c r="Z447" s="125">
        <v>41527</v>
      </c>
      <c r="AA447" s="111" t="s">
        <v>7718</v>
      </c>
      <c r="AB447" s="125">
        <v>41527</v>
      </c>
      <c r="AE447">
        <v>48.18</v>
      </c>
      <c r="AF447" s="125">
        <v>41527</v>
      </c>
      <c r="AG447" s="111" t="s">
        <v>7718</v>
      </c>
      <c r="AH447" s="125">
        <v>41527</v>
      </c>
      <c r="AI447" s="111">
        <v>130</v>
      </c>
      <c r="AJ447" s="125">
        <v>41527</v>
      </c>
      <c r="BS447" s="111">
        <v>44.2</v>
      </c>
      <c r="BT447" s="125">
        <v>41527</v>
      </c>
      <c r="BU447">
        <v>21.5</v>
      </c>
      <c r="BV447" s="125">
        <v>41527</v>
      </c>
      <c r="CC447" s="111">
        <v>7.9</v>
      </c>
      <c r="CD447" s="125">
        <v>41527</v>
      </c>
      <c r="CG447" s="111">
        <v>3.43</v>
      </c>
      <c r="CH447" s="125">
        <v>41527</v>
      </c>
      <c r="CK447" s="111">
        <v>5</v>
      </c>
    </row>
    <row r="448" spans="1:89">
      <c r="A448" s="126" t="s">
        <v>7872</v>
      </c>
      <c r="B448" t="s">
        <v>257</v>
      </c>
      <c r="C448" t="s">
        <v>7794</v>
      </c>
      <c r="D448">
        <v>75</v>
      </c>
      <c r="E448" s="93">
        <v>1</v>
      </c>
      <c r="F448" s="93">
        <v>42</v>
      </c>
      <c r="K448" s="92">
        <v>5</v>
      </c>
      <c r="L448" s="159">
        <v>41569</v>
      </c>
      <c r="S448" s="111">
        <v>2053.672</v>
      </c>
      <c r="T448" s="125">
        <v>41527</v>
      </c>
      <c r="U448" s="111">
        <v>10.8</v>
      </c>
      <c r="Y448" s="111">
        <v>874.38</v>
      </c>
      <c r="Z448" s="125">
        <v>41527</v>
      </c>
      <c r="AA448" s="111" t="s">
        <v>7718</v>
      </c>
      <c r="AB448" s="125">
        <v>41527</v>
      </c>
      <c r="AE448">
        <v>44.84</v>
      </c>
      <c r="AF448" s="125">
        <v>41527</v>
      </c>
      <c r="AG448" s="111" t="s">
        <v>7718</v>
      </c>
      <c r="AH448" s="125">
        <v>41527</v>
      </c>
      <c r="AI448" s="111">
        <v>135</v>
      </c>
      <c r="AJ448" s="125">
        <v>41527</v>
      </c>
      <c r="BS448" s="111">
        <v>45.8</v>
      </c>
      <c r="BT448" s="125">
        <v>41527</v>
      </c>
      <c r="BU448">
        <v>19.5</v>
      </c>
      <c r="BV448" s="125">
        <v>41527</v>
      </c>
      <c r="CC448" s="111">
        <v>9.1</v>
      </c>
      <c r="CD448" s="125">
        <v>41527</v>
      </c>
      <c r="CG448" s="111">
        <v>5.21</v>
      </c>
      <c r="CH448" s="125">
        <v>41527</v>
      </c>
      <c r="CK448" s="111">
        <v>5</v>
      </c>
    </row>
    <row r="449" spans="1:89">
      <c r="A449" s="126" t="s">
        <v>7872</v>
      </c>
      <c r="B449" t="s">
        <v>259</v>
      </c>
      <c r="C449" t="s">
        <v>7794</v>
      </c>
      <c r="D449">
        <v>75</v>
      </c>
      <c r="E449" s="93">
        <v>6</v>
      </c>
      <c r="F449" s="93">
        <v>53</v>
      </c>
      <c r="K449" s="92">
        <v>5</v>
      </c>
      <c r="L449" s="159">
        <v>41569</v>
      </c>
      <c r="S449" s="111">
        <v>1845.451</v>
      </c>
      <c r="T449" s="125">
        <v>41527</v>
      </c>
      <c r="U449" s="111">
        <v>10.8</v>
      </c>
      <c r="Y449" s="111">
        <v>912.16800000000001</v>
      </c>
      <c r="Z449" s="125">
        <v>41527</v>
      </c>
      <c r="AA449" s="111" t="s">
        <v>7718</v>
      </c>
      <c r="AB449" s="125">
        <v>41527</v>
      </c>
      <c r="AE449">
        <v>42.23</v>
      </c>
      <c r="AF449" s="125">
        <v>41527</v>
      </c>
      <c r="AG449" s="111" t="s">
        <v>7718</v>
      </c>
      <c r="AH449" s="125">
        <v>41527</v>
      </c>
      <c r="AI449" s="111">
        <v>115</v>
      </c>
      <c r="AJ449" s="125">
        <v>41527</v>
      </c>
      <c r="BS449" s="111">
        <v>43.7</v>
      </c>
      <c r="BT449" s="125">
        <v>41527</v>
      </c>
      <c r="BU449">
        <v>21.6</v>
      </c>
      <c r="BV449" s="125">
        <v>41527</v>
      </c>
      <c r="CC449" s="111">
        <v>8.3000000000000007</v>
      </c>
      <c r="CD449" s="125">
        <v>41527</v>
      </c>
      <c r="CG449" s="111">
        <v>2.74</v>
      </c>
      <c r="CH449" s="125">
        <v>41527</v>
      </c>
      <c r="CK449" s="111">
        <v>10</v>
      </c>
    </row>
    <row r="450" spans="1:89">
      <c r="A450" s="126" t="s">
        <v>7872</v>
      </c>
      <c r="B450" t="s">
        <v>257</v>
      </c>
      <c r="C450" t="s">
        <v>7795</v>
      </c>
      <c r="D450">
        <v>75</v>
      </c>
      <c r="E450" s="93">
        <v>6</v>
      </c>
      <c r="F450" s="93">
        <v>73</v>
      </c>
      <c r="K450" s="92">
        <v>5</v>
      </c>
      <c r="L450" s="159">
        <v>41569</v>
      </c>
      <c r="S450" s="111">
        <v>1291.9659999999999</v>
      </c>
      <c r="T450" s="125">
        <v>41527</v>
      </c>
      <c r="U450" s="111">
        <v>10.8</v>
      </c>
      <c r="Y450" s="111">
        <v>619.67600000000004</v>
      </c>
      <c r="Z450" s="125">
        <v>41527</v>
      </c>
      <c r="AA450" s="111">
        <v>67976.744189999998</v>
      </c>
      <c r="AB450" s="125">
        <v>41527</v>
      </c>
      <c r="AE450">
        <v>29.23</v>
      </c>
      <c r="AF450" s="125">
        <v>41527</v>
      </c>
      <c r="AG450" s="111">
        <v>4.3</v>
      </c>
      <c r="AH450" s="125">
        <v>41527</v>
      </c>
      <c r="AI450" s="111">
        <v>110</v>
      </c>
      <c r="AJ450" s="125">
        <v>41527</v>
      </c>
      <c r="BS450" s="111">
        <v>44.2</v>
      </c>
      <c r="BT450" s="125">
        <v>41527</v>
      </c>
      <c r="BU450">
        <v>21.2</v>
      </c>
      <c r="BV450" s="125">
        <v>41527</v>
      </c>
      <c r="CC450" s="111">
        <v>6</v>
      </c>
      <c r="CD450" s="125">
        <v>41527</v>
      </c>
      <c r="CG450" s="111">
        <v>2.83</v>
      </c>
      <c r="CH450" s="125">
        <v>41527</v>
      </c>
      <c r="CK450" s="111">
        <v>1</v>
      </c>
    </row>
    <row r="451" spans="1:89">
      <c r="A451" s="126" t="s">
        <v>7872</v>
      </c>
      <c r="B451" t="s">
        <v>259</v>
      </c>
      <c r="C451" t="s">
        <v>7795</v>
      </c>
      <c r="D451">
        <v>75</v>
      </c>
      <c r="E451" s="93">
        <v>1</v>
      </c>
      <c r="F451" s="93">
        <v>69</v>
      </c>
      <c r="K451" s="92">
        <v>5</v>
      </c>
      <c r="L451" s="159">
        <v>41569</v>
      </c>
      <c r="S451" s="111">
        <v>1978.1320000000001</v>
      </c>
      <c r="T451" s="125">
        <v>41527</v>
      </c>
      <c r="U451" s="111">
        <v>10.8</v>
      </c>
      <c r="Y451" s="111">
        <v>952.77</v>
      </c>
      <c r="Z451" s="125">
        <v>41527</v>
      </c>
      <c r="AA451" s="111">
        <v>108540.66989999999</v>
      </c>
      <c r="AB451" s="125">
        <v>41527</v>
      </c>
      <c r="AE451">
        <v>45.37</v>
      </c>
      <c r="AF451" s="125">
        <v>41527</v>
      </c>
      <c r="AG451" s="111">
        <v>4.18</v>
      </c>
      <c r="AH451" s="125">
        <v>41527</v>
      </c>
      <c r="AI451" s="111">
        <v>125</v>
      </c>
      <c r="AJ451" s="125">
        <v>41527</v>
      </c>
      <c r="BS451" s="111">
        <v>43.6</v>
      </c>
      <c r="BT451" s="125">
        <v>41527</v>
      </c>
      <c r="BU451">
        <v>21</v>
      </c>
      <c r="BV451" s="125">
        <v>41527</v>
      </c>
      <c r="CC451" s="111">
        <v>9.5</v>
      </c>
      <c r="CD451" s="125">
        <v>41527</v>
      </c>
      <c r="CG451" s="111">
        <v>7.8</v>
      </c>
      <c r="CH451" s="125">
        <v>41527</v>
      </c>
      <c r="CK451" s="111">
        <v>5</v>
      </c>
    </row>
    <row r="452" spans="1:89">
      <c r="A452" s="126" t="s">
        <v>7873</v>
      </c>
      <c r="B452" t="s">
        <v>257</v>
      </c>
      <c r="C452" t="s">
        <v>405</v>
      </c>
      <c r="D452">
        <v>76</v>
      </c>
      <c r="E452" s="93">
        <v>4</v>
      </c>
      <c r="F452" s="93">
        <v>2</v>
      </c>
      <c r="K452" s="92">
        <v>5</v>
      </c>
      <c r="L452" s="159">
        <v>41569</v>
      </c>
      <c r="S452" s="111">
        <v>1631.7</v>
      </c>
      <c r="T452" s="125">
        <v>41527</v>
      </c>
      <c r="U452" s="111">
        <v>10.8</v>
      </c>
      <c r="Y452" s="111">
        <v>721.57399999999996</v>
      </c>
      <c r="Z452" s="125">
        <v>41527</v>
      </c>
      <c r="AA452" s="111" t="s">
        <v>7718</v>
      </c>
      <c r="AB452" s="125">
        <v>41527</v>
      </c>
      <c r="AE452">
        <v>36.26</v>
      </c>
      <c r="AF452" s="125">
        <v>41527</v>
      </c>
      <c r="AG452" s="111" t="s">
        <v>7718</v>
      </c>
      <c r="AH452" s="125">
        <v>41527</v>
      </c>
      <c r="AI452" s="111">
        <v>125</v>
      </c>
      <c r="AJ452" s="125">
        <v>41527</v>
      </c>
      <c r="BS452" s="111">
        <v>45</v>
      </c>
      <c r="BT452" s="125">
        <v>41527</v>
      </c>
      <c r="BU452">
        <v>19.899999999999999</v>
      </c>
      <c r="BV452" s="125">
        <v>41527</v>
      </c>
      <c r="CC452" s="111">
        <v>11</v>
      </c>
      <c r="CD452" s="125">
        <v>41527</v>
      </c>
      <c r="CG452" s="111">
        <v>1</v>
      </c>
      <c r="CH452" s="125">
        <v>41527</v>
      </c>
      <c r="CK452" s="111">
        <v>20</v>
      </c>
    </row>
    <row r="453" spans="1:89">
      <c r="A453" s="126" t="s">
        <v>7873</v>
      </c>
      <c r="B453" t="s">
        <v>259</v>
      </c>
      <c r="C453" t="s">
        <v>405</v>
      </c>
      <c r="D453">
        <v>76</v>
      </c>
      <c r="E453" s="93">
        <v>3</v>
      </c>
      <c r="F453" s="93">
        <v>5</v>
      </c>
      <c r="K453" s="92">
        <v>5</v>
      </c>
      <c r="L453" s="159">
        <v>41569</v>
      </c>
      <c r="S453" s="111">
        <v>2331.165</v>
      </c>
      <c r="T453" s="125">
        <v>41527</v>
      </c>
      <c r="U453" s="111">
        <v>10.8</v>
      </c>
      <c r="Y453" s="111">
        <v>1189.6980000000001</v>
      </c>
      <c r="Z453" s="125">
        <v>41527</v>
      </c>
      <c r="AA453" s="111" t="s">
        <v>7718</v>
      </c>
      <c r="AB453" s="125">
        <v>41527</v>
      </c>
      <c r="AE453">
        <v>53.59</v>
      </c>
      <c r="AF453" s="125">
        <v>41527</v>
      </c>
      <c r="AG453" s="111" t="s">
        <v>7718</v>
      </c>
      <c r="AH453" s="125">
        <v>41527</v>
      </c>
      <c r="AI453" s="111">
        <v>145</v>
      </c>
      <c r="AJ453" s="125">
        <v>41527</v>
      </c>
      <c r="BS453" s="111">
        <v>43.5</v>
      </c>
      <c r="BT453" s="125">
        <v>41527</v>
      </c>
      <c r="BU453">
        <v>22.2</v>
      </c>
      <c r="BV453" s="125">
        <v>41527</v>
      </c>
      <c r="CC453" s="111">
        <v>9.9</v>
      </c>
      <c r="CD453" s="125">
        <v>41527</v>
      </c>
      <c r="CG453" s="111">
        <v>0.59</v>
      </c>
      <c r="CH453" s="125">
        <v>41527</v>
      </c>
      <c r="CK453" s="111">
        <v>30</v>
      </c>
    </row>
    <row r="454" spans="1:89">
      <c r="A454" s="126" t="s">
        <v>7873</v>
      </c>
      <c r="B454" t="s">
        <v>257</v>
      </c>
      <c r="C454" t="s">
        <v>7794</v>
      </c>
      <c r="D454">
        <v>76</v>
      </c>
      <c r="E454" s="93">
        <v>3</v>
      </c>
      <c r="F454" s="93">
        <v>31</v>
      </c>
      <c r="K454" s="92">
        <v>5</v>
      </c>
      <c r="L454" s="159">
        <v>41569</v>
      </c>
      <c r="S454" s="111">
        <v>1889.2080000000001</v>
      </c>
      <c r="T454" s="125">
        <v>41527</v>
      </c>
      <c r="U454" s="111">
        <v>10.8</v>
      </c>
      <c r="Y454" s="111">
        <v>783.02700000000004</v>
      </c>
      <c r="Z454" s="125">
        <v>41527</v>
      </c>
      <c r="AA454" s="111" t="s">
        <v>7718</v>
      </c>
      <c r="AB454" s="125">
        <v>41527</v>
      </c>
      <c r="AE454">
        <v>41.43</v>
      </c>
      <c r="AF454" s="125">
        <v>41527</v>
      </c>
      <c r="AG454" s="111" t="s">
        <v>7718</v>
      </c>
      <c r="AH454" s="125">
        <v>41527</v>
      </c>
      <c r="AI454" s="111">
        <v>140</v>
      </c>
      <c r="AJ454" s="125">
        <v>41527</v>
      </c>
      <c r="BS454" s="111">
        <v>45.6</v>
      </c>
      <c r="BT454" s="125">
        <v>41527</v>
      </c>
      <c r="BU454">
        <v>18.899999999999999</v>
      </c>
      <c r="BV454" s="125">
        <v>41527</v>
      </c>
      <c r="CC454" s="111">
        <v>7.9</v>
      </c>
      <c r="CD454" s="125">
        <v>41527</v>
      </c>
      <c r="CG454" s="111">
        <v>4.34</v>
      </c>
      <c r="CH454" s="125">
        <v>41527</v>
      </c>
      <c r="CK454" s="111">
        <v>30</v>
      </c>
    </row>
    <row r="455" spans="1:89">
      <c r="A455" s="126" t="s">
        <v>7873</v>
      </c>
      <c r="B455" t="s">
        <v>259</v>
      </c>
      <c r="C455" t="s">
        <v>7794</v>
      </c>
      <c r="D455">
        <v>76</v>
      </c>
      <c r="E455" s="93">
        <v>5</v>
      </c>
      <c r="F455" s="93">
        <v>52</v>
      </c>
      <c r="K455" s="92">
        <v>5</v>
      </c>
      <c r="L455" s="159">
        <v>41569</v>
      </c>
      <c r="S455" s="111">
        <v>2179.1959999999999</v>
      </c>
      <c r="T455" s="125">
        <v>41527</v>
      </c>
      <c r="U455" s="111">
        <v>10.8</v>
      </c>
      <c r="Y455" s="111">
        <v>1042.44</v>
      </c>
      <c r="Z455" s="125">
        <v>41527</v>
      </c>
      <c r="AA455" s="111" t="s">
        <v>7718</v>
      </c>
      <c r="AB455" s="125">
        <v>41527</v>
      </c>
      <c r="AE455">
        <v>49.64</v>
      </c>
      <c r="AF455" s="125">
        <v>41527</v>
      </c>
      <c r="AG455" s="111" t="s">
        <v>7718</v>
      </c>
      <c r="AH455" s="125">
        <v>41527</v>
      </c>
      <c r="AI455" s="111">
        <v>140</v>
      </c>
      <c r="AJ455" s="125">
        <v>41527</v>
      </c>
      <c r="BS455" s="111">
        <v>43.9</v>
      </c>
      <c r="BT455" s="125">
        <v>41527</v>
      </c>
      <c r="BU455">
        <v>21</v>
      </c>
      <c r="BV455" s="125">
        <v>41527</v>
      </c>
      <c r="CC455" s="111">
        <v>6.9</v>
      </c>
      <c r="CD455" s="125">
        <v>41527</v>
      </c>
      <c r="CG455" s="111">
        <v>1.63</v>
      </c>
      <c r="CH455" s="125">
        <v>41527</v>
      </c>
      <c r="CK455" s="111">
        <v>20</v>
      </c>
    </row>
    <row r="456" spans="1:89">
      <c r="A456" s="126" t="s">
        <v>7873</v>
      </c>
      <c r="B456" t="s">
        <v>257</v>
      </c>
      <c r="C456" t="s">
        <v>7795</v>
      </c>
      <c r="D456">
        <v>76</v>
      </c>
      <c r="E456" s="93">
        <v>5</v>
      </c>
      <c r="F456" s="93">
        <v>85</v>
      </c>
      <c r="K456" s="92">
        <v>5</v>
      </c>
      <c r="L456" s="159">
        <v>41569</v>
      </c>
      <c r="S456" s="111">
        <v>1656.3610000000001</v>
      </c>
      <c r="T456" s="125">
        <v>41527</v>
      </c>
      <c r="U456" s="111">
        <v>10.8</v>
      </c>
      <c r="Y456" s="111">
        <v>715.66600000000005</v>
      </c>
      <c r="Z456" s="125">
        <v>41527</v>
      </c>
      <c r="AA456" s="111">
        <v>74076.305219999995</v>
      </c>
      <c r="AB456" s="125">
        <v>41527</v>
      </c>
      <c r="AE456">
        <v>36.89</v>
      </c>
      <c r="AF456" s="125">
        <v>41527</v>
      </c>
      <c r="AG456" s="111">
        <v>4.9800000000000004</v>
      </c>
      <c r="AH456" s="125">
        <v>41527</v>
      </c>
      <c r="AI456" s="111">
        <v>125</v>
      </c>
      <c r="AJ456" s="125">
        <v>41527</v>
      </c>
      <c r="BS456" s="111">
        <v>44.9</v>
      </c>
      <c r="BT456" s="125">
        <v>41527</v>
      </c>
      <c r="BU456">
        <v>19.399999999999999</v>
      </c>
      <c r="BV456" s="125">
        <v>41527</v>
      </c>
      <c r="CC456" s="111">
        <v>8.1</v>
      </c>
      <c r="CD456" s="125">
        <v>41527</v>
      </c>
      <c r="CG456" s="111">
        <v>0.9</v>
      </c>
      <c r="CH456" s="125">
        <v>41527</v>
      </c>
      <c r="CK456" s="111">
        <v>10</v>
      </c>
    </row>
    <row r="457" spans="1:89">
      <c r="A457" s="126" t="s">
        <v>7873</v>
      </c>
      <c r="B457" t="s">
        <v>259</v>
      </c>
      <c r="C457" t="s">
        <v>7795</v>
      </c>
      <c r="D457">
        <v>76</v>
      </c>
      <c r="E457" s="93">
        <v>1</v>
      </c>
      <c r="F457" s="93">
        <v>62</v>
      </c>
      <c r="K457" s="92">
        <v>7</v>
      </c>
      <c r="L457" s="159">
        <v>41569</v>
      </c>
      <c r="S457" s="111">
        <v>2136.2399999999998</v>
      </c>
      <c r="T457" s="125">
        <v>41527</v>
      </c>
      <c r="U457" s="111">
        <v>10.8</v>
      </c>
      <c r="Y457" s="111">
        <v>1082.9549999999999</v>
      </c>
      <c r="Z457" s="125">
        <v>41527</v>
      </c>
      <c r="AA457" s="111">
        <v>94913.627640000006</v>
      </c>
      <c r="AB457" s="125">
        <v>41527</v>
      </c>
      <c r="AE457">
        <v>49.45</v>
      </c>
      <c r="AF457" s="125">
        <v>41527</v>
      </c>
      <c r="AG457" s="111">
        <v>5.21</v>
      </c>
      <c r="AH457" s="125">
        <v>41527</v>
      </c>
      <c r="AI457" s="111">
        <v>140</v>
      </c>
      <c r="AJ457" s="125">
        <v>41527</v>
      </c>
      <c r="BS457" s="111">
        <v>43.2</v>
      </c>
      <c r="BT457" s="125">
        <v>41527</v>
      </c>
      <c r="BU457">
        <v>21.9</v>
      </c>
      <c r="BV457" s="125">
        <v>41527</v>
      </c>
      <c r="CC457" s="111">
        <v>8.6999999999999993</v>
      </c>
      <c r="CD457" s="125">
        <v>41527</v>
      </c>
      <c r="CG457" s="111">
        <v>2.2999999999999998</v>
      </c>
      <c r="CH457" s="125">
        <v>41527</v>
      </c>
      <c r="CK457" s="111">
        <v>30</v>
      </c>
    </row>
    <row r="458" spans="1:89">
      <c r="A458" s="126" t="s">
        <v>7874</v>
      </c>
      <c r="B458" t="s">
        <v>257</v>
      </c>
      <c r="C458" t="s">
        <v>405</v>
      </c>
      <c r="D458">
        <v>77</v>
      </c>
      <c r="E458" s="93">
        <v>6</v>
      </c>
      <c r="F458" s="93">
        <v>25</v>
      </c>
      <c r="K458" s="92">
        <v>5</v>
      </c>
      <c r="L458" s="159">
        <v>41569</v>
      </c>
      <c r="S458" s="111">
        <v>1263.68</v>
      </c>
      <c r="T458" s="125">
        <v>41527</v>
      </c>
      <c r="U458" s="111">
        <v>10.8</v>
      </c>
      <c r="Y458" s="111">
        <v>574.4</v>
      </c>
      <c r="Z458" s="125">
        <v>41527</v>
      </c>
      <c r="AA458" s="111" t="s">
        <v>7718</v>
      </c>
      <c r="AB458" s="125">
        <v>41527</v>
      </c>
      <c r="AE458">
        <v>28.72</v>
      </c>
      <c r="AF458" s="125">
        <v>41527</v>
      </c>
      <c r="AG458" s="111" t="s">
        <v>7718</v>
      </c>
      <c r="AH458" s="125">
        <v>41527</v>
      </c>
      <c r="AI458" s="111">
        <v>120</v>
      </c>
      <c r="AJ458" s="125">
        <v>41527</v>
      </c>
      <c r="BS458" s="111">
        <v>44</v>
      </c>
      <c r="BT458" s="125">
        <v>41527</v>
      </c>
      <c r="BU458">
        <v>20</v>
      </c>
      <c r="BV458" s="125">
        <v>41527</v>
      </c>
      <c r="CC458" s="111">
        <v>9.9</v>
      </c>
      <c r="CD458" s="125">
        <v>41527</v>
      </c>
      <c r="CG458" s="111">
        <v>9.48</v>
      </c>
      <c r="CH458" s="125">
        <v>41527</v>
      </c>
      <c r="CK458" s="111">
        <v>20</v>
      </c>
    </row>
    <row r="459" spans="1:89">
      <c r="A459" s="126" t="s">
        <v>7874</v>
      </c>
      <c r="B459" t="s">
        <v>259</v>
      </c>
      <c r="C459" t="s">
        <v>405</v>
      </c>
      <c r="D459">
        <v>77</v>
      </c>
      <c r="E459" s="93">
        <v>3</v>
      </c>
      <c r="F459" s="93">
        <v>6</v>
      </c>
      <c r="K459" s="92">
        <v>5</v>
      </c>
      <c r="L459" s="159">
        <v>41569</v>
      </c>
      <c r="S459" s="111">
        <v>1855.0239999999999</v>
      </c>
      <c r="T459" s="125">
        <v>41527</v>
      </c>
      <c r="U459" s="111">
        <v>10.8</v>
      </c>
      <c r="Y459" s="111">
        <v>925.36</v>
      </c>
      <c r="Z459" s="125">
        <v>41527</v>
      </c>
      <c r="AA459" s="111" t="s">
        <v>7718</v>
      </c>
      <c r="AB459" s="125">
        <v>41527</v>
      </c>
      <c r="AE459">
        <v>43.04</v>
      </c>
      <c r="AF459" s="125">
        <v>41527</v>
      </c>
      <c r="AG459" s="111" t="s">
        <v>7718</v>
      </c>
      <c r="AH459" s="125">
        <v>41527</v>
      </c>
      <c r="AI459" s="111">
        <v>135</v>
      </c>
      <c r="AJ459" s="125">
        <v>41527</v>
      </c>
      <c r="BS459" s="111">
        <v>43.1</v>
      </c>
      <c r="BT459" s="125">
        <v>41527</v>
      </c>
      <c r="BU459">
        <v>21.5</v>
      </c>
      <c r="BV459" s="125">
        <v>41527</v>
      </c>
      <c r="CC459" s="111">
        <v>8.1</v>
      </c>
      <c r="CD459" s="125">
        <v>41527</v>
      </c>
      <c r="CG459" s="111">
        <v>0.89</v>
      </c>
      <c r="CH459" s="125">
        <v>41527</v>
      </c>
      <c r="CK459" s="111">
        <v>30</v>
      </c>
    </row>
    <row r="460" spans="1:89">
      <c r="A460" s="126" t="s">
        <v>7874</v>
      </c>
      <c r="B460" t="s">
        <v>257</v>
      </c>
      <c r="C460" t="s">
        <v>7794</v>
      </c>
      <c r="D460">
        <v>77</v>
      </c>
      <c r="E460" s="93">
        <v>1</v>
      </c>
      <c r="F460" s="93">
        <v>52</v>
      </c>
      <c r="K460" s="92">
        <v>5</v>
      </c>
      <c r="L460" s="159">
        <v>41569</v>
      </c>
      <c r="S460" s="111">
        <v>1495.4939999999999</v>
      </c>
      <c r="T460" s="125">
        <v>41527</v>
      </c>
      <c r="U460" s="111">
        <v>10.8</v>
      </c>
      <c r="Y460" s="111">
        <v>707.65800000000002</v>
      </c>
      <c r="Z460" s="125">
        <v>41527</v>
      </c>
      <c r="AA460" s="111" t="s">
        <v>7718</v>
      </c>
      <c r="AB460" s="125">
        <v>41527</v>
      </c>
      <c r="AE460">
        <v>34.86</v>
      </c>
      <c r="AF460" s="125">
        <v>41527</v>
      </c>
      <c r="AG460" s="111" t="s">
        <v>7718</v>
      </c>
      <c r="AH460" s="125">
        <v>41527</v>
      </c>
      <c r="AI460" s="111">
        <v>135</v>
      </c>
      <c r="AJ460" s="125">
        <v>41527</v>
      </c>
      <c r="BS460" s="111">
        <v>42.9</v>
      </c>
      <c r="BT460" s="125">
        <v>41527</v>
      </c>
      <c r="BU460">
        <v>20.3</v>
      </c>
      <c r="BV460" s="125">
        <v>41527</v>
      </c>
      <c r="CC460" s="111">
        <v>10.4</v>
      </c>
      <c r="CD460" s="125">
        <v>41527</v>
      </c>
      <c r="CG460" s="111">
        <v>8.9</v>
      </c>
      <c r="CH460" s="125">
        <v>41527</v>
      </c>
      <c r="CK460" s="111">
        <v>30</v>
      </c>
    </row>
    <row r="461" spans="1:89">
      <c r="A461" s="126" t="s">
        <v>7874</v>
      </c>
      <c r="B461" t="s">
        <v>259</v>
      </c>
      <c r="C461" t="s">
        <v>7794</v>
      </c>
      <c r="D461">
        <v>77</v>
      </c>
      <c r="E461" s="93">
        <v>6</v>
      </c>
      <c r="F461" s="93">
        <v>42</v>
      </c>
      <c r="K461" s="92">
        <v>3</v>
      </c>
      <c r="L461" s="159">
        <v>41569</v>
      </c>
      <c r="S461" s="111">
        <v>1785.1880000000001</v>
      </c>
      <c r="T461" s="125">
        <v>41527</v>
      </c>
      <c r="U461" s="111">
        <v>10.8</v>
      </c>
      <c r="Y461" s="111">
        <v>867.56799999999998</v>
      </c>
      <c r="Z461" s="125">
        <v>41527</v>
      </c>
      <c r="AA461" s="111" t="s">
        <v>7718</v>
      </c>
      <c r="AB461" s="125">
        <v>41527</v>
      </c>
      <c r="AE461">
        <v>41.71</v>
      </c>
      <c r="AF461" s="125">
        <v>41527</v>
      </c>
      <c r="AG461" s="111" t="s">
        <v>7718</v>
      </c>
      <c r="AH461" s="125">
        <v>41527</v>
      </c>
      <c r="AI461" s="111">
        <v>125</v>
      </c>
      <c r="AJ461" s="125">
        <v>41527</v>
      </c>
      <c r="BS461" s="111">
        <v>42.8</v>
      </c>
      <c r="BT461" s="125">
        <v>41527</v>
      </c>
      <c r="BU461">
        <v>20.8</v>
      </c>
      <c r="BV461" s="125">
        <v>41527</v>
      </c>
      <c r="CC461" s="111">
        <v>7.6</v>
      </c>
      <c r="CD461" s="125">
        <v>41527</v>
      </c>
      <c r="CG461" s="111">
        <v>9.4700000000000006</v>
      </c>
      <c r="CH461" s="125">
        <v>41527</v>
      </c>
      <c r="CK461" s="111">
        <v>30</v>
      </c>
    </row>
    <row r="462" spans="1:89">
      <c r="A462" s="126" t="s">
        <v>7874</v>
      </c>
      <c r="B462" t="s">
        <v>257</v>
      </c>
      <c r="C462" t="s">
        <v>7795</v>
      </c>
      <c r="D462">
        <v>77</v>
      </c>
      <c r="E462" s="93">
        <v>6</v>
      </c>
      <c r="F462" s="93">
        <v>75</v>
      </c>
      <c r="K462" s="92">
        <v>3</v>
      </c>
      <c r="L462" s="159">
        <v>41569</v>
      </c>
      <c r="S462" s="111">
        <v>1197.318</v>
      </c>
      <c r="T462" s="125">
        <v>41527</v>
      </c>
      <c r="U462" s="111">
        <v>10.8</v>
      </c>
      <c r="Y462" s="111">
        <v>597.27</v>
      </c>
      <c r="Z462" s="125">
        <v>41527</v>
      </c>
      <c r="AA462" s="111">
        <v>58117.15481</v>
      </c>
      <c r="AB462" s="125">
        <v>41527</v>
      </c>
      <c r="AE462">
        <v>27.78</v>
      </c>
      <c r="AF462" s="125">
        <v>41527</v>
      </c>
      <c r="AG462" s="111">
        <v>4.78</v>
      </c>
      <c r="AH462" s="125">
        <v>41527</v>
      </c>
      <c r="AI462" s="111">
        <v>120</v>
      </c>
      <c r="AJ462" s="125">
        <v>41527</v>
      </c>
      <c r="BS462" s="111">
        <v>43.1</v>
      </c>
      <c r="BT462" s="125">
        <v>41527</v>
      </c>
      <c r="BU462">
        <v>21.5</v>
      </c>
      <c r="BV462" s="125">
        <v>41527</v>
      </c>
      <c r="CC462" s="111">
        <v>6.1</v>
      </c>
      <c r="CD462" s="125">
        <v>41527</v>
      </c>
      <c r="CG462" s="111">
        <v>2.87</v>
      </c>
      <c r="CH462" s="125">
        <v>41527</v>
      </c>
      <c r="CK462" s="111">
        <v>20</v>
      </c>
    </row>
    <row r="463" spans="1:89">
      <c r="A463" s="126" t="s">
        <v>7874</v>
      </c>
      <c r="B463" t="s">
        <v>259</v>
      </c>
      <c r="C463" t="s">
        <v>7795</v>
      </c>
      <c r="D463">
        <v>77</v>
      </c>
      <c r="E463" s="93">
        <v>1</v>
      </c>
      <c r="F463" s="93">
        <v>73</v>
      </c>
      <c r="K463" s="92">
        <v>5</v>
      </c>
      <c r="L463" s="159">
        <v>41569</v>
      </c>
      <c r="S463" s="111">
        <v>1458.6880000000001</v>
      </c>
      <c r="T463" s="125">
        <v>41527</v>
      </c>
      <c r="U463" s="111">
        <v>10.8</v>
      </c>
      <c r="Y463" s="111">
        <v>799.23199999999997</v>
      </c>
      <c r="Z463" s="125">
        <v>41527</v>
      </c>
      <c r="AA463" s="111">
        <v>75932.203389999995</v>
      </c>
      <c r="AB463" s="125">
        <v>41527</v>
      </c>
      <c r="AE463">
        <v>35.840000000000003</v>
      </c>
      <c r="AF463" s="125">
        <v>41527</v>
      </c>
      <c r="AG463" s="111">
        <v>4.72</v>
      </c>
      <c r="AH463" s="125">
        <v>41527</v>
      </c>
      <c r="AI463" s="111">
        <v>130</v>
      </c>
      <c r="AJ463" s="125">
        <v>41527</v>
      </c>
      <c r="BS463" s="111">
        <v>40.700000000000003</v>
      </c>
      <c r="BT463" s="125">
        <v>41527</v>
      </c>
      <c r="BU463">
        <v>22.3</v>
      </c>
      <c r="BV463" s="125">
        <v>41527</v>
      </c>
      <c r="CC463" s="111">
        <v>10.7</v>
      </c>
      <c r="CD463" s="125">
        <v>41527</v>
      </c>
      <c r="CG463" s="111">
        <v>8.4</v>
      </c>
      <c r="CH463" s="125">
        <v>41527</v>
      </c>
      <c r="CK463" s="111">
        <v>30</v>
      </c>
    </row>
    <row r="464" spans="1:89">
      <c r="A464" s="126" t="s">
        <v>7875</v>
      </c>
      <c r="B464" t="s">
        <v>257</v>
      </c>
      <c r="C464" t="s">
        <v>405</v>
      </c>
      <c r="D464">
        <v>78</v>
      </c>
      <c r="E464" s="93">
        <v>5</v>
      </c>
      <c r="F464" s="93">
        <v>4</v>
      </c>
      <c r="K464" s="92">
        <v>5</v>
      </c>
      <c r="L464" s="159">
        <v>41569</v>
      </c>
      <c r="S464" s="111">
        <v>1860.1379999999999</v>
      </c>
      <c r="T464" s="125">
        <v>41527</v>
      </c>
      <c r="U464" s="111">
        <v>10.8</v>
      </c>
      <c r="Y464" s="111">
        <v>881.56200000000001</v>
      </c>
      <c r="Z464" s="125">
        <v>41527</v>
      </c>
      <c r="AA464" s="111" t="s">
        <v>7718</v>
      </c>
      <c r="AB464" s="125">
        <v>41527</v>
      </c>
      <c r="AE464">
        <v>42.18</v>
      </c>
      <c r="AF464" s="125">
        <v>41527</v>
      </c>
      <c r="AG464" s="111" t="s">
        <v>7718</v>
      </c>
      <c r="AH464" s="125">
        <v>41527</v>
      </c>
      <c r="AI464" s="111">
        <v>120</v>
      </c>
      <c r="AJ464" s="125">
        <v>41527</v>
      </c>
      <c r="BS464" s="111">
        <v>44.1</v>
      </c>
      <c r="BT464" s="125">
        <v>41527</v>
      </c>
      <c r="BU464">
        <v>20.9</v>
      </c>
      <c r="BV464" s="125">
        <v>41527</v>
      </c>
      <c r="CC464" s="111">
        <v>9.8000000000000007</v>
      </c>
      <c r="CD464" s="125">
        <v>41527</v>
      </c>
      <c r="CG464" s="111">
        <v>1.63</v>
      </c>
      <c r="CH464" s="125">
        <v>41527</v>
      </c>
      <c r="CK464" s="111">
        <v>1</v>
      </c>
    </row>
    <row r="465" spans="1:89">
      <c r="A465" s="126" t="s">
        <v>7875</v>
      </c>
      <c r="B465" t="s">
        <v>259</v>
      </c>
      <c r="C465" t="s">
        <v>405</v>
      </c>
      <c r="D465">
        <v>78</v>
      </c>
      <c r="E465" s="93">
        <v>2</v>
      </c>
      <c r="F465" s="93">
        <v>23</v>
      </c>
      <c r="K465" s="92">
        <v>7</v>
      </c>
      <c r="L465" s="159">
        <v>41569</v>
      </c>
      <c r="S465" s="111">
        <v>2078.2260000000001</v>
      </c>
      <c r="T465" s="125">
        <v>41527</v>
      </c>
      <c r="U465" s="111">
        <v>10.8</v>
      </c>
      <c r="Y465" s="111">
        <v>1036.7460000000001</v>
      </c>
      <c r="Z465" s="125">
        <v>41527</v>
      </c>
      <c r="AA465" s="111" t="s">
        <v>7718</v>
      </c>
      <c r="AB465" s="125">
        <v>41527</v>
      </c>
      <c r="AE465">
        <v>47.34</v>
      </c>
      <c r="AF465" s="125">
        <v>41527</v>
      </c>
      <c r="AG465" s="111" t="s">
        <v>7718</v>
      </c>
      <c r="AH465" s="125">
        <v>41527</v>
      </c>
      <c r="AI465" s="111">
        <v>135</v>
      </c>
      <c r="AJ465" s="125">
        <v>41527</v>
      </c>
      <c r="BS465" s="111">
        <v>43.9</v>
      </c>
      <c r="BT465" s="125">
        <v>41527</v>
      </c>
      <c r="BU465">
        <v>21.9</v>
      </c>
      <c r="BV465" s="125">
        <v>41527</v>
      </c>
      <c r="CC465" s="111">
        <v>8.5</v>
      </c>
      <c r="CD465" s="125">
        <v>41527</v>
      </c>
      <c r="CG465" s="111">
        <v>2.3199999999999998</v>
      </c>
      <c r="CH465" s="125">
        <v>41527</v>
      </c>
      <c r="CK465" s="111">
        <v>5</v>
      </c>
    </row>
    <row r="466" spans="1:89">
      <c r="A466" s="126" t="s">
        <v>7875</v>
      </c>
      <c r="B466" t="s">
        <v>257</v>
      </c>
      <c r="C466" t="s">
        <v>7794</v>
      </c>
      <c r="D466">
        <v>78</v>
      </c>
      <c r="E466" s="93">
        <v>2</v>
      </c>
      <c r="F466" s="93">
        <v>54</v>
      </c>
      <c r="K466" s="92">
        <v>5</v>
      </c>
      <c r="L466" s="159">
        <v>41569</v>
      </c>
      <c r="S466" s="111">
        <v>1951.2049999999999</v>
      </c>
      <c r="T466" s="125">
        <v>41527</v>
      </c>
      <c r="U466" s="111">
        <v>10.8</v>
      </c>
      <c r="Y466" s="111">
        <v>924.255</v>
      </c>
      <c r="Z466" s="125">
        <v>41527</v>
      </c>
      <c r="AA466" s="111" t="s">
        <v>7718</v>
      </c>
      <c r="AB466" s="125">
        <v>41527</v>
      </c>
      <c r="AE466">
        <v>44.65</v>
      </c>
      <c r="AF466" s="125">
        <v>41527</v>
      </c>
      <c r="AG466" s="111" t="s">
        <v>7718</v>
      </c>
      <c r="AH466" s="125">
        <v>41527</v>
      </c>
      <c r="AI466" s="111">
        <v>130</v>
      </c>
      <c r="AJ466" s="125">
        <v>41527</v>
      </c>
      <c r="BS466" s="111">
        <v>43.7</v>
      </c>
      <c r="BT466" s="125">
        <v>41527</v>
      </c>
      <c r="BU466">
        <v>20.7</v>
      </c>
      <c r="BV466" s="125">
        <v>41527</v>
      </c>
      <c r="CC466" s="111">
        <v>10</v>
      </c>
      <c r="CD466" s="125">
        <v>41527</v>
      </c>
      <c r="CG466" s="111">
        <v>3.72</v>
      </c>
      <c r="CH466" s="125">
        <v>41527</v>
      </c>
      <c r="CK466" s="111">
        <v>1</v>
      </c>
    </row>
    <row r="467" spans="1:89">
      <c r="A467" s="126" t="s">
        <v>7875</v>
      </c>
      <c r="B467" t="s">
        <v>259</v>
      </c>
      <c r="C467" t="s">
        <v>7794</v>
      </c>
      <c r="D467">
        <v>78</v>
      </c>
      <c r="E467" s="93">
        <v>4</v>
      </c>
      <c r="F467" s="93">
        <v>54</v>
      </c>
      <c r="K467" s="92">
        <v>5</v>
      </c>
      <c r="L467" s="159">
        <v>41569</v>
      </c>
      <c r="S467" s="111">
        <v>2236.8960000000002</v>
      </c>
      <c r="T467" s="125">
        <v>41527</v>
      </c>
      <c r="U467" s="111">
        <v>10.8</v>
      </c>
      <c r="Y467" s="111">
        <v>1144.338</v>
      </c>
      <c r="Z467" s="125">
        <v>41527</v>
      </c>
      <c r="AA467" s="111" t="s">
        <v>7718</v>
      </c>
      <c r="AB467" s="125">
        <v>41527</v>
      </c>
      <c r="AE467">
        <v>51.78</v>
      </c>
      <c r="AF467" s="125">
        <v>41527</v>
      </c>
      <c r="AG467" s="111" t="s">
        <v>7718</v>
      </c>
      <c r="AH467" s="125">
        <v>41527</v>
      </c>
      <c r="AI467" s="111">
        <v>130</v>
      </c>
      <c r="AJ467" s="125">
        <v>41527</v>
      </c>
      <c r="BS467" s="111">
        <v>43.2</v>
      </c>
      <c r="BT467" s="125">
        <v>41527</v>
      </c>
      <c r="BU467">
        <v>22.1</v>
      </c>
      <c r="BV467" s="125">
        <v>41527</v>
      </c>
      <c r="CC467" s="111">
        <v>8.4</v>
      </c>
      <c r="CD467" s="125">
        <v>41527</v>
      </c>
      <c r="CG467" s="111">
        <v>2.09</v>
      </c>
      <c r="CH467" s="125">
        <v>41527</v>
      </c>
      <c r="CK467" s="111">
        <v>1</v>
      </c>
    </row>
    <row r="468" spans="1:89">
      <c r="A468" s="126" t="s">
        <v>7875</v>
      </c>
      <c r="B468" t="s">
        <v>257</v>
      </c>
      <c r="C468" t="s">
        <v>7795</v>
      </c>
      <c r="D468">
        <v>78</v>
      </c>
      <c r="E468" s="93">
        <v>4</v>
      </c>
      <c r="F468" s="93">
        <v>80</v>
      </c>
      <c r="K468" s="92">
        <v>7</v>
      </c>
      <c r="L468" s="159">
        <v>41569</v>
      </c>
      <c r="S468" s="111">
        <v>1837.405</v>
      </c>
      <c r="T468" s="125">
        <v>41527</v>
      </c>
      <c r="U468" s="111">
        <v>10.8</v>
      </c>
      <c r="Y468" s="111">
        <v>829.92899999999997</v>
      </c>
      <c r="Z468" s="125">
        <v>41527</v>
      </c>
      <c r="AA468" s="111">
        <v>81924.603170000002</v>
      </c>
      <c r="AB468" s="125">
        <v>41527</v>
      </c>
      <c r="AE468">
        <v>41.29</v>
      </c>
      <c r="AF468" s="125">
        <v>41527</v>
      </c>
      <c r="AG468" s="111">
        <v>5.04</v>
      </c>
      <c r="AH468" s="125">
        <v>41527</v>
      </c>
      <c r="AI468" s="111">
        <v>125</v>
      </c>
      <c r="AJ468" s="125">
        <v>41527</v>
      </c>
      <c r="BS468" s="111">
        <v>44.5</v>
      </c>
      <c r="BT468" s="125">
        <v>41527</v>
      </c>
      <c r="BU468">
        <v>20.100000000000001</v>
      </c>
      <c r="BV468" s="125">
        <v>41527</v>
      </c>
      <c r="CC468" s="111">
        <v>6.2</v>
      </c>
      <c r="CD468" s="125">
        <v>41527</v>
      </c>
      <c r="CG468" s="111">
        <v>1.22</v>
      </c>
      <c r="CH468" s="125">
        <v>41527</v>
      </c>
      <c r="CK468" s="111">
        <v>5</v>
      </c>
    </row>
    <row r="469" spans="1:89">
      <c r="A469" s="126" t="s">
        <v>7875</v>
      </c>
      <c r="B469" t="s">
        <v>259</v>
      </c>
      <c r="C469" t="s">
        <v>7795</v>
      </c>
      <c r="D469">
        <v>78</v>
      </c>
      <c r="E469" s="93">
        <v>3</v>
      </c>
      <c r="F469" s="93">
        <v>63</v>
      </c>
      <c r="K469" s="92">
        <v>7</v>
      </c>
      <c r="L469" s="159">
        <v>41569</v>
      </c>
      <c r="S469" s="111">
        <v>2459.6</v>
      </c>
      <c r="T469" s="125">
        <v>41527</v>
      </c>
      <c r="U469" s="111">
        <v>10.8</v>
      </c>
      <c r="Y469" s="111">
        <v>1292.72</v>
      </c>
      <c r="Z469" s="125">
        <v>41527</v>
      </c>
      <c r="AA469" s="111">
        <v>108333.3333</v>
      </c>
      <c r="AB469" s="125">
        <v>41527</v>
      </c>
      <c r="AE469">
        <v>57.2</v>
      </c>
      <c r="AF469" s="125">
        <v>41527</v>
      </c>
      <c r="AG469" s="111">
        <v>5.28</v>
      </c>
      <c r="AH469" s="125">
        <v>41527</v>
      </c>
      <c r="AI469" s="111">
        <v>140</v>
      </c>
      <c r="AJ469" s="125">
        <v>41527</v>
      </c>
      <c r="BS469" s="111">
        <v>43</v>
      </c>
      <c r="BT469" s="125">
        <v>41527</v>
      </c>
      <c r="BU469">
        <v>22.6</v>
      </c>
      <c r="BV469" s="125">
        <v>41527</v>
      </c>
      <c r="CC469" s="111">
        <v>7.9</v>
      </c>
      <c r="CD469" s="125">
        <v>41527</v>
      </c>
      <c r="CG469" s="111">
        <v>1.4</v>
      </c>
      <c r="CH469" s="125">
        <v>41527</v>
      </c>
      <c r="CK469" s="111">
        <v>1</v>
      </c>
    </row>
    <row r="470" spans="1:89">
      <c r="A470" s="126" t="s">
        <v>7876</v>
      </c>
      <c r="B470" t="s">
        <v>257</v>
      </c>
      <c r="C470" t="s">
        <v>405</v>
      </c>
      <c r="D470">
        <v>79</v>
      </c>
      <c r="E470" s="93">
        <v>5</v>
      </c>
      <c r="F470" s="93">
        <v>17</v>
      </c>
      <c r="K470" s="92">
        <v>5</v>
      </c>
      <c r="L470" s="159">
        <v>41569</v>
      </c>
      <c r="S470" s="111">
        <v>1086.48</v>
      </c>
      <c r="T470" s="125">
        <v>41527</v>
      </c>
      <c r="U470" s="111">
        <v>10.8</v>
      </c>
      <c r="Y470" s="111">
        <v>523.12</v>
      </c>
      <c r="Z470" s="125">
        <v>41527</v>
      </c>
      <c r="AA470" s="111" t="s">
        <v>7718</v>
      </c>
      <c r="AB470" s="125">
        <v>41527</v>
      </c>
      <c r="AE470">
        <v>25.15</v>
      </c>
      <c r="AF470" s="125">
        <v>41527</v>
      </c>
      <c r="AG470" s="111" t="s">
        <v>7718</v>
      </c>
      <c r="AH470" s="125">
        <v>41527</v>
      </c>
      <c r="AI470" s="111">
        <v>110</v>
      </c>
      <c r="AJ470" s="125">
        <v>41527</v>
      </c>
      <c r="BS470" s="111">
        <v>43.2</v>
      </c>
      <c r="BT470" s="125">
        <v>41527</v>
      </c>
      <c r="BU470">
        <v>20.8</v>
      </c>
      <c r="BV470" s="125">
        <v>41527</v>
      </c>
      <c r="CC470" s="111">
        <v>6.9</v>
      </c>
      <c r="CD470" s="125">
        <v>41527</v>
      </c>
      <c r="CG470" s="111">
        <v>15.24</v>
      </c>
      <c r="CH470" s="125">
        <v>41527</v>
      </c>
      <c r="CK470" s="111">
        <v>10</v>
      </c>
    </row>
    <row r="471" spans="1:89">
      <c r="A471" s="126" t="s">
        <v>7876</v>
      </c>
      <c r="B471" t="s">
        <v>259</v>
      </c>
      <c r="C471" t="s">
        <v>405</v>
      </c>
      <c r="D471">
        <v>79</v>
      </c>
      <c r="E471" s="93">
        <v>2</v>
      </c>
      <c r="F471" s="93">
        <v>8</v>
      </c>
      <c r="K471" s="92">
        <v>3</v>
      </c>
      <c r="L471" s="159">
        <v>41569</v>
      </c>
      <c r="S471" s="111">
        <v>1556.665</v>
      </c>
      <c r="T471" s="125">
        <v>41527</v>
      </c>
      <c r="U471" s="111">
        <v>10.8</v>
      </c>
      <c r="Y471" s="111">
        <v>851.47699999999998</v>
      </c>
      <c r="Z471" s="125">
        <v>41527</v>
      </c>
      <c r="AA471" s="111" t="s">
        <v>7718</v>
      </c>
      <c r="AB471" s="125">
        <v>41527</v>
      </c>
      <c r="AE471">
        <v>37.51</v>
      </c>
      <c r="AF471" s="125">
        <v>41527</v>
      </c>
      <c r="AG471" s="111" t="s">
        <v>7718</v>
      </c>
      <c r="AH471" s="125">
        <v>41527</v>
      </c>
      <c r="AI471" s="111">
        <v>120</v>
      </c>
      <c r="AJ471" s="125">
        <v>41527</v>
      </c>
      <c r="BS471" s="111">
        <v>41.5</v>
      </c>
      <c r="BT471" s="125">
        <v>41527</v>
      </c>
      <c r="BU471">
        <v>22.7</v>
      </c>
      <c r="BV471" s="125">
        <v>41527</v>
      </c>
      <c r="CC471" s="111">
        <v>8.6999999999999993</v>
      </c>
      <c r="CD471" s="125">
        <v>41527</v>
      </c>
      <c r="CG471" s="111">
        <v>2.33</v>
      </c>
      <c r="CH471" s="125">
        <v>41527</v>
      </c>
      <c r="CK471" s="111">
        <v>5</v>
      </c>
    </row>
    <row r="472" spans="1:89">
      <c r="A472" s="126" t="s">
        <v>7876</v>
      </c>
      <c r="B472" t="s">
        <v>257</v>
      </c>
      <c r="C472" t="s">
        <v>7794</v>
      </c>
      <c r="D472">
        <v>79</v>
      </c>
      <c r="E472" s="93">
        <v>1</v>
      </c>
      <c r="F472" s="93">
        <v>50</v>
      </c>
      <c r="K472" s="92">
        <v>5</v>
      </c>
      <c r="L472" s="159">
        <v>41569</v>
      </c>
      <c r="S472" s="111">
        <v>1377.519</v>
      </c>
      <c r="T472" s="125">
        <v>41527</v>
      </c>
      <c r="U472" s="111">
        <v>10.8</v>
      </c>
      <c r="Y472" s="111">
        <v>674.31</v>
      </c>
      <c r="Z472" s="125">
        <v>41527</v>
      </c>
      <c r="AA472" s="111" t="s">
        <v>7718</v>
      </c>
      <c r="AB472" s="125">
        <v>41527</v>
      </c>
      <c r="AE472">
        <v>32.11</v>
      </c>
      <c r="AF472" s="125">
        <v>41527</v>
      </c>
      <c r="AG472" s="111" t="s">
        <v>7718</v>
      </c>
      <c r="AH472" s="125">
        <v>41527</v>
      </c>
      <c r="AI472" s="111">
        <v>115</v>
      </c>
      <c r="AJ472" s="125">
        <v>41527</v>
      </c>
      <c r="BS472" s="111">
        <v>42.9</v>
      </c>
      <c r="BT472" s="125">
        <v>41527</v>
      </c>
      <c r="BU472">
        <v>21</v>
      </c>
      <c r="BV472" s="125">
        <v>41527</v>
      </c>
      <c r="CC472" s="111">
        <v>10</v>
      </c>
      <c r="CD472" s="125">
        <v>41527</v>
      </c>
      <c r="CG472" s="111">
        <v>8.18</v>
      </c>
      <c r="CH472" s="125">
        <v>41527</v>
      </c>
      <c r="CK472" s="111">
        <v>10</v>
      </c>
    </row>
    <row r="473" spans="1:89">
      <c r="A473" s="126" t="s">
        <v>7876</v>
      </c>
      <c r="B473" t="s">
        <v>259</v>
      </c>
      <c r="C473" t="s">
        <v>7794</v>
      </c>
      <c r="D473">
        <v>79</v>
      </c>
      <c r="E473" s="93">
        <v>5</v>
      </c>
      <c r="F473" s="93">
        <v>46</v>
      </c>
      <c r="K473" s="92">
        <v>3</v>
      </c>
      <c r="L473" s="159">
        <v>41569</v>
      </c>
      <c r="S473" s="111">
        <v>1814.51</v>
      </c>
      <c r="T473" s="125">
        <v>41527</v>
      </c>
      <c r="U473" s="111">
        <v>10.8</v>
      </c>
      <c r="Y473" s="111">
        <v>939.58</v>
      </c>
      <c r="Z473" s="125">
        <v>41527</v>
      </c>
      <c r="AA473" s="111" t="s">
        <v>7718</v>
      </c>
      <c r="AB473" s="125">
        <v>41527</v>
      </c>
      <c r="AE473">
        <v>43.1</v>
      </c>
      <c r="AF473" s="125">
        <v>41527</v>
      </c>
      <c r="AG473" s="111" t="s">
        <v>7718</v>
      </c>
      <c r="AH473" s="125">
        <v>41527</v>
      </c>
      <c r="AI473" s="111">
        <v>125</v>
      </c>
      <c r="AJ473" s="125">
        <v>41527</v>
      </c>
      <c r="BS473" s="111">
        <v>42.1</v>
      </c>
      <c r="BT473" s="125">
        <v>41527</v>
      </c>
      <c r="BU473">
        <v>21.8</v>
      </c>
      <c r="BV473" s="125">
        <v>41527</v>
      </c>
      <c r="CC473" s="111">
        <v>7.5</v>
      </c>
      <c r="CD473" s="125">
        <v>41527</v>
      </c>
      <c r="CG473" s="111">
        <v>4.18</v>
      </c>
      <c r="CH473" s="125">
        <v>41527</v>
      </c>
      <c r="CK473" s="111">
        <v>5</v>
      </c>
    </row>
    <row r="474" spans="1:89">
      <c r="A474" s="126" t="s">
        <v>7876</v>
      </c>
      <c r="B474" t="s">
        <v>257</v>
      </c>
      <c r="C474" t="s">
        <v>7795</v>
      </c>
      <c r="D474">
        <v>79</v>
      </c>
      <c r="E474" s="93">
        <v>5</v>
      </c>
      <c r="F474" s="93">
        <v>68</v>
      </c>
      <c r="K474" s="92">
        <v>3</v>
      </c>
      <c r="L474" s="159">
        <v>41569</v>
      </c>
      <c r="S474" s="111">
        <v>1356.48</v>
      </c>
      <c r="T474" s="125">
        <v>41527</v>
      </c>
      <c r="U474" s="111">
        <v>10.8</v>
      </c>
      <c r="Y474" s="111">
        <v>653.12</v>
      </c>
      <c r="Z474" s="125">
        <v>41527</v>
      </c>
      <c r="AA474" s="111">
        <v>68260.869569999995</v>
      </c>
      <c r="AB474" s="125">
        <v>41527</v>
      </c>
      <c r="AE474">
        <v>31.4</v>
      </c>
      <c r="AF474" s="125">
        <v>41527</v>
      </c>
      <c r="AG474" s="111">
        <v>4.5999999999999996</v>
      </c>
      <c r="AH474" s="125">
        <v>41527</v>
      </c>
      <c r="AI474" s="111">
        <v>100</v>
      </c>
      <c r="AJ474" s="125">
        <v>41527</v>
      </c>
      <c r="BS474" s="111">
        <v>43.2</v>
      </c>
      <c r="BT474" s="125">
        <v>41527</v>
      </c>
      <c r="BU474">
        <v>20.8</v>
      </c>
      <c r="BV474" s="125">
        <v>41527</v>
      </c>
      <c r="CC474" s="111">
        <v>6.2</v>
      </c>
      <c r="CD474" s="125">
        <v>41527</v>
      </c>
      <c r="CG474" s="111">
        <v>4.1500000000000004</v>
      </c>
      <c r="CH474" s="125">
        <v>41527</v>
      </c>
      <c r="CK474" s="111">
        <v>10</v>
      </c>
    </row>
    <row r="475" spans="1:89">
      <c r="A475" s="126" t="s">
        <v>7876</v>
      </c>
      <c r="B475" t="s">
        <v>259</v>
      </c>
      <c r="C475" t="s">
        <v>7795</v>
      </c>
      <c r="D475">
        <v>79</v>
      </c>
      <c r="E475" s="93">
        <v>1</v>
      </c>
      <c r="F475" s="93">
        <v>83</v>
      </c>
      <c r="K475" s="92">
        <v>3</v>
      </c>
      <c r="L475" s="159">
        <v>41569</v>
      </c>
      <c r="S475" s="111">
        <v>1123.5239999999999</v>
      </c>
      <c r="T475" s="125">
        <v>41527</v>
      </c>
      <c r="U475" s="111">
        <v>10.8</v>
      </c>
      <c r="Y475" s="111">
        <v>608.12099999999998</v>
      </c>
      <c r="Z475" s="125">
        <v>41527</v>
      </c>
      <c r="AA475" s="111">
        <v>62402.745999999999</v>
      </c>
      <c r="AB475" s="125">
        <v>41527</v>
      </c>
      <c r="AE475">
        <v>27.27</v>
      </c>
      <c r="AF475" s="125">
        <v>41527</v>
      </c>
      <c r="AG475" s="111">
        <v>4.37</v>
      </c>
      <c r="AH475" s="125">
        <v>41527</v>
      </c>
      <c r="AI475" s="111">
        <v>105</v>
      </c>
      <c r="AJ475" s="125">
        <v>41527</v>
      </c>
      <c r="BS475" s="111">
        <v>41.2</v>
      </c>
      <c r="BT475" s="125">
        <v>41527</v>
      </c>
      <c r="BU475">
        <v>22.3</v>
      </c>
      <c r="BV475" s="125">
        <v>41527</v>
      </c>
      <c r="CC475" s="111">
        <v>13.2</v>
      </c>
      <c r="CD475" s="125">
        <v>41527</v>
      </c>
      <c r="CG475" s="111">
        <v>14.26</v>
      </c>
      <c r="CH475" s="125">
        <v>41527</v>
      </c>
      <c r="CK475" s="111">
        <v>5</v>
      </c>
    </row>
    <row r="476" spans="1:89">
      <c r="A476" s="126" t="s">
        <v>7877</v>
      </c>
      <c r="B476" t="s">
        <v>257</v>
      </c>
      <c r="C476" t="s">
        <v>405</v>
      </c>
      <c r="D476">
        <v>80</v>
      </c>
      <c r="E476" s="93">
        <v>6</v>
      </c>
      <c r="F476" s="93">
        <v>3</v>
      </c>
      <c r="K476" s="92">
        <v>5</v>
      </c>
      <c r="L476" s="159">
        <v>41569</v>
      </c>
      <c r="S476" s="111">
        <v>1802.64</v>
      </c>
      <c r="T476" s="125">
        <v>41527</v>
      </c>
      <c r="U476" s="111">
        <v>10.8</v>
      </c>
      <c r="Y476" s="111">
        <v>795.76</v>
      </c>
      <c r="Z476" s="125">
        <v>41527</v>
      </c>
      <c r="AA476" s="111" t="s">
        <v>7718</v>
      </c>
      <c r="AB476" s="125">
        <v>41527</v>
      </c>
      <c r="AE476">
        <v>40.6</v>
      </c>
      <c r="AF476" s="125">
        <v>41527</v>
      </c>
      <c r="AG476" s="111" t="s">
        <v>7718</v>
      </c>
      <c r="AH476" s="125">
        <v>41527</v>
      </c>
      <c r="AI476" s="111">
        <v>115</v>
      </c>
      <c r="AJ476" s="125">
        <v>41527</v>
      </c>
      <c r="BS476" s="111">
        <v>44.4</v>
      </c>
      <c r="BT476" s="125">
        <v>41527</v>
      </c>
      <c r="BU476">
        <v>19.600000000000001</v>
      </c>
      <c r="BV476" s="125">
        <v>41527</v>
      </c>
      <c r="CC476" s="111">
        <v>10.9</v>
      </c>
      <c r="CD476" s="125">
        <v>41527</v>
      </c>
      <c r="CG476" s="111">
        <v>2.2799999999999998</v>
      </c>
      <c r="CH476" s="125">
        <v>41527</v>
      </c>
      <c r="CK476" s="111">
        <v>30</v>
      </c>
    </row>
    <row r="477" spans="1:89">
      <c r="A477" s="126" t="s">
        <v>7877</v>
      </c>
      <c r="B477" t="s">
        <v>259</v>
      </c>
      <c r="C477" t="s">
        <v>405</v>
      </c>
      <c r="D477">
        <v>80</v>
      </c>
      <c r="E477" s="93">
        <v>1</v>
      </c>
      <c r="F477" s="93">
        <v>16</v>
      </c>
      <c r="K477" s="92">
        <v>5</v>
      </c>
      <c r="L477" s="159">
        <v>41569</v>
      </c>
      <c r="S477" s="111">
        <v>2108.16</v>
      </c>
      <c r="T477" s="125">
        <v>41527</v>
      </c>
      <c r="U477" s="111">
        <v>10.8</v>
      </c>
      <c r="Y477" s="111">
        <v>1029.68</v>
      </c>
      <c r="Z477" s="125">
        <v>41527</v>
      </c>
      <c r="AA477" s="111" t="s">
        <v>7718</v>
      </c>
      <c r="AB477" s="125">
        <v>41527</v>
      </c>
      <c r="AE477">
        <v>48.8</v>
      </c>
      <c r="AF477" s="125">
        <v>41527</v>
      </c>
      <c r="AG477" s="111" t="s">
        <v>7718</v>
      </c>
      <c r="AH477" s="125">
        <v>41527</v>
      </c>
      <c r="AI477" s="111">
        <v>130</v>
      </c>
      <c r="AJ477" s="125">
        <v>41527</v>
      </c>
      <c r="BS477" s="111">
        <v>43.2</v>
      </c>
      <c r="BT477" s="125">
        <v>41527</v>
      </c>
      <c r="BU477">
        <v>21.1</v>
      </c>
      <c r="BV477" s="125">
        <v>41527</v>
      </c>
      <c r="CC477" s="111">
        <v>7.1</v>
      </c>
      <c r="CD477" s="125">
        <v>41527</v>
      </c>
      <c r="CG477" s="111">
        <v>1.27</v>
      </c>
      <c r="CH477" s="125">
        <v>41527</v>
      </c>
      <c r="CK477" s="111">
        <v>20</v>
      </c>
    </row>
    <row r="478" spans="1:89">
      <c r="A478" s="126" t="s">
        <v>7877</v>
      </c>
      <c r="B478" t="s">
        <v>257</v>
      </c>
      <c r="C478" t="s">
        <v>7794</v>
      </c>
      <c r="D478">
        <v>80</v>
      </c>
      <c r="E478" s="93">
        <v>1</v>
      </c>
      <c r="F478" s="93">
        <v>44</v>
      </c>
      <c r="K478" s="92">
        <v>5</v>
      </c>
      <c r="L478" s="159">
        <v>41569</v>
      </c>
      <c r="S478" s="111">
        <v>1931.4</v>
      </c>
      <c r="T478" s="125">
        <v>41527</v>
      </c>
      <c r="U478" s="111">
        <v>10.8</v>
      </c>
      <c r="Y478" s="111">
        <v>798.31200000000001</v>
      </c>
      <c r="Z478" s="125">
        <v>41527</v>
      </c>
      <c r="AA478" s="111" t="s">
        <v>7718</v>
      </c>
      <c r="AB478" s="125">
        <v>41527</v>
      </c>
      <c r="AE478">
        <v>42.92</v>
      </c>
      <c r="AF478" s="125">
        <v>41527</v>
      </c>
      <c r="AG478" s="111" t="s">
        <v>7718</v>
      </c>
      <c r="AH478" s="125">
        <v>41527</v>
      </c>
      <c r="AI478" s="111">
        <v>130</v>
      </c>
      <c r="AJ478" s="125">
        <v>41527</v>
      </c>
      <c r="BS478" s="111">
        <v>45</v>
      </c>
      <c r="BT478" s="125">
        <v>41527</v>
      </c>
      <c r="BU478">
        <v>18.600000000000001</v>
      </c>
      <c r="BV478" s="125">
        <v>41527</v>
      </c>
      <c r="CC478" s="111">
        <v>9.3000000000000007</v>
      </c>
      <c r="CD478" s="125">
        <v>41527</v>
      </c>
      <c r="CG478" s="111">
        <v>3.65</v>
      </c>
      <c r="CH478" s="125">
        <v>41527</v>
      </c>
      <c r="CK478" s="111">
        <v>20</v>
      </c>
    </row>
    <row r="479" spans="1:89">
      <c r="A479" s="126" t="s">
        <v>7877</v>
      </c>
      <c r="B479" t="s">
        <v>259</v>
      </c>
      <c r="C479" t="s">
        <v>7794</v>
      </c>
      <c r="D479">
        <v>80</v>
      </c>
      <c r="E479" s="93">
        <v>6</v>
      </c>
      <c r="F479" s="93">
        <v>54</v>
      </c>
      <c r="K479" s="92">
        <v>3</v>
      </c>
      <c r="L479" s="159">
        <v>41569</v>
      </c>
      <c r="S479" s="111">
        <v>1993.248</v>
      </c>
      <c r="T479" s="125">
        <v>41527</v>
      </c>
      <c r="U479" s="111">
        <v>10.8</v>
      </c>
      <c r="Y479" s="111">
        <v>945.87</v>
      </c>
      <c r="Z479" s="125">
        <v>41527</v>
      </c>
      <c r="AA479" s="111" t="s">
        <v>7718</v>
      </c>
      <c r="AB479" s="125">
        <v>41527</v>
      </c>
      <c r="AE479">
        <v>46.14</v>
      </c>
      <c r="AF479" s="125">
        <v>41527</v>
      </c>
      <c r="AG479" s="111" t="s">
        <v>7718</v>
      </c>
      <c r="AH479" s="125">
        <v>41527</v>
      </c>
      <c r="AI479" s="111">
        <v>110</v>
      </c>
      <c r="AJ479" s="125">
        <v>41527</v>
      </c>
      <c r="BS479" s="111">
        <v>43.2</v>
      </c>
      <c r="BT479" s="125">
        <v>41527</v>
      </c>
      <c r="BU479">
        <v>20.5</v>
      </c>
      <c r="BV479" s="125">
        <v>41527</v>
      </c>
      <c r="CC479" s="111">
        <v>8.5</v>
      </c>
      <c r="CD479" s="125">
        <v>41527</v>
      </c>
      <c r="CG479" s="111">
        <v>2.13</v>
      </c>
      <c r="CH479" s="125">
        <v>41527</v>
      </c>
      <c r="CK479" s="111">
        <v>20</v>
      </c>
    </row>
    <row r="480" spans="1:89">
      <c r="A480" s="126" t="s">
        <v>7877</v>
      </c>
      <c r="B480" t="s">
        <v>257</v>
      </c>
      <c r="C480" t="s">
        <v>7795</v>
      </c>
      <c r="D480">
        <v>80</v>
      </c>
      <c r="E480" s="93">
        <v>5</v>
      </c>
      <c r="F480" s="93">
        <v>77</v>
      </c>
      <c r="K480" s="92">
        <v>7</v>
      </c>
      <c r="L480" s="159">
        <v>41569</v>
      </c>
      <c r="S480" s="111">
        <v>2035.098</v>
      </c>
      <c r="T480" s="125">
        <v>41527</v>
      </c>
      <c r="U480" s="111">
        <v>10.8</v>
      </c>
      <c r="Y480" s="111">
        <v>862.40700000000004</v>
      </c>
      <c r="Z480" s="125">
        <v>41527</v>
      </c>
      <c r="AA480" s="111">
        <v>87080.152669999996</v>
      </c>
      <c r="AB480" s="125">
        <v>41527</v>
      </c>
      <c r="AE480">
        <v>45.63</v>
      </c>
      <c r="AF480" s="125">
        <v>41527</v>
      </c>
      <c r="AG480" s="111">
        <v>5.24</v>
      </c>
      <c r="AH480" s="125">
        <v>41527</v>
      </c>
      <c r="AI480" s="111">
        <v>120</v>
      </c>
      <c r="AJ480" s="125">
        <v>41527</v>
      </c>
      <c r="BS480" s="111">
        <v>44.6</v>
      </c>
      <c r="BT480" s="125">
        <v>41527</v>
      </c>
      <c r="BU480">
        <v>18.899999999999999</v>
      </c>
      <c r="BV480" s="125">
        <v>41527</v>
      </c>
      <c r="CC480" s="111">
        <v>5.7</v>
      </c>
      <c r="CD480" s="125">
        <v>41527</v>
      </c>
      <c r="CG480" s="111">
        <v>1.36</v>
      </c>
      <c r="CH480" s="125">
        <v>41527</v>
      </c>
      <c r="CK480" s="111">
        <v>30</v>
      </c>
    </row>
    <row r="481" spans="1:89">
      <c r="A481" s="126" t="s">
        <v>7877</v>
      </c>
      <c r="B481" t="s">
        <v>259</v>
      </c>
      <c r="C481" t="s">
        <v>7795</v>
      </c>
      <c r="D481">
        <v>80</v>
      </c>
      <c r="E481" s="93">
        <v>1</v>
      </c>
      <c r="F481" s="93">
        <v>82</v>
      </c>
      <c r="K481" s="92">
        <v>5</v>
      </c>
      <c r="L481" s="159">
        <v>41569</v>
      </c>
      <c r="S481" s="111">
        <v>1921.2919999999999</v>
      </c>
      <c r="T481" s="125">
        <v>41527</v>
      </c>
      <c r="U481" s="111">
        <v>10.8</v>
      </c>
      <c r="Y481" s="111">
        <v>915.75599999999997</v>
      </c>
      <c r="Z481" s="125">
        <v>41527</v>
      </c>
      <c r="AA481" s="111">
        <v>85018.93939</v>
      </c>
      <c r="AB481" s="125">
        <v>41527</v>
      </c>
      <c r="AE481">
        <v>44.89</v>
      </c>
      <c r="AF481" s="125">
        <v>41527</v>
      </c>
      <c r="AG481" s="111">
        <v>5.28</v>
      </c>
      <c r="AH481" s="125">
        <v>41527</v>
      </c>
      <c r="AI481" s="111">
        <v>120</v>
      </c>
      <c r="AJ481" s="125">
        <v>41527</v>
      </c>
      <c r="BS481" s="111">
        <v>42.8</v>
      </c>
      <c r="BT481" s="125">
        <v>41527</v>
      </c>
      <c r="BU481">
        <v>20.399999999999999</v>
      </c>
      <c r="BV481" s="125">
        <v>41527</v>
      </c>
      <c r="CC481" s="111">
        <v>9.4</v>
      </c>
      <c r="CD481" s="125">
        <v>41527</v>
      </c>
      <c r="CG481" s="111">
        <v>7.27</v>
      </c>
      <c r="CH481" s="125">
        <v>41527</v>
      </c>
      <c r="CK481" s="111">
        <v>20</v>
      </c>
    </row>
    <row r="482" spans="1:89">
      <c r="A482" s="126" t="s">
        <v>7878</v>
      </c>
      <c r="B482" t="s">
        <v>257</v>
      </c>
      <c r="C482" t="s">
        <v>405</v>
      </c>
      <c r="D482">
        <v>81</v>
      </c>
      <c r="E482" s="93">
        <v>6</v>
      </c>
      <c r="F482" s="93">
        <v>26</v>
      </c>
      <c r="K482" s="92">
        <v>5</v>
      </c>
      <c r="L482" s="159">
        <v>41569</v>
      </c>
      <c r="S482" s="111">
        <v>1584.3630000000001</v>
      </c>
      <c r="T482" s="125">
        <v>41527</v>
      </c>
      <c r="U482" s="111">
        <v>10.8</v>
      </c>
      <c r="Y482" s="111">
        <v>688.548</v>
      </c>
      <c r="Z482" s="125">
        <v>41527</v>
      </c>
      <c r="AA482" s="111" t="s">
        <v>7718</v>
      </c>
      <c r="AB482" s="125">
        <v>41527</v>
      </c>
      <c r="AE482">
        <v>35.130000000000003</v>
      </c>
      <c r="AF482" s="125">
        <v>41527</v>
      </c>
      <c r="AG482" s="111" t="s">
        <v>7718</v>
      </c>
      <c r="AH482" s="125">
        <v>41527</v>
      </c>
      <c r="AI482" s="111">
        <v>120</v>
      </c>
      <c r="AJ482" s="125">
        <v>41527</v>
      </c>
      <c r="BS482" s="111">
        <v>45.1</v>
      </c>
      <c r="BT482" s="125">
        <v>41527</v>
      </c>
      <c r="BU482">
        <v>19.600000000000001</v>
      </c>
      <c r="BV482" s="125">
        <v>41527</v>
      </c>
      <c r="CC482" s="111">
        <v>10.199999999999999</v>
      </c>
      <c r="CD482" s="125">
        <v>41527</v>
      </c>
      <c r="CG482" s="111">
        <v>5.8</v>
      </c>
      <c r="CH482" s="125">
        <v>41527</v>
      </c>
      <c r="CK482" s="111">
        <v>30</v>
      </c>
    </row>
    <row r="483" spans="1:89">
      <c r="A483" s="126" t="s">
        <v>7878</v>
      </c>
      <c r="B483" t="s">
        <v>259</v>
      </c>
      <c r="C483" t="s">
        <v>405</v>
      </c>
      <c r="D483">
        <v>81</v>
      </c>
      <c r="E483" s="93">
        <v>2</v>
      </c>
      <c r="F483" s="93">
        <v>6</v>
      </c>
      <c r="K483" s="92">
        <v>5</v>
      </c>
      <c r="L483" s="159">
        <v>41569</v>
      </c>
      <c r="S483" s="111">
        <v>2182.83</v>
      </c>
      <c r="T483" s="125">
        <v>41527</v>
      </c>
      <c r="U483" s="111">
        <v>10.8</v>
      </c>
      <c r="Y483" s="111">
        <v>1068.8340000000001</v>
      </c>
      <c r="Z483" s="125">
        <v>41527</v>
      </c>
      <c r="AA483" s="111" t="s">
        <v>7718</v>
      </c>
      <c r="AB483" s="125">
        <v>41527</v>
      </c>
      <c r="AE483">
        <v>50.18</v>
      </c>
      <c r="AF483" s="125">
        <v>41527</v>
      </c>
      <c r="AG483" s="111" t="s">
        <v>7718</v>
      </c>
      <c r="AH483" s="125">
        <v>41527</v>
      </c>
      <c r="AI483" s="111">
        <v>130</v>
      </c>
      <c r="AJ483" s="125">
        <v>41527</v>
      </c>
      <c r="BS483" s="111">
        <v>43.5</v>
      </c>
      <c r="BT483" s="125">
        <v>41527</v>
      </c>
      <c r="BU483">
        <v>21.3</v>
      </c>
      <c r="BV483" s="125">
        <v>41527</v>
      </c>
      <c r="CC483" s="111">
        <v>8.6</v>
      </c>
      <c r="CD483" s="125">
        <v>41527</v>
      </c>
      <c r="CG483" s="111">
        <v>1</v>
      </c>
      <c r="CH483" s="125">
        <v>41527</v>
      </c>
      <c r="CK483" s="111">
        <v>10</v>
      </c>
    </row>
    <row r="484" spans="1:89">
      <c r="A484" s="126" t="s">
        <v>7878</v>
      </c>
      <c r="B484" t="s">
        <v>257</v>
      </c>
      <c r="C484" t="s">
        <v>7794</v>
      </c>
      <c r="D484">
        <v>81</v>
      </c>
      <c r="E484" s="93">
        <v>2</v>
      </c>
      <c r="F484" s="93">
        <v>32</v>
      </c>
      <c r="K484" s="92">
        <v>7</v>
      </c>
      <c r="L484" s="159">
        <v>41569</v>
      </c>
      <c r="S484" s="111">
        <v>1568.2860000000001</v>
      </c>
      <c r="T484" s="125">
        <v>41527</v>
      </c>
      <c r="U484" s="111">
        <v>10.8</v>
      </c>
      <c r="Y484" s="111">
        <v>657.78</v>
      </c>
      <c r="Z484" s="125">
        <v>41527</v>
      </c>
      <c r="AA484" s="111" t="s">
        <v>7718</v>
      </c>
      <c r="AB484" s="125">
        <v>41527</v>
      </c>
      <c r="AE484">
        <v>34.619999999999997</v>
      </c>
      <c r="AF484" s="125">
        <v>41527</v>
      </c>
      <c r="AG484" s="111" t="s">
        <v>7718</v>
      </c>
      <c r="AH484" s="125">
        <v>41527</v>
      </c>
      <c r="AI484" s="111">
        <v>140</v>
      </c>
      <c r="AJ484" s="125">
        <v>41527</v>
      </c>
      <c r="BS484" s="111">
        <v>45.3</v>
      </c>
      <c r="BT484" s="125">
        <v>41527</v>
      </c>
      <c r="BU484">
        <v>19</v>
      </c>
      <c r="BV484" s="125">
        <v>41527</v>
      </c>
      <c r="CC484" s="111">
        <v>6.7</v>
      </c>
      <c r="CD484" s="125">
        <v>41527</v>
      </c>
      <c r="CG484" s="111">
        <v>2.95</v>
      </c>
      <c r="CH484" s="125">
        <v>41527</v>
      </c>
      <c r="CK484" s="111">
        <v>20</v>
      </c>
    </row>
    <row r="485" spans="1:89">
      <c r="A485" s="126" t="s">
        <v>7878</v>
      </c>
      <c r="B485" t="s">
        <v>259</v>
      </c>
      <c r="C485" t="s">
        <v>7794</v>
      </c>
      <c r="D485">
        <v>81</v>
      </c>
      <c r="E485" s="93">
        <v>4</v>
      </c>
      <c r="F485" s="93">
        <v>39</v>
      </c>
      <c r="K485" s="92">
        <v>5</v>
      </c>
      <c r="L485" s="159">
        <v>41569</v>
      </c>
      <c r="S485" s="111">
        <v>2310.8879999999999</v>
      </c>
      <c r="T485" s="125">
        <v>41527</v>
      </c>
      <c r="U485" s="111">
        <v>10.8</v>
      </c>
      <c r="Y485" s="111">
        <v>1107.96</v>
      </c>
      <c r="Z485" s="125">
        <v>41527</v>
      </c>
      <c r="AA485" s="111" t="s">
        <v>7718</v>
      </c>
      <c r="AB485" s="125">
        <v>41527</v>
      </c>
      <c r="AE485">
        <v>52.76</v>
      </c>
      <c r="AF485" s="125">
        <v>41527</v>
      </c>
      <c r="AG485" s="111" t="s">
        <v>7718</v>
      </c>
      <c r="AH485" s="125">
        <v>41527</v>
      </c>
      <c r="AI485" s="111">
        <v>145</v>
      </c>
      <c r="AJ485" s="125">
        <v>41527</v>
      </c>
      <c r="BS485" s="111">
        <v>43.8</v>
      </c>
      <c r="BT485" s="125">
        <v>41527</v>
      </c>
      <c r="BU485">
        <v>21</v>
      </c>
      <c r="BV485" s="125">
        <v>41527</v>
      </c>
      <c r="CC485" s="111">
        <v>7.5</v>
      </c>
      <c r="CD485" s="125">
        <v>41527</v>
      </c>
      <c r="CG485" s="111">
        <v>1.25</v>
      </c>
      <c r="CH485" s="125">
        <v>41527</v>
      </c>
      <c r="CK485" s="111">
        <v>30</v>
      </c>
    </row>
    <row r="486" spans="1:89">
      <c r="A486" s="126" t="s">
        <v>7878</v>
      </c>
      <c r="B486" t="s">
        <v>257</v>
      </c>
      <c r="C486" t="s">
        <v>7795</v>
      </c>
      <c r="D486">
        <v>81</v>
      </c>
      <c r="E486" s="93">
        <v>5</v>
      </c>
      <c r="F486" s="93">
        <v>80</v>
      </c>
      <c r="K486" s="92">
        <v>5</v>
      </c>
      <c r="L486" s="159">
        <v>41569</v>
      </c>
      <c r="S486" s="111">
        <v>1829.2439999999999</v>
      </c>
      <c r="T486" s="125">
        <v>41527</v>
      </c>
      <c r="U486" s="111">
        <v>10.8</v>
      </c>
      <c r="Y486" s="111">
        <v>777.024</v>
      </c>
      <c r="Z486" s="125">
        <v>41527</v>
      </c>
      <c r="AA486" s="111">
        <v>87787.418659999996</v>
      </c>
      <c r="AB486" s="125">
        <v>41527</v>
      </c>
      <c r="AE486">
        <v>40.47</v>
      </c>
      <c r="AF486" s="125">
        <v>41527</v>
      </c>
      <c r="AG486" s="111">
        <v>4.6100000000000003</v>
      </c>
      <c r="AH486" s="125">
        <v>41527</v>
      </c>
      <c r="AI486" s="111">
        <v>130</v>
      </c>
      <c r="AJ486" s="125">
        <v>41527</v>
      </c>
      <c r="BS486" s="111">
        <v>45.2</v>
      </c>
      <c r="BT486" s="125">
        <v>41527</v>
      </c>
      <c r="BU486">
        <v>19.2</v>
      </c>
      <c r="BV486" s="125">
        <v>41527</v>
      </c>
      <c r="CC486" s="111">
        <v>6.5</v>
      </c>
      <c r="CD486" s="125">
        <v>41527</v>
      </c>
      <c r="CG486" s="111">
        <v>2.17</v>
      </c>
      <c r="CH486" s="125">
        <v>41527</v>
      </c>
      <c r="CK486" s="111">
        <v>20</v>
      </c>
    </row>
    <row r="487" spans="1:89">
      <c r="A487" s="126" t="s">
        <v>7878</v>
      </c>
      <c r="B487" t="s">
        <v>259</v>
      </c>
      <c r="C487" t="s">
        <v>7795</v>
      </c>
      <c r="D487">
        <v>81</v>
      </c>
      <c r="E487" s="93">
        <v>1</v>
      </c>
      <c r="F487" s="93">
        <v>75</v>
      </c>
      <c r="K487" s="92">
        <v>5</v>
      </c>
      <c r="L487" s="159">
        <v>41569</v>
      </c>
      <c r="S487" s="111">
        <v>1921.318</v>
      </c>
      <c r="T487" s="125">
        <v>41527</v>
      </c>
      <c r="U487" s="111">
        <v>10.8</v>
      </c>
      <c r="Y487" s="111">
        <v>938.524</v>
      </c>
      <c r="Z487" s="125">
        <v>41527</v>
      </c>
      <c r="AA487" s="111">
        <v>97942.477880000006</v>
      </c>
      <c r="AB487" s="125">
        <v>41527</v>
      </c>
      <c r="AE487">
        <v>44.27</v>
      </c>
      <c r="AF487" s="125">
        <v>41527</v>
      </c>
      <c r="AG487" s="111">
        <v>4.5199999999999996</v>
      </c>
      <c r="AH487" s="125">
        <v>41527</v>
      </c>
      <c r="AI487" s="111">
        <v>135</v>
      </c>
      <c r="AJ487" s="125">
        <v>41527</v>
      </c>
      <c r="BS487" s="111">
        <v>43.4</v>
      </c>
      <c r="BT487" s="125">
        <v>41527</v>
      </c>
      <c r="BU487">
        <v>21.2</v>
      </c>
      <c r="BV487" s="125">
        <v>41527</v>
      </c>
      <c r="CC487" s="111">
        <v>9.6</v>
      </c>
      <c r="CD487" s="125">
        <v>41527</v>
      </c>
      <c r="CG487" s="111">
        <v>8.43</v>
      </c>
      <c r="CH487" s="125">
        <v>41527</v>
      </c>
      <c r="CK487" s="111">
        <v>10</v>
      </c>
    </row>
    <row r="488" spans="1:89">
      <c r="A488" s="126" t="s">
        <v>7879</v>
      </c>
      <c r="B488" t="s">
        <v>257</v>
      </c>
      <c r="C488" t="s">
        <v>405</v>
      </c>
      <c r="D488">
        <v>82</v>
      </c>
      <c r="E488" s="93">
        <v>5</v>
      </c>
      <c r="F488" s="93">
        <v>22</v>
      </c>
      <c r="K488" s="92">
        <v>5</v>
      </c>
      <c r="L488" s="159">
        <v>41569</v>
      </c>
      <c r="S488" s="111">
        <v>1971.35</v>
      </c>
      <c r="T488" s="125">
        <v>41527</v>
      </c>
      <c r="U488" s="111">
        <v>10.8</v>
      </c>
      <c r="Y488" s="111">
        <v>846.13</v>
      </c>
      <c r="Z488" s="125">
        <v>41527</v>
      </c>
      <c r="AA488" s="111" t="s">
        <v>7718</v>
      </c>
      <c r="AB488" s="125">
        <v>41527</v>
      </c>
      <c r="AE488">
        <v>44.3</v>
      </c>
      <c r="AF488" s="125">
        <v>41527</v>
      </c>
      <c r="AG488" s="111" t="s">
        <v>7718</v>
      </c>
      <c r="AH488" s="125">
        <v>41527</v>
      </c>
      <c r="AI488" s="111">
        <v>145</v>
      </c>
      <c r="AJ488" s="125">
        <v>41527</v>
      </c>
      <c r="BS488" s="111">
        <v>44.5</v>
      </c>
      <c r="BT488" s="125">
        <v>41527</v>
      </c>
      <c r="BU488">
        <v>19.100000000000001</v>
      </c>
      <c r="BV488" s="125">
        <v>41527</v>
      </c>
      <c r="CC488" s="111">
        <v>7.8</v>
      </c>
      <c r="CD488" s="125">
        <v>41527</v>
      </c>
      <c r="CG488" s="111">
        <v>1.96</v>
      </c>
      <c r="CH488" s="125">
        <v>41527</v>
      </c>
      <c r="CK488" s="111">
        <v>20</v>
      </c>
    </row>
    <row r="489" spans="1:89">
      <c r="A489" s="126" t="s">
        <v>7879</v>
      </c>
      <c r="B489" t="s">
        <v>259</v>
      </c>
      <c r="C489" t="s">
        <v>405</v>
      </c>
      <c r="D489">
        <v>82</v>
      </c>
      <c r="E489" s="93">
        <v>2</v>
      </c>
      <c r="F489" s="93">
        <v>21</v>
      </c>
      <c r="K489" s="92">
        <v>7</v>
      </c>
      <c r="L489" s="159">
        <v>41569</v>
      </c>
      <c r="S489" s="111">
        <v>1950.663</v>
      </c>
      <c r="T489" s="125">
        <v>41527</v>
      </c>
      <c r="U489" s="111">
        <v>10.8</v>
      </c>
      <c r="Y489" s="111">
        <v>973.05799999999999</v>
      </c>
      <c r="Z489" s="125">
        <v>41527</v>
      </c>
      <c r="AA489" s="111" t="s">
        <v>7718</v>
      </c>
      <c r="AB489" s="125">
        <v>41527</v>
      </c>
      <c r="AE489">
        <v>45.47</v>
      </c>
      <c r="AF489" s="125">
        <v>41527</v>
      </c>
      <c r="AG489" s="111" t="s">
        <v>7718</v>
      </c>
      <c r="AH489" s="125">
        <v>41527</v>
      </c>
      <c r="AI489" s="111">
        <v>145</v>
      </c>
      <c r="AJ489" s="125">
        <v>41527</v>
      </c>
      <c r="BS489" s="111">
        <v>42.9</v>
      </c>
      <c r="BT489" s="125">
        <v>41527</v>
      </c>
      <c r="BU489">
        <v>21.4</v>
      </c>
      <c r="BV489" s="125">
        <v>41527</v>
      </c>
      <c r="CC489" s="111">
        <v>8.6999999999999993</v>
      </c>
      <c r="CD489" s="125">
        <v>41527</v>
      </c>
      <c r="CG489" s="111">
        <v>2.33</v>
      </c>
      <c r="CH489" s="125">
        <v>41527</v>
      </c>
      <c r="CK489" s="111">
        <v>10</v>
      </c>
    </row>
    <row r="490" spans="1:89">
      <c r="A490" s="126" t="s">
        <v>7879</v>
      </c>
      <c r="B490" t="s">
        <v>257</v>
      </c>
      <c r="C490" t="s">
        <v>7794</v>
      </c>
      <c r="D490">
        <v>82</v>
      </c>
      <c r="E490" s="93">
        <v>1</v>
      </c>
      <c r="F490" s="93">
        <v>36</v>
      </c>
      <c r="K490" s="92">
        <v>5</v>
      </c>
      <c r="L490" s="159">
        <v>41569</v>
      </c>
      <c r="S490" s="111">
        <v>1910.2159999999999</v>
      </c>
      <c r="T490" s="125">
        <v>41527</v>
      </c>
      <c r="U490" s="111">
        <v>10.8</v>
      </c>
      <c r="Y490" s="111">
        <v>827.904</v>
      </c>
      <c r="Z490" s="125">
        <v>41527</v>
      </c>
      <c r="AA490" s="111" t="s">
        <v>7718</v>
      </c>
      <c r="AB490" s="125">
        <v>41527</v>
      </c>
      <c r="AE490">
        <v>43.12</v>
      </c>
      <c r="AF490" s="125">
        <v>41527</v>
      </c>
      <c r="AG490" s="111" t="s">
        <v>7718</v>
      </c>
      <c r="AH490" s="125">
        <v>41527</v>
      </c>
      <c r="AI490" s="111">
        <v>160</v>
      </c>
      <c r="AJ490" s="125">
        <v>41527</v>
      </c>
      <c r="BS490" s="111">
        <v>44.3</v>
      </c>
      <c r="BT490" s="125">
        <v>41527</v>
      </c>
      <c r="BU490">
        <v>19.2</v>
      </c>
      <c r="BV490" s="125">
        <v>41527</v>
      </c>
      <c r="CC490" s="111">
        <v>9.4</v>
      </c>
      <c r="CD490" s="125">
        <v>41527</v>
      </c>
      <c r="CG490" s="111">
        <v>3.1</v>
      </c>
      <c r="CH490" s="125">
        <v>41527</v>
      </c>
      <c r="CK490" s="111">
        <v>10</v>
      </c>
    </row>
    <row r="491" spans="1:89">
      <c r="A491" s="126" t="s">
        <v>7879</v>
      </c>
      <c r="B491" t="s">
        <v>259</v>
      </c>
      <c r="C491" t="s">
        <v>7794</v>
      </c>
      <c r="D491">
        <v>82</v>
      </c>
      <c r="E491" s="93">
        <v>4</v>
      </c>
      <c r="F491" s="93">
        <v>58</v>
      </c>
      <c r="K491" s="92">
        <v>5</v>
      </c>
      <c r="L491" s="159">
        <v>41569</v>
      </c>
      <c r="S491" s="111">
        <v>1965.6759999999999</v>
      </c>
      <c r="T491" s="125">
        <v>41527</v>
      </c>
      <c r="U491" s="111">
        <v>10.8</v>
      </c>
      <c r="Y491" s="111">
        <v>1001.47</v>
      </c>
      <c r="Z491" s="125">
        <v>41527</v>
      </c>
      <c r="AA491" s="111" t="s">
        <v>7718</v>
      </c>
      <c r="AB491" s="125">
        <v>41527</v>
      </c>
      <c r="AE491">
        <v>46.58</v>
      </c>
      <c r="AF491" s="125">
        <v>41527</v>
      </c>
      <c r="AG491" s="111" t="s">
        <v>7718</v>
      </c>
      <c r="AH491" s="125">
        <v>41527</v>
      </c>
      <c r="AI491" s="111">
        <v>145</v>
      </c>
      <c r="AJ491" s="125">
        <v>41527</v>
      </c>
      <c r="BS491" s="111">
        <v>42.2</v>
      </c>
      <c r="BT491" s="125">
        <v>41527</v>
      </c>
      <c r="BU491">
        <v>21.5</v>
      </c>
      <c r="BV491" s="125">
        <v>41527</v>
      </c>
      <c r="CC491" s="111">
        <v>5.8</v>
      </c>
      <c r="CD491" s="125">
        <v>41527</v>
      </c>
      <c r="CG491" s="111">
        <v>1.83</v>
      </c>
      <c r="CH491" s="125">
        <v>41527</v>
      </c>
      <c r="CK491" s="111">
        <v>20</v>
      </c>
    </row>
    <row r="492" spans="1:89">
      <c r="A492" s="126" t="s">
        <v>7879</v>
      </c>
      <c r="B492" t="s">
        <v>257</v>
      </c>
      <c r="C492" t="s">
        <v>7795</v>
      </c>
      <c r="D492">
        <v>82</v>
      </c>
      <c r="E492" s="93">
        <v>6</v>
      </c>
      <c r="F492" s="93">
        <v>72</v>
      </c>
      <c r="K492" s="92">
        <v>3</v>
      </c>
      <c r="L492" s="159">
        <v>41569</v>
      </c>
      <c r="S492" s="111">
        <v>1648.68</v>
      </c>
      <c r="T492" s="125">
        <v>41527</v>
      </c>
      <c r="U492" s="111">
        <v>10.8</v>
      </c>
      <c r="Y492" s="111">
        <v>738.15899999999999</v>
      </c>
      <c r="Z492" s="125">
        <v>41527</v>
      </c>
      <c r="AA492" s="111">
        <v>80235.546040000001</v>
      </c>
      <c r="AB492" s="125">
        <v>41527</v>
      </c>
      <c r="AE492">
        <v>37.47</v>
      </c>
      <c r="AF492" s="125">
        <v>41527</v>
      </c>
      <c r="AG492" s="111">
        <v>4.67</v>
      </c>
      <c r="AH492" s="125">
        <v>41527</v>
      </c>
      <c r="AI492" s="111">
        <v>130</v>
      </c>
      <c r="AJ492" s="125">
        <v>41527</v>
      </c>
      <c r="BS492" s="111">
        <v>44</v>
      </c>
      <c r="BT492" s="125">
        <v>41527</v>
      </c>
      <c r="BU492">
        <v>19.7</v>
      </c>
      <c r="BV492" s="125">
        <v>41527</v>
      </c>
      <c r="CC492" s="111">
        <v>5.9</v>
      </c>
      <c r="CD492" s="125">
        <v>41527</v>
      </c>
      <c r="CG492" s="111">
        <v>2.75</v>
      </c>
      <c r="CH492" s="125">
        <v>41527</v>
      </c>
      <c r="CK492" s="111">
        <v>20</v>
      </c>
    </row>
    <row r="493" spans="1:89">
      <c r="A493" s="126" t="s">
        <v>7879</v>
      </c>
      <c r="B493" t="s">
        <v>259</v>
      </c>
      <c r="C493" t="s">
        <v>7795</v>
      </c>
      <c r="D493">
        <v>82</v>
      </c>
      <c r="E493" s="93">
        <v>2</v>
      </c>
      <c r="F493" s="93">
        <v>80</v>
      </c>
      <c r="K493" s="92">
        <v>5</v>
      </c>
      <c r="L493" s="159">
        <v>41569</v>
      </c>
      <c r="S493" s="111">
        <v>1924.048</v>
      </c>
      <c r="T493" s="125">
        <v>41527</v>
      </c>
      <c r="U493" s="111">
        <v>10.8</v>
      </c>
      <c r="Y493" s="111">
        <v>1014.832</v>
      </c>
      <c r="Z493" s="125">
        <v>41527</v>
      </c>
      <c r="AA493" s="111">
        <v>92767.676770000005</v>
      </c>
      <c r="AB493" s="125">
        <v>41527</v>
      </c>
      <c r="AE493">
        <v>45.92</v>
      </c>
      <c r="AF493" s="125">
        <v>41527</v>
      </c>
      <c r="AG493" s="111">
        <v>4.95</v>
      </c>
      <c r="AH493" s="125">
        <v>41527</v>
      </c>
      <c r="AI493" s="111">
        <v>155</v>
      </c>
      <c r="AJ493" s="125">
        <v>41527</v>
      </c>
      <c r="BS493" s="111">
        <v>41.9</v>
      </c>
      <c r="BT493" s="125">
        <v>41527</v>
      </c>
      <c r="BU493">
        <v>22.1</v>
      </c>
      <c r="BV493" s="125">
        <v>41527</v>
      </c>
      <c r="CC493" s="111">
        <v>7.8</v>
      </c>
      <c r="CD493" s="125">
        <v>41527</v>
      </c>
      <c r="CG493" s="111">
        <v>3.7</v>
      </c>
      <c r="CH493" s="125">
        <v>41527</v>
      </c>
      <c r="CK493" s="111">
        <v>20</v>
      </c>
    </row>
    <row r="494" spans="1:89">
      <c r="A494" s="126" t="s">
        <v>7880</v>
      </c>
      <c r="B494" t="s">
        <v>257</v>
      </c>
      <c r="C494" t="s">
        <v>405</v>
      </c>
      <c r="D494">
        <v>83</v>
      </c>
      <c r="E494" s="93">
        <v>5</v>
      </c>
      <c r="F494" s="93">
        <v>9</v>
      </c>
      <c r="K494" s="92">
        <v>5</v>
      </c>
      <c r="L494" s="159">
        <v>41569</v>
      </c>
      <c r="S494" s="111">
        <v>2138.748</v>
      </c>
      <c r="T494" s="125">
        <v>41527</v>
      </c>
      <c r="U494" s="111">
        <v>10.8</v>
      </c>
      <c r="Y494" s="111">
        <v>948.94899999999996</v>
      </c>
      <c r="Z494" s="125">
        <v>41527</v>
      </c>
      <c r="AA494" s="111" t="s">
        <v>7718</v>
      </c>
      <c r="AB494" s="125">
        <v>41527</v>
      </c>
      <c r="AE494">
        <v>48.17</v>
      </c>
      <c r="AF494" s="125">
        <v>41527</v>
      </c>
      <c r="AG494" s="111" t="s">
        <v>7718</v>
      </c>
      <c r="AH494" s="125">
        <v>41527</v>
      </c>
      <c r="AI494" s="111">
        <v>155</v>
      </c>
      <c r="AJ494" s="125">
        <v>41527</v>
      </c>
      <c r="BS494" s="111">
        <v>44.4</v>
      </c>
      <c r="BT494" s="125">
        <v>41527</v>
      </c>
      <c r="BU494">
        <v>19.7</v>
      </c>
      <c r="BV494" s="125">
        <v>41527</v>
      </c>
      <c r="CC494" s="111">
        <v>7.5</v>
      </c>
      <c r="CD494" s="125">
        <v>41527</v>
      </c>
      <c r="CG494" s="111">
        <v>2.61</v>
      </c>
      <c r="CH494" s="125">
        <v>41527</v>
      </c>
      <c r="CK494" s="111">
        <v>5</v>
      </c>
    </row>
    <row r="495" spans="1:89">
      <c r="A495" s="126" t="s">
        <v>7880</v>
      </c>
      <c r="B495" t="s">
        <v>259</v>
      </c>
      <c r="C495" t="s">
        <v>405</v>
      </c>
      <c r="D495">
        <v>83</v>
      </c>
      <c r="E495" s="93">
        <v>2</v>
      </c>
      <c r="F495" s="93">
        <v>12</v>
      </c>
      <c r="K495" s="92">
        <v>5</v>
      </c>
      <c r="L495" s="159">
        <v>41569</v>
      </c>
      <c r="S495" s="111">
        <v>2532.9540000000002</v>
      </c>
      <c r="T495" s="125">
        <v>41527</v>
      </c>
      <c r="U495" s="111">
        <v>10.8</v>
      </c>
      <c r="Y495" s="111">
        <v>1208.6469999999999</v>
      </c>
      <c r="Z495" s="125">
        <v>41527</v>
      </c>
      <c r="AA495" s="111" t="s">
        <v>7718</v>
      </c>
      <c r="AB495" s="125">
        <v>41527</v>
      </c>
      <c r="AE495">
        <v>57.83</v>
      </c>
      <c r="AF495" s="125">
        <v>41527</v>
      </c>
      <c r="AG495" s="111" t="s">
        <v>7718</v>
      </c>
      <c r="AH495" s="125">
        <v>41527</v>
      </c>
      <c r="AI495" s="111">
        <v>160</v>
      </c>
      <c r="AJ495" s="125">
        <v>41527</v>
      </c>
      <c r="BS495" s="111">
        <v>43.8</v>
      </c>
      <c r="BT495" s="125">
        <v>41527</v>
      </c>
      <c r="BU495">
        <v>20.9</v>
      </c>
      <c r="BV495" s="125">
        <v>41527</v>
      </c>
      <c r="CC495" s="111">
        <v>7.1</v>
      </c>
      <c r="CD495" s="125">
        <v>41527</v>
      </c>
      <c r="CG495" s="111">
        <v>1.06</v>
      </c>
      <c r="CH495" s="125">
        <v>41527</v>
      </c>
      <c r="CK495" s="111">
        <v>5</v>
      </c>
    </row>
    <row r="496" spans="1:89">
      <c r="A496" s="126" t="s">
        <v>7880</v>
      </c>
      <c r="B496" t="s">
        <v>257</v>
      </c>
      <c r="C496" t="s">
        <v>7794</v>
      </c>
      <c r="D496">
        <v>83</v>
      </c>
      <c r="E496" s="93">
        <v>3</v>
      </c>
      <c r="F496" s="93">
        <v>53</v>
      </c>
      <c r="K496" s="92">
        <v>5</v>
      </c>
      <c r="L496" s="159">
        <v>41569</v>
      </c>
      <c r="S496" s="111">
        <v>2233.326</v>
      </c>
      <c r="T496" s="125">
        <v>41527</v>
      </c>
      <c r="U496" s="111">
        <v>10.8</v>
      </c>
      <c r="Y496" s="111">
        <v>964.95600000000002</v>
      </c>
      <c r="Z496" s="125">
        <v>41527</v>
      </c>
      <c r="AA496" s="111" t="s">
        <v>7718</v>
      </c>
      <c r="AB496" s="125">
        <v>41527</v>
      </c>
      <c r="AE496">
        <v>49.74</v>
      </c>
      <c r="AF496" s="125">
        <v>41527</v>
      </c>
      <c r="AG496" s="111" t="s">
        <v>7718</v>
      </c>
      <c r="AH496" s="125">
        <v>41527</v>
      </c>
      <c r="AI496" s="111">
        <v>165</v>
      </c>
      <c r="AJ496" s="125">
        <v>41527</v>
      </c>
      <c r="BS496" s="111">
        <v>44.9</v>
      </c>
      <c r="BT496" s="125">
        <v>41527</v>
      </c>
      <c r="BU496">
        <v>19.399999999999999</v>
      </c>
      <c r="BV496" s="125">
        <v>41527</v>
      </c>
      <c r="CC496" s="111">
        <v>8.5</v>
      </c>
      <c r="CD496" s="125">
        <v>41527</v>
      </c>
      <c r="CG496" s="111">
        <v>3.94</v>
      </c>
      <c r="CH496" s="125">
        <v>41527</v>
      </c>
      <c r="CK496" s="111">
        <v>5</v>
      </c>
    </row>
    <row r="497" spans="1:89">
      <c r="A497" s="126" t="s">
        <v>7880</v>
      </c>
      <c r="B497" t="s">
        <v>259</v>
      </c>
      <c r="C497" t="s">
        <v>7794</v>
      </c>
      <c r="D497">
        <v>83</v>
      </c>
      <c r="E497" s="93">
        <v>4</v>
      </c>
      <c r="F497" s="93">
        <v>32</v>
      </c>
      <c r="K497" s="92">
        <v>5</v>
      </c>
      <c r="L497" s="159">
        <v>41569</v>
      </c>
      <c r="S497" s="111">
        <v>2753.9740000000002</v>
      </c>
      <c r="T497" s="125">
        <v>41527</v>
      </c>
      <c r="U497" s="111">
        <v>10.8</v>
      </c>
      <c r="Y497" s="111">
        <v>1298.212</v>
      </c>
      <c r="Z497" s="125">
        <v>41527</v>
      </c>
      <c r="AA497" s="111" t="s">
        <v>7718</v>
      </c>
      <c r="AB497" s="125">
        <v>41527</v>
      </c>
      <c r="AE497">
        <v>63.02</v>
      </c>
      <c r="AF497" s="125">
        <v>41527</v>
      </c>
      <c r="AG497" s="111" t="s">
        <v>7718</v>
      </c>
      <c r="AH497" s="125">
        <v>41527</v>
      </c>
      <c r="AI497" s="111">
        <v>160</v>
      </c>
      <c r="AJ497" s="125">
        <v>41527</v>
      </c>
      <c r="BS497" s="111">
        <v>43.7</v>
      </c>
      <c r="BT497" s="125">
        <v>41527</v>
      </c>
      <c r="BU497">
        <v>20.6</v>
      </c>
      <c r="BV497" s="125">
        <v>41527</v>
      </c>
      <c r="CC497" s="111">
        <v>5.7</v>
      </c>
      <c r="CD497" s="125">
        <v>41527</v>
      </c>
      <c r="CG497" s="111">
        <v>1.36</v>
      </c>
      <c r="CH497" s="125">
        <v>41527</v>
      </c>
      <c r="CK497" s="111">
        <v>5</v>
      </c>
    </row>
    <row r="498" spans="1:89">
      <c r="A498" s="126" t="s">
        <v>7880</v>
      </c>
      <c r="B498" t="s">
        <v>257</v>
      </c>
      <c r="C498" t="s">
        <v>7795</v>
      </c>
      <c r="D498">
        <v>83</v>
      </c>
      <c r="E498" s="93">
        <v>5</v>
      </c>
      <c r="F498" s="93">
        <v>62</v>
      </c>
      <c r="K498" s="92">
        <v>5</v>
      </c>
      <c r="L498" s="159">
        <v>41569</v>
      </c>
      <c r="S498" s="111">
        <v>2459.6219999999998</v>
      </c>
      <c r="T498" s="125">
        <v>41527</v>
      </c>
      <c r="U498" s="111">
        <v>10.8</v>
      </c>
      <c r="Y498" s="111">
        <v>1046.298</v>
      </c>
      <c r="Z498" s="125">
        <v>41527</v>
      </c>
      <c r="AA498" s="111">
        <v>113181.81819999999</v>
      </c>
      <c r="AB498" s="125">
        <v>41527</v>
      </c>
      <c r="AE498">
        <v>54.78</v>
      </c>
      <c r="AF498" s="125">
        <v>41527</v>
      </c>
      <c r="AG498" s="111">
        <v>4.84</v>
      </c>
      <c r="AH498" s="125">
        <v>41527</v>
      </c>
      <c r="AI498" s="111">
        <v>160</v>
      </c>
      <c r="AJ498" s="125">
        <v>41527</v>
      </c>
      <c r="BS498" s="111">
        <v>44.9</v>
      </c>
      <c r="BT498" s="125">
        <v>41527</v>
      </c>
      <c r="BU498">
        <v>19.100000000000001</v>
      </c>
      <c r="BV498" s="125">
        <v>41527</v>
      </c>
      <c r="CC498" s="111">
        <v>7.8</v>
      </c>
      <c r="CD498" s="125">
        <v>41527</v>
      </c>
      <c r="CG498" s="111">
        <v>1.59</v>
      </c>
      <c r="CH498" s="125">
        <v>41527</v>
      </c>
      <c r="CK498" s="111">
        <v>5</v>
      </c>
    </row>
    <row r="499" spans="1:89">
      <c r="A499" s="126" t="s">
        <v>7880</v>
      </c>
      <c r="B499" t="s">
        <v>259</v>
      </c>
      <c r="C499" t="s">
        <v>7795</v>
      </c>
      <c r="D499">
        <v>83</v>
      </c>
      <c r="E499" s="93">
        <v>3</v>
      </c>
      <c r="F499" s="93">
        <v>78</v>
      </c>
      <c r="K499" s="92">
        <v>5</v>
      </c>
      <c r="L499" s="159">
        <v>41569</v>
      </c>
      <c r="S499" s="111">
        <v>2574.4879999999998</v>
      </c>
      <c r="T499" s="125">
        <v>41527</v>
      </c>
      <c r="U499" s="111">
        <v>10.8</v>
      </c>
      <c r="Y499" s="111">
        <v>1251.652</v>
      </c>
      <c r="Z499" s="125">
        <v>41527</v>
      </c>
      <c r="AA499" s="111">
        <v>116086.1057</v>
      </c>
      <c r="AB499" s="125">
        <v>41527</v>
      </c>
      <c r="AE499">
        <v>59.32</v>
      </c>
      <c r="AF499" s="125">
        <v>41527</v>
      </c>
      <c r="AG499" s="111">
        <v>5.1100000000000003</v>
      </c>
      <c r="AH499" s="125">
        <v>41527</v>
      </c>
      <c r="AI499" s="111">
        <v>165</v>
      </c>
      <c r="AJ499" s="125">
        <v>41527</v>
      </c>
      <c r="BS499" s="111">
        <v>43.4</v>
      </c>
      <c r="BT499" s="125">
        <v>41527</v>
      </c>
      <c r="BU499">
        <v>21.1</v>
      </c>
      <c r="BV499" s="125">
        <v>41527</v>
      </c>
      <c r="CC499" s="111">
        <v>6.4</v>
      </c>
      <c r="CD499" s="125">
        <v>41527</v>
      </c>
      <c r="CG499" s="111">
        <v>2.11</v>
      </c>
      <c r="CH499" s="125">
        <v>41527</v>
      </c>
      <c r="CK499" s="111">
        <v>5</v>
      </c>
    </row>
    <row r="500" spans="1:89">
      <c r="A500" s="126" t="s">
        <v>7881</v>
      </c>
      <c r="B500" t="s">
        <v>257</v>
      </c>
      <c r="C500" t="s">
        <v>405</v>
      </c>
      <c r="D500">
        <v>84</v>
      </c>
      <c r="E500" s="93">
        <v>5</v>
      </c>
      <c r="F500" s="93">
        <v>12</v>
      </c>
      <c r="K500" s="92">
        <v>5</v>
      </c>
      <c r="L500" s="159">
        <v>41569</v>
      </c>
      <c r="S500" s="111">
        <v>1611.3979999999999</v>
      </c>
      <c r="T500" s="125">
        <v>41527</v>
      </c>
      <c r="U500" s="111">
        <v>10.8</v>
      </c>
      <c r="Y500" s="111">
        <v>711.76099999999997</v>
      </c>
      <c r="Z500" s="125">
        <v>41527</v>
      </c>
      <c r="AA500" s="111" t="s">
        <v>7718</v>
      </c>
      <c r="AB500" s="125">
        <v>41527</v>
      </c>
      <c r="AE500">
        <v>36.130000000000003</v>
      </c>
      <c r="AF500" s="125">
        <v>41527</v>
      </c>
      <c r="AG500" s="111" t="s">
        <v>7718</v>
      </c>
      <c r="AH500" s="125">
        <v>41527</v>
      </c>
      <c r="AI500" s="111">
        <v>130</v>
      </c>
      <c r="AJ500" s="125">
        <v>41527</v>
      </c>
      <c r="BS500" s="111">
        <v>44.6</v>
      </c>
      <c r="BT500" s="125">
        <v>41527</v>
      </c>
      <c r="BU500">
        <v>19.7</v>
      </c>
      <c r="BV500" s="125">
        <v>41527</v>
      </c>
      <c r="CC500" s="111">
        <v>7.6</v>
      </c>
      <c r="CD500" s="125">
        <v>41527</v>
      </c>
      <c r="CG500" s="111">
        <v>4.71</v>
      </c>
      <c r="CH500" s="125">
        <v>41527</v>
      </c>
      <c r="CK500" s="111">
        <v>20</v>
      </c>
    </row>
    <row r="501" spans="1:89">
      <c r="A501" s="126" t="s">
        <v>7881</v>
      </c>
      <c r="B501" t="s">
        <v>259</v>
      </c>
      <c r="C501" t="s">
        <v>405</v>
      </c>
      <c r="D501">
        <v>84</v>
      </c>
      <c r="E501" s="93">
        <v>2</v>
      </c>
      <c r="F501" s="93">
        <v>7</v>
      </c>
      <c r="K501" s="92">
        <v>3</v>
      </c>
      <c r="L501" s="159">
        <v>41569</v>
      </c>
      <c r="S501" s="111">
        <v>1760.204</v>
      </c>
      <c r="T501" s="125">
        <v>41527</v>
      </c>
      <c r="U501" s="111">
        <v>10.8</v>
      </c>
      <c r="Y501" s="111">
        <v>873.976</v>
      </c>
      <c r="Z501" s="125">
        <v>41527</v>
      </c>
      <c r="AA501" s="111" t="s">
        <v>7718</v>
      </c>
      <c r="AB501" s="125">
        <v>41527</v>
      </c>
      <c r="AE501">
        <v>40.840000000000003</v>
      </c>
      <c r="AF501" s="125">
        <v>41527</v>
      </c>
      <c r="AG501" s="111" t="s">
        <v>7718</v>
      </c>
      <c r="AH501" s="125">
        <v>41527</v>
      </c>
      <c r="AI501" s="111">
        <v>135</v>
      </c>
      <c r="AJ501" s="125">
        <v>41527</v>
      </c>
      <c r="BS501" s="111">
        <v>43.1</v>
      </c>
      <c r="BT501" s="125">
        <v>41527</v>
      </c>
      <c r="BU501">
        <v>21.4</v>
      </c>
      <c r="BV501" s="125">
        <v>41527</v>
      </c>
      <c r="CC501" s="111">
        <v>9.9</v>
      </c>
      <c r="CD501" s="125">
        <v>41527</v>
      </c>
      <c r="CG501" s="111">
        <v>2.37</v>
      </c>
      <c r="CH501" s="125">
        <v>41527</v>
      </c>
      <c r="CK501" s="111">
        <v>30</v>
      </c>
    </row>
    <row r="502" spans="1:89">
      <c r="A502" s="126" t="s">
        <v>7881</v>
      </c>
      <c r="B502" t="s">
        <v>257</v>
      </c>
      <c r="C502" t="s">
        <v>7794</v>
      </c>
      <c r="D502">
        <v>84</v>
      </c>
      <c r="E502" s="93">
        <v>1</v>
      </c>
      <c r="F502" s="93">
        <v>54</v>
      </c>
      <c r="K502" s="92">
        <v>5</v>
      </c>
      <c r="L502" s="159">
        <v>41569</v>
      </c>
      <c r="S502" s="111">
        <v>1750.0050000000001</v>
      </c>
      <c r="T502" s="125">
        <v>41527</v>
      </c>
      <c r="U502" s="111">
        <v>10.8</v>
      </c>
      <c r="Y502" s="111">
        <v>856.899</v>
      </c>
      <c r="Z502" s="125">
        <v>41527</v>
      </c>
      <c r="AA502" s="111" t="s">
        <v>7718</v>
      </c>
      <c r="AB502" s="125">
        <v>41527</v>
      </c>
      <c r="AE502">
        <v>40.229999999999997</v>
      </c>
      <c r="AF502" s="125">
        <v>41527</v>
      </c>
      <c r="AG502" s="111" t="s">
        <v>7718</v>
      </c>
      <c r="AH502" s="125">
        <v>41527</v>
      </c>
      <c r="AI502" s="111">
        <v>135</v>
      </c>
      <c r="AJ502" s="125">
        <v>41527</v>
      </c>
      <c r="BS502" s="111">
        <v>43.5</v>
      </c>
      <c r="BT502" s="125">
        <v>41527</v>
      </c>
      <c r="BU502">
        <v>21.3</v>
      </c>
      <c r="BV502" s="125">
        <v>41527</v>
      </c>
      <c r="CC502" s="111">
        <v>8.6999999999999993</v>
      </c>
      <c r="CD502" s="125">
        <v>41527</v>
      </c>
      <c r="CG502" s="111">
        <v>5.14</v>
      </c>
      <c r="CH502" s="125">
        <v>41527</v>
      </c>
      <c r="CK502" s="111">
        <v>10</v>
      </c>
    </row>
    <row r="503" spans="1:89">
      <c r="A503" s="126" t="s">
        <v>7881</v>
      </c>
      <c r="B503" t="s">
        <v>259</v>
      </c>
      <c r="C503" t="s">
        <v>7794</v>
      </c>
      <c r="D503">
        <v>84</v>
      </c>
      <c r="E503" s="93">
        <v>4</v>
      </c>
      <c r="F503" s="93">
        <v>42</v>
      </c>
      <c r="K503" s="92">
        <v>5</v>
      </c>
      <c r="L503" s="159">
        <v>41569</v>
      </c>
      <c r="S503" s="111">
        <v>2268.5250000000001</v>
      </c>
      <c r="T503" s="125">
        <v>41527</v>
      </c>
      <c r="U503" s="111">
        <v>10.8</v>
      </c>
      <c r="Y503" s="111">
        <v>1074.29</v>
      </c>
      <c r="Z503" s="125">
        <v>41527</v>
      </c>
      <c r="AA503" s="111" t="s">
        <v>7718</v>
      </c>
      <c r="AB503" s="125">
        <v>41527</v>
      </c>
      <c r="AE503">
        <v>52.15</v>
      </c>
      <c r="AF503" s="125">
        <v>41527</v>
      </c>
      <c r="AG503" s="111" t="s">
        <v>7718</v>
      </c>
      <c r="AH503" s="125">
        <v>41527</v>
      </c>
      <c r="AI503" s="111">
        <v>145</v>
      </c>
      <c r="AJ503" s="125">
        <v>41527</v>
      </c>
      <c r="BS503" s="111">
        <v>43.5</v>
      </c>
      <c r="BT503" s="125">
        <v>41527</v>
      </c>
      <c r="BU503">
        <v>20.6</v>
      </c>
      <c r="BV503" s="125">
        <v>41527</v>
      </c>
      <c r="CC503" s="111">
        <v>11.4</v>
      </c>
      <c r="CD503" s="125">
        <v>41527</v>
      </c>
      <c r="CG503" s="111">
        <v>2.54</v>
      </c>
      <c r="CH503" s="125">
        <v>41527</v>
      </c>
      <c r="CK503" s="111">
        <v>20</v>
      </c>
    </row>
    <row r="504" spans="1:89">
      <c r="A504" s="126" t="s">
        <v>7881</v>
      </c>
      <c r="B504" t="s">
        <v>257</v>
      </c>
      <c r="C504" t="s">
        <v>7795</v>
      </c>
      <c r="D504">
        <v>84</v>
      </c>
      <c r="E504" s="93">
        <v>4</v>
      </c>
      <c r="F504" s="93">
        <v>75</v>
      </c>
      <c r="K504" s="92">
        <v>5</v>
      </c>
      <c r="L504" s="159">
        <v>41569</v>
      </c>
      <c r="S504" s="111">
        <v>1481.316</v>
      </c>
      <c r="T504" s="125">
        <v>41527</v>
      </c>
      <c r="U504" s="111">
        <v>10.8</v>
      </c>
      <c r="Y504" s="111">
        <v>703.45600000000002</v>
      </c>
      <c r="Z504" s="125">
        <v>41527</v>
      </c>
      <c r="AA504" s="111">
        <v>67370.517930000002</v>
      </c>
      <c r="AB504" s="125">
        <v>41527</v>
      </c>
      <c r="AE504">
        <v>33.82</v>
      </c>
      <c r="AF504" s="125">
        <v>41527</v>
      </c>
      <c r="AG504" s="111">
        <v>5.0199999999999996</v>
      </c>
      <c r="AH504" s="125">
        <v>41527</v>
      </c>
      <c r="AI504" s="111">
        <v>135</v>
      </c>
      <c r="AJ504" s="125">
        <v>41527</v>
      </c>
      <c r="BS504" s="111">
        <v>43.8</v>
      </c>
      <c r="BT504" s="125">
        <v>41527</v>
      </c>
      <c r="BU504">
        <v>20.8</v>
      </c>
      <c r="BV504" s="125">
        <v>41527</v>
      </c>
      <c r="CC504" s="111">
        <v>6.3</v>
      </c>
      <c r="CD504" s="125">
        <v>41527</v>
      </c>
      <c r="CG504" s="111">
        <v>2.85</v>
      </c>
      <c r="CH504" s="125">
        <v>41527</v>
      </c>
      <c r="CK504" s="111">
        <v>20</v>
      </c>
    </row>
    <row r="505" spans="1:89">
      <c r="A505" s="126" t="s">
        <v>7881</v>
      </c>
      <c r="B505" t="s">
        <v>259</v>
      </c>
      <c r="C505" t="s">
        <v>7795</v>
      </c>
      <c r="D505">
        <v>84</v>
      </c>
      <c r="E505" s="93">
        <v>1</v>
      </c>
      <c r="F505" s="93">
        <v>76</v>
      </c>
      <c r="K505" s="92">
        <v>5</v>
      </c>
      <c r="L505" s="159">
        <v>41569</v>
      </c>
      <c r="S505" s="111">
        <v>1467.9</v>
      </c>
      <c r="T505" s="125">
        <v>41527</v>
      </c>
      <c r="U505" s="111">
        <v>10.8</v>
      </c>
      <c r="Y505" s="111">
        <v>775.89</v>
      </c>
      <c r="Z505" s="125">
        <v>41527</v>
      </c>
      <c r="AA505" s="111">
        <v>70892.494930000001</v>
      </c>
      <c r="AB505" s="125">
        <v>41527</v>
      </c>
      <c r="AE505">
        <v>34.950000000000003</v>
      </c>
      <c r="AF505" s="125">
        <v>41527</v>
      </c>
      <c r="AG505" s="111">
        <v>4.93</v>
      </c>
      <c r="AH505" s="125">
        <v>41527</v>
      </c>
      <c r="AI505" s="111">
        <v>135</v>
      </c>
      <c r="AJ505" s="125">
        <v>41527</v>
      </c>
      <c r="BS505" s="111">
        <v>42</v>
      </c>
      <c r="BT505" s="125">
        <v>41527</v>
      </c>
      <c r="BU505">
        <v>22.2</v>
      </c>
      <c r="BV505" s="125">
        <v>41527</v>
      </c>
      <c r="CC505" s="111">
        <v>10</v>
      </c>
      <c r="CD505" s="125">
        <v>41527</v>
      </c>
      <c r="CG505" s="111">
        <v>8.61</v>
      </c>
      <c r="CH505" s="125">
        <v>41527</v>
      </c>
      <c r="CK505" s="111">
        <v>20</v>
      </c>
    </row>
  </sheetData>
  <sheetProtection selectLockedCells="1" selectUnlockedCells="1"/>
  <autoFilter ref="A1:CM1" xr:uid="{00000000-0009-0000-0000-000008000000}">
    <sortState xmlns:xlrd2="http://schemas.microsoft.com/office/spreadsheetml/2017/richdata2" ref="A2:CM881">
      <sortCondition ref="A1:A881"/>
    </sortState>
  </autoFilter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9"/>
  </sheetPr>
  <dimension ref="A1:F6"/>
  <sheetViews>
    <sheetView zoomScale="95" zoomScaleNormal="95" workbookViewId="0">
      <selection activeCell="G36" sqref="G36"/>
    </sheetView>
  </sheetViews>
  <sheetFormatPr baseColWidth="10" defaultColWidth="11.59765625" defaultRowHeight="12.5"/>
  <cols>
    <col min="1" max="1" width="16.296875" style="115" bestFit="1" customWidth="1"/>
    <col min="2" max="2" width="7.59765625" style="116" bestFit="1" customWidth="1"/>
    <col min="3" max="3" width="9.3984375" style="115" customWidth="1"/>
    <col min="4" max="4" width="9" style="117" customWidth="1"/>
    <col min="5" max="5" width="14.09765625" style="117" customWidth="1"/>
    <col min="6" max="6" width="12.3984375" style="117" customWidth="1"/>
    <col min="7" max="16384" width="11.59765625" style="118"/>
  </cols>
  <sheetData>
    <row r="1" spans="1:6" ht="13">
      <c r="A1" s="119" t="s">
        <v>215</v>
      </c>
      <c r="B1" s="120" t="s">
        <v>216</v>
      </c>
      <c r="C1" s="119" t="s">
        <v>217</v>
      </c>
      <c r="D1" s="120" t="s">
        <v>218</v>
      </c>
      <c r="E1" s="120" t="s">
        <v>219</v>
      </c>
      <c r="F1" s="120" t="s">
        <v>29</v>
      </c>
    </row>
    <row r="2" spans="1:6">
      <c r="A2" s="115" t="s">
        <v>7711</v>
      </c>
      <c r="B2" s="116" t="s">
        <v>7717</v>
      </c>
      <c r="C2" s="115" t="s">
        <v>7716</v>
      </c>
    </row>
    <row r="3" spans="1:6">
      <c r="A3" s="115" t="s">
        <v>7712</v>
      </c>
      <c r="B3" s="116" t="s">
        <v>7717</v>
      </c>
      <c r="C3" s="115" t="s">
        <v>7716</v>
      </c>
    </row>
    <row r="4" spans="1:6">
      <c r="A4" s="115" t="s">
        <v>7713</v>
      </c>
      <c r="B4" s="116" t="s">
        <v>7717</v>
      </c>
      <c r="C4" s="115" t="s">
        <v>7716</v>
      </c>
    </row>
    <row r="5" spans="1:6">
      <c r="A5" s="115" t="s">
        <v>7714</v>
      </c>
      <c r="B5" s="116" t="s">
        <v>7717</v>
      </c>
      <c r="C5" s="115" t="s">
        <v>7716</v>
      </c>
    </row>
    <row r="6" spans="1:6">
      <c r="A6" s="115" t="s">
        <v>7715</v>
      </c>
      <c r="B6" s="116" t="s">
        <v>7717</v>
      </c>
      <c r="C6" s="115" t="s">
        <v>7716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9"/>
  </sheetPr>
  <dimension ref="A1:C1"/>
  <sheetViews>
    <sheetView zoomScale="89" zoomScaleNormal="89" workbookViewId="0">
      <selection activeCell="G54" sqref="G54"/>
    </sheetView>
  </sheetViews>
  <sheetFormatPr baseColWidth="10" defaultColWidth="10.69921875" defaultRowHeight="11.5"/>
  <cols>
    <col min="1" max="1" width="9.296875" style="121" customWidth="1"/>
    <col min="2" max="2" width="10.3984375" style="121" customWidth="1"/>
    <col min="3" max="3" width="11" style="121" customWidth="1"/>
  </cols>
  <sheetData>
    <row r="1" spans="1:3" s="123" customFormat="1">
      <c r="A1" s="122" t="s">
        <v>233</v>
      </c>
      <c r="B1" s="122" t="s">
        <v>234</v>
      </c>
      <c r="C1" s="122" t="s">
        <v>235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470"/>
  <sheetViews>
    <sheetView zoomScale="89" zoomScaleNormal="89" workbookViewId="0">
      <selection activeCell="E5" sqref="E5"/>
    </sheetView>
  </sheetViews>
  <sheetFormatPr baseColWidth="10" defaultColWidth="9" defaultRowHeight="11.5"/>
  <cols>
    <col min="1" max="1" width="82.09765625" customWidth="1"/>
    <col min="2" max="2" width="105.296875" customWidth="1"/>
    <col min="3" max="3" width="83.09765625" customWidth="1"/>
    <col min="4" max="4" width="27.8984375" customWidth="1"/>
    <col min="5" max="5" width="46" customWidth="1"/>
  </cols>
  <sheetData>
    <row r="1" spans="1:5">
      <c r="A1" t="s">
        <v>146</v>
      </c>
      <c r="B1" t="s">
        <v>276</v>
      </c>
      <c r="C1" t="s">
        <v>149</v>
      </c>
      <c r="D1" t="s">
        <v>26</v>
      </c>
      <c r="E1" t="s">
        <v>65</v>
      </c>
    </row>
    <row r="2" spans="1:5">
      <c r="A2" t="s">
        <v>277</v>
      </c>
      <c r="B2" t="s">
        <v>278</v>
      </c>
      <c r="C2" t="s">
        <v>279</v>
      </c>
      <c r="D2" t="s">
        <v>280</v>
      </c>
      <c r="E2" t="s">
        <v>281</v>
      </c>
    </row>
    <row r="3" spans="1:5">
      <c r="A3" t="s">
        <v>282</v>
      </c>
      <c r="B3" t="s">
        <v>283</v>
      </c>
      <c r="C3" t="s">
        <v>284</v>
      </c>
      <c r="D3" t="s">
        <v>285</v>
      </c>
      <c r="E3" t="s">
        <v>286</v>
      </c>
    </row>
    <row r="4" spans="1:5">
      <c r="A4" t="s">
        <v>287</v>
      </c>
      <c r="B4" t="s">
        <v>288</v>
      </c>
      <c r="C4" t="s">
        <v>289</v>
      </c>
      <c r="D4" t="s">
        <v>290</v>
      </c>
      <c r="E4" t="s">
        <v>291</v>
      </c>
    </row>
    <row r="5" spans="1:5">
      <c r="A5" t="s">
        <v>292</v>
      </c>
      <c r="B5" t="s">
        <v>293</v>
      </c>
      <c r="C5" t="s">
        <v>294</v>
      </c>
      <c r="D5" t="s">
        <v>295</v>
      </c>
      <c r="E5" t="s">
        <v>296</v>
      </c>
    </row>
    <row r="6" spans="1:5">
      <c r="A6" t="s">
        <v>297</v>
      </c>
      <c r="B6" t="s">
        <v>298</v>
      </c>
      <c r="C6" t="s">
        <v>299</v>
      </c>
      <c r="D6" t="s">
        <v>300</v>
      </c>
      <c r="E6" t="s">
        <v>90</v>
      </c>
    </row>
    <row r="7" spans="1:5">
      <c r="A7" t="s">
        <v>301</v>
      </c>
      <c r="B7" t="s">
        <v>302</v>
      </c>
      <c r="C7" t="s">
        <v>303</v>
      </c>
      <c r="D7" t="s">
        <v>304</v>
      </c>
      <c r="E7" t="s">
        <v>305</v>
      </c>
    </row>
    <row r="8" spans="1:5">
      <c r="A8" t="s">
        <v>306</v>
      </c>
      <c r="B8" t="s">
        <v>307</v>
      </c>
      <c r="C8" t="s">
        <v>308</v>
      </c>
      <c r="D8" t="s">
        <v>309</v>
      </c>
      <c r="E8" t="s">
        <v>310</v>
      </c>
    </row>
    <row r="9" spans="1:5">
      <c r="A9" t="s">
        <v>311</v>
      </c>
      <c r="B9" t="s">
        <v>312</v>
      </c>
      <c r="C9" t="s">
        <v>313</v>
      </c>
      <c r="D9" t="s">
        <v>314</v>
      </c>
      <c r="E9" t="s">
        <v>315</v>
      </c>
    </row>
    <row r="10" spans="1:5">
      <c r="A10" t="s">
        <v>316</v>
      </c>
      <c r="B10" t="s">
        <v>317</v>
      </c>
      <c r="C10" t="s">
        <v>318</v>
      </c>
      <c r="D10" t="s">
        <v>319</v>
      </c>
      <c r="E10" t="s">
        <v>320</v>
      </c>
    </row>
    <row r="11" spans="1:5">
      <c r="A11" t="s">
        <v>321</v>
      </c>
      <c r="B11" t="s">
        <v>322</v>
      </c>
      <c r="C11" t="s">
        <v>323</v>
      </c>
      <c r="D11" t="s">
        <v>324</v>
      </c>
      <c r="E11" t="s">
        <v>325</v>
      </c>
    </row>
    <row r="12" spans="1:5">
      <c r="A12" t="s">
        <v>326</v>
      </c>
      <c r="B12" t="s">
        <v>327</v>
      </c>
      <c r="C12" t="s">
        <v>328</v>
      </c>
      <c r="D12" t="s">
        <v>329</v>
      </c>
      <c r="E12" t="s">
        <v>330</v>
      </c>
    </row>
    <row r="13" spans="1:5">
      <c r="A13" t="s">
        <v>331</v>
      </c>
      <c r="B13" t="s">
        <v>332</v>
      </c>
      <c r="C13" t="s">
        <v>333</v>
      </c>
      <c r="D13" t="s">
        <v>334</v>
      </c>
      <c r="E13" t="s">
        <v>335</v>
      </c>
    </row>
    <row r="14" spans="1:5">
      <c r="A14" t="s">
        <v>336</v>
      </c>
      <c r="B14" t="s">
        <v>337</v>
      </c>
      <c r="C14" t="s">
        <v>338</v>
      </c>
      <c r="D14" t="s">
        <v>339</v>
      </c>
      <c r="E14" t="s">
        <v>340</v>
      </c>
    </row>
    <row r="15" spans="1:5">
      <c r="A15" t="s">
        <v>341</v>
      </c>
      <c r="B15" t="s">
        <v>342</v>
      </c>
      <c r="C15" t="s">
        <v>343</v>
      </c>
      <c r="D15" t="s">
        <v>344</v>
      </c>
      <c r="E15" t="s">
        <v>345</v>
      </c>
    </row>
    <row r="16" spans="1:5">
      <c r="A16" t="s">
        <v>346</v>
      </c>
      <c r="B16" t="s">
        <v>347</v>
      </c>
      <c r="C16" t="s">
        <v>348</v>
      </c>
      <c r="D16" t="s">
        <v>349</v>
      </c>
      <c r="E16" t="s">
        <v>350</v>
      </c>
    </row>
    <row r="17" spans="1:5">
      <c r="A17" t="s">
        <v>351</v>
      </c>
      <c r="B17" t="s">
        <v>352</v>
      </c>
      <c r="C17" t="s">
        <v>353</v>
      </c>
      <c r="D17" t="s">
        <v>354</v>
      </c>
      <c r="E17" t="s">
        <v>355</v>
      </c>
    </row>
    <row r="18" spans="1:5">
      <c r="A18" t="s">
        <v>356</v>
      </c>
      <c r="B18" t="s">
        <v>357</v>
      </c>
      <c r="C18" t="s">
        <v>358</v>
      </c>
      <c r="D18" t="s">
        <v>359</v>
      </c>
      <c r="E18" t="s">
        <v>360</v>
      </c>
    </row>
    <row r="19" spans="1:5">
      <c r="A19" t="s">
        <v>361</v>
      </c>
      <c r="B19" t="s">
        <v>362</v>
      </c>
      <c r="C19" t="s">
        <v>363</v>
      </c>
      <c r="D19" t="s">
        <v>364</v>
      </c>
      <c r="E19" t="s">
        <v>365</v>
      </c>
    </row>
    <row r="20" spans="1:5">
      <c r="A20" t="s">
        <v>366</v>
      </c>
      <c r="B20" t="s">
        <v>367</v>
      </c>
      <c r="C20" t="s">
        <v>368</v>
      </c>
      <c r="D20" t="s">
        <v>369</v>
      </c>
      <c r="E20" t="s">
        <v>370</v>
      </c>
    </row>
    <row r="21" spans="1:5">
      <c r="A21" t="s">
        <v>371</v>
      </c>
      <c r="B21" t="s">
        <v>372</v>
      </c>
      <c r="C21" t="s">
        <v>373</v>
      </c>
      <c r="D21" t="s">
        <v>374</v>
      </c>
      <c r="E21" t="s">
        <v>375</v>
      </c>
    </row>
    <row r="22" spans="1:5">
      <c r="A22" t="s">
        <v>376</v>
      </c>
      <c r="B22" t="s">
        <v>377</v>
      </c>
      <c r="D22" t="s">
        <v>378</v>
      </c>
      <c r="E22" t="s">
        <v>379</v>
      </c>
    </row>
    <row r="23" spans="1:5">
      <c r="A23" t="s">
        <v>380</v>
      </c>
      <c r="B23" t="s">
        <v>381</v>
      </c>
      <c r="D23" t="s">
        <v>382</v>
      </c>
      <c r="E23" t="s">
        <v>383</v>
      </c>
    </row>
    <row r="24" spans="1:5">
      <c r="A24" t="s">
        <v>384</v>
      </c>
      <c r="B24" t="s">
        <v>385</v>
      </c>
      <c r="D24" t="s">
        <v>386</v>
      </c>
      <c r="E24" t="s">
        <v>387</v>
      </c>
    </row>
    <row r="25" spans="1:5">
      <c r="A25" t="s">
        <v>388</v>
      </c>
      <c r="B25" t="s">
        <v>389</v>
      </c>
      <c r="D25" t="s">
        <v>390</v>
      </c>
    </row>
    <row r="26" spans="1:5">
      <c r="A26" t="s">
        <v>391</v>
      </c>
      <c r="B26" t="s">
        <v>392</v>
      </c>
      <c r="D26" t="s">
        <v>393</v>
      </c>
    </row>
    <row r="27" spans="1:5">
      <c r="A27" t="s">
        <v>394</v>
      </c>
      <c r="B27" t="s">
        <v>395</v>
      </c>
      <c r="D27" t="s">
        <v>396</v>
      </c>
    </row>
    <row r="28" spans="1:5">
      <c r="A28" t="s">
        <v>397</v>
      </c>
      <c r="B28" t="s">
        <v>398</v>
      </c>
      <c r="D28" t="s">
        <v>399</v>
      </c>
    </row>
    <row r="29" spans="1:5">
      <c r="A29" t="s">
        <v>400</v>
      </c>
      <c r="B29" t="s">
        <v>401</v>
      </c>
      <c r="D29" t="s">
        <v>402</v>
      </c>
    </row>
    <row r="30" spans="1:5">
      <c r="A30" t="s">
        <v>403</v>
      </c>
      <c r="B30" t="s">
        <v>404</v>
      </c>
      <c r="D30" t="s">
        <v>405</v>
      </c>
    </row>
    <row r="31" spans="1:5">
      <c r="A31" t="s">
        <v>406</v>
      </c>
      <c r="B31" t="s">
        <v>407</v>
      </c>
      <c r="D31" t="s">
        <v>408</v>
      </c>
    </row>
    <row r="32" spans="1:5">
      <c r="A32" t="s">
        <v>409</v>
      </c>
      <c r="B32" t="s">
        <v>410</v>
      </c>
      <c r="D32" t="s">
        <v>411</v>
      </c>
    </row>
    <row r="33" spans="1:4">
      <c r="A33" t="s">
        <v>412</v>
      </c>
      <c r="B33" t="s">
        <v>413</v>
      </c>
      <c r="D33" t="s">
        <v>414</v>
      </c>
    </row>
    <row r="34" spans="1:4">
      <c r="A34" t="s">
        <v>415</v>
      </c>
      <c r="B34" t="s">
        <v>416</v>
      </c>
      <c r="D34" t="s">
        <v>417</v>
      </c>
    </row>
    <row r="35" spans="1:4">
      <c r="A35" t="s">
        <v>418</v>
      </c>
      <c r="B35" t="s">
        <v>419</v>
      </c>
      <c r="D35" t="s">
        <v>420</v>
      </c>
    </row>
    <row r="36" spans="1:4">
      <c r="A36" t="s">
        <v>421</v>
      </c>
      <c r="B36" t="s">
        <v>422</v>
      </c>
      <c r="D36" t="s">
        <v>423</v>
      </c>
    </row>
    <row r="37" spans="1:4">
      <c r="A37" t="s">
        <v>424</v>
      </c>
      <c r="B37" t="s">
        <v>425</v>
      </c>
      <c r="D37" t="s">
        <v>426</v>
      </c>
    </row>
    <row r="38" spans="1:4">
      <c r="A38" t="s">
        <v>427</v>
      </c>
      <c r="B38" t="s">
        <v>428</v>
      </c>
      <c r="D38" t="s">
        <v>429</v>
      </c>
    </row>
    <row r="39" spans="1:4">
      <c r="A39" t="s">
        <v>430</v>
      </c>
      <c r="B39" t="s">
        <v>431</v>
      </c>
      <c r="D39" t="s">
        <v>432</v>
      </c>
    </row>
    <row r="40" spans="1:4">
      <c r="A40" t="s">
        <v>433</v>
      </c>
      <c r="B40" t="s">
        <v>434</v>
      </c>
      <c r="D40" t="s">
        <v>435</v>
      </c>
    </row>
    <row r="41" spans="1:4">
      <c r="A41" t="s">
        <v>436</v>
      </c>
      <c r="B41" t="s">
        <v>437</v>
      </c>
      <c r="D41" t="s">
        <v>438</v>
      </c>
    </row>
    <row r="42" spans="1:4">
      <c r="A42" t="s">
        <v>439</v>
      </c>
      <c r="B42" t="s">
        <v>440</v>
      </c>
      <c r="D42" t="s">
        <v>441</v>
      </c>
    </row>
    <row r="43" spans="1:4">
      <c r="A43" t="s">
        <v>442</v>
      </c>
      <c r="B43" t="s">
        <v>443</v>
      </c>
      <c r="D43" t="s">
        <v>444</v>
      </c>
    </row>
    <row r="44" spans="1:4">
      <c r="A44" t="s">
        <v>445</v>
      </c>
      <c r="B44" t="s">
        <v>446</v>
      </c>
      <c r="D44" t="s">
        <v>447</v>
      </c>
    </row>
    <row r="45" spans="1:4">
      <c r="A45" t="s">
        <v>448</v>
      </c>
      <c r="B45" t="s">
        <v>449</v>
      </c>
      <c r="D45" t="s">
        <v>450</v>
      </c>
    </row>
    <row r="46" spans="1:4">
      <c r="A46" t="s">
        <v>451</v>
      </c>
      <c r="B46" t="s">
        <v>452</v>
      </c>
      <c r="D46" t="s">
        <v>453</v>
      </c>
    </row>
    <row r="47" spans="1:4">
      <c r="A47" t="s">
        <v>454</v>
      </c>
      <c r="B47" t="s">
        <v>455</v>
      </c>
      <c r="D47" t="s">
        <v>456</v>
      </c>
    </row>
    <row r="48" spans="1:4">
      <c r="A48" t="s">
        <v>457</v>
      </c>
      <c r="B48" t="s">
        <v>458</v>
      </c>
      <c r="D48" t="s">
        <v>459</v>
      </c>
    </row>
    <row r="49" spans="1:4">
      <c r="A49" t="s">
        <v>460</v>
      </c>
      <c r="B49" t="s">
        <v>461</v>
      </c>
      <c r="D49" t="s">
        <v>462</v>
      </c>
    </row>
    <row r="50" spans="1:4">
      <c r="A50" t="s">
        <v>463</v>
      </c>
      <c r="B50" t="s">
        <v>464</v>
      </c>
      <c r="D50" t="s">
        <v>465</v>
      </c>
    </row>
    <row r="51" spans="1:4">
      <c r="A51" t="s">
        <v>466</v>
      </c>
      <c r="B51" t="s">
        <v>467</v>
      </c>
      <c r="D51" t="s">
        <v>468</v>
      </c>
    </row>
    <row r="52" spans="1:4">
      <c r="A52" t="s">
        <v>469</v>
      </c>
      <c r="B52" t="s">
        <v>470</v>
      </c>
      <c r="D52" t="s">
        <v>471</v>
      </c>
    </row>
    <row r="53" spans="1:4">
      <c r="A53" t="s">
        <v>472</v>
      </c>
      <c r="B53" t="s">
        <v>473</v>
      </c>
      <c r="D53" t="s">
        <v>474</v>
      </c>
    </row>
    <row r="54" spans="1:4">
      <c r="A54" t="s">
        <v>475</v>
      </c>
      <c r="B54" t="s">
        <v>476</v>
      </c>
      <c r="D54" t="s">
        <v>477</v>
      </c>
    </row>
    <row r="55" spans="1:4">
      <c r="A55" t="s">
        <v>478</v>
      </c>
      <c r="B55" t="s">
        <v>479</v>
      </c>
      <c r="D55" t="s">
        <v>480</v>
      </c>
    </row>
    <row r="56" spans="1:4">
      <c r="A56" t="s">
        <v>481</v>
      </c>
      <c r="B56" t="s">
        <v>482</v>
      </c>
      <c r="D56" t="s">
        <v>483</v>
      </c>
    </row>
    <row r="57" spans="1:4">
      <c r="A57" t="s">
        <v>484</v>
      </c>
      <c r="B57" t="s">
        <v>485</v>
      </c>
      <c r="D57" t="s">
        <v>486</v>
      </c>
    </row>
    <row r="58" spans="1:4">
      <c r="A58" t="s">
        <v>487</v>
      </c>
      <c r="B58" t="s">
        <v>488</v>
      </c>
      <c r="D58" t="s">
        <v>489</v>
      </c>
    </row>
    <row r="59" spans="1:4">
      <c r="A59" t="s">
        <v>490</v>
      </c>
      <c r="B59" t="s">
        <v>491</v>
      </c>
      <c r="D59" t="s">
        <v>492</v>
      </c>
    </row>
    <row r="60" spans="1:4">
      <c r="A60" t="s">
        <v>493</v>
      </c>
      <c r="B60" t="s">
        <v>494</v>
      </c>
      <c r="D60" t="s">
        <v>495</v>
      </c>
    </row>
    <row r="61" spans="1:4">
      <c r="A61" t="s">
        <v>496</v>
      </c>
      <c r="B61" t="s">
        <v>497</v>
      </c>
      <c r="D61" t="s">
        <v>498</v>
      </c>
    </row>
    <row r="62" spans="1:4">
      <c r="A62" t="s">
        <v>499</v>
      </c>
      <c r="B62" t="s">
        <v>500</v>
      </c>
      <c r="D62" t="s">
        <v>501</v>
      </c>
    </row>
    <row r="63" spans="1:4">
      <c r="A63" t="s">
        <v>502</v>
      </c>
      <c r="B63" t="s">
        <v>503</v>
      </c>
      <c r="D63" t="s">
        <v>504</v>
      </c>
    </row>
    <row r="64" spans="1:4">
      <c r="A64" t="s">
        <v>505</v>
      </c>
      <c r="B64" t="s">
        <v>506</v>
      </c>
      <c r="D64" t="s">
        <v>507</v>
      </c>
    </row>
    <row r="65" spans="1:4">
      <c r="A65" t="s">
        <v>508</v>
      </c>
      <c r="B65" t="s">
        <v>509</v>
      </c>
      <c r="D65" t="s">
        <v>510</v>
      </c>
    </row>
    <row r="66" spans="1:4">
      <c r="A66" t="s">
        <v>511</v>
      </c>
      <c r="B66" t="s">
        <v>512</v>
      </c>
      <c r="D66" t="s">
        <v>513</v>
      </c>
    </row>
    <row r="67" spans="1:4">
      <c r="A67" t="s">
        <v>514</v>
      </c>
      <c r="B67" t="s">
        <v>515</v>
      </c>
      <c r="D67" t="s">
        <v>516</v>
      </c>
    </row>
    <row r="68" spans="1:4">
      <c r="A68" t="s">
        <v>517</v>
      </c>
      <c r="B68" t="s">
        <v>518</v>
      </c>
      <c r="D68" t="s">
        <v>519</v>
      </c>
    </row>
    <row r="69" spans="1:4">
      <c r="A69" t="s">
        <v>520</v>
      </c>
      <c r="B69" t="s">
        <v>521</v>
      </c>
      <c r="D69" t="s">
        <v>522</v>
      </c>
    </row>
    <row r="70" spans="1:4">
      <c r="A70" t="s">
        <v>523</v>
      </c>
      <c r="B70" t="s">
        <v>524</v>
      </c>
      <c r="D70" t="s">
        <v>525</v>
      </c>
    </row>
    <row r="71" spans="1:4">
      <c r="A71" t="s">
        <v>526</v>
      </c>
      <c r="B71" t="s">
        <v>527</v>
      </c>
      <c r="D71" t="s">
        <v>528</v>
      </c>
    </row>
    <row r="72" spans="1:4">
      <c r="A72" t="s">
        <v>529</v>
      </c>
      <c r="B72" t="s">
        <v>530</v>
      </c>
      <c r="D72" t="s">
        <v>531</v>
      </c>
    </row>
    <row r="73" spans="1:4">
      <c r="A73" t="s">
        <v>532</v>
      </c>
      <c r="B73" t="s">
        <v>533</v>
      </c>
      <c r="D73" t="s">
        <v>534</v>
      </c>
    </row>
    <row r="74" spans="1:4">
      <c r="A74" t="s">
        <v>535</v>
      </c>
      <c r="B74" t="s">
        <v>536</v>
      </c>
      <c r="D74" t="s">
        <v>537</v>
      </c>
    </row>
    <row r="75" spans="1:4">
      <c r="A75" t="s">
        <v>538</v>
      </c>
      <c r="B75" t="s">
        <v>539</v>
      </c>
      <c r="D75" t="s">
        <v>540</v>
      </c>
    </row>
    <row r="76" spans="1:4">
      <c r="A76" t="s">
        <v>255</v>
      </c>
      <c r="B76" t="s">
        <v>541</v>
      </c>
      <c r="D76" t="s">
        <v>542</v>
      </c>
    </row>
    <row r="77" spans="1:4">
      <c r="A77" t="s">
        <v>543</v>
      </c>
      <c r="B77" t="s">
        <v>544</v>
      </c>
      <c r="D77" t="s">
        <v>545</v>
      </c>
    </row>
    <row r="78" spans="1:4">
      <c r="A78" t="s">
        <v>546</v>
      </c>
      <c r="B78" t="s">
        <v>547</v>
      </c>
      <c r="D78" t="s">
        <v>548</v>
      </c>
    </row>
    <row r="79" spans="1:4">
      <c r="A79" t="s">
        <v>549</v>
      </c>
      <c r="B79" t="s">
        <v>550</v>
      </c>
      <c r="D79" t="s">
        <v>551</v>
      </c>
    </row>
    <row r="80" spans="1:4">
      <c r="A80" t="s">
        <v>552</v>
      </c>
      <c r="B80" t="s">
        <v>553</v>
      </c>
      <c r="D80" t="s">
        <v>554</v>
      </c>
    </row>
    <row r="81" spans="1:4">
      <c r="A81" t="s">
        <v>555</v>
      </c>
      <c r="B81" t="s">
        <v>556</v>
      </c>
      <c r="D81" t="s">
        <v>557</v>
      </c>
    </row>
    <row r="82" spans="1:4">
      <c r="A82" t="s">
        <v>558</v>
      </c>
      <c r="B82" t="s">
        <v>559</v>
      </c>
      <c r="D82" t="s">
        <v>560</v>
      </c>
    </row>
    <row r="83" spans="1:4">
      <c r="A83" t="s">
        <v>561</v>
      </c>
      <c r="B83" t="s">
        <v>562</v>
      </c>
      <c r="D83" t="s">
        <v>563</v>
      </c>
    </row>
    <row r="84" spans="1:4">
      <c r="A84" t="s">
        <v>564</v>
      </c>
      <c r="B84" t="s">
        <v>565</v>
      </c>
      <c r="D84" t="s">
        <v>566</v>
      </c>
    </row>
    <row r="85" spans="1:4">
      <c r="A85" t="s">
        <v>567</v>
      </c>
      <c r="B85" t="s">
        <v>568</v>
      </c>
      <c r="D85" t="s">
        <v>569</v>
      </c>
    </row>
    <row r="86" spans="1:4">
      <c r="A86" t="s">
        <v>570</v>
      </c>
      <c r="B86" t="s">
        <v>571</v>
      </c>
      <c r="D86" t="s">
        <v>572</v>
      </c>
    </row>
    <row r="87" spans="1:4">
      <c r="A87" t="s">
        <v>573</v>
      </c>
      <c r="B87" t="s">
        <v>574</v>
      </c>
      <c r="D87" t="s">
        <v>575</v>
      </c>
    </row>
    <row r="88" spans="1:4">
      <c r="A88" t="s">
        <v>576</v>
      </c>
      <c r="B88" t="s">
        <v>577</v>
      </c>
      <c r="D88" t="s">
        <v>578</v>
      </c>
    </row>
    <row r="89" spans="1:4">
      <c r="A89" t="s">
        <v>579</v>
      </c>
      <c r="B89" t="s">
        <v>580</v>
      </c>
      <c r="D89" t="s">
        <v>581</v>
      </c>
    </row>
    <row r="90" spans="1:4">
      <c r="A90" t="s">
        <v>582</v>
      </c>
      <c r="B90" t="s">
        <v>583</v>
      </c>
      <c r="D90" t="s">
        <v>584</v>
      </c>
    </row>
    <row r="91" spans="1:4">
      <c r="A91" t="s">
        <v>585</v>
      </c>
      <c r="B91" t="s">
        <v>586</v>
      </c>
      <c r="D91" t="s">
        <v>587</v>
      </c>
    </row>
    <row r="92" spans="1:4">
      <c r="A92" t="s">
        <v>588</v>
      </c>
      <c r="B92" t="s">
        <v>589</v>
      </c>
      <c r="D92" t="s">
        <v>590</v>
      </c>
    </row>
    <row r="93" spans="1:4">
      <c r="A93" t="s">
        <v>591</v>
      </c>
      <c r="B93" t="s">
        <v>592</v>
      </c>
      <c r="D93" t="s">
        <v>593</v>
      </c>
    </row>
    <row r="94" spans="1:4">
      <c r="A94" t="s">
        <v>594</v>
      </c>
      <c r="B94" t="s">
        <v>595</v>
      </c>
      <c r="D94" t="s">
        <v>596</v>
      </c>
    </row>
    <row r="95" spans="1:4">
      <c r="A95" t="s">
        <v>597</v>
      </c>
      <c r="B95" t="s">
        <v>598</v>
      </c>
      <c r="D95" t="s">
        <v>119</v>
      </c>
    </row>
    <row r="96" spans="1:4">
      <c r="A96" t="s">
        <v>599</v>
      </c>
      <c r="B96" t="s">
        <v>600</v>
      </c>
      <c r="D96" t="s">
        <v>601</v>
      </c>
    </row>
    <row r="97" spans="1:4">
      <c r="A97" t="s">
        <v>602</v>
      </c>
      <c r="B97" t="s">
        <v>603</v>
      </c>
      <c r="D97" t="s">
        <v>604</v>
      </c>
    </row>
    <row r="98" spans="1:4">
      <c r="A98" t="s">
        <v>605</v>
      </c>
      <c r="B98" t="s">
        <v>606</v>
      </c>
      <c r="D98" t="s">
        <v>607</v>
      </c>
    </row>
    <row r="99" spans="1:4">
      <c r="A99" t="s">
        <v>608</v>
      </c>
      <c r="B99" t="s">
        <v>609</v>
      </c>
      <c r="D99" t="s">
        <v>610</v>
      </c>
    </row>
    <row r="100" spans="1:4">
      <c r="A100" t="s">
        <v>611</v>
      </c>
      <c r="B100" t="s">
        <v>612</v>
      </c>
      <c r="D100" t="s">
        <v>613</v>
      </c>
    </row>
    <row r="101" spans="1:4">
      <c r="A101" t="s">
        <v>614</v>
      </c>
      <c r="B101" t="s">
        <v>615</v>
      </c>
      <c r="D101" t="s">
        <v>616</v>
      </c>
    </row>
    <row r="102" spans="1:4">
      <c r="A102" t="s">
        <v>617</v>
      </c>
      <c r="B102" t="s">
        <v>618</v>
      </c>
      <c r="D102" t="s">
        <v>619</v>
      </c>
    </row>
    <row r="103" spans="1:4">
      <c r="A103" t="s">
        <v>620</v>
      </c>
      <c r="B103" t="s">
        <v>621</v>
      </c>
      <c r="D103" t="s">
        <v>622</v>
      </c>
    </row>
    <row r="104" spans="1:4">
      <c r="A104" t="s">
        <v>623</v>
      </c>
      <c r="B104" t="s">
        <v>624</v>
      </c>
      <c r="D104" t="s">
        <v>625</v>
      </c>
    </row>
    <row r="105" spans="1:4">
      <c r="A105" t="s">
        <v>626</v>
      </c>
      <c r="B105" t="s">
        <v>627</v>
      </c>
      <c r="D105" t="s">
        <v>628</v>
      </c>
    </row>
    <row r="106" spans="1:4">
      <c r="A106" t="s">
        <v>629</v>
      </c>
      <c r="B106" t="s">
        <v>630</v>
      </c>
      <c r="D106" t="s">
        <v>631</v>
      </c>
    </row>
    <row r="107" spans="1:4">
      <c r="A107" t="s">
        <v>632</v>
      </c>
      <c r="B107" t="s">
        <v>633</v>
      </c>
      <c r="D107" t="s">
        <v>634</v>
      </c>
    </row>
    <row r="108" spans="1:4">
      <c r="A108" t="s">
        <v>635</v>
      </c>
      <c r="B108" t="s">
        <v>636</v>
      </c>
      <c r="D108" t="s">
        <v>637</v>
      </c>
    </row>
    <row r="109" spans="1:4">
      <c r="A109" t="s">
        <v>638</v>
      </c>
      <c r="B109" t="s">
        <v>639</v>
      </c>
      <c r="D109" t="s">
        <v>640</v>
      </c>
    </row>
    <row r="110" spans="1:4">
      <c r="A110" t="s">
        <v>641</v>
      </c>
      <c r="B110" t="s">
        <v>642</v>
      </c>
      <c r="D110" t="s">
        <v>643</v>
      </c>
    </row>
    <row r="111" spans="1:4">
      <c r="A111" t="s">
        <v>644</v>
      </c>
      <c r="B111" t="s">
        <v>645</v>
      </c>
      <c r="D111" t="s">
        <v>646</v>
      </c>
    </row>
    <row r="112" spans="1:4">
      <c r="A112" t="s">
        <v>647</v>
      </c>
      <c r="B112" t="s">
        <v>648</v>
      </c>
      <c r="D112" t="s">
        <v>649</v>
      </c>
    </row>
    <row r="113" spans="1:4">
      <c r="A113" t="s">
        <v>650</v>
      </c>
      <c r="B113" t="s">
        <v>651</v>
      </c>
      <c r="D113" t="s">
        <v>652</v>
      </c>
    </row>
    <row r="114" spans="1:4">
      <c r="A114" t="s">
        <v>653</v>
      </c>
      <c r="B114" t="s">
        <v>654</v>
      </c>
      <c r="D114" t="s">
        <v>655</v>
      </c>
    </row>
    <row r="115" spans="1:4">
      <c r="A115" t="s">
        <v>656</v>
      </c>
      <c r="B115" t="s">
        <v>657</v>
      </c>
      <c r="D115" t="s">
        <v>658</v>
      </c>
    </row>
    <row r="116" spans="1:4">
      <c r="A116" t="s">
        <v>659</v>
      </c>
      <c r="B116" t="s">
        <v>660</v>
      </c>
      <c r="D116" t="s">
        <v>661</v>
      </c>
    </row>
    <row r="117" spans="1:4">
      <c r="A117" t="s">
        <v>662</v>
      </c>
      <c r="B117" t="s">
        <v>663</v>
      </c>
      <c r="D117" t="s">
        <v>664</v>
      </c>
    </row>
    <row r="118" spans="1:4">
      <c r="A118" t="s">
        <v>665</v>
      </c>
      <c r="B118" t="s">
        <v>666</v>
      </c>
      <c r="D118" t="s">
        <v>667</v>
      </c>
    </row>
    <row r="119" spans="1:4">
      <c r="A119" t="s">
        <v>668</v>
      </c>
      <c r="B119" t="s">
        <v>669</v>
      </c>
      <c r="D119" t="s">
        <v>670</v>
      </c>
    </row>
    <row r="120" spans="1:4">
      <c r="A120" t="s">
        <v>671</v>
      </c>
      <c r="B120" t="s">
        <v>672</v>
      </c>
      <c r="D120" t="s">
        <v>673</v>
      </c>
    </row>
    <row r="121" spans="1:4">
      <c r="A121" t="s">
        <v>674</v>
      </c>
      <c r="B121" t="s">
        <v>675</v>
      </c>
      <c r="D121" t="s">
        <v>676</v>
      </c>
    </row>
    <row r="122" spans="1:4">
      <c r="A122" t="s">
        <v>677</v>
      </c>
      <c r="B122" t="s">
        <v>678</v>
      </c>
      <c r="D122" t="s">
        <v>679</v>
      </c>
    </row>
    <row r="123" spans="1:4">
      <c r="A123" t="s">
        <v>680</v>
      </c>
      <c r="B123" t="s">
        <v>681</v>
      </c>
      <c r="D123" t="s">
        <v>682</v>
      </c>
    </row>
    <row r="124" spans="1:4">
      <c r="A124" t="s">
        <v>683</v>
      </c>
      <c r="B124" t="s">
        <v>684</v>
      </c>
      <c r="D124" t="s">
        <v>685</v>
      </c>
    </row>
    <row r="125" spans="1:4">
      <c r="A125" t="s">
        <v>686</v>
      </c>
      <c r="B125" t="s">
        <v>687</v>
      </c>
      <c r="D125" t="s">
        <v>688</v>
      </c>
    </row>
    <row r="126" spans="1:4">
      <c r="A126" t="s">
        <v>689</v>
      </c>
      <c r="B126" t="s">
        <v>690</v>
      </c>
      <c r="D126" t="s">
        <v>691</v>
      </c>
    </row>
    <row r="127" spans="1:4">
      <c r="A127" t="s">
        <v>692</v>
      </c>
      <c r="B127" t="s">
        <v>693</v>
      </c>
      <c r="D127" t="s">
        <v>694</v>
      </c>
    </row>
    <row r="128" spans="1:4">
      <c r="A128" t="s">
        <v>695</v>
      </c>
      <c r="B128" t="s">
        <v>696</v>
      </c>
      <c r="D128" t="s">
        <v>697</v>
      </c>
    </row>
    <row r="129" spans="1:4">
      <c r="A129" t="s">
        <v>698</v>
      </c>
      <c r="B129" t="s">
        <v>699</v>
      </c>
      <c r="D129" t="s">
        <v>700</v>
      </c>
    </row>
    <row r="130" spans="1:4">
      <c r="A130" t="s">
        <v>701</v>
      </c>
      <c r="B130" t="s">
        <v>702</v>
      </c>
      <c r="D130" t="s">
        <v>703</v>
      </c>
    </row>
    <row r="131" spans="1:4">
      <c r="A131" t="s">
        <v>704</v>
      </c>
      <c r="B131" t="s">
        <v>705</v>
      </c>
      <c r="D131" t="s">
        <v>706</v>
      </c>
    </row>
    <row r="132" spans="1:4">
      <c r="A132" t="s">
        <v>707</v>
      </c>
      <c r="B132" t="s">
        <v>708</v>
      </c>
      <c r="D132" t="s">
        <v>709</v>
      </c>
    </row>
    <row r="133" spans="1:4">
      <c r="A133" t="s">
        <v>710</v>
      </c>
      <c r="B133" t="s">
        <v>711</v>
      </c>
      <c r="D133" t="s">
        <v>712</v>
      </c>
    </row>
    <row r="134" spans="1:4">
      <c r="A134" t="s">
        <v>713</v>
      </c>
      <c r="B134" t="s">
        <v>714</v>
      </c>
      <c r="D134" t="s">
        <v>715</v>
      </c>
    </row>
    <row r="135" spans="1:4">
      <c r="A135" t="s">
        <v>716</v>
      </c>
      <c r="B135" t="s">
        <v>717</v>
      </c>
      <c r="D135" t="s">
        <v>718</v>
      </c>
    </row>
    <row r="136" spans="1:4">
      <c r="A136" t="s">
        <v>719</v>
      </c>
      <c r="B136" t="s">
        <v>720</v>
      </c>
      <c r="D136" t="s">
        <v>721</v>
      </c>
    </row>
    <row r="137" spans="1:4">
      <c r="A137" t="s">
        <v>722</v>
      </c>
      <c r="B137" t="s">
        <v>723</v>
      </c>
      <c r="D137" t="s">
        <v>724</v>
      </c>
    </row>
    <row r="138" spans="1:4">
      <c r="A138" t="s">
        <v>725</v>
      </c>
      <c r="B138" t="s">
        <v>726</v>
      </c>
      <c r="D138" t="s">
        <v>727</v>
      </c>
    </row>
    <row r="139" spans="1:4">
      <c r="A139" t="s">
        <v>728</v>
      </c>
      <c r="B139" t="s">
        <v>729</v>
      </c>
      <c r="D139" t="s">
        <v>730</v>
      </c>
    </row>
    <row r="140" spans="1:4">
      <c r="A140" t="s">
        <v>731</v>
      </c>
      <c r="B140" t="s">
        <v>732</v>
      </c>
      <c r="D140" t="s">
        <v>733</v>
      </c>
    </row>
    <row r="141" spans="1:4">
      <c r="A141" t="s">
        <v>734</v>
      </c>
      <c r="B141" t="s">
        <v>735</v>
      </c>
      <c r="D141" t="s">
        <v>736</v>
      </c>
    </row>
    <row r="142" spans="1:4">
      <c r="A142" t="s">
        <v>737</v>
      </c>
      <c r="B142" t="s">
        <v>738</v>
      </c>
      <c r="D142" t="s">
        <v>739</v>
      </c>
    </row>
    <row r="143" spans="1:4">
      <c r="A143" t="s">
        <v>740</v>
      </c>
      <c r="B143" t="s">
        <v>741</v>
      </c>
      <c r="D143" t="s">
        <v>742</v>
      </c>
    </row>
    <row r="144" spans="1:4">
      <c r="A144" t="s">
        <v>743</v>
      </c>
      <c r="B144" t="s">
        <v>744</v>
      </c>
      <c r="D144" t="s">
        <v>745</v>
      </c>
    </row>
    <row r="145" spans="1:4">
      <c r="A145" t="s">
        <v>746</v>
      </c>
      <c r="B145" t="s">
        <v>747</v>
      </c>
      <c r="D145" t="s">
        <v>748</v>
      </c>
    </row>
    <row r="146" spans="1:4">
      <c r="A146" t="s">
        <v>749</v>
      </c>
      <c r="B146" t="s">
        <v>750</v>
      </c>
      <c r="D146" t="s">
        <v>751</v>
      </c>
    </row>
    <row r="147" spans="1:4">
      <c r="A147" t="s">
        <v>752</v>
      </c>
      <c r="B147" t="s">
        <v>753</v>
      </c>
      <c r="D147" t="s">
        <v>754</v>
      </c>
    </row>
    <row r="148" spans="1:4">
      <c r="A148" t="s">
        <v>755</v>
      </c>
      <c r="B148" t="s">
        <v>756</v>
      </c>
      <c r="D148" t="s">
        <v>757</v>
      </c>
    </row>
    <row r="149" spans="1:4">
      <c r="A149" t="s">
        <v>758</v>
      </c>
      <c r="B149" t="s">
        <v>759</v>
      </c>
      <c r="D149" t="s">
        <v>760</v>
      </c>
    </row>
    <row r="150" spans="1:4">
      <c r="A150" t="s">
        <v>761</v>
      </c>
      <c r="B150" t="s">
        <v>762</v>
      </c>
      <c r="D150" t="s">
        <v>763</v>
      </c>
    </row>
    <row r="151" spans="1:4">
      <c r="A151" t="s">
        <v>764</v>
      </c>
      <c r="B151" t="s">
        <v>765</v>
      </c>
      <c r="D151" t="s">
        <v>766</v>
      </c>
    </row>
    <row r="152" spans="1:4">
      <c r="A152" t="s">
        <v>767</v>
      </c>
      <c r="B152" t="s">
        <v>768</v>
      </c>
      <c r="D152" t="s">
        <v>769</v>
      </c>
    </row>
    <row r="153" spans="1:4">
      <c r="A153" t="s">
        <v>770</v>
      </c>
      <c r="B153" t="s">
        <v>771</v>
      </c>
      <c r="D153" t="s">
        <v>772</v>
      </c>
    </row>
    <row r="154" spans="1:4">
      <c r="A154" t="s">
        <v>773</v>
      </c>
      <c r="B154" t="s">
        <v>774</v>
      </c>
      <c r="D154" t="s">
        <v>775</v>
      </c>
    </row>
    <row r="155" spans="1:4">
      <c r="A155" t="s">
        <v>776</v>
      </c>
      <c r="B155" t="s">
        <v>777</v>
      </c>
      <c r="D155" t="s">
        <v>778</v>
      </c>
    </row>
    <row r="156" spans="1:4">
      <c r="A156" t="s">
        <v>779</v>
      </c>
      <c r="B156" t="s">
        <v>780</v>
      </c>
      <c r="D156" t="s">
        <v>781</v>
      </c>
    </row>
    <row r="157" spans="1:4">
      <c r="A157" t="s">
        <v>782</v>
      </c>
      <c r="B157" t="s">
        <v>783</v>
      </c>
      <c r="D157" t="s">
        <v>784</v>
      </c>
    </row>
    <row r="158" spans="1:4">
      <c r="A158" t="s">
        <v>785</v>
      </c>
      <c r="B158" t="s">
        <v>786</v>
      </c>
      <c r="D158" t="s">
        <v>787</v>
      </c>
    </row>
    <row r="159" spans="1:4">
      <c r="A159" t="s">
        <v>788</v>
      </c>
      <c r="B159" t="s">
        <v>789</v>
      </c>
      <c r="D159" t="s">
        <v>790</v>
      </c>
    </row>
    <row r="160" spans="1:4">
      <c r="A160" t="s">
        <v>791</v>
      </c>
      <c r="B160" t="s">
        <v>792</v>
      </c>
      <c r="D160" t="s">
        <v>793</v>
      </c>
    </row>
    <row r="161" spans="1:4">
      <c r="A161" t="s">
        <v>794</v>
      </c>
      <c r="B161" t="s">
        <v>795</v>
      </c>
      <c r="D161" t="s">
        <v>796</v>
      </c>
    </row>
    <row r="162" spans="1:4">
      <c r="A162" t="s">
        <v>797</v>
      </c>
      <c r="B162" t="s">
        <v>798</v>
      </c>
      <c r="D162" t="s">
        <v>799</v>
      </c>
    </row>
    <row r="163" spans="1:4">
      <c r="A163" t="s">
        <v>800</v>
      </c>
      <c r="B163" t="s">
        <v>801</v>
      </c>
      <c r="D163" t="s">
        <v>802</v>
      </c>
    </row>
    <row r="164" spans="1:4">
      <c r="A164" t="s">
        <v>803</v>
      </c>
      <c r="B164" t="s">
        <v>804</v>
      </c>
      <c r="D164" t="s">
        <v>805</v>
      </c>
    </row>
    <row r="165" spans="1:4">
      <c r="A165" t="s">
        <v>806</v>
      </c>
      <c r="B165" t="s">
        <v>807</v>
      </c>
      <c r="D165" t="s">
        <v>808</v>
      </c>
    </row>
    <row r="166" spans="1:4">
      <c r="A166" t="s">
        <v>809</v>
      </c>
      <c r="B166" t="s">
        <v>810</v>
      </c>
      <c r="D166" t="s">
        <v>811</v>
      </c>
    </row>
    <row r="167" spans="1:4">
      <c r="A167" t="s">
        <v>812</v>
      </c>
      <c r="B167" t="s">
        <v>813</v>
      </c>
      <c r="D167" t="s">
        <v>814</v>
      </c>
    </row>
    <row r="168" spans="1:4">
      <c r="A168" t="s">
        <v>815</v>
      </c>
      <c r="B168" t="s">
        <v>816</v>
      </c>
      <c r="D168" t="s">
        <v>817</v>
      </c>
    </row>
    <row r="169" spans="1:4">
      <c r="A169" t="s">
        <v>818</v>
      </c>
      <c r="B169" t="s">
        <v>819</v>
      </c>
      <c r="D169" t="s">
        <v>820</v>
      </c>
    </row>
    <row r="170" spans="1:4">
      <c r="A170" t="s">
        <v>821</v>
      </c>
      <c r="B170" t="s">
        <v>822</v>
      </c>
      <c r="D170" t="s">
        <v>823</v>
      </c>
    </row>
    <row r="171" spans="1:4">
      <c r="A171" t="s">
        <v>824</v>
      </c>
      <c r="B171" t="s">
        <v>825</v>
      </c>
      <c r="D171" t="s">
        <v>826</v>
      </c>
    </row>
    <row r="172" spans="1:4">
      <c r="A172" t="s">
        <v>827</v>
      </c>
      <c r="B172" t="s">
        <v>828</v>
      </c>
      <c r="D172" t="s">
        <v>829</v>
      </c>
    </row>
    <row r="173" spans="1:4">
      <c r="A173" t="s">
        <v>830</v>
      </c>
      <c r="B173" t="s">
        <v>831</v>
      </c>
      <c r="D173" t="s">
        <v>832</v>
      </c>
    </row>
    <row r="174" spans="1:4">
      <c r="A174" t="s">
        <v>833</v>
      </c>
      <c r="B174" t="s">
        <v>834</v>
      </c>
      <c r="D174" t="s">
        <v>835</v>
      </c>
    </row>
    <row r="175" spans="1:4">
      <c r="A175" t="s">
        <v>836</v>
      </c>
      <c r="B175" t="s">
        <v>837</v>
      </c>
      <c r="D175" t="s">
        <v>838</v>
      </c>
    </row>
    <row r="176" spans="1:4">
      <c r="A176" t="s">
        <v>839</v>
      </c>
      <c r="B176" t="s">
        <v>840</v>
      </c>
      <c r="D176" t="s">
        <v>841</v>
      </c>
    </row>
    <row r="177" spans="1:4">
      <c r="A177" t="s">
        <v>842</v>
      </c>
      <c r="B177" t="s">
        <v>843</v>
      </c>
      <c r="D177" t="s">
        <v>844</v>
      </c>
    </row>
    <row r="178" spans="1:4">
      <c r="A178" t="s">
        <v>845</v>
      </c>
      <c r="B178" t="s">
        <v>846</v>
      </c>
      <c r="D178" t="s">
        <v>847</v>
      </c>
    </row>
    <row r="179" spans="1:4">
      <c r="A179" t="s">
        <v>848</v>
      </c>
      <c r="B179" t="s">
        <v>849</v>
      </c>
      <c r="D179" t="s">
        <v>850</v>
      </c>
    </row>
    <row r="180" spans="1:4">
      <c r="A180" t="s">
        <v>851</v>
      </c>
      <c r="B180" t="s">
        <v>852</v>
      </c>
      <c r="D180" t="s">
        <v>853</v>
      </c>
    </row>
    <row r="181" spans="1:4">
      <c r="A181" t="s">
        <v>854</v>
      </c>
      <c r="B181" t="s">
        <v>855</v>
      </c>
      <c r="D181" t="s">
        <v>856</v>
      </c>
    </row>
    <row r="182" spans="1:4">
      <c r="A182" t="s">
        <v>857</v>
      </c>
      <c r="B182" t="s">
        <v>858</v>
      </c>
      <c r="D182" t="s">
        <v>859</v>
      </c>
    </row>
    <row r="183" spans="1:4">
      <c r="A183" t="s">
        <v>860</v>
      </c>
      <c r="B183" t="s">
        <v>861</v>
      </c>
      <c r="D183" t="s">
        <v>862</v>
      </c>
    </row>
    <row r="184" spans="1:4">
      <c r="A184" t="s">
        <v>863</v>
      </c>
      <c r="B184" t="s">
        <v>864</v>
      </c>
      <c r="D184" t="s">
        <v>865</v>
      </c>
    </row>
    <row r="185" spans="1:4">
      <c r="A185" t="s">
        <v>866</v>
      </c>
      <c r="B185" t="s">
        <v>867</v>
      </c>
      <c r="D185" t="s">
        <v>868</v>
      </c>
    </row>
    <row r="186" spans="1:4">
      <c r="A186" t="s">
        <v>869</v>
      </c>
      <c r="B186" t="s">
        <v>870</v>
      </c>
      <c r="D186" t="s">
        <v>871</v>
      </c>
    </row>
    <row r="187" spans="1:4">
      <c r="A187" t="s">
        <v>872</v>
      </c>
      <c r="B187" t="s">
        <v>873</v>
      </c>
      <c r="D187" t="s">
        <v>874</v>
      </c>
    </row>
    <row r="188" spans="1:4">
      <c r="A188" t="s">
        <v>875</v>
      </c>
      <c r="B188" t="s">
        <v>876</v>
      </c>
      <c r="D188" t="s">
        <v>877</v>
      </c>
    </row>
    <row r="189" spans="1:4">
      <c r="A189" t="s">
        <v>878</v>
      </c>
      <c r="B189" t="s">
        <v>879</v>
      </c>
      <c r="D189" t="s">
        <v>880</v>
      </c>
    </row>
    <row r="190" spans="1:4">
      <c r="A190" t="s">
        <v>881</v>
      </c>
      <c r="B190" t="s">
        <v>882</v>
      </c>
      <c r="D190" t="s">
        <v>883</v>
      </c>
    </row>
    <row r="191" spans="1:4">
      <c r="A191" t="s">
        <v>884</v>
      </c>
      <c r="B191" t="s">
        <v>885</v>
      </c>
      <c r="D191" t="s">
        <v>886</v>
      </c>
    </row>
    <row r="192" spans="1:4">
      <c r="A192" t="s">
        <v>887</v>
      </c>
      <c r="B192" t="s">
        <v>888</v>
      </c>
      <c r="D192" t="s">
        <v>889</v>
      </c>
    </row>
    <row r="193" spans="1:4">
      <c r="A193" t="s">
        <v>890</v>
      </c>
      <c r="B193" t="s">
        <v>891</v>
      </c>
      <c r="D193" t="s">
        <v>892</v>
      </c>
    </row>
    <row r="194" spans="1:4">
      <c r="A194" t="s">
        <v>893</v>
      </c>
      <c r="B194" t="s">
        <v>894</v>
      </c>
      <c r="D194" t="s">
        <v>895</v>
      </c>
    </row>
    <row r="195" spans="1:4">
      <c r="A195" t="s">
        <v>896</v>
      </c>
      <c r="B195" t="s">
        <v>897</v>
      </c>
      <c r="D195" t="s">
        <v>898</v>
      </c>
    </row>
    <row r="196" spans="1:4">
      <c r="A196" t="s">
        <v>899</v>
      </c>
      <c r="B196" t="s">
        <v>900</v>
      </c>
      <c r="D196" t="s">
        <v>901</v>
      </c>
    </row>
    <row r="197" spans="1:4">
      <c r="A197" t="s">
        <v>902</v>
      </c>
      <c r="B197" t="s">
        <v>903</v>
      </c>
      <c r="D197" t="s">
        <v>904</v>
      </c>
    </row>
    <row r="198" spans="1:4">
      <c r="A198" t="s">
        <v>905</v>
      </c>
      <c r="B198" t="s">
        <v>906</v>
      </c>
      <c r="D198" t="s">
        <v>907</v>
      </c>
    </row>
    <row r="199" spans="1:4">
      <c r="A199" t="s">
        <v>908</v>
      </c>
      <c r="B199" t="s">
        <v>909</v>
      </c>
      <c r="D199" t="s">
        <v>910</v>
      </c>
    </row>
    <row r="200" spans="1:4">
      <c r="A200" t="s">
        <v>911</v>
      </c>
      <c r="B200" t="s">
        <v>912</v>
      </c>
      <c r="D200" t="s">
        <v>913</v>
      </c>
    </row>
    <row r="201" spans="1:4">
      <c r="A201" t="s">
        <v>914</v>
      </c>
      <c r="B201" t="s">
        <v>915</v>
      </c>
      <c r="D201" t="s">
        <v>916</v>
      </c>
    </row>
    <row r="202" spans="1:4">
      <c r="A202" t="s">
        <v>917</v>
      </c>
      <c r="B202" t="s">
        <v>918</v>
      </c>
      <c r="D202" t="s">
        <v>919</v>
      </c>
    </row>
    <row r="203" spans="1:4">
      <c r="A203" t="s">
        <v>920</v>
      </c>
      <c r="B203" t="s">
        <v>921</v>
      </c>
      <c r="D203" t="s">
        <v>922</v>
      </c>
    </row>
    <row r="204" spans="1:4">
      <c r="A204" t="s">
        <v>923</v>
      </c>
      <c r="B204" t="s">
        <v>924</v>
      </c>
      <c r="D204" t="s">
        <v>925</v>
      </c>
    </row>
    <row r="205" spans="1:4">
      <c r="A205" t="s">
        <v>926</v>
      </c>
      <c r="B205" t="s">
        <v>927</v>
      </c>
      <c r="D205" t="s">
        <v>928</v>
      </c>
    </row>
    <row r="206" spans="1:4">
      <c r="A206" t="s">
        <v>929</v>
      </c>
      <c r="B206" t="s">
        <v>930</v>
      </c>
      <c r="D206" t="s">
        <v>931</v>
      </c>
    </row>
    <row r="207" spans="1:4">
      <c r="A207" t="s">
        <v>932</v>
      </c>
      <c r="B207" t="s">
        <v>933</v>
      </c>
      <c r="D207" t="s">
        <v>934</v>
      </c>
    </row>
    <row r="208" spans="1:4">
      <c r="A208" t="s">
        <v>935</v>
      </c>
      <c r="B208" t="s">
        <v>936</v>
      </c>
      <c r="D208" t="s">
        <v>937</v>
      </c>
    </row>
    <row r="209" spans="1:4">
      <c r="A209" t="s">
        <v>938</v>
      </c>
      <c r="B209" t="s">
        <v>939</v>
      </c>
      <c r="D209" t="s">
        <v>940</v>
      </c>
    </row>
    <row r="210" spans="1:4">
      <c r="A210" t="s">
        <v>941</v>
      </c>
      <c r="B210" t="s">
        <v>942</v>
      </c>
      <c r="D210" t="s">
        <v>943</v>
      </c>
    </row>
    <row r="211" spans="1:4">
      <c r="A211" t="s">
        <v>944</v>
      </c>
      <c r="B211" t="s">
        <v>945</v>
      </c>
      <c r="D211" t="s">
        <v>946</v>
      </c>
    </row>
    <row r="212" spans="1:4">
      <c r="A212" t="s">
        <v>947</v>
      </c>
      <c r="B212" t="s">
        <v>948</v>
      </c>
      <c r="D212" t="s">
        <v>949</v>
      </c>
    </row>
    <row r="213" spans="1:4">
      <c r="A213" t="s">
        <v>950</v>
      </c>
      <c r="B213" t="s">
        <v>951</v>
      </c>
      <c r="D213" t="s">
        <v>952</v>
      </c>
    </row>
    <row r="214" spans="1:4">
      <c r="A214" t="s">
        <v>953</v>
      </c>
      <c r="B214" t="s">
        <v>954</v>
      </c>
      <c r="D214" t="s">
        <v>955</v>
      </c>
    </row>
    <row r="215" spans="1:4">
      <c r="A215" t="s">
        <v>956</v>
      </c>
      <c r="B215" t="s">
        <v>957</v>
      </c>
      <c r="D215" t="s">
        <v>958</v>
      </c>
    </row>
    <row r="216" spans="1:4">
      <c r="A216" t="s">
        <v>959</v>
      </c>
      <c r="B216" t="s">
        <v>960</v>
      </c>
      <c r="D216" t="s">
        <v>961</v>
      </c>
    </row>
    <row r="217" spans="1:4">
      <c r="A217" t="s">
        <v>962</v>
      </c>
      <c r="B217" t="s">
        <v>963</v>
      </c>
      <c r="D217" t="s">
        <v>964</v>
      </c>
    </row>
    <row r="218" spans="1:4">
      <c r="A218" t="s">
        <v>965</v>
      </c>
      <c r="B218" t="s">
        <v>966</v>
      </c>
      <c r="D218" t="s">
        <v>967</v>
      </c>
    </row>
    <row r="219" spans="1:4">
      <c r="A219" t="s">
        <v>968</v>
      </c>
      <c r="B219" t="s">
        <v>969</v>
      </c>
      <c r="D219" t="s">
        <v>970</v>
      </c>
    </row>
    <row r="220" spans="1:4">
      <c r="A220" t="s">
        <v>971</v>
      </c>
      <c r="B220" t="s">
        <v>972</v>
      </c>
      <c r="D220" t="s">
        <v>973</v>
      </c>
    </row>
    <row r="221" spans="1:4">
      <c r="A221" t="s">
        <v>974</v>
      </c>
      <c r="B221" t="s">
        <v>975</v>
      </c>
      <c r="D221" t="s">
        <v>976</v>
      </c>
    </row>
    <row r="222" spans="1:4">
      <c r="A222" t="s">
        <v>977</v>
      </c>
      <c r="B222" t="s">
        <v>978</v>
      </c>
      <c r="D222" t="s">
        <v>979</v>
      </c>
    </row>
    <row r="223" spans="1:4">
      <c r="A223" t="s">
        <v>980</v>
      </c>
      <c r="B223" t="s">
        <v>981</v>
      </c>
      <c r="D223" t="s">
        <v>982</v>
      </c>
    </row>
    <row r="224" spans="1:4">
      <c r="A224" t="s">
        <v>983</v>
      </c>
      <c r="B224" t="s">
        <v>984</v>
      </c>
      <c r="D224" t="s">
        <v>985</v>
      </c>
    </row>
    <row r="225" spans="1:4">
      <c r="A225" t="s">
        <v>986</v>
      </c>
      <c r="B225" t="s">
        <v>987</v>
      </c>
      <c r="D225" s="124" t="s">
        <v>243</v>
      </c>
    </row>
    <row r="226" spans="1:4">
      <c r="A226" t="s">
        <v>988</v>
      </c>
      <c r="B226" t="s">
        <v>989</v>
      </c>
      <c r="D226" t="s">
        <v>243</v>
      </c>
    </row>
    <row r="227" spans="1:4">
      <c r="A227" t="s">
        <v>990</v>
      </c>
      <c r="B227" t="s">
        <v>991</v>
      </c>
    </row>
    <row r="228" spans="1:4">
      <c r="A228" t="s">
        <v>992</v>
      </c>
      <c r="B228" t="s">
        <v>993</v>
      </c>
    </row>
    <row r="229" spans="1:4">
      <c r="A229" t="s">
        <v>994</v>
      </c>
      <c r="B229" t="s">
        <v>995</v>
      </c>
    </row>
    <row r="230" spans="1:4">
      <c r="A230" t="s">
        <v>996</v>
      </c>
      <c r="B230" t="s">
        <v>997</v>
      </c>
    </row>
    <row r="231" spans="1:4">
      <c r="A231" t="s">
        <v>998</v>
      </c>
      <c r="B231" t="s">
        <v>999</v>
      </c>
    </row>
    <row r="232" spans="1:4">
      <c r="A232" t="s">
        <v>1000</v>
      </c>
      <c r="B232" t="s">
        <v>1001</v>
      </c>
    </row>
    <row r="233" spans="1:4">
      <c r="A233" t="s">
        <v>1002</v>
      </c>
      <c r="B233" t="s">
        <v>1003</v>
      </c>
    </row>
    <row r="234" spans="1:4">
      <c r="A234" t="s">
        <v>1004</v>
      </c>
      <c r="B234" t="s">
        <v>1005</v>
      </c>
    </row>
    <row r="235" spans="1:4">
      <c r="A235" t="s">
        <v>1006</v>
      </c>
      <c r="B235" t="s">
        <v>1007</v>
      </c>
    </row>
    <row r="236" spans="1:4">
      <c r="A236" t="s">
        <v>1008</v>
      </c>
      <c r="B236" t="s">
        <v>1009</v>
      </c>
    </row>
    <row r="237" spans="1:4">
      <c r="A237" t="s">
        <v>1010</v>
      </c>
      <c r="B237" t="s">
        <v>1011</v>
      </c>
    </row>
    <row r="238" spans="1:4">
      <c r="A238" t="s">
        <v>1012</v>
      </c>
      <c r="B238" t="s">
        <v>1013</v>
      </c>
    </row>
    <row r="239" spans="1:4">
      <c r="A239" t="s">
        <v>1014</v>
      </c>
      <c r="B239" t="s">
        <v>1015</v>
      </c>
    </row>
    <row r="240" spans="1:4">
      <c r="A240" t="s">
        <v>1016</v>
      </c>
      <c r="B240" t="s">
        <v>1017</v>
      </c>
    </row>
    <row r="241" spans="1:2">
      <c r="A241" t="s">
        <v>1018</v>
      </c>
      <c r="B241" t="s">
        <v>1019</v>
      </c>
    </row>
    <row r="242" spans="1:2">
      <c r="A242" t="s">
        <v>1020</v>
      </c>
      <c r="B242" t="s">
        <v>1021</v>
      </c>
    </row>
    <row r="243" spans="1:2">
      <c r="A243" t="s">
        <v>1022</v>
      </c>
      <c r="B243" t="s">
        <v>1023</v>
      </c>
    </row>
    <row r="244" spans="1:2">
      <c r="A244" t="s">
        <v>1024</v>
      </c>
      <c r="B244" t="s">
        <v>1025</v>
      </c>
    </row>
    <row r="245" spans="1:2">
      <c r="A245" t="s">
        <v>1026</v>
      </c>
      <c r="B245" t="s">
        <v>1027</v>
      </c>
    </row>
    <row r="246" spans="1:2">
      <c r="A246" t="s">
        <v>1028</v>
      </c>
      <c r="B246" t="s">
        <v>1029</v>
      </c>
    </row>
    <row r="247" spans="1:2">
      <c r="A247" t="s">
        <v>1030</v>
      </c>
      <c r="B247" t="s">
        <v>1031</v>
      </c>
    </row>
    <row r="248" spans="1:2">
      <c r="A248" t="s">
        <v>1032</v>
      </c>
      <c r="B248" t="s">
        <v>1033</v>
      </c>
    </row>
    <row r="249" spans="1:2">
      <c r="A249" t="s">
        <v>1034</v>
      </c>
      <c r="B249" t="s">
        <v>1035</v>
      </c>
    </row>
    <row r="250" spans="1:2">
      <c r="A250" t="s">
        <v>1036</v>
      </c>
      <c r="B250" t="s">
        <v>1037</v>
      </c>
    </row>
    <row r="251" spans="1:2">
      <c r="A251" t="s">
        <v>1038</v>
      </c>
      <c r="B251" t="s">
        <v>1039</v>
      </c>
    </row>
    <row r="252" spans="1:2">
      <c r="A252" t="s">
        <v>1040</v>
      </c>
      <c r="B252" t="s">
        <v>1041</v>
      </c>
    </row>
    <row r="253" spans="1:2">
      <c r="A253" t="s">
        <v>1042</v>
      </c>
      <c r="B253" t="s">
        <v>1043</v>
      </c>
    </row>
    <row r="254" spans="1:2">
      <c r="A254" t="s">
        <v>1044</v>
      </c>
      <c r="B254" t="s">
        <v>1045</v>
      </c>
    </row>
    <row r="255" spans="1:2">
      <c r="A255" t="s">
        <v>1046</v>
      </c>
      <c r="B255" t="s">
        <v>1047</v>
      </c>
    </row>
    <row r="256" spans="1:2">
      <c r="A256" t="s">
        <v>1048</v>
      </c>
      <c r="B256" t="s">
        <v>1049</v>
      </c>
    </row>
    <row r="257" spans="1:2">
      <c r="A257" t="s">
        <v>1050</v>
      </c>
      <c r="B257" t="s">
        <v>1051</v>
      </c>
    </row>
    <row r="258" spans="1:2">
      <c r="A258" t="s">
        <v>1052</v>
      </c>
      <c r="B258" t="s">
        <v>1053</v>
      </c>
    </row>
    <row r="259" spans="1:2">
      <c r="A259" t="s">
        <v>1054</v>
      </c>
      <c r="B259" t="s">
        <v>1055</v>
      </c>
    </row>
    <row r="260" spans="1:2">
      <c r="A260" t="s">
        <v>1056</v>
      </c>
      <c r="B260" t="s">
        <v>1057</v>
      </c>
    </row>
    <row r="261" spans="1:2">
      <c r="A261" t="s">
        <v>1058</v>
      </c>
      <c r="B261" t="s">
        <v>1059</v>
      </c>
    </row>
    <row r="262" spans="1:2">
      <c r="A262" t="s">
        <v>1060</v>
      </c>
      <c r="B262" t="s">
        <v>1061</v>
      </c>
    </row>
    <row r="263" spans="1:2">
      <c r="A263" t="s">
        <v>1062</v>
      </c>
      <c r="B263" t="s">
        <v>1063</v>
      </c>
    </row>
    <row r="264" spans="1:2">
      <c r="A264" t="s">
        <v>1064</v>
      </c>
      <c r="B264" t="s">
        <v>1065</v>
      </c>
    </row>
    <row r="265" spans="1:2">
      <c r="A265" t="s">
        <v>1066</v>
      </c>
      <c r="B265" t="s">
        <v>1067</v>
      </c>
    </row>
    <row r="266" spans="1:2">
      <c r="A266" t="s">
        <v>1068</v>
      </c>
      <c r="B266" t="s">
        <v>1069</v>
      </c>
    </row>
    <row r="267" spans="1:2">
      <c r="A267" t="s">
        <v>1070</v>
      </c>
      <c r="B267" t="s">
        <v>1071</v>
      </c>
    </row>
    <row r="268" spans="1:2">
      <c r="A268" t="s">
        <v>1072</v>
      </c>
      <c r="B268" t="s">
        <v>1073</v>
      </c>
    </row>
    <row r="269" spans="1:2">
      <c r="A269" t="s">
        <v>1074</v>
      </c>
      <c r="B269" t="s">
        <v>1075</v>
      </c>
    </row>
    <row r="270" spans="1:2">
      <c r="A270" t="s">
        <v>1076</v>
      </c>
      <c r="B270" t="s">
        <v>1077</v>
      </c>
    </row>
    <row r="271" spans="1:2">
      <c r="A271" t="s">
        <v>1078</v>
      </c>
      <c r="B271" t="s">
        <v>1079</v>
      </c>
    </row>
    <row r="272" spans="1:2">
      <c r="A272" t="s">
        <v>1080</v>
      </c>
      <c r="B272" t="s">
        <v>1081</v>
      </c>
    </row>
    <row r="273" spans="1:2">
      <c r="A273" t="s">
        <v>1082</v>
      </c>
      <c r="B273" t="s">
        <v>1083</v>
      </c>
    </row>
    <row r="274" spans="1:2">
      <c r="A274" t="s">
        <v>1084</v>
      </c>
      <c r="B274" t="s">
        <v>1085</v>
      </c>
    </row>
    <row r="275" spans="1:2">
      <c r="A275" t="s">
        <v>1086</v>
      </c>
      <c r="B275" t="s">
        <v>1087</v>
      </c>
    </row>
    <row r="276" spans="1:2">
      <c r="A276" t="s">
        <v>1088</v>
      </c>
      <c r="B276" t="s">
        <v>1089</v>
      </c>
    </row>
    <row r="277" spans="1:2">
      <c r="A277" t="s">
        <v>1090</v>
      </c>
      <c r="B277" t="s">
        <v>1091</v>
      </c>
    </row>
    <row r="278" spans="1:2">
      <c r="A278" t="s">
        <v>1092</v>
      </c>
      <c r="B278" t="s">
        <v>1093</v>
      </c>
    </row>
    <row r="279" spans="1:2">
      <c r="A279" t="s">
        <v>1094</v>
      </c>
      <c r="B279" t="s">
        <v>1095</v>
      </c>
    </row>
    <row r="280" spans="1:2">
      <c r="A280" t="s">
        <v>1096</v>
      </c>
      <c r="B280" t="s">
        <v>279</v>
      </c>
    </row>
    <row r="281" spans="1:2">
      <c r="A281" t="s">
        <v>1097</v>
      </c>
      <c r="B281" t="s">
        <v>1098</v>
      </c>
    </row>
    <row r="282" spans="1:2">
      <c r="A282" t="s">
        <v>1099</v>
      </c>
      <c r="B282" t="s">
        <v>1100</v>
      </c>
    </row>
    <row r="283" spans="1:2">
      <c r="A283" t="s">
        <v>1101</v>
      </c>
      <c r="B283" t="s">
        <v>1102</v>
      </c>
    </row>
    <row r="284" spans="1:2">
      <c r="A284" t="s">
        <v>1103</v>
      </c>
      <c r="B284" t="s">
        <v>1104</v>
      </c>
    </row>
    <row r="285" spans="1:2">
      <c r="A285" t="s">
        <v>1105</v>
      </c>
      <c r="B285" t="s">
        <v>1106</v>
      </c>
    </row>
    <row r="286" spans="1:2">
      <c r="A286" t="s">
        <v>1107</v>
      </c>
      <c r="B286" t="s">
        <v>1108</v>
      </c>
    </row>
    <row r="287" spans="1:2">
      <c r="A287" t="s">
        <v>1109</v>
      </c>
      <c r="B287" t="s">
        <v>1110</v>
      </c>
    </row>
    <row r="288" spans="1:2">
      <c r="A288" t="s">
        <v>1111</v>
      </c>
      <c r="B288" t="s">
        <v>1112</v>
      </c>
    </row>
    <row r="289" spans="1:2">
      <c r="A289" t="s">
        <v>1113</v>
      </c>
      <c r="B289" t="s">
        <v>1114</v>
      </c>
    </row>
    <row r="290" spans="1:2">
      <c r="A290" t="s">
        <v>1115</v>
      </c>
      <c r="B290" t="s">
        <v>1116</v>
      </c>
    </row>
    <row r="291" spans="1:2">
      <c r="A291" t="s">
        <v>1117</v>
      </c>
      <c r="B291" t="s">
        <v>1118</v>
      </c>
    </row>
    <row r="292" spans="1:2">
      <c r="A292" t="s">
        <v>1119</v>
      </c>
      <c r="B292" t="s">
        <v>1120</v>
      </c>
    </row>
    <row r="293" spans="1:2">
      <c r="A293" t="s">
        <v>1121</v>
      </c>
      <c r="B293" t="s">
        <v>1122</v>
      </c>
    </row>
    <row r="294" spans="1:2">
      <c r="A294" t="s">
        <v>1123</v>
      </c>
      <c r="B294" t="s">
        <v>1124</v>
      </c>
    </row>
    <row r="295" spans="1:2">
      <c r="A295" t="s">
        <v>1125</v>
      </c>
      <c r="B295" t="s">
        <v>1126</v>
      </c>
    </row>
    <row r="296" spans="1:2">
      <c r="A296" t="s">
        <v>1127</v>
      </c>
      <c r="B296" t="s">
        <v>1128</v>
      </c>
    </row>
    <row r="297" spans="1:2">
      <c r="A297" t="s">
        <v>1129</v>
      </c>
      <c r="B297" t="s">
        <v>1130</v>
      </c>
    </row>
    <row r="298" spans="1:2">
      <c r="A298" t="s">
        <v>1131</v>
      </c>
      <c r="B298" t="s">
        <v>1132</v>
      </c>
    </row>
    <row r="299" spans="1:2">
      <c r="A299" t="s">
        <v>1133</v>
      </c>
      <c r="B299" t="s">
        <v>1134</v>
      </c>
    </row>
    <row r="300" spans="1:2">
      <c r="A300" t="s">
        <v>1135</v>
      </c>
      <c r="B300" t="s">
        <v>1136</v>
      </c>
    </row>
    <row r="301" spans="1:2">
      <c r="A301" t="s">
        <v>1137</v>
      </c>
      <c r="B301" t="s">
        <v>1138</v>
      </c>
    </row>
    <row r="302" spans="1:2">
      <c r="A302" t="s">
        <v>1139</v>
      </c>
      <c r="B302" t="s">
        <v>1140</v>
      </c>
    </row>
    <row r="303" spans="1:2">
      <c r="A303" t="s">
        <v>1141</v>
      </c>
      <c r="B303" t="s">
        <v>1142</v>
      </c>
    </row>
    <row r="304" spans="1:2">
      <c r="A304" t="s">
        <v>1143</v>
      </c>
      <c r="B304" t="s">
        <v>1144</v>
      </c>
    </row>
    <row r="305" spans="1:2">
      <c r="A305" t="s">
        <v>1145</v>
      </c>
      <c r="B305" t="s">
        <v>1146</v>
      </c>
    </row>
    <row r="306" spans="1:2">
      <c r="A306" t="s">
        <v>1147</v>
      </c>
      <c r="B306" t="s">
        <v>1148</v>
      </c>
    </row>
    <row r="307" spans="1:2">
      <c r="A307" t="s">
        <v>1149</v>
      </c>
      <c r="B307" t="s">
        <v>468</v>
      </c>
    </row>
    <row r="308" spans="1:2">
      <c r="A308" t="s">
        <v>1150</v>
      </c>
      <c r="B308" t="s">
        <v>1151</v>
      </c>
    </row>
    <row r="309" spans="1:2">
      <c r="A309" t="s">
        <v>1152</v>
      </c>
      <c r="B309" t="s">
        <v>1153</v>
      </c>
    </row>
    <row r="310" spans="1:2">
      <c r="A310" t="s">
        <v>1154</v>
      </c>
      <c r="B310" t="s">
        <v>1155</v>
      </c>
    </row>
    <row r="311" spans="1:2">
      <c r="A311" t="s">
        <v>1156</v>
      </c>
      <c r="B311" t="s">
        <v>1157</v>
      </c>
    </row>
    <row r="312" spans="1:2">
      <c r="A312" t="s">
        <v>1158</v>
      </c>
      <c r="B312" t="s">
        <v>1159</v>
      </c>
    </row>
    <row r="313" spans="1:2">
      <c r="A313" t="s">
        <v>1160</v>
      </c>
      <c r="B313" t="s">
        <v>1161</v>
      </c>
    </row>
    <row r="314" spans="1:2">
      <c r="A314" t="s">
        <v>1162</v>
      </c>
      <c r="B314" t="s">
        <v>1163</v>
      </c>
    </row>
    <row r="315" spans="1:2">
      <c r="A315" t="s">
        <v>1164</v>
      </c>
      <c r="B315" t="s">
        <v>1165</v>
      </c>
    </row>
    <row r="316" spans="1:2">
      <c r="A316" t="s">
        <v>1166</v>
      </c>
      <c r="B316" t="s">
        <v>1167</v>
      </c>
    </row>
    <row r="317" spans="1:2">
      <c r="A317" t="s">
        <v>1168</v>
      </c>
      <c r="B317" t="s">
        <v>1169</v>
      </c>
    </row>
    <row r="318" spans="1:2">
      <c r="A318" t="s">
        <v>1170</v>
      </c>
      <c r="B318" t="s">
        <v>1171</v>
      </c>
    </row>
    <row r="319" spans="1:2">
      <c r="A319" t="s">
        <v>1172</v>
      </c>
      <c r="B319" t="s">
        <v>1173</v>
      </c>
    </row>
    <row r="320" spans="1:2">
      <c r="A320" t="s">
        <v>1174</v>
      </c>
      <c r="B320" t="s">
        <v>1175</v>
      </c>
    </row>
    <row r="321" spans="1:2">
      <c r="A321" t="s">
        <v>1176</v>
      </c>
      <c r="B321" t="s">
        <v>1177</v>
      </c>
    </row>
    <row r="322" spans="1:2">
      <c r="A322" t="s">
        <v>1178</v>
      </c>
      <c r="B322" t="s">
        <v>1179</v>
      </c>
    </row>
    <row r="323" spans="1:2">
      <c r="A323" t="s">
        <v>1180</v>
      </c>
      <c r="B323" t="s">
        <v>1181</v>
      </c>
    </row>
    <row r="324" spans="1:2">
      <c r="A324" t="s">
        <v>1182</v>
      </c>
      <c r="B324" t="s">
        <v>1183</v>
      </c>
    </row>
    <row r="325" spans="1:2">
      <c r="A325" t="s">
        <v>1184</v>
      </c>
      <c r="B325" t="s">
        <v>1185</v>
      </c>
    </row>
    <row r="326" spans="1:2">
      <c r="A326" t="s">
        <v>1186</v>
      </c>
      <c r="B326" t="s">
        <v>1187</v>
      </c>
    </row>
    <row r="327" spans="1:2">
      <c r="A327" t="s">
        <v>1188</v>
      </c>
      <c r="B327" t="s">
        <v>1189</v>
      </c>
    </row>
    <row r="328" spans="1:2">
      <c r="A328" t="s">
        <v>1190</v>
      </c>
      <c r="B328" t="s">
        <v>1191</v>
      </c>
    </row>
    <row r="329" spans="1:2">
      <c r="A329" t="s">
        <v>1192</v>
      </c>
      <c r="B329" t="s">
        <v>1193</v>
      </c>
    </row>
    <row r="330" spans="1:2">
      <c r="A330" t="s">
        <v>1194</v>
      </c>
      <c r="B330" t="s">
        <v>1195</v>
      </c>
    </row>
    <row r="331" spans="1:2">
      <c r="A331" t="s">
        <v>1196</v>
      </c>
      <c r="B331" t="s">
        <v>1197</v>
      </c>
    </row>
    <row r="332" spans="1:2">
      <c r="A332" t="s">
        <v>1198</v>
      </c>
      <c r="B332" t="s">
        <v>1199</v>
      </c>
    </row>
    <row r="333" spans="1:2">
      <c r="A333" t="s">
        <v>1200</v>
      </c>
      <c r="B333" t="s">
        <v>1201</v>
      </c>
    </row>
    <row r="334" spans="1:2">
      <c r="A334" t="s">
        <v>1202</v>
      </c>
      <c r="B334" t="s">
        <v>1203</v>
      </c>
    </row>
    <row r="335" spans="1:2">
      <c r="A335" t="s">
        <v>1204</v>
      </c>
      <c r="B335" t="s">
        <v>1205</v>
      </c>
    </row>
    <row r="336" spans="1:2">
      <c r="A336" t="s">
        <v>1206</v>
      </c>
      <c r="B336" t="s">
        <v>1207</v>
      </c>
    </row>
    <row r="337" spans="1:2">
      <c r="A337" t="s">
        <v>1208</v>
      </c>
      <c r="B337" t="s">
        <v>1209</v>
      </c>
    </row>
    <row r="338" spans="1:2">
      <c r="A338" t="s">
        <v>1210</v>
      </c>
      <c r="B338" t="s">
        <v>1211</v>
      </c>
    </row>
    <row r="339" spans="1:2">
      <c r="A339" t="s">
        <v>1212</v>
      </c>
      <c r="B339" t="s">
        <v>1213</v>
      </c>
    </row>
    <row r="340" spans="1:2">
      <c r="A340" t="s">
        <v>1214</v>
      </c>
      <c r="B340" t="s">
        <v>1215</v>
      </c>
    </row>
    <row r="341" spans="1:2">
      <c r="A341" t="s">
        <v>1216</v>
      </c>
      <c r="B341" t="s">
        <v>1217</v>
      </c>
    </row>
    <row r="342" spans="1:2">
      <c r="A342" t="s">
        <v>1218</v>
      </c>
      <c r="B342" t="s">
        <v>1219</v>
      </c>
    </row>
    <row r="343" spans="1:2">
      <c r="A343" t="s">
        <v>1220</v>
      </c>
      <c r="B343" t="s">
        <v>1221</v>
      </c>
    </row>
    <row r="344" spans="1:2">
      <c r="A344" t="s">
        <v>1222</v>
      </c>
      <c r="B344" t="s">
        <v>1223</v>
      </c>
    </row>
    <row r="345" spans="1:2">
      <c r="A345" t="s">
        <v>1224</v>
      </c>
      <c r="B345" t="s">
        <v>1225</v>
      </c>
    </row>
    <row r="346" spans="1:2">
      <c r="A346" t="s">
        <v>1226</v>
      </c>
      <c r="B346" t="s">
        <v>1227</v>
      </c>
    </row>
    <row r="347" spans="1:2">
      <c r="A347" t="s">
        <v>1228</v>
      </c>
      <c r="B347" t="s">
        <v>1229</v>
      </c>
    </row>
    <row r="348" spans="1:2">
      <c r="A348" t="s">
        <v>1230</v>
      </c>
      <c r="B348" t="s">
        <v>1231</v>
      </c>
    </row>
    <row r="349" spans="1:2">
      <c r="A349" t="s">
        <v>1232</v>
      </c>
      <c r="B349" t="s">
        <v>1233</v>
      </c>
    </row>
    <row r="350" spans="1:2">
      <c r="A350" t="s">
        <v>1234</v>
      </c>
      <c r="B350" t="s">
        <v>1235</v>
      </c>
    </row>
    <row r="351" spans="1:2">
      <c r="A351" t="s">
        <v>1236</v>
      </c>
      <c r="B351" t="s">
        <v>1237</v>
      </c>
    </row>
    <row r="352" spans="1:2">
      <c r="A352" t="s">
        <v>1238</v>
      </c>
      <c r="B352" t="s">
        <v>1239</v>
      </c>
    </row>
    <row r="353" spans="1:2">
      <c r="A353" t="s">
        <v>1240</v>
      </c>
      <c r="B353" t="s">
        <v>1241</v>
      </c>
    </row>
    <row r="354" spans="1:2">
      <c r="A354" t="s">
        <v>1242</v>
      </c>
      <c r="B354" t="s">
        <v>1243</v>
      </c>
    </row>
    <row r="355" spans="1:2">
      <c r="A355" t="s">
        <v>1244</v>
      </c>
      <c r="B355" t="s">
        <v>1245</v>
      </c>
    </row>
    <row r="356" spans="1:2">
      <c r="A356" t="s">
        <v>1246</v>
      </c>
      <c r="B356" t="s">
        <v>1247</v>
      </c>
    </row>
    <row r="357" spans="1:2">
      <c r="A357" t="s">
        <v>1248</v>
      </c>
      <c r="B357" t="s">
        <v>1249</v>
      </c>
    </row>
    <row r="358" spans="1:2">
      <c r="A358" t="s">
        <v>1250</v>
      </c>
      <c r="B358" t="s">
        <v>1251</v>
      </c>
    </row>
    <row r="359" spans="1:2">
      <c r="A359" t="s">
        <v>1252</v>
      </c>
      <c r="B359" t="s">
        <v>1253</v>
      </c>
    </row>
    <row r="360" spans="1:2">
      <c r="A360" t="s">
        <v>1254</v>
      </c>
      <c r="B360" t="s">
        <v>1255</v>
      </c>
    </row>
    <row r="361" spans="1:2">
      <c r="A361" t="s">
        <v>1256</v>
      </c>
      <c r="B361" t="s">
        <v>1257</v>
      </c>
    </row>
    <row r="362" spans="1:2">
      <c r="A362" t="s">
        <v>1258</v>
      </c>
      <c r="B362" t="s">
        <v>1259</v>
      </c>
    </row>
    <row r="363" spans="1:2">
      <c r="A363" t="s">
        <v>1260</v>
      </c>
      <c r="B363" t="s">
        <v>1261</v>
      </c>
    </row>
    <row r="364" spans="1:2">
      <c r="A364" t="s">
        <v>1262</v>
      </c>
      <c r="B364" t="s">
        <v>1263</v>
      </c>
    </row>
    <row r="365" spans="1:2">
      <c r="A365" t="s">
        <v>1264</v>
      </c>
      <c r="B365" t="s">
        <v>1265</v>
      </c>
    </row>
    <row r="366" spans="1:2">
      <c r="A366" t="s">
        <v>1266</v>
      </c>
      <c r="B366" t="s">
        <v>1267</v>
      </c>
    </row>
    <row r="367" spans="1:2">
      <c r="A367" t="s">
        <v>1268</v>
      </c>
      <c r="B367" t="s">
        <v>1269</v>
      </c>
    </row>
    <row r="368" spans="1:2">
      <c r="A368" t="s">
        <v>1270</v>
      </c>
      <c r="B368" t="s">
        <v>1271</v>
      </c>
    </row>
    <row r="369" spans="1:2">
      <c r="A369" t="s">
        <v>1272</v>
      </c>
      <c r="B369" t="s">
        <v>1273</v>
      </c>
    </row>
    <row r="370" spans="1:2">
      <c r="A370" t="s">
        <v>1274</v>
      </c>
      <c r="B370" t="s">
        <v>1275</v>
      </c>
    </row>
    <row r="371" spans="1:2">
      <c r="A371" t="s">
        <v>1276</v>
      </c>
      <c r="B371" t="s">
        <v>1277</v>
      </c>
    </row>
    <row r="372" spans="1:2">
      <c r="A372" t="s">
        <v>1278</v>
      </c>
      <c r="B372" t="s">
        <v>1279</v>
      </c>
    </row>
    <row r="373" spans="1:2">
      <c r="A373" t="s">
        <v>1280</v>
      </c>
      <c r="B373" t="s">
        <v>1281</v>
      </c>
    </row>
    <row r="374" spans="1:2">
      <c r="A374" t="s">
        <v>1282</v>
      </c>
      <c r="B374" t="s">
        <v>1283</v>
      </c>
    </row>
    <row r="375" spans="1:2">
      <c r="A375" t="s">
        <v>1284</v>
      </c>
      <c r="B375" t="s">
        <v>1285</v>
      </c>
    </row>
    <row r="376" spans="1:2">
      <c r="A376" t="s">
        <v>1286</v>
      </c>
      <c r="B376" t="s">
        <v>1287</v>
      </c>
    </row>
    <row r="377" spans="1:2">
      <c r="A377" t="s">
        <v>1288</v>
      </c>
      <c r="B377" t="s">
        <v>1289</v>
      </c>
    </row>
    <row r="378" spans="1:2">
      <c r="A378" t="s">
        <v>1290</v>
      </c>
      <c r="B378" t="s">
        <v>1291</v>
      </c>
    </row>
    <row r="379" spans="1:2">
      <c r="A379" t="s">
        <v>1292</v>
      </c>
      <c r="B379" t="s">
        <v>1293</v>
      </c>
    </row>
    <row r="380" spans="1:2">
      <c r="A380" t="s">
        <v>1294</v>
      </c>
      <c r="B380" t="s">
        <v>1295</v>
      </c>
    </row>
    <row r="381" spans="1:2">
      <c r="A381" t="s">
        <v>1296</v>
      </c>
      <c r="B381" t="s">
        <v>1297</v>
      </c>
    </row>
    <row r="382" spans="1:2">
      <c r="A382" t="s">
        <v>1298</v>
      </c>
      <c r="B382" t="s">
        <v>1299</v>
      </c>
    </row>
    <row r="383" spans="1:2">
      <c r="A383" t="s">
        <v>1300</v>
      </c>
      <c r="B383" t="s">
        <v>1301</v>
      </c>
    </row>
    <row r="384" spans="1:2">
      <c r="A384" t="s">
        <v>1302</v>
      </c>
      <c r="B384" t="s">
        <v>1303</v>
      </c>
    </row>
    <row r="385" spans="1:2">
      <c r="A385" t="s">
        <v>1304</v>
      </c>
      <c r="B385" t="s">
        <v>1305</v>
      </c>
    </row>
    <row r="386" spans="1:2">
      <c r="A386" t="s">
        <v>1306</v>
      </c>
      <c r="B386" t="s">
        <v>1307</v>
      </c>
    </row>
    <row r="387" spans="1:2">
      <c r="A387" t="s">
        <v>1308</v>
      </c>
      <c r="B387" t="s">
        <v>1309</v>
      </c>
    </row>
    <row r="388" spans="1:2">
      <c r="A388" t="s">
        <v>1310</v>
      </c>
      <c r="B388" t="s">
        <v>1311</v>
      </c>
    </row>
    <row r="389" spans="1:2">
      <c r="A389" t="s">
        <v>1312</v>
      </c>
      <c r="B389" t="s">
        <v>1313</v>
      </c>
    </row>
    <row r="390" spans="1:2">
      <c r="A390" t="s">
        <v>1314</v>
      </c>
      <c r="B390" t="s">
        <v>1315</v>
      </c>
    </row>
    <row r="391" spans="1:2">
      <c r="A391" t="s">
        <v>1316</v>
      </c>
      <c r="B391" t="s">
        <v>1317</v>
      </c>
    </row>
    <row r="392" spans="1:2">
      <c r="A392" t="s">
        <v>1318</v>
      </c>
      <c r="B392" t="s">
        <v>1319</v>
      </c>
    </row>
    <row r="393" spans="1:2">
      <c r="A393" t="s">
        <v>1320</v>
      </c>
      <c r="B393" t="s">
        <v>1321</v>
      </c>
    </row>
    <row r="394" spans="1:2">
      <c r="A394" t="s">
        <v>1322</v>
      </c>
      <c r="B394" t="s">
        <v>1323</v>
      </c>
    </row>
    <row r="395" spans="1:2">
      <c r="A395" t="s">
        <v>1324</v>
      </c>
      <c r="B395" t="s">
        <v>1325</v>
      </c>
    </row>
    <row r="396" spans="1:2">
      <c r="A396" t="s">
        <v>1326</v>
      </c>
      <c r="B396" t="s">
        <v>1327</v>
      </c>
    </row>
    <row r="397" spans="1:2">
      <c r="A397" t="s">
        <v>1328</v>
      </c>
      <c r="B397" t="s">
        <v>1329</v>
      </c>
    </row>
    <row r="398" spans="1:2">
      <c r="A398" t="s">
        <v>1330</v>
      </c>
      <c r="B398" t="s">
        <v>1331</v>
      </c>
    </row>
    <row r="399" spans="1:2">
      <c r="A399" t="s">
        <v>1332</v>
      </c>
      <c r="B399" t="s">
        <v>1333</v>
      </c>
    </row>
    <row r="400" spans="1:2">
      <c r="A400" t="s">
        <v>1334</v>
      </c>
      <c r="B400" t="s">
        <v>1335</v>
      </c>
    </row>
    <row r="401" spans="1:2">
      <c r="A401" t="s">
        <v>1336</v>
      </c>
      <c r="B401" t="s">
        <v>1337</v>
      </c>
    </row>
    <row r="402" spans="1:2">
      <c r="A402" t="s">
        <v>1338</v>
      </c>
      <c r="B402" t="s">
        <v>1339</v>
      </c>
    </row>
    <row r="403" spans="1:2">
      <c r="A403" t="s">
        <v>1340</v>
      </c>
      <c r="B403" t="s">
        <v>1341</v>
      </c>
    </row>
    <row r="404" spans="1:2">
      <c r="A404" t="s">
        <v>1342</v>
      </c>
      <c r="B404" t="s">
        <v>1343</v>
      </c>
    </row>
    <row r="405" spans="1:2">
      <c r="A405" t="s">
        <v>1344</v>
      </c>
      <c r="B405" t="s">
        <v>1345</v>
      </c>
    </row>
    <row r="406" spans="1:2">
      <c r="A406" t="s">
        <v>1346</v>
      </c>
      <c r="B406" t="s">
        <v>1347</v>
      </c>
    </row>
    <row r="407" spans="1:2">
      <c r="A407" t="s">
        <v>1348</v>
      </c>
      <c r="B407" t="s">
        <v>1349</v>
      </c>
    </row>
    <row r="408" spans="1:2">
      <c r="A408" t="s">
        <v>1350</v>
      </c>
      <c r="B408" t="s">
        <v>1351</v>
      </c>
    </row>
    <row r="409" spans="1:2">
      <c r="A409" t="s">
        <v>1352</v>
      </c>
      <c r="B409" t="s">
        <v>1353</v>
      </c>
    </row>
    <row r="410" spans="1:2">
      <c r="A410" t="s">
        <v>1354</v>
      </c>
      <c r="B410" t="s">
        <v>1355</v>
      </c>
    </row>
    <row r="411" spans="1:2">
      <c r="A411" t="s">
        <v>1356</v>
      </c>
      <c r="B411" t="s">
        <v>1357</v>
      </c>
    </row>
    <row r="412" spans="1:2">
      <c r="A412" t="s">
        <v>1358</v>
      </c>
      <c r="B412" t="s">
        <v>1359</v>
      </c>
    </row>
    <row r="413" spans="1:2">
      <c r="A413" t="s">
        <v>1360</v>
      </c>
      <c r="B413" t="s">
        <v>1361</v>
      </c>
    </row>
    <row r="414" spans="1:2">
      <c r="A414" t="s">
        <v>1362</v>
      </c>
      <c r="B414" t="s">
        <v>1363</v>
      </c>
    </row>
    <row r="415" spans="1:2">
      <c r="A415" t="s">
        <v>1364</v>
      </c>
      <c r="B415" t="s">
        <v>1365</v>
      </c>
    </row>
    <row r="416" spans="1:2">
      <c r="A416" t="s">
        <v>1366</v>
      </c>
      <c r="B416" t="s">
        <v>1367</v>
      </c>
    </row>
    <row r="417" spans="1:2">
      <c r="A417" t="s">
        <v>1368</v>
      </c>
      <c r="B417" t="s">
        <v>1369</v>
      </c>
    </row>
    <row r="418" spans="1:2">
      <c r="A418" t="s">
        <v>1370</v>
      </c>
      <c r="B418" t="s">
        <v>1371</v>
      </c>
    </row>
    <row r="419" spans="1:2">
      <c r="A419" t="s">
        <v>1372</v>
      </c>
      <c r="B419" t="s">
        <v>1373</v>
      </c>
    </row>
    <row r="420" spans="1:2">
      <c r="A420" t="s">
        <v>1374</v>
      </c>
      <c r="B420" t="s">
        <v>1375</v>
      </c>
    </row>
    <row r="421" spans="1:2">
      <c r="A421" t="s">
        <v>1376</v>
      </c>
      <c r="B421" t="s">
        <v>1377</v>
      </c>
    </row>
    <row r="422" spans="1:2">
      <c r="A422" t="s">
        <v>1378</v>
      </c>
      <c r="B422" t="s">
        <v>1379</v>
      </c>
    </row>
    <row r="423" spans="1:2">
      <c r="A423" t="s">
        <v>1380</v>
      </c>
      <c r="B423" t="s">
        <v>1381</v>
      </c>
    </row>
    <row r="424" spans="1:2">
      <c r="A424" t="s">
        <v>1382</v>
      </c>
      <c r="B424" t="s">
        <v>1383</v>
      </c>
    </row>
    <row r="425" spans="1:2">
      <c r="A425" t="s">
        <v>1384</v>
      </c>
      <c r="B425" t="s">
        <v>1385</v>
      </c>
    </row>
    <row r="426" spans="1:2">
      <c r="A426" t="s">
        <v>1386</v>
      </c>
      <c r="B426" t="s">
        <v>1387</v>
      </c>
    </row>
    <row r="427" spans="1:2">
      <c r="A427" t="s">
        <v>1388</v>
      </c>
      <c r="B427" t="s">
        <v>1389</v>
      </c>
    </row>
    <row r="428" spans="1:2">
      <c r="A428" t="s">
        <v>1390</v>
      </c>
      <c r="B428" t="s">
        <v>1391</v>
      </c>
    </row>
    <row r="429" spans="1:2">
      <c r="A429" t="s">
        <v>1392</v>
      </c>
      <c r="B429" t="s">
        <v>1393</v>
      </c>
    </row>
    <row r="430" spans="1:2">
      <c r="A430" t="s">
        <v>1394</v>
      </c>
      <c r="B430" t="s">
        <v>1395</v>
      </c>
    </row>
    <row r="431" spans="1:2">
      <c r="A431" t="s">
        <v>1396</v>
      </c>
      <c r="B431" t="s">
        <v>1397</v>
      </c>
    </row>
    <row r="432" spans="1:2">
      <c r="A432" t="s">
        <v>1398</v>
      </c>
      <c r="B432" t="s">
        <v>1399</v>
      </c>
    </row>
    <row r="433" spans="1:2">
      <c r="A433" t="s">
        <v>1400</v>
      </c>
      <c r="B433" t="s">
        <v>1401</v>
      </c>
    </row>
    <row r="434" spans="1:2">
      <c r="A434" t="s">
        <v>1402</v>
      </c>
      <c r="B434" t="s">
        <v>1403</v>
      </c>
    </row>
    <row r="435" spans="1:2">
      <c r="A435" t="s">
        <v>1404</v>
      </c>
      <c r="B435" t="s">
        <v>1405</v>
      </c>
    </row>
    <row r="436" spans="1:2">
      <c r="A436" t="s">
        <v>1406</v>
      </c>
      <c r="B436" t="s">
        <v>1407</v>
      </c>
    </row>
    <row r="437" spans="1:2">
      <c r="A437" t="s">
        <v>1408</v>
      </c>
      <c r="B437" t="s">
        <v>1409</v>
      </c>
    </row>
    <row r="438" spans="1:2">
      <c r="A438" t="s">
        <v>1410</v>
      </c>
      <c r="B438" t="s">
        <v>1411</v>
      </c>
    </row>
    <row r="439" spans="1:2">
      <c r="A439" t="s">
        <v>1412</v>
      </c>
      <c r="B439" t="s">
        <v>1413</v>
      </c>
    </row>
    <row r="440" spans="1:2">
      <c r="A440" t="s">
        <v>1414</v>
      </c>
      <c r="B440" t="s">
        <v>1415</v>
      </c>
    </row>
    <row r="441" spans="1:2">
      <c r="A441" t="s">
        <v>1416</v>
      </c>
      <c r="B441" t="s">
        <v>1417</v>
      </c>
    </row>
    <row r="442" spans="1:2">
      <c r="A442" t="s">
        <v>1418</v>
      </c>
      <c r="B442" t="s">
        <v>1419</v>
      </c>
    </row>
    <row r="443" spans="1:2">
      <c r="A443" t="s">
        <v>1420</v>
      </c>
      <c r="B443" t="s">
        <v>1421</v>
      </c>
    </row>
    <row r="444" spans="1:2">
      <c r="A444" t="s">
        <v>1422</v>
      </c>
      <c r="B444" t="s">
        <v>1423</v>
      </c>
    </row>
    <row r="445" spans="1:2">
      <c r="A445" t="s">
        <v>1424</v>
      </c>
      <c r="B445" t="s">
        <v>1425</v>
      </c>
    </row>
    <row r="446" spans="1:2">
      <c r="A446" t="s">
        <v>1426</v>
      </c>
      <c r="B446" t="s">
        <v>1427</v>
      </c>
    </row>
    <row r="447" spans="1:2">
      <c r="A447" t="s">
        <v>1428</v>
      </c>
      <c r="B447" t="s">
        <v>1429</v>
      </c>
    </row>
    <row r="448" spans="1:2">
      <c r="A448" t="s">
        <v>1430</v>
      </c>
      <c r="B448" t="s">
        <v>1431</v>
      </c>
    </row>
    <row r="449" spans="1:2">
      <c r="A449" t="s">
        <v>1432</v>
      </c>
      <c r="B449" t="s">
        <v>1433</v>
      </c>
    </row>
    <row r="450" spans="1:2">
      <c r="A450" t="s">
        <v>1434</v>
      </c>
      <c r="B450" t="s">
        <v>1435</v>
      </c>
    </row>
    <row r="451" spans="1:2">
      <c r="A451" t="s">
        <v>1436</v>
      </c>
      <c r="B451" t="s">
        <v>1437</v>
      </c>
    </row>
    <row r="452" spans="1:2">
      <c r="A452" t="s">
        <v>1438</v>
      </c>
      <c r="B452" t="s">
        <v>1439</v>
      </c>
    </row>
    <row r="453" spans="1:2">
      <c r="A453" t="s">
        <v>1440</v>
      </c>
      <c r="B453" t="s">
        <v>1441</v>
      </c>
    </row>
    <row r="454" spans="1:2">
      <c r="A454" t="s">
        <v>1442</v>
      </c>
      <c r="B454" t="s">
        <v>1443</v>
      </c>
    </row>
    <row r="455" spans="1:2">
      <c r="A455" t="s">
        <v>1444</v>
      </c>
      <c r="B455" t="s">
        <v>1445</v>
      </c>
    </row>
    <row r="456" spans="1:2">
      <c r="A456" t="s">
        <v>1446</v>
      </c>
      <c r="B456" t="s">
        <v>1447</v>
      </c>
    </row>
    <row r="457" spans="1:2">
      <c r="A457" t="s">
        <v>1448</v>
      </c>
      <c r="B457" t="s">
        <v>1449</v>
      </c>
    </row>
    <row r="458" spans="1:2">
      <c r="A458" t="s">
        <v>1450</v>
      </c>
      <c r="B458" t="s">
        <v>1451</v>
      </c>
    </row>
    <row r="459" spans="1:2">
      <c r="A459" t="s">
        <v>1452</v>
      </c>
      <c r="B459" t="s">
        <v>1453</v>
      </c>
    </row>
    <row r="460" spans="1:2">
      <c r="A460" t="s">
        <v>1454</v>
      </c>
      <c r="B460" t="s">
        <v>1455</v>
      </c>
    </row>
    <row r="461" spans="1:2">
      <c r="A461" t="s">
        <v>1456</v>
      </c>
      <c r="B461" t="s">
        <v>1457</v>
      </c>
    </row>
    <row r="462" spans="1:2">
      <c r="A462" t="s">
        <v>1458</v>
      </c>
      <c r="B462" t="s">
        <v>1459</v>
      </c>
    </row>
    <row r="463" spans="1:2">
      <c r="A463" t="s">
        <v>1460</v>
      </c>
      <c r="B463" t="s">
        <v>1461</v>
      </c>
    </row>
    <row r="464" spans="1:2">
      <c r="A464" t="s">
        <v>1462</v>
      </c>
      <c r="B464" t="s">
        <v>1463</v>
      </c>
    </row>
    <row r="465" spans="1:2">
      <c r="A465" t="s">
        <v>1464</v>
      </c>
      <c r="B465" t="s">
        <v>1465</v>
      </c>
    </row>
    <row r="466" spans="1:2">
      <c r="A466" t="s">
        <v>1466</v>
      </c>
      <c r="B466" t="s">
        <v>1467</v>
      </c>
    </row>
    <row r="467" spans="1:2">
      <c r="A467" t="s">
        <v>1468</v>
      </c>
      <c r="B467" t="s">
        <v>1469</v>
      </c>
    </row>
    <row r="468" spans="1:2">
      <c r="A468" t="s">
        <v>1470</v>
      </c>
      <c r="B468" t="s">
        <v>1471</v>
      </c>
    </row>
    <row r="469" spans="1:2">
      <c r="A469" t="s">
        <v>1472</v>
      </c>
      <c r="B469" t="s">
        <v>1473</v>
      </c>
    </row>
    <row r="470" spans="1:2">
      <c r="A470" t="s">
        <v>1474</v>
      </c>
      <c r="B470" t="s">
        <v>1475</v>
      </c>
    </row>
    <row r="471" spans="1:2">
      <c r="A471" t="s">
        <v>1476</v>
      </c>
      <c r="B471" t="s">
        <v>1477</v>
      </c>
    </row>
    <row r="472" spans="1:2">
      <c r="A472" t="s">
        <v>1478</v>
      </c>
      <c r="B472" t="s">
        <v>1479</v>
      </c>
    </row>
    <row r="473" spans="1:2">
      <c r="A473" t="s">
        <v>1480</v>
      </c>
      <c r="B473" t="s">
        <v>1481</v>
      </c>
    </row>
    <row r="474" spans="1:2">
      <c r="A474" t="s">
        <v>1482</v>
      </c>
      <c r="B474" t="s">
        <v>1483</v>
      </c>
    </row>
    <row r="475" spans="1:2">
      <c r="A475" t="s">
        <v>1484</v>
      </c>
      <c r="B475" t="s">
        <v>1485</v>
      </c>
    </row>
    <row r="476" spans="1:2">
      <c r="A476" t="s">
        <v>1486</v>
      </c>
      <c r="B476" t="s">
        <v>1487</v>
      </c>
    </row>
    <row r="477" spans="1:2">
      <c r="A477" t="s">
        <v>1488</v>
      </c>
      <c r="B477" t="s">
        <v>1489</v>
      </c>
    </row>
    <row r="478" spans="1:2">
      <c r="A478" t="s">
        <v>1490</v>
      </c>
      <c r="B478" t="s">
        <v>1491</v>
      </c>
    </row>
    <row r="479" spans="1:2">
      <c r="A479" t="s">
        <v>1492</v>
      </c>
      <c r="B479" t="s">
        <v>1493</v>
      </c>
    </row>
    <row r="480" spans="1:2">
      <c r="A480" t="s">
        <v>1494</v>
      </c>
      <c r="B480" t="s">
        <v>1495</v>
      </c>
    </row>
    <row r="481" spans="1:2">
      <c r="A481" t="s">
        <v>1496</v>
      </c>
      <c r="B481" t="s">
        <v>1497</v>
      </c>
    </row>
    <row r="482" spans="1:2">
      <c r="A482" t="s">
        <v>1498</v>
      </c>
      <c r="B482" t="s">
        <v>1499</v>
      </c>
    </row>
    <row r="483" spans="1:2">
      <c r="A483" t="s">
        <v>1500</v>
      </c>
      <c r="B483" t="s">
        <v>1501</v>
      </c>
    </row>
    <row r="484" spans="1:2">
      <c r="A484" t="s">
        <v>1502</v>
      </c>
      <c r="B484" t="s">
        <v>1503</v>
      </c>
    </row>
    <row r="485" spans="1:2">
      <c r="A485" t="s">
        <v>1504</v>
      </c>
      <c r="B485" t="s">
        <v>1505</v>
      </c>
    </row>
    <row r="486" spans="1:2">
      <c r="A486" t="s">
        <v>1506</v>
      </c>
      <c r="B486" t="s">
        <v>1507</v>
      </c>
    </row>
    <row r="487" spans="1:2">
      <c r="A487" t="s">
        <v>1508</v>
      </c>
      <c r="B487" t="s">
        <v>1509</v>
      </c>
    </row>
    <row r="488" spans="1:2">
      <c r="A488" t="s">
        <v>1510</v>
      </c>
      <c r="B488" t="s">
        <v>1511</v>
      </c>
    </row>
    <row r="489" spans="1:2">
      <c r="A489" t="s">
        <v>1512</v>
      </c>
      <c r="B489" t="s">
        <v>1513</v>
      </c>
    </row>
    <row r="490" spans="1:2">
      <c r="A490" t="s">
        <v>1514</v>
      </c>
      <c r="B490" t="s">
        <v>1515</v>
      </c>
    </row>
    <row r="491" spans="1:2">
      <c r="A491" t="s">
        <v>1516</v>
      </c>
      <c r="B491" t="s">
        <v>1517</v>
      </c>
    </row>
    <row r="492" spans="1:2">
      <c r="A492" t="s">
        <v>1518</v>
      </c>
      <c r="B492" t="s">
        <v>1519</v>
      </c>
    </row>
    <row r="493" spans="1:2">
      <c r="A493" t="s">
        <v>1520</v>
      </c>
      <c r="B493" t="s">
        <v>1521</v>
      </c>
    </row>
    <row r="494" spans="1:2">
      <c r="A494" t="s">
        <v>1522</v>
      </c>
      <c r="B494" t="s">
        <v>1523</v>
      </c>
    </row>
    <row r="495" spans="1:2">
      <c r="A495" t="s">
        <v>1524</v>
      </c>
      <c r="B495" t="s">
        <v>1525</v>
      </c>
    </row>
    <row r="496" spans="1:2">
      <c r="A496" t="s">
        <v>1526</v>
      </c>
      <c r="B496" t="s">
        <v>1527</v>
      </c>
    </row>
    <row r="497" spans="1:2">
      <c r="A497" t="s">
        <v>1528</v>
      </c>
      <c r="B497" t="s">
        <v>1529</v>
      </c>
    </row>
    <row r="498" spans="1:2">
      <c r="A498" t="s">
        <v>1530</v>
      </c>
      <c r="B498" t="s">
        <v>1531</v>
      </c>
    </row>
    <row r="499" spans="1:2">
      <c r="A499" t="s">
        <v>1532</v>
      </c>
      <c r="B499" t="s">
        <v>1533</v>
      </c>
    </row>
    <row r="500" spans="1:2">
      <c r="A500" t="s">
        <v>1534</v>
      </c>
      <c r="B500" t="s">
        <v>1535</v>
      </c>
    </row>
    <row r="501" spans="1:2">
      <c r="A501" t="s">
        <v>1536</v>
      </c>
      <c r="B501" t="s">
        <v>284</v>
      </c>
    </row>
    <row r="502" spans="1:2">
      <c r="A502" t="s">
        <v>1537</v>
      </c>
      <c r="B502" t="s">
        <v>1538</v>
      </c>
    </row>
    <row r="503" spans="1:2">
      <c r="A503" t="s">
        <v>1539</v>
      </c>
      <c r="B503" t="s">
        <v>1540</v>
      </c>
    </row>
    <row r="504" spans="1:2">
      <c r="A504" t="s">
        <v>1541</v>
      </c>
      <c r="B504" t="s">
        <v>1542</v>
      </c>
    </row>
    <row r="505" spans="1:2">
      <c r="A505" t="s">
        <v>1543</v>
      </c>
      <c r="B505" t="s">
        <v>1544</v>
      </c>
    </row>
    <row r="506" spans="1:2">
      <c r="A506" t="s">
        <v>1545</v>
      </c>
      <c r="B506" t="s">
        <v>1546</v>
      </c>
    </row>
    <row r="507" spans="1:2">
      <c r="A507" t="s">
        <v>1547</v>
      </c>
      <c r="B507" t="s">
        <v>1548</v>
      </c>
    </row>
    <row r="508" spans="1:2">
      <c r="A508" t="s">
        <v>1549</v>
      </c>
      <c r="B508" t="s">
        <v>1550</v>
      </c>
    </row>
    <row r="509" spans="1:2">
      <c r="A509" t="s">
        <v>1551</v>
      </c>
      <c r="B509" t="s">
        <v>1552</v>
      </c>
    </row>
    <row r="510" spans="1:2">
      <c r="A510" t="s">
        <v>1553</v>
      </c>
      <c r="B510" t="s">
        <v>1554</v>
      </c>
    </row>
    <row r="511" spans="1:2">
      <c r="A511" t="s">
        <v>1555</v>
      </c>
      <c r="B511" t="s">
        <v>1556</v>
      </c>
    </row>
    <row r="512" spans="1:2">
      <c r="A512" t="s">
        <v>1557</v>
      </c>
      <c r="B512" t="s">
        <v>1558</v>
      </c>
    </row>
    <row r="513" spans="1:2">
      <c r="A513" t="s">
        <v>1559</v>
      </c>
      <c r="B513" t="s">
        <v>1560</v>
      </c>
    </row>
    <row r="514" spans="1:2">
      <c r="A514" t="s">
        <v>1561</v>
      </c>
      <c r="B514" t="s">
        <v>1562</v>
      </c>
    </row>
    <row r="515" spans="1:2">
      <c r="A515" t="s">
        <v>1563</v>
      </c>
      <c r="B515" t="s">
        <v>1564</v>
      </c>
    </row>
    <row r="516" spans="1:2">
      <c r="A516" t="s">
        <v>1565</v>
      </c>
      <c r="B516" t="s">
        <v>1566</v>
      </c>
    </row>
    <row r="517" spans="1:2">
      <c r="A517" t="s">
        <v>1567</v>
      </c>
      <c r="B517" t="s">
        <v>1568</v>
      </c>
    </row>
    <row r="518" spans="1:2">
      <c r="A518" t="s">
        <v>1569</v>
      </c>
      <c r="B518" t="s">
        <v>1570</v>
      </c>
    </row>
    <row r="519" spans="1:2">
      <c r="A519" t="s">
        <v>1571</v>
      </c>
      <c r="B519" t="s">
        <v>1572</v>
      </c>
    </row>
    <row r="520" spans="1:2">
      <c r="A520" t="s">
        <v>1573</v>
      </c>
      <c r="B520" t="s">
        <v>1574</v>
      </c>
    </row>
    <row r="521" spans="1:2">
      <c r="A521" t="s">
        <v>1575</v>
      </c>
      <c r="B521" t="s">
        <v>1576</v>
      </c>
    </row>
    <row r="522" spans="1:2">
      <c r="A522" t="s">
        <v>1577</v>
      </c>
      <c r="B522" t="s">
        <v>1578</v>
      </c>
    </row>
    <row r="523" spans="1:2">
      <c r="A523" t="s">
        <v>1579</v>
      </c>
      <c r="B523" t="s">
        <v>1580</v>
      </c>
    </row>
    <row r="524" spans="1:2">
      <c r="A524" t="s">
        <v>1581</v>
      </c>
      <c r="B524" t="s">
        <v>1582</v>
      </c>
    </row>
    <row r="525" spans="1:2">
      <c r="A525" t="s">
        <v>1583</v>
      </c>
      <c r="B525" t="s">
        <v>1584</v>
      </c>
    </row>
    <row r="526" spans="1:2">
      <c r="A526" t="s">
        <v>1585</v>
      </c>
      <c r="B526" t="s">
        <v>1586</v>
      </c>
    </row>
    <row r="527" spans="1:2">
      <c r="A527" t="s">
        <v>1587</v>
      </c>
      <c r="B527" t="s">
        <v>1588</v>
      </c>
    </row>
    <row r="528" spans="1:2">
      <c r="A528" t="s">
        <v>1589</v>
      </c>
      <c r="B528" t="s">
        <v>1590</v>
      </c>
    </row>
    <row r="529" spans="1:2">
      <c r="A529" t="s">
        <v>1591</v>
      </c>
      <c r="B529" t="s">
        <v>1592</v>
      </c>
    </row>
    <row r="530" spans="1:2">
      <c r="A530" t="s">
        <v>1593</v>
      </c>
      <c r="B530" t="s">
        <v>1594</v>
      </c>
    </row>
    <row r="531" spans="1:2">
      <c r="A531" t="s">
        <v>1595</v>
      </c>
      <c r="B531" t="s">
        <v>1596</v>
      </c>
    </row>
    <row r="532" spans="1:2">
      <c r="A532" t="s">
        <v>1597</v>
      </c>
      <c r="B532" t="s">
        <v>1598</v>
      </c>
    </row>
    <row r="533" spans="1:2">
      <c r="A533" t="s">
        <v>1599</v>
      </c>
      <c r="B533" t="s">
        <v>1600</v>
      </c>
    </row>
    <row r="534" spans="1:2">
      <c r="A534" t="s">
        <v>1601</v>
      </c>
      <c r="B534" t="s">
        <v>1602</v>
      </c>
    </row>
    <row r="535" spans="1:2">
      <c r="A535" t="s">
        <v>1603</v>
      </c>
      <c r="B535" t="s">
        <v>1604</v>
      </c>
    </row>
    <row r="536" spans="1:2">
      <c r="A536" t="s">
        <v>1605</v>
      </c>
      <c r="B536" t="s">
        <v>1606</v>
      </c>
    </row>
    <row r="537" spans="1:2">
      <c r="A537" t="s">
        <v>1607</v>
      </c>
      <c r="B537" t="s">
        <v>1608</v>
      </c>
    </row>
    <row r="538" spans="1:2">
      <c r="A538" t="s">
        <v>1609</v>
      </c>
      <c r="B538" t="s">
        <v>1610</v>
      </c>
    </row>
    <row r="539" spans="1:2">
      <c r="A539" t="s">
        <v>1611</v>
      </c>
      <c r="B539" t="s">
        <v>1612</v>
      </c>
    </row>
    <row r="540" spans="1:2">
      <c r="A540" t="s">
        <v>1613</v>
      </c>
      <c r="B540" t="s">
        <v>1614</v>
      </c>
    </row>
    <row r="541" spans="1:2">
      <c r="A541" t="s">
        <v>1615</v>
      </c>
      <c r="B541" t="s">
        <v>1616</v>
      </c>
    </row>
    <row r="542" spans="1:2">
      <c r="A542" t="s">
        <v>1617</v>
      </c>
      <c r="B542" t="s">
        <v>1618</v>
      </c>
    </row>
    <row r="543" spans="1:2">
      <c r="A543" t="s">
        <v>1619</v>
      </c>
      <c r="B543" t="s">
        <v>1620</v>
      </c>
    </row>
    <row r="544" spans="1:2">
      <c r="A544" t="s">
        <v>1621</v>
      </c>
      <c r="B544" t="s">
        <v>1622</v>
      </c>
    </row>
    <row r="545" spans="1:2">
      <c r="A545" t="s">
        <v>1623</v>
      </c>
      <c r="B545" t="s">
        <v>1624</v>
      </c>
    </row>
    <row r="546" spans="1:2">
      <c r="A546" t="s">
        <v>1625</v>
      </c>
      <c r="B546" t="s">
        <v>1626</v>
      </c>
    </row>
    <row r="547" spans="1:2">
      <c r="A547" t="s">
        <v>1627</v>
      </c>
      <c r="B547" t="s">
        <v>1628</v>
      </c>
    </row>
    <row r="548" spans="1:2">
      <c r="A548" t="s">
        <v>1629</v>
      </c>
      <c r="B548" t="s">
        <v>1630</v>
      </c>
    </row>
    <row r="549" spans="1:2">
      <c r="A549" t="s">
        <v>1631</v>
      </c>
      <c r="B549" t="s">
        <v>1632</v>
      </c>
    </row>
    <row r="550" spans="1:2">
      <c r="A550" t="s">
        <v>1633</v>
      </c>
      <c r="B550" t="s">
        <v>1634</v>
      </c>
    </row>
    <row r="551" spans="1:2">
      <c r="A551" t="s">
        <v>1635</v>
      </c>
      <c r="B551" t="s">
        <v>1636</v>
      </c>
    </row>
    <row r="552" spans="1:2">
      <c r="A552" t="s">
        <v>1637</v>
      </c>
      <c r="B552" t="s">
        <v>1638</v>
      </c>
    </row>
    <row r="553" spans="1:2">
      <c r="A553" t="s">
        <v>1639</v>
      </c>
      <c r="B553" t="s">
        <v>1640</v>
      </c>
    </row>
    <row r="554" spans="1:2">
      <c r="A554" t="s">
        <v>1641</v>
      </c>
      <c r="B554" t="s">
        <v>1642</v>
      </c>
    </row>
    <row r="555" spans="1:2">
      <c r="A555" t="s">
        <v>1643</v>
      </c>
      <c r="B555" t="s">
        <v>1644</v>
      </c>
    </row>
    <row r="556" spans="1:2">
      <c r="A556" t="s">
        <v>1645</v>
      </c>
      <c r="B556" t="s">
        <v>1646</v>
      </c>
    </row>
    <row r="557" spans="1:2">
      <c r="A557" t="s">
        <v>1647</v>
      </c>
      <c r="B557" t="s">
        <v>1648</v>
      </c>
    </row>
    <row r="558" spans="1:2">
      <c r="A558" t="s">
        <v>1649</v>
      </c>
      <c r="B558" t="s">
        <v>1650</v>
      </c>
    </row>
    <row r="559" spans="1:2">
      <c r="A559" t="s">
        <v>1651</v>
      </c>
      <c r="B559" t="s">
        <v>1652</v>
      </c>
    </row>
    <row r="560" spans="1:2">
      <c r="A560" t="s">
        <v>1653</v>
      </c>
      <c r="B560" t="s">
        <v>1654</v>
      </c>
    </row>
    <row r="561" spans="1:2">
      <c r="A561" t="s">
        <v>1655</v>
      </c>
      <c r="B561" t="s">
        <v>1656</v>
      </c>
    </row>
    <row r="562" spans="1:2">
      <c r="A562" t="s">
        <v>1657</v>
      </c>
      <c r="B562" t="s">
        <v>1658</v>
      </c>
    </row>
    <row r="563" spans="1:2">
      <c r="A563" t="s">
        <v>1659</v>
      </c>
      <c r="B563" t="s">
        <v>1660</v>
      </c>
    </row>
    <row r="564" spans="1:2">
      <c r="A564" t="s">
        <v>1661</v>
      </c>
      <c r="B564" t="s">
        <v>1662</v>
      </c>
    </row>
    <row r="565" spans="1:2">
      <c r="A565" t="s">
        <v>1663</v>
      </c>
      <c r="B565" t="s">
        <v>1664</v>
      </c>
    </row>
    <row r="566" spans="1:2">
      <c r="A566" t="s">
        <v>1665</v>
      </c>
      <c r="B566" t="s">
        <v>1666</v>
      </c>
    </row>
    <row r="567" spans="1:2">
      <c r="A567" t="s">
        <v>1667</v>
      </c>
      <c r="B567" t="s">
        <v>1668</v>
      </c>
    </row>
    <row r="568" spans="1:2">
      <c r="A568" t="s">
        <v>1669</v>
      </c>
      <c r="B568" t="s">
        <v>1670</v>
      </c>
    </row>
    <row r="569" spans="1:2">
      <c r="A569" t="s">
        <v>1671</v>
      </c>
      <c r="B569" t="s">
        <v>1672</v>
      </c>
    </row>
    <row r="570" spans="1:2">
      <c r="A570" t="s">
        <v>1673</v>
      </c>
      <c r="B570" t="s">
        <v>1674</v>
      </c>
    </row>
    <row r="571" spans="1:2">
      <c r="A571" t="s">
        <v>1675</v>
      </c>
      <c r="B571" t="s">
        <v>1676</v>
      </c>
    </row>
    <row r="572" spans="1:2">
      <c r="A572" t="s">
        <v>1677</v>
      </c>
      <c r="B572" t="s">
        <v>1678</v>
      </c>
    </row>
    <row r="573" spans="1:2">
      <c r="A573" t="s">
        <v>1679</v>
      </c>
      <c r="B573" t="s">
        <v>1680</v>
      </c>
    </row>
    <row r="574" spans="1:2">
      <c r="A574" t="s">
        <v>1681</v>
      </c>
      <c r="B574" t="s">
        <v>1682</v>
      </c>
    </row>
    <row r="575" spans="1:2">
      <c r="A575" t="s">
        <v>1683</v>
      </c>
      <c r="B575" t="s">
        <v>1684</v>
      </c>
    </row>
    <row r="576" spans="1:2">
      <c r="A576" t="s">
        <v>1685</v>
      </c>
      <c r="B576" t="s">
        <v>1686</v>
      </c>
    </row>
    <row r="577" spans="1:2">
      <c r="A577" t="s">
        <v>1687</v>
      </c>
      <c r="B577" t="s">
        <v>1688</v>
      </c>
    </row>
    <row r="578" spans="1:2">
      <c r="A578" t="s">
        <v>1689</v>
      </c>
      <c r="B578" t="s">
        <v>1690</v>
      </c>
    </row>
    <row r="579" spans="1:2">
      <c r="A579" t="s">
        <v>1691</v>
      </c>
      <c r="B579" t="s">
        <v>1692</v>
      </c>
    </row>
    <row r="580" spans="1:2">
      <c r="A580" t="s">
        <v>1693</v>
      </c>
      <c r="B580" t="s">
        <v>1694</v>
      </c>
    </row>
    <row r="581" spans="1:2">
      <c r="A581" t="s">
        <v>1695</v>
      </c>
      <c r="B581" t="s">
        <v>1696</v>
      </c>
    </row>
    <row r="582" spans="1:2">
      <c r="A582" t="s">
        <v>1697</v>
      </c>
      <c r="B582" t="s">
        <v>1698</v>
      </c>
    </row>
    <row r="583" spans="1:2">
      <c r="A583" t="s">
        <v>1699</v>
      </c>
      <c r="B583" t="s">
        <v>1700</v>
      </c>
    </row>
    <row r="584" spans="1:2">
      <c r="A584" t="s">
        <v>1701</v>
      </c>
      <c r="B584" t="s">
        <v>1702</v>
      </c>
    </row>
    <row r="585" spans="1:2">
      <c r="A585" t="s">
        <v>1703</v>
      </c>
      <c r="B585" t="s">
        <v>1704</v>
      </c>
    </row>
    <row r="586" spans="1:2">
      <c r="A586" t="s">
        <v>1705</v>
      </c>
      <c r="B586" t="s">
        <v>1706</v>
      </c>
    </row>
    <row r="587" spans="1:2">
      <c r="A587" t="s">
        <v>1707</v>
      </c>
      <c r="B587" t="s">
        <v>1708</v>
      </c>
    </row>
    <row r="588" spans="1:2">
      <c r="A588" t="s">
        <v>1709</v>
      </c>
      <c r="B588" t="s">
        <v>119</v>
      </c>
    </row>
    <row r="589" spans="1:2">
      <c r="A589" t="s">
        <v>1710</v>
      </c>
      <c r="B589" t="s">
        <v>1711</v>
      </c>
    </row>
    <row r="590" spans="1:2">
      <c r="A590" t="s">
        <v>1712</v>
      </c>
      <c r="B590" t="s">
        <v>1713</v>
      </c>
    </row>
    <row r="591" spans="1:2">
      <c r="A591" t="s">
        <v>1714</v>
      </c>
      <c r="B591" t="s">
        <v>1715</v>
      </c>
    </row>
    <row r="592" spans="1:2">
      <c r="A592" t="s">
        <v>1716</v>
      </c>
      <c r="B592" t="s">
        <v>1717</v>
      </c>
    </row>
    <row r="593" spans="1:2">
      <c r="A593" t="s">
        <v>1718</v>
      </c>
      <c r="B593" t="s">
        <v>1719</v>
      </c>
    </row>
    <row r="594" spans="1:2">
      <c r="A594" t="s">
        <v>1720</v>
      </c>
      <c r="B594" t="s">
        <v>1721</v>
      </c>
    </row>
    <row r="595" spans="1:2">
      <c r="A595" t="s">
        <v>1722</v>
      </c>
      <c r="B595" t="s">
        <v>1723</v>
      </c>
    </row>
    <row r="596" spans="1:2">
      <c r="A596" t="s">
        <v>1724</v>
      </c>
      <c r="B596" t="s">
        <v>1725</v>
      </c>
    </row>
    <row r="597" spans="1:2">
      <c r="A597" t="s">
        <v>1726</v>
      </c>
      <c r="B597" t="s">
        <v>1727</v>
      </c>
    </row>
    <row r="598" spans="1:2">
      <c r="A598" t="s">
        <v>1728</v>
      </c>
      <c r="B598" t="s">
        <v>1729</v>
      </c>
    </row>
    <row r="599" spans="1:2">
      <c r="A599" t="s">
        <v>1730</v>
      </c>
      <c r="B599" t="s">
        <v>1731</v>
      </c>
    </row>
    <row r="600" spans="1:2">
      <c r="A600" t="s">
        <v>1732</v>
      </c>
      <c r="B600" t="s">
        <v>1733</v>
      </c>
    </row>
    <row r="601" spans="1:2">
      <c r="A601" t="s">
        <v>1734</v>
      </c>
      <c r="B601" t="s">
        <v>1735</v>
      </c>
    </row>
    <row r="602" spans="1:2">
      <c r="A602" t="s">
        <v>1736</v>
      </c>
      <c r="B602" t="s">
        <v>1737</v>
      </c>
    </row>
    <row r="603" spans="1:2">
      <c r="A603" t="s">
        <v>1738</v>
      </c>
      <c r="B603" t="s">
        <v>1739</v>
      </c>
    </row>
    <row r="604" spans="1:2">
      <c r="A604" t="s">
        <v>1740</v>
      </c>
      <c r="B604" t="s">
        <v>1741</v>
      </c>
    </row>
    <row r="605" spans="1:2">
      <c r="A605" t="s">
        <v>1742</v>
      </c>
      <c r="B605" t="s">
        <v>1743</v>
      </c>
    </row>
    <row r="606" spans="1:2">
      <c r="A606" t="s">
        <v>1744</v>
      </c>
      <c r="B606" t="s">
        <v>1745</v>
      </c>
    </row>
    <row r="607" spans="1:2">
      <c r="A607" t="s">
        <v>1746</v>
      </c>
      <c r="B607" t="s">
        <v>1747</v>
      </c>
    </row>
    <row r="608" spans="1:2">
      <c r="A608" t="s">
        <v>1748</v>
      </c>
      <c r="B608" t="s">
        <v>1749</v>
      </c>
    </row>
    <row r="609" spans="1:2">
      <c r="A609" t="s">
        <v>1750</v>
      </c>
      <c r="B609" t="s">
        <v>1751</v>
      </c>
    </row>
    <row r="610" spans="1:2">
      <c r="A610" t="s">
        <v>1752</v>
      </c>
      <c r="B610" t="s">
        <v>1753</v>
      </c>
    </row>
    <row r="611" spans="1:2">
      <c r="A611" t="s">
        <v>1754</v>
      </c>
      <c r="B611" t="s">
        <v>1755</v>
      </c>
    </row>
    <row r="612" spans="1:2">
      <c r="A612" t="s">
        <v>1756</v>
      </c>
      <c r="B612" t="s">
        <v>1757</v>
      </c>
    </row>
    <row r="613" spans="1:2">
      <c r="A613" t="s">
        <v>1758</v>
      </c>
      <c r="B613" t="s">
        <v>1759</v>
      </c>
    </row>
    <row r="614" spans="1:2">
      <c r="A614" t="s">
        <v>1760</v>
      </c>
      <c r="B614" t="s">
        <v>1761</v>
      </c>
    </row>
    <row r="615" spans="1:2">
      <c r="A615" t="s">
        <v>1762</v>
      </c>
      <c r="B615" t="s">
        <v>1763</v>
      </c>
    </row>
    <row r="616" spans="1:2">
      <c r="A616" t="s">
        <v>1764</v>
      </c>
      <c r="B616" t="s">
        <v>1765</v>
      </c>
    </row>
    <row r="617" spans="1:2">
      <c r="A617" t="s">
        <v>1766</v>
      </c>
      <c r="B617" t="s">
        <v>1767</v>
      </c>
    </row>
    <row r="618" spans="1:2">
      <c r="A618" t="s">
        <v>1768</v>
      </c>
      <c r="B618" t="s">
        <v>1769</v>
      </c>
    </row>
    <row r="619" spans="1:2">
      <c r="A619" t="s">
        <v>1770</v>
      </c>
      <c r="B619" t="s">
        <v>1771</v>
      </c>
    </row>
    <row r="620" spans="1:2">
      <c r="A620" t="s">
        <v>1772</v>
      </c>
      <c r="B620" t="s">
        <v>1773</v>
      </c>
    </row>
    <row r="621" spans="1:2">
      <c r="A621" t="s">
        <v>1774</v>
      </c>
      <c r="B621" t="s">
        <v>1775</v>
      </c>
    </row>
    <row r="622" spans="1:2">
      <c r="A622" t="s">
        <v>1776</v>
      </c>
      <c r="B622" t="s">
        <v>1777</v>
      </c>
    </row>
    <row r="623" spans="1:2">
      <c r="A623" t="s">
        <v>1778</v>
      </c>
      <c r="B623" t="s">
        <v>1779</v>
      </c>
    </row>
    <row r="624" spans="1:2">
      <c r="A624" t="s">
        <v>1780</v>
      </c>
      <c r="B624" t="s">
        <v>1781</v>
      </c>
    </row>
    <row r="625" spans="1:2">
      <c r="A625" t="s">
        <v>1782</v>
      </c>
      <c r="B625" t="s">
        <v>1783</v>
      </c>
    </row>
    <row r="626" spans="1:2">
      <c r="A626" t="s">
        <v>1784</v>
      </c>
      <c r="B626" t="s">
        <v>1785</v>
      </c>
    </row>
    <row r="627" spans="1:2">
      <c r="A627" t="s">
        <v>1786</v>
      </c>
      <c r="B627" t="s">
        <v>289</v>
      </c>
    </row>
    <row r="628" spans="1:2">
      <c r="A628" t="s">
        <v>1787</v>
      </c>
      <c r="B628" t="s">
        <v>1788</v>
      </c>
    </row>
    <row r="629" spans="1:2">
      <c r="A629" t="s">
        <v>1789</v>
      </c>
      <c r="B629" t="s">
        <v>1790</v>
      </c>
    </row>
    <row r="630" spans="1:2">
      <c r="A630" t="s">
        <v>1791</v>
      </c>
      <c r="B630" t="s">
        <v>1792</v>
      </c>
    </row>
    <row r="631" spans="1:2">
      <c r="A631" t="s">
        <v>1793</v>
      </c>
      <c r="B631" t="s">
        <v>1794</v>
      </c>
    </row>
    <row r="632" spans="1:2">
      <c r="A632" t="s">
        <v>1795</v>
      </c>
      <c r="B632" t="s">
        <v>1796</v>
      </c>
    </row>
    <row r="633" spans="1:2">
      <c r="A633" t="s">
        <v>1797</v>
      </c>
      <c r="B633" t="s">
        <v>1798</v>
      </c>
    </row>
    <row r="634" spans="1:2">
      <c r="A634" t="s">
        <v>1799</v>
      </c>
      <c r="B634" t="s">
        <v>1800</v>
      </c>
    </row>
    <row r="635" spans="1:2">
      <c r="A635" t="s">
        <v>1801</v>
      </c>
      <c r="B635" t="s">
        <v>1802</v>
      </c>
    </row>
    <row r="636" spans="1:2">
      <c r="A636" t="s">
        <v>1803</v>
      </c>
      <c r="B636" t="s">
        <v>1804</v>
      </c>
    </row>
    <row r="637" spans="1:2">
      <c r="A637" t="s">
        <v>1805</v>
      </c>
      <c r="B637" t="s">
        <v>1806</v>
      </c>
    </row>
    <row r="638" spans="1:2">
      <c r="A638" t="s">
        <v>1807</v>
      </c>
      <c r="B638" t="s">
        <v>1808</v>
      </c>
    </row>
    <row r="639" spans="1:2">
      <c r="A639" t="s">
        <v>1809</v>
      </c>
      <c r="B639" t="s">
        <v>1810</v>
      </c>
    </row>
    <row r="640" spans="1:2">
      <c r="A640" t="s">
        <v>1811</v>
      </c>
      <c r="B640" t="s">
        <v>1812</v>
      </c>
    </row>
    <row r="641" spans="1:2">
      <c r="A641" t="s">
        <v>1813</v>
      </c>
      <c r="B641" t="s">
        <v>1814</v>
      </c>
    </row>
    <row r="642" spans="1:2">
      <c r="A642" t="s">
        <v>1815</v>
      </c>
      <c r="B642" t="s">
        <v>1816</v>
      </c>
    </row>
    <row r="643" spans="1:2">
      <c r="A643" t="s">
        <v>1817</v>
      </c>
      <c r="B643" t="s">
        <v>1818</v>
      </c>
    </row>
    <row r="644" spans="1:2">
      <c r="A644" t="s">
        <v>1819</v>
      </c>
      <c r="B644" t="s">
        <v>1820</v>
      </c>
    </row>
    <row r="645" spans="1:2">
      <c r="A645" t="s">
        <v>1821</v>
      </c>
      <c r="B645" t="s">
        <v>1822</v>
      </c>
    </row>
    <row r="646" spans="1:2">
      <c r="A646" t="s">
        <v>1823</v>
      </c>
      <c r="B646" t="s">
        <v>1824</v>
      </c>
    </row>
    <row r="647" spans="1:2">
      <c r="A647" t="s">
        <v>1825</v>
      </c>
      <c r="B647" t="s">
        <v>1826</v>
      </c>
    </row>
    <row r="648" spans="1:2">
      <c r="A648" t="s">
        <v>1827</v>
      </c>
      <c r="B648" t="s">
        <v>1828</v>
      </c>
    </row>
    <row r="649" spans="1:2">
      <c r="A649" t="s">
        <v>1829</v>
      </c>
      <c r="B649" t="s">
        <v>1830</v>
      </c>
    </row>
    <row r="650" spans="1:2">
      <c r="A650" t="s">
        <v>1831</v>
      </c>
      <c r="B650" t="s">
        <v>1832</v>
      </c>
    </row>
    <row r="651" spans="1:2">
      <c r="A651" t="s">
        <v>1833</v>
      </c>
      <c r="B651" t="s">
        <v>1834</v>
      </c>
    </row>
    <row r="652" spans="1:2">
      <c r="A652" t="s">
        <v>1835</v>
      </c>
      <c r="B652" t="s">
        <v>1836</v>
      </c>
    </row>
    <row r="653" spans="1:2">
      <c r="A653" t="s">
        <v>1837</v>
      </c>
      <c r="B653" t="s">
        <v>1838</v>
      </c>
    </row>
    <row r="654" spans="1:2">
      <c r="A654" t="s">
        <v>1839</v>
      </c>
      <c r="B654" t="s">
        <v>1840</v>
      </c>
    </row>
    <row r="655" spans="1:2">
      <c r="A655" t="s">
        <v>1841</v>
      </c>
      <c r="B655" t="s">
        <v>1842</v>
      </c>
    </row>
    <row r="656" spans="1:2">
      <c r="A656" t="s">
        <v>1843</v>
      </c>
      <c r="B656" t="s">
        <v>1844</v>
      </c>
    </row>
    <row r="657" spans="1:2">
      <c r="A657" t="s">
        <v>1845</v>
      </c>
      <c r="B657" t="s">
        <v>1846</v>
      </c>
    </row>
    <row r="658" spans="1:2">
      <c r="A658" t="s">
        <v>1847</v>
      </c>
      <c r="B658" t="s">
        <v>1848</v>
      </c>
    </row>
    <row r="659" spans="1:2">
      <c r="A659" t="s">
        <v>1849</v>
      </c>
      <c r="B659" t="s">
        <v>1850</v>
      </c>
    </row>
    <row r="660" spans="1:2">
      <c r="A660" t="s">
        <v>1851</v>
      </c>
      <c r="B660" t="s">
        <v>1852</v>
      </c>
    </row>
    <row r="661" spans="1:2">
      <c r="A661" t="s">
        <v>1853</v>
      </c>
      <c r="B661" t="s">
        <v>1854</v>
      </c>
    </row>
    <row r="662" spans="1:2">
      <c r="A662" t="s">
        <v>1855</v>
      </c>
      <c r="B662" t="s">
        <v>1856</v>
      </c>
    </row>
    <row r="663" spans="1:2">
      <c r="A663" t="s">
        <v>1857</v>
      </c>
      <c r="B663" t="s">
        <v>1858</v>
      </c>
    </row>
    <row r="664" spans="1:2">
      <c r="A664" t="s">
        <v>1859</v>
      </c>
      <c r="B664" t="s">
        <v>1860</v>
      </c>
    </row>
    <row r="665" spans="1:2">
      <c r="A665" t="s">
        <v>1861</v>
      </c>
      <c r="B665" t="s">
        <v>1862</v>
      </c>
    </row>
    <row r="666" spans="1:2">
      <c r="A666" t="s">
        <v>1863</v>
      </c>
      <c r="B666" t="s">
        <v>1864</v>
      </c>
    </row>
    <row r="667" spans="1:2">
      <c r="A667" t="s">
        <v>1865</v>
      </c>
      <c r="B667" t="s">
        <v>1866</v>
      </c>
    </row>
    <row r="668" spans="1:2">
      <c r="A668" t="s">
        <v>1867</v>
      </c>
      <c r="B668" t="s">
        <v>1868</v>
      </c>
    </row>
    <row r="669" spans="1:2">
      <c r="A669" t="s">
        <v>1869</v>
      </c>
      <c r="B669" t="s">
        <v>1870</v>
      </c>
    </row>
    <row r="670" spans="1:2">
      <c r="A670" t="s">
        <v>1871</v>
      </c>
      <c r="B670" t="s">
        <v>1872</v>
      </c>
    </row>
    <row r="671" spans="1:2">
      <c r="A671" t="s">
        <v>1873</v>
      </c>
      <c r="B671" t="s">
        <v>1874</v>
      </c>
    </row>
    <row r="672" spans="1:2">
      <c r="A672" t="s">
        <v>1875</v>
      </c>
      <c r="B672" t="s">
        <v>1876</v>
      </c>
    </row>
    <row r="673" spans="1:2">
      <c r="A673" t="s">
        <v>1877</v>
      </c>
      <c r="B673" t="s">
        <v>1878</v>
      </c>
    </row>
    <row r="674" spans="1:2">
      <c r="A674" t="s">
        <v>1879</v>
      </c>
      <c r="B674" t="s">
        <v>1880</v>
      </c>
    </row>
    <row r="675" spans="1:2">
      <c r="A675" t="s">
        <v>1881</v>
      </c>
      <c r="B675" t="s">
        <v>1882</v>
      </c>
    </row>
    <row r="676" spans="1:2">
      <c r="A676" t="s">
        <v>1883</v>
      </c>
      <c r="B676" t="s">
        <v>1884</v>
      </c>
    </row>
    <row r="677" spans="1:2">
      <c r="A677" t="s">
        <v>1885</v>
      </c>
      <c r="B677" t="s">
        <v>1886</v>
      </c>
    </row>
    <row r="678" spans="1:2">
      <c r="A678" t="s">
        <v>1887</v>
      </c>
      <c r="B678" t="s">
        <v>1888</v>
      </c>
    </row>
    <row r="679" spans="1:2">
      <c r="A679" t="s">
        <v>1889</v>
      </c>
      <c r="B679" t="s">
        <v>1890</v>
      </c>
    </row>
    <row r="680" spans="1:2">
      <c r="A680" t="s">
        <v>1891</v>
      </c>
      <c r="B680" t="s">
        <v>1892</v>
      </c>
    </row>
    <row r="681" spans="1:2">
      <c r="A681" t="s">
        <v>1893</v>
      </c>
      <c r="B681" t="s">
        <v>1894</v>
      </c>
    </row>
    <row r="682" spans="1:2">
      <c r="A682" t="s">
        <v>1895</v>
      </c>
      <c r="B682" t="s">
        <v>1896</v>
      </c>
    </row>
    <row r="683" spans="1:2">
      <c r="A683" t="s">
        <v>1897</v>
      </c>
      <c r="B683" t="s">
        <v>1898</v>
      </c>
    </row>
    <row r="684" spans="1:2">
      <c r="A684" t="s">
        <v>1899</v>
      </c>
      <c r="B684" t="s">
        <v>1900</v>
      </c>
    </row>
    <row r="685" spans="1:2">
      <c r="A685" t="s">
        <v>1901</v>
      </c>
      <c r="B685" t="s">
        <v>1902</v>
      </c>
    </row>
    <row r="686" spans="1:2">
      <c r="A686" t="s">
        <v>1903</v>
      </c>
      <c r="B686" t="s">
        <v>1904</v>
      </c>
    </row>
    <row r="687" spans="1:2">
      <c r="A687" t="s">
        <v>1905</v>
      </c>
      <c r="B687" t="s">
        <v>1906</v>
      </c>
    </row>
    <row r="688" spans="1:2">
      <c r="A688" t="s">
        <v>1907</v>
      </c>
      <c r="B688" t="s">
        <v>1908</v>
      </c>
    </row>
    <row r="689" spans="1:2">
      <c r="A689" t="s">
        <v>1909</v>
      </c>
      <c r="B689" t="s">
        <v>1910</v>
      </c>
    </row>
    <row r="690" spans="1:2">
      <c r="A690" t="s">
        <v>1911</v>
      </c>
      <c r="B690" t="s">
        <v>1912</v>
      </c>
    </row>
    <row r="691" spans="1:2">
      <c r="A691" t="s">
        <v>1913</v>
      </c>
      <c r="B691" t="s">
        <v>1914</v>
      </c>
    </row>
    <row r="692" spans="1:2">
      <c r="A692" t="s">
        <v>1915</v>
      </c>
      <c r="B692" t="s">
        <v>1916</v>
      </c>
    </row>
    <row r="693" spans="1:2">
      <c r="A693" t="s">
        <v>1917</v>
      </c>
      <c r="B693" t="s">
        <v>1918</v>
      </c>
    </row>
    <row r="694" spans="1:2">
      <c r="A694" t="s">
        <v>1919</v>
      </c>
      <c r="B694" t="s">
        <v>1920</v>
      </c>
    </row>
    <row r="695" spans="1:2">
      <c r="A695" t="s">
        <v>1921</v>
      </c>
      <c r="B695" t="s">
        <v>1922</v>
      </c>
    </row>
    <row r="696" spans="1:2">
      <c r="A696" t="s">
        <v>1923</v>
      </c>
      <c r="B696" t="s">
        <v>1924</v>
      </c>
    </row>
    <row r="697" spans="1:2">
      <c r="A697" t="s">
        <v>1925</v>
      </c>
      <c r="B697" t="s">
        <v>1926</v>
      </c>
    </row>
    <row r="698" spans="1:2">
      <c r="A698" t="s">
        <v>1927</v>
      </c>
      <c r="B698" t="s">
        <v>1928</v>
      </c>
    </row>
    <row r="699" spans="1:2">
      <c r="A699" t="s">
        <v>1929</v>
      </c>
      <c r="B699" t="s">
        <v>1930</v>
      </c>
    </row>
    <row r="700" spans="1:2">
      <c r="A700" t="s">
        <v>1931</v>
      </c>
      <c r="B700" t="s">
        <v>1932</v>
      </c>
    </row>
    <row r="701" spans="1:2">
      <c r="A701" t="s">
        <v>1933</v>
      </c>
      <c r="B701" t="s">
        <v>1934</v>
      </c>
    </row>
    <row r="702" spans="1:2">
      <c r="A702" t="s">
        <v>1935</v>
      </c>
      <c r="B702" t="s">
        <v>1936</v>
      </c>
    </row>
    <row r="703" spans="1:2">
      <c r="A703" t="s">
        <v>1937</v>
      </c>
      <c r="B703" t="s">
        <v>1938</v>
      </c>
    </row>
    <row r="704" spans="1:2">
      <c r="A704" t="s">
        <v>1939</v>
      </c>
      <c r="B704" t="s">
        <v>1940</v>
      </c>
    </row>
    <row r="705" spans="1:2">
      <c r="A705" t="s">
        <v>1941</v>
      </c>
      <c r="B705" t="s">
        <v>1942</v>
      </c>
    </row>
    <row r="706" spans="1:2">
      <c r="A706" t="s">
        <v>1943</v>
      </c>
      <c r="B706" t="s">
        <v>1944</v>
      </c>
    </row>
    <row r="707" spans="1:2">
      <c r="A707" t="s">
        <v>1945</v>
      </c>
      <c r="B707" t="s">
        <v>1946</v>
      </c>
    </row>
    <row r="708" spans="1:2">
      <c r="A708" t="s">
        <v>1947</v>
      </c>
      <c r="B708" t="s">
        <v>1948</v>
      </c>
    </row>
    <row r="709" spans="1:2">
      <c r="A709" t="s">
        <v>1949</v>
      </c>
      <c r="B709" t="s">
        <v>1950</v>
      </c>
    </row>
    <row r="710" spans="1:2">
      <c r="A710" t="s">
        <v>1951</v>
      </c>
      <c r="B710" t="s">
        <v>1952</v>
      </c>
    </row>
    <row r="711" spans="1:2">
      <c r="A711" t="s">
        <v>1953</v>
      </c>
      <c r="B711" t="s">
        <v>1954</v>
      </c>
    </row>
    <row r="712" spans="1:2">
      <c r="A712" t="s">
        <v>1955</v>
      </c>
      <c r="B712" t="s">
        <v>1956</v>
      </c>
    </row>
    <row r="713" spans="1:2">
      <c r="A713" t="s">
        <v>1957</v>
      </c>
      <c r="B713" t="s">
        <v>1958</v>
      </c>
    </row>
    <row r="714" spans="1:2">
      <c r="A714" t="s">
        <v>1959</v>
      </c>
      <c r="B714" t="s">
        <v>1960</v>
      </c>
    </row>
    <row r="715" spans="1:2">
      <c r="A715" t="s">
        <v>1961</v>
      </c>
      <c r="B715" t="s">
        <v>1962</v>
      </c>
    </row>
    <row r="716" spans="1:2">
      <c r="A716" t="s">
        <v>1963</v>
      </c>
      <c r="B716" t="s">
        <v>1964</v>
      </c>
    </row>
    <row r="717" spans="1:2">
      <c r="A717" t="s">
        <v>1965</v>
      </c>
      <c r="B717" t="s">
        <v>1966</v>
      </c>
    </row>
    <row r="718" spans="1:2">
      <c r="A718" t="s">
        <v>1967</v>
      </c>
      <c r="B718" t="s">
        <v>1968</v>
      </c>
    </row>
    <row r="719" spans="1:2">
      <c r="A719" t="s">
        <v>1969</v>
      </c>
      <c r="B719" t="s">
        <v>1970</v>
      </c>
    </row>
    <row r="720" spans="1:2">
      <c r="A720" t="s">
        <v>1971</v>
      </c>
      <c r="B720" t="s">
        <v>1972</v>
      </c>
    </row>
    <row r="721" spans="1:2">
      <c r="A721" t="s">
        <v>1973</v>
      </c>
      <c r="B721" t="s">
        <v>1974</v>
      </c>
    </row>
    <row r="722" spans="1:2">
      <c r="A722" t="s">
        <v>1975</v>
      </c>
      <c r="B722" t="s">
        <v>1976</v>
      </c>
    </row>
    <row r="723" spans="1:2">
      <c r="A723" t="s">
        <v>1977</v>
      </c>
      <c r="B723" t="s">
        <v>1978</v>
      </c>
    </row>
    <row r="724" spans="1:2">
      <c r="A724" t="s">
        <v>1979</v>
      </c>
      <c r="B724" t="s">
        <v>1980</v>
      </c>
    </row>
    <row r="725" spans="1:2">
      <c r="A725" t="s">
        <v>1981</v>
      </c>
      <c r="B725" t="s">
        <v>1982</v>
      </c>
    </row>
    <row r="726" spans="1:2">
      <c r="A726" t="s">
        <v>1983</v>
      </c>
      <c r="B726" t="s">
        <v>1984</v>
      </c>
    </row>
    <row r="727" spans="1:2">
      <c r="A727" t="s">
        <v>1985</v>
      </c>
      <c r="B727" t="s">
        <v>1986</v>
      </c>
    </row>
    <row r="728" spans="1:2">
      <c r="A728" t="s">
        <v>1987</v>
      </c>
      <c r="B728" t="s">
        <v>1988</v>
      </c>
    </row>
    <row r="729" spans="1:2">
      <c r="A729" t="s">
        <v>1989</v>
      </c>
      <c r="B729" t="s">
        <v>1990</v>
      </c>
    </row>
    <row r="730" spans="1:2">
      <c r="A730" t="s">
        <v>1991</v>
      </c>
      <c r="B730" t="s">
        <v>1992</v>
      </c>
    </row>
    <row r="731" spans="1:2">
      <c r="A731" t="s">
        <v>1993</v>
      </c>
      <c r="B731" t="s">
        <v>1994</v>
      </c>
    </row>
    <row r="732" spans="1:2">
      <c r="A732" t="s">
        <v>1995</v>
      </c>
      <c r="B732" t="s">
        <v>1996</v>
      </c>
    </row>
    <row r="733" spans="1:2">
      <c r="A733" t="s">
        <v>1997</v>
      </c>
      <c r="B733" t="s">
        <v>1998</v>
      </c>
    </row>
    <row r="734" spans="1:2">
      <c r="A734" t="s">
        <v>1999</v>
      </c>
      <c r="B734" t="s">
        <v>2000</v>
      </c>
    </row>
    <row r="735" spans="1:2">
      <c r="A735" t="s">
        <v>2001</v>
      </c>
      <c r="B735" t="s">
        <v>2002</v>
      </c>
    </row>
    <row r="736" spans="1:2">
      <c r="A736" t="s">
        <v>2003</v>
      </c>
      <c r="B736" t="s">
        <v>2004</v>
      </c>
    </row>
    <row r="737" spans="1:2">
      <c r="A737" t="s">
        <v>2005</v>
      </c>
      <c r="B737" t="s">
        <v>2006</v>
      </c>
    </row>
    <row r="738" spans="1:2">
      <c r="A738" t="s">
        <v>2007</v>
      </c>
      <c r="B738" t="s">
        <v>2008</v>
      </c>
    </row>
    <row r="739" spans="1:2">
      <c r="A739" t="s">
        <v>2009</v>
      </c>
      <c r="B739" t="s">
        <v>2010</v>
      </c>
    </row>
    <row r="740" spans="1:2">
      <c r="A740" t="s">
        <v>2011</v>
      </c>
      <c r="B740" t="s">
        <v>2012</v>
      </c>
    </row>
    <row r="741" spans="1:2">
      <c r="A741" t="s">
        <v>2013</v>
      </c>
      <c r="B741" t="s">
        <v>2014</v>
      </c>
    </row>
    <row r="742" spans="1:2">
      <c r="A742" t="s">
        <v>2015</v>
      </c>
      <c r="B742" t="s">
        <v>2016</v>
      </c>
    </row>
    <row r="743" spans="1:2">
      <c r="A743" t="s">
        <v>2017</v>
      </c>
      <c r="B743" t="s">
        <v>2018</v>
      </c>
    </row>
    <row r="744" spans="1:2">
      <c r="A744" t="s">
        <v>2019</v>
      </c>
      <c r="B744" t="s">
        <v>2020</v>
      </c>
    </row>
    <row r="745" spans="1:2">
      <c r="A745" t="s">
        <v>2021</v>
      </c>
      <c r="B745" t="s">
        <v>2022</v>
      </c>
    </row>
    <row r="746" spans="1:2">
      <c r="A746" t="s">
        <v>2023</v>
      </c>
      <c r="B746" t="s">
        <v>2024</v>
      </c>
    </row>
    <row r="747" spans="1:2">
      <c r="A747" t="s">
        <v>2025</v>
      </c>
      <c r="B747" t="s">
        <v>2026</v>
      </c>
    </row>
    <row r="748" spans="1:2">
      <c r="A748" t="s">
        <v>2027</v>
      </c>
      <c r="B748" t="s">
        <v>2028</v>
      </c>
    </row>
    <row r="749" spans="1:2">
      <c r="A749" t="s">
        <v>2029</v>
      </c>
      <c r="B749" t="s">
        <v>2030</v>
      </c>
    </row>
    <row r="750" spans="1:2">
      <c r="A750" t="s">
        <v>2031</v>
      </c>
      <c r="B750" t="s">
        <v>2032</v>
      </c>
    </row>
    <row r="751" spans="1:2">
      <c r="A751" t="s">
        <v>2033</v>
      </c>
      <c r="B751" t="s">
        <v>2034</v>
      </c>
    </row>
    <row r="752" spans="1:2">
      <c r="A752" t="s">
        <v>2035</v>
      </c>
      <c r="B752" t="s">
        <v>2036</v>
      </c>
    </row>
    <row r="753" spans="1:2">
      <c r="A753" t="s">
        <v>2037</v>
      </c>
      <c r="B753" t="s">
        <v>2038</v>
      </c>
    </row>
    <row r="754" spans="1:2">
      <c r="A754" t="s">
        <v>2039</v>
      </c>
      <c r="B754" t="s">
        <v>2040</v>
      </c>
    </row>
    <row r="755" spans="1:2">
      <c r="A755" t="s">
        <v>2041</v>
      </c>
      <c r="B755" t="s">
        <v>2042</v>
      </c>
    </row>
    <row r="756" spans="1:2">
      <c r="A756" t="s">
        <v>2043</v>
      </c>
      <c r="B756" t="s">
        <v>2044</v>
      </c>
    </row>
    <row r="757" spans="1:2">
      <c r="A757" t="s">
        <v>2045</v>
      </c>
      <c r="B757" t="s">
        <v>2046</v>
      </c>
    </row>
    <row r="758" spans="1:2">
      <c r="A758" t="s">
        <v>2047</v>
      </c>
      <c r="B758" t="s">
        <v>2048</v>
      </c>
    </row>
    <row r="759" spans="1:2">
      <c r="A759" t="s">
        <v>2049</v>
      </c>
      <c r="B759" t="s">
        <v>2050</v>
      </c>
    </row>
    <row r="760" spans="1:2">
      <c r="A760" t="s">
        <v>2051</v>
      </c>
      <c r="B760" t="s">
        <v>2052</v>
      </c>
    </row>
    <row r="761" spans="1:2">
      <c r="A761" t="s">
        <v>2053</v>
      </c>
      <c r="B761" t="s">
        <v>2054</v>
      </c>
    </row>
    <row r="762" spans="1:2">
      <c r="A762" t="s">
        <v>2055</v>
      </c>
      <c r="B762" t="s">
        <v>2056</v>
      </c>
    </row>
    <row r="763" spans="1:2">
      <c r="A763" t="s">
        <v>2057</v>
      </c>
      <c r="B763" t="s">
        <v>2058</v>
      </c>
    </row>
    <row r="764" spans="1:2">
      <c r="A764" t="s">
        <v>2059</v>
      </c>
      <c r="B764" t="s">
        <v>2060</v>
      </c>
    </row>
    <row r="765" spans="1:2">
      <c r="A765" t="s">
        <v>2061</v>
      </c>
      <c r="B765" t="s">
        <v>2062</v>
      </c>
    </row>
    <row r="766" spans="1:2">
      <c r="A766" t="s">
        <v>2063</v>
      </c>
      <c r="B766" t="s">
        <v>2064</v>
      </c>
    </row>
    <row r="767" spans="1:2">
      <c r="A767" t="s">
        <v>2065</v>
      </c>
      <c r="B767" t="s">
        <v>2066</v>
      </c>
    </row>
    <row r="768" spans="1:2">
      <c r="A768" t="s">
        <v>2067</v>
      </c>
      <c r="B768" t="s">
        <v>2068</v>
      </c>
    </row>
    <row r="769" spans="1:2">
      <c r="A769" t="s">
        <v>2069</v>
      </c>
      <c r="B769" t="s">
        <v>2070</v>
      </c>
    </row>
    <row r="770" spans="1:2">
      <c r="A770" t="s">
        <v>2071</v>
      </c>
      <c r="B770" t="s">
        <v>2072</v>
      </c>
    </row>
    <row r="771" spans="1:2">
      <c r="A771" t="s">
        <v>2073</v>
      </c>
      <c r="B771" t="s">
        <v>2074</v>
      </c>
    </row>
    <row r="772" spans="1:2">
      <c r="A772" t="s">
        <v>2075</v>
      </c>
      <c r="B772" t="s">
        <v>2076</v>
      </c>
    </row>
    <row r="773" spans="1:2">
      <c r="A773" t="s">
        <v>2077</v>
      </c>
      <c r="B773" t="s">
        <v>2078</v>
      </c>
    </row>
    <row r="774" spans="1:2">
      <c r="A774" t="s">
        <v>2079</v>
      </c>
      <c r="B774" t="s">
        <v>2080</v>
      </c>
    </row>
    <row r="775" spans="1:2">
      <c r="A775" t="s">
        <v>2081</v>
      </c>
      <c r="B775" t="s">
        <v>2082</v>
      </c>
    </row>
    <row r="776" spans="1:2">
      <c r="A776" t="s">
        <v>2083</v>
      </c>
      <c r="B776" t="s">
        <v>2084</v>
      </c>
    </row>
    <row r="777" spans="1:2">
      <c r="A777" t="s">
        <v>2085</v>
      </c>
      <c r="B777" t="s">
        <v>2086</v>
      </c>
    </row>
    <row r="778" spans="1:2">
      <c r="A778" t="s">
        <v>2087</v>
      </c>
      <c r="B778" t="s">
        <v>2088</v>
      </c>
    </row>
    <row r="779" spans="1:2">
      <c r="A779" t="s">
        <v>2089</v>
      </c>
      <c r="B779" t="s">
        <v>2090</v>
      </c>
    </row>
    <row r="780" spans="1:2">
      <c r="A780" t="s">
        <v>2091</v>
      </c>
      <c r="B780" t="s">
        <v>2092</v>
      </c>
    </row>
    <row r="781" spans="1:2">
      <c r="A781" t="s">
        <v>2093</v>
      </c>
      <c r="B781" t="s">
        <v>2094</v>
      </c>
    </row>
    <row r="782" spans="1:2">
      <c r="A782" t="s">
        <v>2095</v>
      </c>
      <c r="B782" t="s">
        <v>2096</v>
      </c>
    </row>
    <row r="783" spans="1:2">
      <c r="A783" t="s">
        <v>2097</v>
      </c>
      <c r="B783" t="s">
        <v>2098</v>
      </c>
    </row>
    <row r="784" spans="1:2">
      <c r="A784" t="s">
        <v>2099</v>
      </c>
      <c r="B784" t="s">
        <v>2100</v>
      </c>
    </row>
    <row r="785" spans="1:2">
      <c r="A785" t="s">
        <v>2101</v>
      </c>
      <c r="B785" t="s">
        <v>2102</v>
      </c>
    </row>
    <row r="786" spans="1:2">
      <c r="A786" t="s">
        <v>2103</v>
      </c>
      <c r="B786" t="s">
        <v>2104</v>
      </c>
    </row>
    <row r="787" spans="1:2">
      <c r="A787" t="s">
        <v>2105</v>
      </c>
      <c r="B787" t="s">
        <v>2106</v>
      </c>
    </row>
    <row r="788" spans="1:2">
      <c r="A788" t="s">
        <v>2107</v>
      </c>
      <c r="B788" t="s">
        <v>2108</v>
      </c>
    </row>
    <row r="789" spans="1:2">
      <c r="A789" t="s">
        <v>2109</v>
      </c>
      <c r="B789" t="s">
        <v>2110</v>
      </c>
    </row>
    <row r="790" spans="1:2">
      <c r="A790" t="s">
        <v>2111</v>
      </c>
      <c r="B790" t="s">
        <v>2112</v>
      </c>
    </row>
    <row r="791" spans="1:2">
      <c r="A791" t="s">
        <v>2113</v>
      </c>
      <c r="B791" t="s">
        <v>2114</v>
      </c>
    </row>
    <row r="792" spans="1:2">
      <c r="A792" t="s">
        <v>2115</v>
      </c>
      <c r="B792" t="s">
        <v>2116</v>
      </c>
    </row>
    <row r="793" spans="1:2">
      <c r="A793" t="s">
        <v>2117</v>
      </c>
      <c r="B793" t="s">
        <v>2118</v>
      </c>
    </row>
    <row r="794" spans="1:2">
      <c r="A794" t="s">
        <v>2119</v>
      </c>
      <c r="B794" t="s">
        <v>2120</v>
      </c>
    </row>
    <row r="795" spans="1:2">
      <c r="A795" t="s">
        <v>2121</v>
      </c>
      <c r="B795" t="s">
        <v>2122</v>
      </c>
    </row>
    <row r="796" spans="1:2">
      <c r="A796" t="s">
        <v>2123</v>
      </c>
      <c r="B796" t="s">
        <v>2124</v>
      </c>
    </row>
    <row r="797" spans="1:2">
      <c r="A797" t="s">
        <v>2125</v>
      </c>
      <c r="B797" t="s">
        <v>2126</v>
      </c>
    </row>
    <row r="798" spans="1:2">
      <c r="A798" t="s">
        <v>2127</v>
      </c>
      <c r="B798" t="s">
        <v>2128</v>
      </c>
    </row>
    <row r="799" spans="1:2">
      <c r="A799" t="s">
        <v>2129</v>
      </c>
      <c r="B799" t="s">
        <v>2130</v>
      </c>
    </row>
    <row r="800" spans="1:2">
      <c r="A800" t="s">
        <v>2131</v>
      </c>
      <c r="B800" t="s">
        <v>2132</v>
      </c>
    </row>
    <row r="801" spans="1:2">
      <c r="A801" t="s">
        <v>2133</v>
      </c>
      <c r="B801" t="s">
        <v>2134</v>
      </c>
    </row>
    <row r="802" spans="1:2">
      <c r="A802" t="s">
        <v>2135</v>
      </c>
      <c r="B802" t="s">
        <v>2136</v>
      </c>
    </row>
    <row r="803" spans="1:2">
      <c r="A803" t="s">
        <v>2137</v>
      </c>
      <c r="B803" t="s">
        <v>2138</v>
      </c>
    </row>
    <row r="804" spans="1:2">
      <c r="A804" t="s">
        <v>2139</v>
      </c>
      <c r="B804" t="s">
        <v>2140</v>
      </c>
    </row>
    <row r="805" spans="1:2">
      <c r="A805" t="s">
        <v>2141</v>
      </c>
      <c r="B805" t="s">
        <v>2142</v>
      </c>
    </row>
    <row r="806" spans="1:2">
      <c r="A806" t="s">
        <v>2143</v>
      </c>
      <c r="B806" t="s">
        <v>2144</v>
      </c>
    </row>
    <row r="807" spans="1:2">
      <c r="A807" t="s">
        <v>2145</v>
      </c>
      <c r="B807" t="s">
        <v>2146</v>
      </c>
    </row>
    <row r="808" spans="1:2">
      <c r="A808" t="s">
        <v>2147</v>
      </c>
      <c r="B808" t="s">
        <v>2148</v>
      </c>
    </row>
    <row r="809" spans="1:2">
      <c r="A809" t="s">
        <v>2149</v>
      </c>
      <c r="B809" t="s">
        <v>2150</v>
      </c>
    </row>
    <row r="810" spans="1:2">
      <c r="A810" t="s">
        <v>2151</v>
      </c>
      <c r="B810" t="s">
        <v>2152</v>
      </c>
    </row>
    <row r="811" spans="1:2">
      <c r="A811" t="s">
        <v>2153</v>
      </c>
      <c r="B811" t="s">
        <v>2154</v>
      </c>
    </row>
    <row r="812" spans="1:2">
      <c r="A812" t="s">
        <v>2155</v>
      </c>
      <c r="B812" t="s">
        <v>2156</v>
      </c>
    </row>
    <row r="813" spans="1:2">
      <c r="A813" t="s">
        <v>2157</v>
      </c>
      <c r="B813" t="s">
        <v>2158</v>
      </c>
    </row>
    <row r="814" spans="1:2">
      <c r="A814" t="s">
        <v>2159</v>
      </c>
      <c r="B814" t="s">
        <v>2160</v>
      </c>
    </row>
    <row r="815" spans="1:2">
      <c r="A815" t="s">
        <v>2161</v>
      </c>
      <c r="B815" t="s">
        <v>2162</v>
      </c>
    </row>
    <row r="816" spans="1:2">
      <c r="A816" t="s">
        <v>2163</v>
      </c>
      <c r="B816" t="s">
        <v>2164</v>
      </c>
    </row>
    <row r="817" spans="1:2">
      <c r="A817" t="s">
        <v>2165</v>
      </c>
      <c r="B817" t="s">
        <v>2166</v>
      </c>
    </row>
    <row r="818" spans="1:2">
      <c r="A818" t="s">
        <v>2167</v>
      </c>
      <c r="B818" t="s">
        <v>2168</v>
      </c>
    </row>
    <row r="819" spans="1:2">
      <c r="A819" t="s">
        <v>2169</v>
      </c>
      <c r="B819" t="s">
        <v>2170</v>
      </c>
    </row>
    <row r="820" spans="1:2">
      <c r="A820" t="s">
        <v>2171</v>
      </c>
      <c r="B820" t="s">
        <v>2172</v>
      </c>
    </row>
    <row r="821" spans="1:2">
      <c r="A821" t="s">
        <v>2173</v>
      </c>
      <c r="B821" t="s">
        <v>2174</v>
      </c>
    </row>
    <row r="822" spans="1:2">
      <c r="A822" t="s">
        <v>2175</v>
      </c>
      <c r="B822" t="s">
        <v>2176</v>
      </c>
    </row>
    <row r="823" spans="1:2">
      <c r="A823" t="s">
        <v>2177</v>
      </c>
      <c r="B823" t="s">
        <v>2178</v>
      </c>
    </row>
    <row r="824" spans="1:2">
      <c r="A824" t="s">
        <v>2179</v>
      </c>
      <c r="B824" t="s">
        <v>2180</v>
      </c>
    </row>
    <row r="825" spans="1:2">
      <c r="A825" t="s">
        <v>2181</v>
      </c>
      <c r="B825" t="s">
        <v>2182</v>
      </c>
    </row>
    <row r="826" spans="1:2">
      <c r="A826" t="s">
        <v>2183</v>
      </c>
      <c r="B826" t="s">
        <v>2184</v>
      </c>
    </row>
    <row r="827" spans="1:2">
      <c r="A827" t="s">
        <v>2185</v>
      </c>
      <c r="B827" t="s">
        <v>2186</v>
      </c>
    </row>
    <row r="828" spans="1:2">
      <c r="A828" t="s">
        <v>2187</v>
      </c>
      <c r="B828" t="s">
        <v>2188</v>
      </c>
    </row>
    <row r="829" spans="1:2">
      <c r="A829" t="s">
        <v>2189</v>
      </c>
      <c r="B829" t="s">
        <v>2190</v>
      </c>
    </row>
    <row r="830" spans="1:2">
      <c r="A830" t="s">
        <v>2191</v>
      </c>
      <c r="B830" t="s">
        <v>2192</v>
      </c>
    </row>
    <row r="831" spans="1:2">
      <c r="A831" t="s">
        <v>2193</v>
      </c>
      <c r="B831" t="s">
        <v>2194</v>
      </c>
    </row>
    <row r="832" spans="1:2">
      <c r="A832" t="s">
        <v>2195</v>
      </c>
      <c r="B832" t="s">
        <v>2196</v>
      </c>
    </row>
    <row r="833" spans="1:2">
      <c r="A833" t="s">
        <v>2197</v>
      </c>
      <c r="B833" t="s">
        <v>2198</v>
      </c>
    </row>
    <row r="834" spans="1:2">
      <c r="A834" t="s">
        <v>2199</v>
      </c>
      <c r="B834" t="s">
        <v>2200</v>
      </c>
    </row>
    <row r="835" spans="1:2">
      <c r="A835" t="s">
        <v>2201</v>
      </c>
      <c r="B835" t="s">
        <v>2202</v>
      </c>
    </row>
    <row r="836" spans="1:2">
      <c r="A836" t="s">
        <v>2203</v>
      </c>
      <c r="B836" t="s">
        <v>2204</v>
      </c>
    </row>
    <row r="837" spans="1:2">
      <c r="A837" t="s">
        <v>2205</v>
      </c>
      <c r="B837" t="s">
        <v>2206</v>
      </c>
    </row>
    <row r="838" spans="1:2">
      <c r="A838" t="s">
        <v>2207</v>
      </c>
      <c r="B838" t="s">
        <v>2208</v>
      </c>
    </row>
    <row r="839" spans="1:2">
      <c r="A839" t="s">
        <v>2209</v>
      </c>
      <c r="B839" t="s">
        <v>2210</v>
      </c>
    </row>
    <row r="840" spans="1:2">
      <c r="A840" t="s">
        <v>2211</v>
      </c>
      <c r="B840" t="s">
        <v>2212</v>
      </c>
    </row>
    <row r="841" spans="1:2">
      <c r="A841" t="s">
        <v>2213</v>
      </c>
      <c r="B841" t="s">
        <v>2214</v>
      </c>
    </row>
    <row r="842" spans="1:2">
      <c r="A842" t="s">
        <v>2215</v>
      </c>
      <c r="B842" t="s">
        <v>2216</v>
      </c>
    </row>
    <row r="843" spans="1:2">
      <c r="A843" t="s">
        <v>156</v>
      </c>
      <c r="B843" t="s">
        <v>2217</v>
      </c>
    </row>
    <row r="844" spans="1:2">
      <c r="A844" t="s">
        <v>2218</v>
      </c>
      <c r="B844" t="s">
        <v>2219</v>
      </c>
    </row>
    <row r="845" spans="1:2">
      <c r="A845" t="s">
        <v>2220</v>
      </c>
      <c r="B845" t="s">
        <v>2221</v>
      </c>
    </row>
    <row r="846" spans="1:2">
      <c r="A846" t="s">
        <v>2222</v>
      </c>
      <c r="B846" t="s">
        <v>2223</v>
      </c>
    </row>
    <row r="847" spans="1:2">
      <c r="A847" t="s">
        <v>2224</v>
      </c>
      <c r="B847" t="s">
        <v>2225</v>
      </c>
    </row>
    <row r="848" spans="1:2">
      <c r="A848" t="s">
        <v>2226</v>
      </c>
      <c r="B848" t="s">
        <v>2227</v>
      </c>
    </row>
    <row r="849" spans="1:2">
      <c r="A849" t="s">
        <v>2228</v>
      </c>
      <c r="B849" t="s">
        <v>2229</v>
      </c>
    </row>
    <row r="850" spans="1:2">
      <c r="A850" t="s">
        <v>2230</v>
      </c>
      <c r="B850" t="s">
        <v>2231</v>
      </c>
    </row>
    <row r="851" spans="1:2">
      <c r="A851" t="s">
        <v>2232</v>
      </c>
      <c r="B851" t="s">
        <v>2233</v>
      </c>
    </row>
    <row r="852" spans="1:2">
      <c r="A852" t="s">
        <v>2234</v>
      </c>
      <c r="B852" t="s">
        <v>2235</v>
      </c>
    </row>
    <row r="853" spans="1:2">
      <c r="A853" t="s">
        <v>2236</v>
      </c>
      <c r="B853" t="s">
        <v>2237</v>
      </c>
    </row>
    <row r="854" spans="1:2">
      <c r="A854" t="s">
        <v>2238</v>
      </c>
      <c r="B854" t="s">
        <v>2239</v>
      </c>
    </row>
    <row r="855" spans="1:2">
      <c r="A855" t="s">
        <v>2240</v>
      </c>
      <c r="B855" t="s">
        <v>2241</v>
      </c>
    </row>
    <row r="856" spans="1:2">
      <c r="A856" t="s">
        <v>2242</v>
      </c>
      <c r="B856" t="s">
        <v>2243</v>
      </c>
    </row>
    <row r="857" spans="1:2">
      <c r="A857" t="s">
        <v>2244</v>
      </c>
      <c r="B857" t="s">
        <v>2245</v>
      </c>
    </row>
    <row r="858" spans="1:2">
      <c r="A858" t="s">
        <v>2246</v>
      </c>
      <c r="B858" t="s">
        <v>2247</v>
      </c>
    </row>
    <row r="859" spans="1:2">
      <c r="A859" t="s">
        <v>2248</v>
      </c>
      <c r="B859" t="s">
        <v>2249</v>
      </c>
    </row>
    <row r="860" spans="1:2">
      <c r="A860" t="s">
        <v>2250</v>
      </c>
      <c r="B860" t="s">
        <v>2251</v>
      </c>
    </row>
    <row r="861" spans="1:2">
      <c r="A861" t="s">
        <v>2252</v>
      </c>
      <c r="B861" t="s">
        <v>2253</v>
      </c>
    </row>
    <row r="862" spans="1:2">
      <c r="A862" t="s">
        <v>2254</v>
      </c>
      <c r="B862" t="s">
        <v>2255</v>
      </c>
    </row>
    <row r="863" spans="1:2">
      <c r="A863" t="s">
        <v>2256</v>
      </c>
      <c r="B863" t="s">
        <v>2257</v>
      </c>
    </row>
    <row r="864" spans="1:2">
      <c r="A864" t="s">
        <v>2258</v>
      </c>
      <c r="B864" t="s">
        <v>2259</v>
      </c>
    </row>
    <row r="865" spans="1:2">
      <c r="A865" t="s">
        <v>2260</v>
      </c>
      <c r="B865" t="s">
        <v>2261</v>
      </c>
    </row>
    <row r="866" spans="1:2">
      <c r="A866" t="s">
        <v>2262</v>
      </c>
      <c r="B866" t="s">
        <v>2263</v>
      </c>
    </row>
    <row r="867" spans="1:2">
      <c r="A867" t="s">
        <v>2264</v>
      </c>
      <c r="B867" t="s">
        <v>2265</v>
      </c>
    </row>
    <row r="868" spans="1:2">
      <c r="A868" t="s">
        <v>2266</v>
      </c>
      <c r="B868" t="s">
        <v>2267</v>
      </c>
    </row>
    <row r="869" spans="1:2">
      <c r="A869" t="s">
        <v>2268</v>
      </c>
      <c r="B869" t="s">
        <v>2269</v>
      </c>
    </row>
    <row r="870" spans="1:2">
      <c r="A870" t="s">
        <v>2270</v>
      </c>
      <c r="B870" t="s">
        <v>2271</v>
      </c>
    </row>
    <row r="871" spans="1:2">
      <c r="A871" t="s">
        <v>2272</v>
      </c>
      <c r="B871" t="s">
        <v>2273</v>
      </c>
    </row>
    <row r="872" spans="1:2">
      <c r="A872" t="s">
        <v>2274</v>
      </c>
      <c r="B872" t="s">
        <v>365</v>
      </c>
    </row>
    <row r="873" spans="1:2">
      <c r="A873" t="s">
        <v>2275</v>
      </c>
      <c r="B873" t="s">
        <v>2276</v>
      </c>
    </row>
    <row r="874" spans="1:2">
      <c r="A874" t="s">
        <v>2277</v>
      </c>
      <c r="B874" t="s">
        <v>2278</v>
      </c>
    </row>
    <row r="875" spans="1:2">
      <c r="A875" t="s">
        <v>2279</v>
      </c>
      <c r="B875" t="s">
        <v>2280</v>
      </c>
    </row>
    <row r="876" spans="1:2">
      <c r="A876" t="s">
        <v>2281</v>
      </c>
      <c r="B876" t="s">
        <v>2282</v>
      </c>
    </row>
    <row r="877" spans="1:2">
      <c r="A877" t="s">
        <v>2283</v>
      </c>
      <c r="B877" t="s">
        <v>2284</v>
      </c>
    </row>
    <row r="878" spans="1:2">
      <c r="A878" t="s">
        <v>2285</v>
      </c>
      <c r="B878" t="s">
        <v>2286</v>
      </c>
    </row>
    <row r="879" spans="1:2">
      <c r="A879" t="s">
        <v>2287</v>
      </c>
      <c r="B879" t="s">
        <v>2288</v>
      </c>
    </row>
    <row r="880" spans="1:2">
      <c r="A880" t="s">
        <v>2289</v>
      </c>
      <c r="B880" t="s">
        <v>2290</v>
      </c>
    </row>
    <row r="881" spans="1:2">
      <c r="A881" t="s">
        <v>2291</v>
      </c>
      <c r="B881" t="s">
        <v>2292</v>
      </c>
    </row>
    <row r="882" spans="1:2">
      <c r="A882" t="s">
        <v>2293</v>
      </c>
      <c r="B882" t="s">
        <v>2294</v>
      </c>
    </row>
    <row r="883" spans="1:2">
      <c r="A883" t="s">
        <v>2295</v>
      </c>
      <c r="B883" t="s">
        <v>2296</v>
      </c>
    </row>
    <row r="884" spans="1:2">
      <c r="A884" t="s">
        <v>2297</v>
      </c>
      <c r="B884" t="s">
        <v>2298</v>
      </c>
    </row>
    <row r="885" spans="1:2">
      <c r="A885" t="s">
        <v>2299</v>
      </c>
      <c r="B885" t="s">
        <v>2300</v>
      </c>
    </row>
    <row r="886" spans="1:2">
      <c r="A886" t="s">
        <v>2301</v>
      </c>
      <c r="B886" t="s">
        <v>2302</v>
      </c>
    </row>
    <row r="887" spans="1:2">
      <c r="A887" t="s">
        <v>2303</v>
      </c>
      <c r="B887" t="s">
        <v>2304</v>
      </c>
    </row>
    <row r="888" spans="1:2">
      <c r="A888" t="s">
        <v>2305</v>
      </c>
      <c r="B888" t="s">
        <v>2306</v>
      </c>
    </row>
    <row r="889" spans="1:2">
      <c r="A889" t="s">
        <v>2307</v>
      </c>
      <c r="B889" t="s">
        <v>2308</v>
      </c>
    </row>
    <row r="890" spans="1:2">
      <c r="A890" t="s">
        <v>2309</v>
      </c>
      <c r="B890" t="s">
        <v>2310</v>
      </c>
    </row>
    <row r="891" spans="1:2">
      <c r="A891" t="s">
        <v>2311</v>
      </c>
      <c r="B891" t="s">
        <v>2312</v>
      </c>
    </row>
    <row r="892" spans="1:2">
      <c r="A892" t="s">
        <v>2313</v>
      </c>
      <c r="B892" t="s">
        <v>2314</v>
      </c>
    </row>
    <row r="893" spans="1:2">
      <c r="A893" t="s">
        <v>2315</v>
      </c>
      <c r="B893" t="s">
        <v>2316</v>
      </c>
    </row>
    <row r="894" spans="1:2">
      <c r="A894" t="s">
        <v>2317</v>
      </c>
      <c r="B894" t="s">
        <v>2318</v>
      </c>
    </row>
    <row r="895" spans="1:2">
      <c r="A895" t="s">
        <v>2319</v>
      </c>
      <c r="B895" t="s">
        <v>2320</v>
      </c>
    </row>
    <row r="896" spans="1:2">
      <c r="A896" t="s">
        <v>2321</v>
      </c>
      <c r="B896" t="s">
        <v>2322</v>
      </c>
    </row>
    <row r="897" spans="1:2">
      <c r="A897" t="s">
        <v>2323</v>
      </c>
      <c r="B897" t="s">
        <v>2324</v>
      </c>
    </row>
    <row r="898" spans="1:2">
      <c r="A898" t="s">
        <v>2325</v>
      </c>
      <c r="B898" t="s">
        <v>2326</v>
      </c>
    </row>
    <row r="899" spans="1:2">
      <c r="A899" t="s">
        <v>2327</v>
      </c>
      <c r="B899" t="s">
        <v>2328</v>
      </c>
    </row>
    <row r="900" spans="1:2">
      <c r="A900" t="s">
        <v>2329</v>
      </c>
      <c r="B900" t="s">
        <v>2330</v>
      </c>
    </row>
    <row r="901" spans="1:2">
      <c r="A901" t="s">
        <v>2331</v>
      </c>
      <c r="B901" t="s">
        <v>2332</v>
      </c>
    </row>
    <row r="902" spans="1:2">
      <c r="A902" t="s">
        <v>2333</v>
      </c>
      <c r="B902" t="s">
        <v>2334</v>
      </c>
    </row>
    <row r="903" spans="1:2">
      <c r="A903" t="s">
        <v>2335</v>
      </c>
      <c r="B903" t="s">
        <v>2336</v>
      </c>
    </row>
    <row r="904" spans="1:2">
      <c r="A904" t="s">
        <v>2337</v>
      </c>
      <c r="B904" t="s">
        <v>2338</v>
      </c>
    </row>
    <row r="905" spans="1:2">
      <c r="A905" t="s">
        <v>2339</v>
      </c>
      <c r="B905" t="s">
        <v>2340</v>
      </c>
    </row>
    <row r="906" spans="1:2">
      <c r="A906" t="s">
        <v>2341</v>
      </c>
      <c r="B906" t="s">
        <v>2342</v>
      </c>
    </row>
    <row r="907" spans="1:2">
      <c r="A907" t="s">
        <v>2343</v>
      </c>
      <c r="B907" t="s">
        <v>2344</v>
      </c>
    </row>
    <row r="908" spans="1:2">
      <c r="A908" t="s">
        <v>2345</v>
      </c>
      <c r="B908" t="s">
        <v>2346</v>
      </c>
    </row>
    <row r="909" spans="1:2">
      <c r="A909" t="s">
        <v>2347</v>
      </c>
      <c r="B909" t="s">
        <v>2348</v>
      </c>
    </row>
    <row r="910" spans="1:2">
      <c r="A910" t="s">
        <v>2349</v>
      </c>
      <c r="B910" t="s">
        <v>2350</v>
      </c>
    </row>
    <row r="911" spans="1:2">
      <c r="A911" t="s">
        <v>2351</v>
      </c>
      <c r="B911" t="s">
        <v>2352</v>
      </c>
    </row>
    <row r="912" spans="1:2">
      <c r="A912" t="s">
        <v>2353</v>
      </c>
      <c r="B912" t="s">
        <v>2354</v>
      </c>
    </row>
    <row r="913" spans="1:2">
      <c r="A913" t="s">
        <v>2355</v>
      </c>
      <c r="B913" t="s">
        <v>2356</v>
      </c>
    </row>
    <row r="914" spans="1:2">
      <c r="A914" t="s">
        <v>2357</v>
      </c>
      <c r="B914" t="s">
        <v>2358</v>
      </c>
    </row>
    <row r="915" spans="1:2">
      <c r="A915" t="s">
        <v>2359</v>
      </c>
      <c r="B915" t="s">
        <v>2360</v>
      </c>
    </row>
    <row r="916" spans="1:2">
      <c r="A916" t="s">
        <v>2361</v>
      </c>
      <c r="B916" t="s">
        <v>2362</v>
      </c>
    </row>
    <row r="917" spans="1:2">
      <c r="A917" t="s">
        <v>2363</v>
      </c>
      <c r="B917" t="s">
        <v>2364</v>
      </c>
    </row>
    <row r="918" spans="1:2">
      <c r="A918" t="s">
        <v>2365</v>
      </c>
      <c r="B918" t="s">
        <v>2366</v>
      </c>
    </row>
    <row r="919" spans="1:2">
      <c r="A919" t="s">
        <v>2367</v>
      </c>
      <c r="B919" t="s">
        <v>2368</v>
      </c>
    </row>
    <row r="920" spans="1:2">
      <c r="A920" t="s">
        <v>2369</v>
      </c>
      <c r="B920" t="s">
        <v>2370</v>
      </c>
    </row>
    <row r="921" spans="1:2">
      <c r="A921" t="s">
        <v>2371</v>
      </c>
      <c r="B921" t="s">
        <v>2372</v>
      </c>
    </row>
    <row r="922" spans="1:2">
      <c r="A922" t="s">
        <v>2373</v>
      </c>
      <c r="B922" t="s">
        <v>2374</v>
      </c>
    </row>
    <row r="923" spans="1:2">
      <c r="A923" t="s">
        <v>2375</v>
      </c>
      <c r="B923" t="s">
        <v>2376</v>
      </c>
    </row>
    <row r="924" spans="1:2">
      <c r="A924" t="s">
        <v>2377</v>
      </c>
      <c r="B924" t="s">
        <v>2378</v>
      </c>
    </row>
    <row r="925" spans="1:2">
      <c r="A925" t="s">
        <v>2379</v>
      </c>
      <c r="B925" t="s">
        <v>2380</v>
      </c>
    </row>
    <row r="926" spans="1:2">
      <c r="A926" t="s">
        <v>2381</v>
      </c>
      <c r="B926" t="s">
        <v>2382</v>
      </c>
    </row>
    <row r="927" spans="1:2">
      <c r="A927" t="s">
        <v>2383</v>
      </c>
      <c r="B927" t="s">
        <v>2384</v>
      </c>
    </row>
    <row r="928" spans="1:2">
      <c r="A928" t="s">
        <v>2385</v>
      </c>
      <c r="B928" t="s">
        <v>2386</v>
      </c>
    </row>
    <row r="929" spans="1:2">
      <c r="A929" t="s">
        <v>2387</v>
      </c>
      <c r="B929" t="s">
        <v>2388</v>
      </c>
    </row>
    <row r="930" spans="1:2">
      <c r="A930" t="s">
        <v>2389</v>
      </c>
      <c r="B930" t="s">
        <v>2390</v>
      </c>
    </row>
    <row r="931" spans="1:2">
      <c r="A931" t="s">
        <v>2391</v>
      </c>
      <c r="B931" t="s">
        <v>2392</v>
      </c>
    </row>
    <row r="932" spans="1:2">
      <c r="A932" t="s">
        <v>2393</v>
      </c>
      <c r="B932" t="s">
        <v>2394</v>
      </c>
    </row>
    <row r="933" spans="1:2">
      <c r="A933" t="s">
        <v>2395</v>
      </c>
      <c r="B933" t="s">
        <v>2396</v>
      </c>
    </row>
    <row r="934" spans="1:2">
      <c r="A934" t="s">
        <v>2397</v>
      </c>
      <c r="B934" t="s">
        <v>2398</v>
      </c>
    </row>
    <row r="935" spans="1:2">
      <c r="A935" t="s">
        <v>2399</v>
      </c>
      <c r="B935" t="s">
        <v>2400</v>
      </c>
    </row>
    <row r="936" spans="1:2">
      <c r="A936" t="s">
        <v>2401</v>
      </c>
      <c r="B936" t="s">
        <v>2402</v>
      </c>
    </row>
    <row r="937" spans="1:2">
      <c r="A937" t="s">
        <v>2403</v>
      </c>
      <c r="B937" t="s">
        <v>2404</v>
      </c>
    </row>
    <row r="938" spans="1:2">
      <c r="A938" t="s">
        <v>2405</v>
      </c>
      <c r="B938" t="s">
        <v>2406</v>
      </c>
    </row>
    <row r="939" spans="1:2">
      <c r="A939" t="s">
        <v>2407</v>
      </c>
      <c r="B939" t="s">
        <v>2408</v>
      </c>
    </row>
    <row r="940" spans="1:2">
      <c r="A940" t="s">
        <v>2409</v>
      </c>
      <c r="B940" t="s">
        <v>2410</v>
      </c>
    </row>
    <row r="941" spans="1:2">
      <c r="A941" t="s">
        <v>2411</v>
      </c>
      <c r="B941" t="s">
        <v>2412</v>
      </c>
    </row>
    <row r="942" spans="1:2">
      <c r="A942" t="s">
        <v>2413</v>
      </c>
      <c r="B942" t="s">
        <v>2414</v>
      </c>
    </row>
    <row r="943" spans="1:2">
      <c r="A943" t="s">
        <v>2415</v>
      </c>
      <c r="B943" t="s">
        <v>2416</v>
      </c>
    </row>
    <row r="944" spans="1:2">
      <c r="A944" t="s">
        <v>2417</v>
      </c>
      <c r="B944" t="s">
        <v>2418</v>
      </c>
    </row>
    <row r="945" spans="1:2">
      <c r="A945" t="s">
        <v>2419</v>
      </c>
      <c r="B945" t="s">
        <v>2420</v>
      </c>
    </row>
    <row r="946" spans="1:2">
      <c r="A946" t="s">
        <v>2421</v>
      </c>
      <c r="B946" t="s">
        <v>2422</v>
      </c>
    </row>
    <row r="947" spans="1:2">
      <c r="A947" t="s">
        <v>2423</v>
      </c>
      <c r="B947" t="s">
        <v>2424</v>
      </c>
    </row>
    <row r="948" spans="1:2">
      <c r="A948" t="s">
        <v>2425</v>
      </c>
      <c r="B948" t="s">
        <v>2426</v>
      </c>
    </row>
    <row r="949" spans="1:2">
      <c r="A949" t="s">
        <v>2427</v>
      </c>
      <c r="B949" t="s">
        <v>2428</v>
      </c>
    </row>
    <row r="950" spans="1:2">
      <c r="A950" t="s">
        <v>2429</v>
      </c>
      <c r="B950" t="s">
        <v>2430</v>
      </c>
    </row>
    <row r="951" spans="1:2">
      <c r="A951" t="s">
        <v>2431</v>
      </c>
      <c r="B951" t="s">
        <v>2432</v>
      </c>
    </row>
    <row r="952" spans="1:2">
      <c r="A952" t="s">
        <v>2433</v>
      </c>
      <c r="B952" t="s">
        <v>2434</v>
      </c>
    </row>
    <row r="953" spans="1:2">
      <c r="A953" t="s">
        <v>2435</v>
      </c>
      <c r="B953" t="s">
        <v>2436</v>
      </c>
    </row>
    <row r="954" spans="1:2">
      <c r="A954" t="s">
        <v>2437</v>
      </c>
      <c r="B954" t="s">
        <v>2438</v>
      </c>
    </row>
    <row r="955" spans="1:2">
      <c r="A955" t="s">
        <v>2439</v>
      </c>
      <c r="B955" t="s">
        <v>2440</v>
      </c>
    </row>
    <row r="956" spans="1:2">
      <c r="A956" t="s">
        <v>2441</v>
      </c>
      <c r="B956" t="s">
        <v>2442</v>
      </c>
    </row>
    <row r="957" spans="1:2">
      <c r="A957" t="s">
        <v>2443</v>
      </c>
      <c r="B957" t="s">
        <v>2444</v>
      </c>
    </row>
    <row r="958" spans="1:2">
      <c r="A958" t="s">
        <v>2445</v>
      </c>
      <c r="B958" t="s">
        <v>2446</v>
      </c>
    </row>
    <row r="959" spans="1:2">
      <c r="A959" t="s">
        <v>2447</v>
      </c>
      <c r="B959" t="s">
        <v>2448</v>
      </c>
    </row>
    <row r="960" spans="1:2">
      <c r="A960" t="s">
        <v>2449</v>
      </c>
      <c r="B960" t="s">
        <v>2450</v>
      </c>
    </row>
    <row r="961" spans="1:2">
      <c r="A961" t="s">
        <v>2451</v>
      </c>
      <c r="B961" t="s">
        <v>2452</v>
      </c>
    </row>
    <row r="962" spans="1:2">
      <c r="A962" t="s">
        <v>2453</v>
      </c>
      <c r="B962" t="s">
        <v>2454</v>
      </c>
    </row>
    <row r="963" spans="1:2">
      <c r="A963" t="s">
        <v>2455</v>
      </c>
      <c r="B963" t="s">
        <v>2456</v>
      </c>
    </row>
    <row r="964" spans="1:2">
      <c r="A964" t="s">
        <v>2457</v>
      </c>
      <c r="B964" t="s">
        <v>2458</v>
      </c>
    </row>
    <row r="965" spans="1:2">
      <c r="A965" t="s">
        <v>2459</v>
      </c>
      <c r="B965" t="s">
        <v>2460</v>
      </c>
    </row>
    <row r="966" spans="1:2">
      <c r="A966" t="s">
        <v>2461</v>
      </c>
      <c r="B966" t="s">
        <v>294</v>
      </c>
    </row>
    <row r="967" spans="1:2">
      <c r="A967" t="s">
        <v>2462</v>
      </c>
      <c r="B967" t="s">
        <v>2463</v>
      </c>
    </row>
    <row r="968" spans="1:2">
      <c r="A968" t="s">
        <v>2464</v>
      </c>
      <c r="B968" t="s">
        <v>2465</v>
      </c>
    </row>
    <row r="969" spans="1:2">
      <c r="A969" t="s">
        <v>2466</v>
      </c>
      <c r="B969" t="s">
        <v>2467</v>
      </c>
    </row>
    <row r="970" spans="1:2">
      <c r="A970" t="s">
        <v>2468</v>
      </c>
      <c r="B970" t="s">
        <v>2469</v>
      </c>
    </row>
    <row r="971" spans="1:2">
      <c r="A971" t="s">
        <v>2470</v>
      </c>
      <c r="B971" t="s">
        <v>2471</v>
      </c>
    </row>
    <row r="972" spans="1:2">
      <c r="A972" t="s">
        <v>2472</v>
      </c>
      <c r="B972" t="s">
        <v>2473</v>
      </c>
    </row>
    <row r="973" spans="1:2">
      <c r="A973" t="s">
        <v>2474</v>
      </c>
      <c r="B973" t="s">
        <v>2475</v>
      </c>
    </row>
    <row r="974" spans="1:2">
      <c r="A974" t="s">
        <v>2476</v>
      </c>
      <c r="B974" t="s">
        <v>2477</v>
      </c>
    </row>
    <row r="975" spans="1:2">
      <c r="A975" t="s">
        <v>2478</v>
      </c>
      <c r="B975" t="s">
        <v>2479</v>
      </c>
    </row>
    <row r="976" spans="1:2">
      <c r="A976" t="s">
        <v>2480</v>
      </c>
      <c r="B976" t="s">
        <v>2481</v>
      </c>
    </row>
    <row r="977" spans="1:2">
      <c r="A977" t="s">
        <v>2482</v>
      </c>
      <c r="B977" t="s">
        <v>2483</v>
      </c>
    </row>
    <row r="978" spans="1:2">
      <c r="A978" t="s">
        <v>2484</v>
      </c>
      <c r="B978" t="s">
        <v>2485</v>
      </c>
    </row>
    <row r="979" spans="1:2">
      <c r="A979" t="s">
        <v>2486</v>
      </c>
      <c r="B979" t="s">
        <v>2487</v>
      </c>
    </row>
    <row r="980" spans="1:2">
      <c r="A980" t="s">
        <v>2488</v>
      </c>
      <c r="B980" t="s">
        <v>2489</v>
      </c>
    </row>
    <row r="981" spans="1:2">
      <c r="A981" t="s">
        <v>2490</v>
      </c>
      <c r="B981" t="s">
        <v>2491</v>
      </c>
    </row>
    <row r="982" spans="1:2">
      <c r="A982" t="s">
        <v>2492</v>
      </c>
      <c r="B982" t="s">
        <v>2493</v>
      </c>
    </row>
    <row r="983" spans="1:2">
      <c r="A983" t="s">
        <v>2494</v>
      </c>
      <c r="B983" t="s">
        <v>2495</v>
      </c>
    </row>
    <row r="984" spans="1:2">
      <c r="A984" t="s">
        <v>2496</v>
      </c>
      <c r="B984" t="s">
        <v>2497</v>
      </c>
    </row>
    <row r="985" spans="1:2">
      <c r="A985" t="s">
        <v>2498</v>
      </c>
      <c r="B985" t="s">
        <v>2499</v>
      </c>
    </row>
    <row r="986" spans="1:2">
      <c r="A986" t="s">
        <v>2500</v>
      </c>
      <c r="B986" t="s">
        <v>2501</v>
      </c>
    </row>
    <row r="987" spans="1:2">
      <c r="A987" t="s">
        <v>2502</v>
      </c>
      <c r="B987" t="s">
        <v>2503</v>
      </c>
    </row>
    <row r="988" spans="1:2">
      <c r="A988" t="s">
        <v>2504</v>
      </c>
      <c r="B988" t="s">
        <v>2505</v>
      </c>
    </row>
    <row r="989" spans="1:2">
      <c r="A989" t="s">
        <v>2506</v>
      </c>
      <c r="B989" t="s">
        <v>2507</v>
      </c>
    </row>
    <row r="990" spans="1:2">
      <c r="A990" t="s">
        <v>2508</v>
      </c>
      <c r="B990" t="s">
        <v>2509</v>
      </c>
    </row>
    <row r="991" spans="1:2">
      <c r="A991" t="s">
        <v>2510</v>
      </c>
      <c r="B991" t="s">
        <v>299</v>
      </c>
    </row>
    <row r="992" spans="1:2">
      <c r="A992" t="s">
        <v>2511</v>
      </c>
      <c r="B992" t="s">
        <v>2512</v>
      </c>
    </row>
    <row r="993" spans="1:2">
      <c r="A993" t="s">
        <v>2513</v>
      </c>
      <c r="B993" t="s">
        <v>2514</v>
      </c>
    </row>
    <row r="994" spans="1:2">
      <c r="A994" t="s">
        <v>2515</v>
      </c>
      <c r="B994" t="s">
        <v>2516</v>
      </c>
    </row>
    <row r="995" spans="1:2">
      <c r="A995" t="s">
        <v>2517</v>
      </c>
      <c r="B995" t="s">
        <v>2518</v>
      </c>
    </row>
    <row r="996" spans="1:2">
      <c r="A996" t="s">
        <v>2519</v>
      </c>
      <c r="B996" t="s">
        <v>2520</v>
      </c>
    </row>
    <row r="997" spans="1:2">
      <c r="A997" t="s">
        <v>2521</v>
      </c>
      <c r="B997" t="s">
        <v>2522</v>
      </c>
    </row>
    <row r="998" spans="1:2">
      <c r="A998" t="s">
        <v>2523</v>
      </c>
      <c r="B998" t="s">
        <v>2524</v>
      </c>
    </row>
    <row r="999" spans="1:2">
      <c r="A999" t="s">
        <v>2525</v>
      </c>
      <c r="B999" t="s">
        <v>2526</v>
      </c>
    </row>
    <row r="1000" spans="1:2">
      <c r="A1000" t="s">
        <v>2527</v>
      </c>
      <c r="B1000" t="s">
        <v>2528</v>
      </c>
    </row>
    <row r="1001" spans="1:2">
      <c r="A1001" t="s">
        <v>2529</v>
      </c>
      <c r="B1001" t="s">
        <v>2530</v>
      </c>
    </row>
    <row r="1002" spans="1:2">
      <c r="A1002" t="s">
        <v>2531</v>
      </c>
      <c r="B1002" t="s">
        <v>2532</v>
      </c>
    </row>
    <row r="1003" spans="1:2">
      <c r="A1003" t="s">
        <v>2533</v>
      </c>
      <c r="B1003" t="s">
        <v>2534</v>
      </c>
    </row>
    <row r="1004" spans="1:2">
      <c r="A1004" t="s">
        <v>2535</v>
      </c>
      <c r="B1004" t="s">
        <v>2536</v>
      </c>
    </row>
    <row r="1005" spans="1:2">
      <c r="A1005" t="s">
        <v>2537</v>
      </c>
      <c r="B1005" t="s">
        <v>2538</v>
      </c>
    </row>
    <row r="1006" spans="1:2">
      <c r="A1006" t="s">
        <v>2539</v>
      </c>
      <c r="B1006" t="s">
        <v>2540</v>
      </c>
    </row>
    <row r="1007" spans="1:2">
      <c r="A1007" t="s">
        <v>2541</v>
      </c>
      <c r="B1007" t="s">
        <v>2542</v>
      </c>
    </row>
    <row r="1008" spans="1:2">
      <c r="A1008" t="s">
        <v>2543</v>
      </c>
      <c r="B1008" t="s">
        <v>2544</v>
      </c>
    </row>
    <row r="1009" spans="1:2">
      <c r="A1009" t="s">
        <v>2545</v>
      </c>
      <c r="B1009" t="s">
        <v>2546</v>
      </c>
    </row>
    <row r="1010" spans="1:2">
      <c r="A1010" t="s">
        <v>2547</v>
      </c>
      <c r="B1010" t="s">
        <v>2548</v>
      </c>
    </row>
    <row r="1011" spans="1:2">
      <c r="A1011" t="s">
        <v>2549</v>
      </c>
      <c r="B1011" t="s">
        <v>2550</v>
      </c>
    </row>
    <row r="1012" spans="1:2">
      <c r="A1012" t="s">
        <v>2551</v>
      </c>
      <c r="B1012" t="s">
        <v>2552</v>
      </c>
    </row>
    <row r="1013" spans="1:2">
      <c r="A1013" t="s">
        <v>2553</v>
      </c>
      <c r="B1013" t="s">
        <v>2554</v>
      </c>
    </row>
    <row r="1014" spans="1:2">
      <c r="A1014" t="s">
        <v>2555</v>
      </c>
      <c r="B1014" t="s">
        <v>2556</v>
      </c>
    </row>
    <row r="1015" spans="1:2">
      <c r="A1015" t="s">
        <v>2557</v>
      </c>
      <c r="B1015" t="s">
        <v>2558</v>
      </c>
    </row>
    <row r="1016" spans="1:2">
      <c r="A1016" t="s">
        <v>2559</v>
      </c>
      <c r="B1016" t="s">
        <v>2560</v>
      </c>
    </row>
    <row r="1017" spans="1:2">
      <c r="A1017" t="s">
        <v>2561</v>
      </c>
      <c r="B1017" t="s">
        <v>2562</v>
      </c>
    </row>
    <row r="1018" spans="1:2">
      <c r="A1018" t="s">
        <v>2563</v>
      </c>
      <c r="B1018" t="s">
        <v>2564</v>
      </c>
    </row>
    <row r="1019" spans="1:2">
      <c r="A1019" t="s">
        <v>2565</v>
      </c>
      <c r="B1019" t="s">
        <v>2566</v>
      </c>
    </row>
    <row r="1020" spans="1:2">
      <c r="A1020" t="s">
        <v>2567</v>
      </c>
      <c r="B1020" t="s">
        <v>2568</v>
      </c>
    </row>
    <row r="1021" spans="1:2">
      <c r="A1021" t="s">
        <v>2569</v>
      </c>
      <c r="B1021" t="s">
        <v>2570</v>
      </c>
    </row>
    <row r="1022" spans="1:2">
      <c r="A1022" t="s">
        <v>2571</v>
      </c>
      <c r="B1022" t="s">
        <v>2572</v>
      </c>
    </row>
    <row r="1023" spans="1:2">
      <c r="A1023" t="s">
        <v>2573</v>
      </c>
      <c r="B1023" t="s">
        <v>2574</v>
      </c>
    </row>
    <row r="1024" spans="1:2">
      <c r="A1024" t="s">
        <v>2575</v>
      </c>
      <c r="B1024" t="s">
        <v>2576</v>
      </c>
    </row>
    <row r="1025" spans="1:2">
      <c r="A1025" t="s">
        <v>2577</v>
      </c>
      <c r="B1025" t="s">
        <v>2578</v>
      </c>
    </row>
    <row r="1026" spans="1:2">
      <c r="A1026" t="s">
        <v>2579</v>
      </c>
      <c r="B1026" t="s">
        <v>2580</v>
      </c>
    </row>
    <row r="1027" spans="1:2">
      <c r="A1027" t="s">
        <v>2581</v>
      </c>
      <c r="B1027" t="s">
        <v>2582</v>
      </c>
    </row>
    <row r="1028" spans="1:2">
      <c r="A1028" t="s">
        <v>2583</v>
      </c>
      <c r="B1028" t="s">
        <v>2584</v>
      </c>
    </row>
    <row r="1029" spans="1:2">
      <c r="A1029" t="s">
        <v>2585</v>
      </c>
      <c r="B1029" t="s">
        <v>2586</v>
      </c>
    </row>
    <row r="1030" spans="1:2">
      <c r="A1030" t="s">
        <v>2587</v>
      </c>
      <c r="B1030" t="s">
        <v>2588</v>
      </c>
    </row>
    <row r="1031" spans="1:2">
      <c r="A1031" t="s">
        <v>2589</v>
      </c>
      <c r="B1031" t="s">
        <v>2590</v>
      </c>
    </row>
    <row r="1032" spans="1:2">
      <c r="A1032" t="s">
        <v>2591</v>
      </c>
      <c r="B1032" t="s">
        <v>2592</v>
      </c>
    </row>
    <row r="1033" spans="1:2">
      <c r="A1033" t="s">
        <v>2593</v>
      </c>
      <c r="B1033" t="s">
        <v>2594</v>
      </c>
    </row>
    <row r="1034" spans="1:2">
      <c r="A1034" t="s">
        <v>2595</v>
      </c>
      <c r="B1034" t="s">
        <v>2596</v>
      </c>
    </row>
    <row r="1035" spans="1:2">
      <c r="A1035" t="s">
        <v>2597</v>
      </c>
      <c r="B1035" t="s">
        <v>2598</v>
      </c>
    </row>
    <row r="1036" spans="1:2">
      <c r="A1036" t="s">
        <v>2599</v>
      </c>
      <c r="B1036" t="s">
        <v>2600</v>
      </c>
    </row>
    <row r="1037" spans="1:2">
      <c r="A1037" t="s">
        <v>2601</v>
      </c>
      <c r="B1037" t="s">
        <v>2602</v>
      </c>
    </row>
    <row r="1038" spans="1:2">
      <c r="A1038" t="s">
        <v>2603</v>
      </c>
      <c r="B1038" t="s">
        <v>2604</v>
      </c>
    </row>
    <row r="1039" spans="1:2">
      <c r="A1039" t="s">
        <v>2605</v>
      </c>
      <c r="B1039" t="s">
        <v>2606</v>
      </c>
    </row>
    <row r="1040" spans="1:2">
      <c r="A1040" t="s">
        <v>2607</v>
      </c>
      <c r="B1040" t="s">
        <v>2608</v>
      </c>
    </row>
    <row r="1041" spans="1:2">
      <c r="A1041" t="s">
        <v>2609</v>
      </c>
      <c r="B1041" t="s">
        <v>2610</v>
      </c>
    </row>
    <row r="1042" spans="1:2">
      <c r="A1042" t="s">
        <v>2611</v>
      </c>
      <c r="B1042" t="s">
        <v>2612</v>
      </c>
    </row>
    <row r="1043" spans="1:2">
      <c r="A1043" t="s">
        <v>2613</v>
      </c>
      <c r="B1043" t="s">
        <v>2614</v>
      </c>
    </row>
    <row r="1044" spans="1:2">
      <c r="A1044" t="s">
        <v>2615</v>
      </c>
      <c r="B1044" t="s">
        <v>2616</v>
      </c>
    </row>
    <row r="1045" spans="1:2">
      <c r="A1045" t="s">
        <v>2617</v>
      </c>
      <c r="B1045" t="s">
        <v>2618</v>
      </c>
    </row>
    <row r="1046" spans="1:2">
      <c r="A1046" t="s">
        <v>2619</v>
      </c>
      <c r="B1046" t="s">
        <v>2620</v>
      </c>
    </row>
    <row r="1047" spans="1:2">
      <c r="A1047" t="s">
        <v>2621</v>
      </c>
      <c r="B1047" t="s">
        <v>2622</v>
      </c>
    </row>
    <row r="1048" spans="1:2">
      <c r="A1048" t="s">
        <v>2623</v>
      </c>
      <c r="B1048" t="s">
        <v>2624</v>
      </c>
    </row>
    <row r="1049" spans="1:2">
      <c r="A1049" t="s">
        <v>2625</v>
      </c>
      <c r="B1049" t="s">
        <v>2626</v>
      </c>
    </row>
    <row r="1050" spans="1:2">
      <c r="A1050" t="s">
        <v>2627</v>
      </c>
      <c r="B1050" t="s">
        <v>2628</v>
      </c>
    </row>
    <row r="1051" spans="1:2">
      <c r="A1051" t="s">
        <v>2629</v>
      </c>
      <c r="B1051" t="s">
        <v>2630</v>
      </c>
    </row>
    <row r="1052" spans="1:2">
      <c r="A1052" t="s">
        <v>2631</v>
      </c>
      <c r="B1052" t="s">
        <v>2632</v>
      </c>
    </row>
    <row r="1053" spans="1:2">
      <c r="A1053" t="s">
        <v>2633</v>
      </c>
      <c r="B1053" t="s">
        <v>2634</v>
      </c>
    </row>
    <row r="1054" spans="1:2">
      <c r="A1054" t="s">
        <v>2635</v>
      </c>
      <c r="B1054" t="s">
        <v>2636</v>
      </c>
    </row>
    <row r="1055" spans="1:2">
      <c r="A1055" t="s">
        <v>2637</v>
      </c>
      <c r="B1055" t="s">
        <v>2638</v>
      </c>
    </row>
    <row r="1056" spans="1:2">
      <c r="A1056" t="s">
        <v>2639</v>
      </c>
      <c r="B1056" t="s">
        <v>2640</v>
      </c>
    </row>
    <row r="1057" spans="1:2">
      <c r="A1057" t="s">
        <v>2641</v>
      </c>
      <c r="B1057" t="s">
        <v>2642</v>
      </c>
    </row>
    <row r="1058" spans="1:2">
      <c r="A1058" t="s">
        <v>2643</v>
      </c>
      <c r="B1058" t="s">
        <v>2644</v>
      </c>
    </row>
    <row r="1059" spans="1:2">
      <c r="A1059" t="s">
        <v>2645</v>
      </c>
      <c r="B1059" t="s">
        <v>2646</v>
      </c>
    </row>
    <row r="1060" spans="1:2">
      <c r="A1060" t="s">
        <v>2647</v>
      </c>
      <c r="B1060" t="s">
        <v>2648</v>
      </c>
    </row>
    <row r="1061" spans="1:2">
      <c r="A1061" t="s">
        <v>2649</v>
      </c>
      <c r="B1061" t="s">
        <v>2650</v>
      </c>
    </row>
    <row r="1062" spans="1:2">
      <c r="A1062" t="s">
        <v>2651</v>
      </c>
      <c r="B1062" t="s">
        <v>2652</v>
      </c>
    </row>
    <row r="1063" spans="1:2">
      <c r="A1063" t="s">
        <v>2653</v>
      </c>
      <c r="B1063" t="s">
        <v>2654</v>
      </c>
    </row>
    <row r="1064" spans="1:2">
      <c r="A1064" t="s">
        <v>2655</v>
      </c>
      <c r="B1064" t="s">
        <v>2656</v>
      </c>
    </row>
    <row r="1065" spans="1:2">
      <c r="A1065" t="s">
        <v>2657</v>
      </c>
      <c r="B1065" t="s">
        <v>2658</v>
      </c>
    </row>
    <row r="1066" spans="1:2">
      <c r="A1066" t="s">
        <v>2659</v>
      </c>
      <c r="B1066" t="s">
        <v>2660</v>
      </c>
    </row>
    <row r="1067" spans="1:2">
      <c r="A1067" t="s">
        <v>2661</v>
      </c>
      <c r="B1067" t="s">
        <v>2662</v>
      </c>
    </row>
    <row r="1068" spans="1:2">
      <c r="A1068" t="s">
        <v>2663</v>
      </c>
      <c r="B1068" t="s">
        <v>2664</v>
      </c>
    </row>
    <row r="1069" spans="1:2">
      <c r="A1069" t="s">
        <v>2665</v>
      </c>
      <c r="B1069" t="s">
        <v>2666</v>
      </c>
    </row>
    <row r="1070" spans="1:2">
      <c r="A1070" t="s">
        <v>2667</v>
      </c>
      <c r="B1070" t="s">
        <v>2668</v>
      </c>
    </row>
    <row r="1071" spans="1:2">
      <c r="A1071" t="s">
        <v>2669</v>
      </c>
      <c r="B1071" t="s">
        <v>2670</v>
      </c>
    </row>
    <row r="1072" spans="1:2">
      <c r="A1072" t="s">
        <v>2671</v>
      </c>
      <c r="B1072" t="s">
        <v>2672</v>
      </c>
    </row>
    <row r="1073" spans="1:2">
      <c r="A1073" t="s">
        <v>2673</v>
      </c>
      <c r="B1073" t="s">
        <v>2674</v>
      </c>
    </row>
    <row r="1074" spans="1:2">
      <c r="A1074" t="s">
        <v>2675</v>
      </c>
      <c r="B1074" t="s">
        <v>2676</v>
      </c>
    </row>
    <row r="1075" spans="1:2">
      <c r="A1075" t="s">
        <v>2677</v>
      </c>
      <c r="B1075" t="s">
        <v>2678</v>
      </c>
    </row>
    <row r="1076" spans="1:2">
      <c r="A1076" t="s">
        <v>2679</v>
      </c>
      <c r="B1076" t="s">
        <v>2680</v>
      </c>
    </row>
    <row r="1077" spans="1:2">
      <c r="A1077" t="s">
        <v>2681</v>
      </c>
      <c r="B1077" t="s">
        <v>2682</v>
      </c>
    </row>
    <row r="1078" spans="1:2">
      <c r="A1078" t="s">
        <v>2683</v>
      </c>
      <c r="B1078" t="s">
        <v>2684</v>
      </c>
    </row>
    <row r="1079" spans="1:2">
      <c r="A1079" t="s">
        <v>2685</v>
      </c>
      <c r="B1079" t="s">
        <v>2686</v>
      </c>
    </row>
    <row r="1080" spans="1:2">
      <c r="A1080" t="s">
        <v>2687</v>
      </c>
      <c r="B1080" t="s">
        <v>2688</v>
      </c>
    </row>
    <row r="1081" spans="1:2">
      <c r="A1081" t="s">
        <v>2689</v>
      </c>
      <c r="B1081" t="s">
        <v>2690</v>
      </c>
    </row>
    <row r="1082" spans="1:2">
      <c r="A1082" t="s">
        <v>2691</v>
      </c>
      <c r="B1082" t="s">
        <v>2692</v>
      </c>
    </row>
    <row r="1083" spans="1:2">
      <c r="A1083" t="s">
        <v>2693</v>
      </c>
      <c r="B1083" t="s">
        <v>2694</v>
      </c>
    </row>
    <row r="1084" spans="1:2">
      <c r="A1084" t="s">
        <v>2695</v>
      </c>
      <c r="B1084" t="s">
        <v>2696</v>
      </c>
    </row>
    <row r="1085" spans="1:2">
      <c r="A1085" t="s">
        <v>2697</v>
      </c>
      <c r="B1085" t="s">
        <v>2698</v>
      </c>
    </row>
    <row r="1086" spans="1:2">
      <c r="A1086" t="s">
        <v>2699</v>
      </c>
      <c r="B1086" t="s">
        <v>2700</v>
      </c>
    </row>
    <row r="1087" spans="1:2">
      <c r="A1087" t="s">
        <v>2701</v>
      </c>
      <c r="B1087" t="s">
        <v>2702</v>
      </c>
    </row>
    <row r="1088" spans="1:2">
      <c r="A1088" t="s">
        <v>2703</v>
      </c>
      <c r="B1088" t="s">
        <v>2704</v>
      </c>
    </row>
    <row r="1089" spans="1:2">
      <c r="A1089" t="s">
        <v>2705</v>
      </c>
      <c r="B1089" t="s">
        <v>2706</v>
      </c>
    </row>
    <row r="1090" spans="1:2">
      <c r="A1090" t="s">
        <v>2707</v>
      </c>
      <c r="B1090" t="s">
        <v>2708</v>
      </c>
    </row>
    <row r="1091" spans="1:2">
      <c r="A1091" t="s">
        <v>2709</v>
      </c>
      <c r="B1091" t="s">
        <v>2710</v>
      </c>
    </row>
    <row r="1092" spans="1:2">
      <c r="A1092" t="s">
        <v>2711</v>
      </c>
      <c r="B1092" t="s">
        <v>2712</v>
      </c>
    </row>
    <row r="1093" spans="1:2">
      <c r="A1093" t="s">
        <v>2713</v>
      </c>
      <c r="B1093" t="s">
        <v>2714</v>
      </c>
    </row>
    <row r="1094" spans="1:2">
      <c r="A1094" t="s">
        <v>2715</v>
      </c>
      <c r="B1094" t="s">
        <v>2716</v>
      </c>
    </row>
    <row r="1095" spans="1:2">
      <c r="A1095" t="s">
        <v>2717</v>
      </c>
      <c r="B1095" t="s">
        <v>2718</v>
      </c>
    </row>
    <row r="1096" spans="1:2">
      <c r="A1096" t="s">
        <v>2719</v>
      </c>
      <c r="B1096" t="s">
        <v>2720</v>
      </c>
    </row>
    <row r="1097" spans="1:2">
      <c r="A1097" t="s">
        <v>2721</v>
      </c>
      <c r="B1097" t="s">
        <v>2722</v>
      </c>
    </row>
    <row r="1098" spans="1:2">
      <c r="A1098" t="s">
        <v>2723</v>
      </c>
      <c r="B1098" t="s">
        <v>2724</v>
      </c>
    </row>
    <row r="1099" spans="1:2">
      <c r="A1099" t="s">
        <v>2725</v>
      </c>
      <c r="B1099" t="s">
        <v>2726</v>
      </c>
    </row>
    <row r="1100" spans="1:2">
      <c r="A1100" t="s">
        <v>2727</v>
      </c>
      <c r="B1100" t="s">
        <v>2728</v>
      </c>
    </row>
    <row r="1101" spans="1:2">
      <c r="A1101" t="s">
        <v>2729</v>
      </c>
      <c r="B1101" t="s">
        <v>2730</v>
      </c>
    </row>
    <row r="1102" spans="1:2">
      <c r="A1102" t="s">
        <v>2731</v>
      </c>
      <c r="B1102" t="s">
        <v>2732</v>
      </c>
    </row>
    <row r="1103" spans="1:2">
      <c r="A1103" t="s">
        <v>2733</v>
      </c>
      <c r="B1103" t="s">
        <v>2734</v>
      </c>
    </row>
    <row r="1104" spans="1:2">
      <c r="A1104" t="s">
        <v>2735</v>
      </c>
      <c r="B1104" t="s">
        <v>2736</v>
      </c>
    </row>
    <row r="1105" spans="1:2">
      <c r="A1105" t="s">
        <v>2737</v>
      </c>
      <c r="B1105" t="s">
        <v>2738</v>
      </c>
    </row>
    <row r="1106" spans="1:2">
      <c r="A1106" t="s">
        <v>2739</v>
      </c>
      <c r="B1106" t="s">
        <v>2740</v>
      </c>
    </row>
    <row r="1107" spans="1:2">
      <c r="A1107" t="s">
        <v>2741</v>
      </c>
      <c r="B1107" t="s">
        <v>2742</v>
      </c>
    </row>
    <row r="1108" spans="1:2">
      <c r="A1108" t="s">
        <v>2743</v>
      </c>
      <c r="B1108" t="s">
        <v>2744</v>
      </c>
    </row>
    <row r="1109" spans="1:2">
      <c r="A1109" t="s">
        <v>2745</v>
      </c>
      <c r="B1109" t="s">
        <v>2746</v>
      </c>
    </row>
    <row r="1110" spans="1:2">
      <c r="A1110" t="s">
        <v>2747</v>
      </c>
      <c r="B1110" t="s">
        <v>2748</v>
      </c>
    </row>
    <row r="1111" spans="1:2">
      <c r="A1111" t="s">
        <v>2749</v>
      </c>
      <c r="B1111" t="s">
        <v>2750</v>
      </c>
    </row>
    <row r="1112" spans="1:2">
      <c r="A1112" t="s">
        <v>2751</v>
      </c>
      <c r="B1112" t="s">
        <v>2752</v>
      </c>
    </row>
    <row r="1113" spans="1:2">
      <c r="A1113" t="s">
        <v>2753</v>
      </c>
      <c r="B1113" t="s">
        <v>2754</v>
      </c>
    </row>
    <row r="1114" spans="1:2">
      <c r="A1114" t="s">
        <v>2755</v>
      </c>
      <c r="B1114" t="s">
        <v>2756</v>
      </c>
    </row>
    <row r="1115" spans="1:2">
      <c r="A1115" t="s">
        <v>2757</v>
      </c>
      <c r="B1115" t="s">
        <v>2758</v>
      </c>
    </row>
    <row r="1116" spans="1:2">
      <c r="A1116" t="s">
        <v>2759</v>
      </c>
      <c r="B1116" t="s">
        <v>2760</v>
      </c>
    </row>
    <row r="1117" spans="1:2">
      <c r="A1117" t="s">
        <v>2761</v>
      </c>
      <c r="B1117" t="s">
        <v>2762</v>
      </c>
    </row>
    <row r="1118" spans="1:2">
      <c r="A1118" t="s">
        <v>2763</v>
      </c>
      <c r="B1118" t="s">
        <v>2764</v>
      </c>
    </row>
    <row r="1119" spans="1:2">
      <c r="A1119" t="s">
        <v>2765</v>
      </c>
      <c r="B1119" t="s">
        <v>2766</v>
      </c>
    </row>
    <row r="1120" spans="1:2">
      <c r="A1120" t="s">
        <v>2767</v>
      </c>
      <c r="B1120" t="s">
        <v>2768</v>
      </c>
    </row>
    <row r="1121" spans="1:2">
      <c r="A1121" t="s">
        <v>2769</v>
      </c>
      <c r="B1121" t="s">
        <v>2770</v>
      </c>
    </row>
    <row r="1122" spans="1:2">
      <c r="A1122" t="s">
        <v>2771</v>
      </c>
      <c r="B1122" t="s">
        <v>2772</v>
      </c>
    </row>
    <row r="1123" spans="1:2">
      <c r="A1123" t="s">
        <v>2773</v>
      </c>
      <c r="B1123" t="s">
        <v>2774</v>
      </c>
    </row>
    <row r="1124" spans="1:2">
      <c r="A1124" t="s">
        <v>2775</v>
      </c>
      <c r="B1124" t="s">
        <v>2776</v>
      </c>
    </row>
    <row r="1125" spans="1:2">
      <c r="A1125" t="s">
        <v>2777</v>
      </c>
      <c r="B1125" t="s">
        <v>2778</v>
      </c>
    </row>
    <row r="1126" spans="1:2">
      <c r="A1126" t="s">
        <v>2779</v>
      </c>
      <c r="B1126" t="s">
        <v>2780</v>
      </c>
    </row>
    <row r="1127" spans="1:2">
      <c r="A1127" t="s">
        <v>2781</v>
      </c>
      <c r="B1127" t="s">
        <v>2782</v>
      </c>
    </row>
    <row r="1128" spans="1:2">
      <c r="A1128" t="s">
        <v>2783</v>
      </c>
      <c r="B1128" t="s">
        <v>2784</v>
      </c>
    </row>
    <row r="1129" spans="1:2">
      <c r="A1129" t="s">
        <v>2785</v>
      </c>
      <c r="B1129" t="s">
        <v>2786</v>
      </c>
    </row>
    <row r="1130" spans="1:2">
      <c r="A1130" t="s">
        <v>2787</v>
      </c>
      <c r="B1130" t="s">
        <v>2788</v>
      </c>
    </row>
    <row r="1131" spans="1:2">
      <c r="A1131" t="s">
        <v>2789</v>
      </c>
      <c r="B1131" t="s">
        <v>2790</v>
      </c>
    </row>
    <row r="1132" spans="1:2">
      <c r="A1132" t="s">
        <v>2791</v>
      </c>
      <c r="B1132" t="s">
        <v>2792</v>
      </c>
    </row>
    <row r="1133" spans="1:2">
      <c r="A1133" t="s">
        <v>2793</v>
      </c>
      <c r="B1133" t="s">
        <v>2794</v>
      </c>
    </row>
    <row r="1134" spans="1:2">
      <c r="A1134" t="s">
        <v>2795</v>
      </c>
      <c r="B1134" t="s">
        <v>2796</v>
      </c>
    </row>
    <row r="1135" spans="1:2">
      <c r="A1135" t="s">
        <v>2797</v>
      </c>
      <c r="B1135" t="s">
        <v>2798</v>
      </c>
    </row>
    <row r="1136" spans="1:2">
      <c r="A1136" t="s">
        <v>2799</v>
      </c>
      <c r="B1136" t="s">
        <v>2800</v>
      </c>
    </row>
    <row r="1137" spans="1:2">
      <c r="A1137" t="s">
        <v>2801</v>
      </c>
      <c r="B1137" t="s">
        <v>2802</v>
      </c>
    </row>
    <row r="1138" spans="1:2">
      <c r="A1138" t="s">
        <v>2803</v>
      </c>
      <c r="B1138" t="s">
        <v>2804</v>
      </c>
    </row>
    <row r="1139" spans="1:2">
      <c r="A1139" t="s">
        <v>2805</v>
      </c>
      <c r="B1139" t="s">
        <v>2806</v>
      </c>
    </row>
    <row r="1140" spans="1:2">
      <c r="A1140" t="s">
        <v>2807</v>
      </c>
      <c r="B1140" t="s">
        <v>2808</v>
      </c>
    </row>
    <row r="1141" spans="1:2">
      <c r="A1141" t="s">
        <v>2809</v>
      </c>
      <c r="B1141" t="s">
        <v>2810</v>
      </c>
    </row>
    <row r="1142" spans="1:2">
      <c r="A1142" t="s">
        <v>2811</v>
      </c>
      <c r="B1142" t="s">
        <v>2812</v>
      </c>
    </row>
    <row r="1143" spans="1:2">
      <c r="A1143" t="s">
        <v>2813</v>
      </c>
      <c r="B1143" t="s">
        <v>2814</v>
      </c>
    </row>
    <row r="1144" spans="1:2">
      <c r="A1144" t="s">
        <v>2815</v>
      </c>
      <c r="B1144" t="s">
        <v>2816</v>
      </c>
    </row>
    <row r="1145" spans="1:2">
      <c r="A1145" t="s">
        <v>2817</v>
      </c>
      <c r="B1145" t="s">
        <v>2818</v>
      </c>
    </row>
    <row r="1146" spans="1:2">
      <c r="A1146" t="s">
        <v>2819</v>
      </c>
      <c r="B1146" t="s">
        <v>2820</v>
      </c>
    </row>
    <row r="1147" spans="1:2">
      <c r="A1147" t="s">
        <v>2821</v>
      </c>
      <c r="B1147" t="s">
        <v>2822</v>
      </c>
    </row>
    <row r="1148" spans="1:2">
      <c r="A1148" t="s">
        <v>2823</v>
      </c>
      <c r="B1148" t="s">
        <v>2824</v>
      </c>
    </row>
    <row r="1149" spans="1:2">
      <c r="A1149" t="s">
        <v>2825</v>
      </c>
      <c r="B1149" t="s">
        <v>2826</v>
      </c>
    </row>
    <row r="1150" spans="1:2">
      <c r="A1150" t="s">
        <v>2827</v>
      </c>
      <c r="B1150" t="s">
        <v>2828</v>
      </c>
    </row>
    <row r="1151" spans="1:2">
      <c r="A1151" t="s">
        <v>2829</v>
      </c>
      <c r="B1151" t="s">
        <v>2830</v>
      </c>
    </row>
    <row r="1152" spans="1:2">
      <c r="A1152" t="s">
        <v>2831</v>
      </c>
      <c r="B1152" t="s">
        <v>2832</v>
      </c>
    </row>
    <row r="1153" spans="1:2">
      <c r="A1153" t="s">
        <v>2833</v>
      </c>
      <c r="B1153" t="s">
        <v>2834</v>
      </c>
    </row>
    <row r="1154" spans="1:2">
      <c r="A1154" t="s">
        <v>2835</v>
      </c>
      <c r="B1154" t="s">
        <v>2836</v>
      </c>
    </row>
    <row r="1155" spans="1:2">
      <c r="A1155" t="s">
        <v>2837</v>
      </c>
      <c r="B1155" t="s">
        <v>2838</v>
      </c>
    </row>
    <row r="1156" spans="1:2">
      <c r="A1156" t="s">
        <v>2839</v>
      </c>
      <c r="B1156" t="s">
        <v>2840</v>
      </c>
    </row>
    <row r="1157" spans="1:2">
      <c r="A1157" t="s">
        <v>2841</v>
      </c>
      <c r="B1157" t="s">
        <v>2842</v>
      </c>
    </row>
    <row r="1158" spans="1:2">
      <c r="A1158" t="s">
        <v>2843</v>
      </c>
      <c r="B1158" t="s">
        <v>2844</v>
      </c>
    </row>
    <row r="1159" spans="1:2">
      <c r="A1159" t="s">
        <v>2845</v>
      </c>
      <c r="B1159" t="s">
        <v>2846</v>
      </c>
    </row>
    <row r="1160" spans="1:2">
      <c r="A1160" t="s">
        <v>2847</v>
      </c>
      <c r="B1160" t="s">
        <v>2848</v>
      </c>
    </row>
    <row r="1161" spans="1:2">
      <c r="A1161" t="s">
        <v>2849</v>
      </c>
      <c r="B1161" t="s">
        <v>2850</v>
      </c>
    </row>
    <row r="1162" spans="1:2">
      <c r="A1162" t="s">
        <v>2851</v>
      </c>
      <c r="B1162" t="s">
        <v>2852</v>
      </c>
    </row>
    <row r="1163" spans="1:2">
      <c r="A1163" t="s">
        <v>2853</v>
      </c>
      <c r="B1163" t="s">
        <v>2854</v>
      </c>
    </row>
    <row r="1164" spans="1:2">
      <c r="A1164" t="s">
        <v>2855</v>
      </c>
      <c r="B1164" t="s">
        <v>2856</v>
      </c>
    </row>
    <row r="1165" spans="1:2">
      <c r="A1165" t="s">
        <v>2857</v>
      </c>
      <c r="B1165" t="s">
        <v>2858</v>
      </c>
    </row>
    <row r="1166" spans="1:2">
      <c r="A1166" t="s">
        <v>2859</v>
      </c>
      <c r="B1166" t="s">
        <v>2860</v>
      </c>
    </row>
    <row r="1167" spans="1:2">
      <c r="A1167" t="s">
        <v>2861</v>
      </c>
      <c r="B1167" t="s">
        <v>2862</v>
      </c>
    </row>
    <row r="1168" spans="1:2">
      <c r="A1168" t="s">
        <v>2863</v>
      </c>
      <c r="B1168" t="s">
        <v>2864</v>
      </c>
    </row>
    <row r="1169" spans="1:2">
      <c r="A1169" t="s">
        <v>2865</v>
      </c>
      <c r="B1169" t="s">
        <v>2866</v>
      </c>
    </row>
    <row r="1170" spans="1:2">
      <c r="A1170" t="s">
        <v>2867</v>
      </c>
      <c r="B1170" t="s">
        <v>2868</v>
      </c>
    </row>
    <row r="1171" spans="1:2">
      <c r="A1171" t="s">
        <v>2869</v>
      </c>
      <c r="B1171" t="s">
        <v>2870</v>
      </c>
    </row>
    <row r="1172" spans="1:2">
      <c r="A1172" t="s">
        <v>2871</v>
      </c>
      <c r="B1172" t="s">
        <v>2872</v>
      </c>
    </row>
    <row r="1173" spans="1:2">
      <c r="A1173" t="s">
        <v>2873</v>
      </c>
      <c r="B1173" t="s">
        <v>2874</v>
      </c>
    </row>
    <row r="1174" spans="1:2">
      <c r="A1174" t="s">
        <v>2875</v>
      </c>
      <c r="B1174" t="s">
        <v>2876</v>
      </c>
    </row>
    <row r="1175" spans="1:2">
      <c r="A1175" t="s">
        <v>2877</v>
      </c>
      <c r="B1175" t="s">
        <v>2878</v>
      </c>
    </row>
    <row r="1176" spans="1:2">
      <c r="A1176" t="s">
        <v>2879</v>
      </c>
      <c r="B1176" t="s">
        <v>2880</v>
      </c>
    </row>
    <row r="1177" spans="1:2">
      <c r="A1177" t="s">
        <v>2881</v>
      </c>
      <c r="B1177" t="s">
        <v>2882</v>
      </c>
    </row>
    <row r="1178" spans="1:2">
      <c r="A1178" t="s">
        <v>2883</v>
      </c>
      <c r="B1178" t="s">
        <v>2884</v>
      </c>
    </row>
    <row r="1179" spans="1:2">
      <c r="A1179" t="s">
        <v>2885</v>
      </c>
      <c r="B1179" t="s">
        <v>2886</v>
      </c>
    </row>
    <row r="1180" spans="1:2">
      <c r="A1180" t="s">
        <v>2887</v>
      </c>
      <c r="B1180" t="s">
        <v>2888</v>
      </c>
    </row>
    <row r="1181" spans="1:2">
      <c r="A1181" t="s">
        <v>2889</v>
      </c>
      <c r="B1181" t="s">
        <v>2890</v>
      </c>
    </row>
    <row r="1182" spans="1:2">
      <c r="A1182" t="s">
        <v>2891</v>
      </c>
      <c r="B1182" t="s">
        <v>2892</v>
      </c>
    </row>
    <row r="1183" spans="1:2">
      <c r="A1183" t="s">
        <v>2893</v>
      </c>
      <c r="B1183" t="s">
        <v>2894</v>
      </c>
    </row>
    <row r="1184" spans="1:2">
      <c r="A1184" t="s">
        <v>2895</v>
      </c>
      <c r="B1184" t="s">
        <v>2896</v>
      </c>
    </row>
    <row r="1185" spans="1:2">
      <c r="A1185" t="s">
        <v>2897</v>
      </c>
      <c r="B1185" t="s">
        <v>2898</v>
      </c>
    </row>
    <row r="1186" spans="1:2">
      <c r="A1186" t="s">
        <v>2899</v>
      </c>
      <c r="B1186" t="s">
        <v>2900</v>
      </c>
    </row>
    <row r="1187" spans="1:2">
      <c r="A1187" t="s">
        <v>2901</v>
      </c>
      <c r="B1187" t="s">
        <v>2902</v>
      </c>
    </row>
    <row r="1188" spans="1:2">
      <c r="A1188" t="s">
        <v>2903</v>
      </c>
      <c r="B1188" t="s">
        <v>2904</v>
      </c>
    </row>
    <row r="1189" spans="1:2">
      <c r="A1189" t="s">
        <v>2905</v>
      </c>
      <c r="B1189" t="s">
        <v>2906</v>
      </c>
    </row>
    <row r="1190" spans="1:2">
      <c r="A1190" t="s">
        <v>2907</v>
      </c>
      <c r="B1190" t="s">
        <v>2908</v>
      </c>
    </row>
    <row r="1191" spans="1:2">
      <c r="A1191" t="s">
        <v>2909</v>
      </c>
      <c r="B1191" t="s">
        <v>2910</v>
      </c>
    </row>
    <row r="1192" spans="1:2">
      <c r="A1192" t="s">
        <v>2911</v>
      </c>
      <c r="B1192" t="s">
        <v>2912</v>
      </c>
    </row>
    <row r="1193" spans="1:2">
      <c r="A1193" t="s">
        <v>2913</v>
      </c>
      <c r="B1193" t="s">
        <v>2914</v>
      </c>
    </row>
    <row r="1194" spans="1:2">
      <c r="A1194" t="s">
        <v>2915</v>
      </c>
      <c r="B1194" t="s">
        <v>2916</v>
      </c>
    </row>
    <row r="1195" spans="1:2">
      <c r="A1195" t="s">
        <v>2917</v>
      </c>
      <c r="B1195" t="s">
        <v>2918</v>
      </c>
    </row>
    <row r="1196" spans="1:2">
      <c r="A1196" t="s">
        <v>2919</v>
      </c>
      <c r="B1196" t="s">
        <v>2920</v>
      </c>
    </row>
    <row r="1197" spans="1:2">
      <c r="A1197" t="s">
        <v>2921</v>
      </c>
      <c r="B1197" t="s">
        <v>2922</v>
      </c>
    </row>
    <row r="1198" spans="1:2">
      <c r="A1198" t="s">
        <v>2923</v>
      </c>
      <c r="B1198" t="s">
        <v>2924</v>
      </c>
    </row>
    <row r="1199" spans="1:2">
      <c r="A1199" t="s">
        <v>2925</v>
      </c>
      <c r="B1199" t="s">
        <v>2926</v>
      </c>
    </row>
    <row r="1200" spans="1:2">
      <c r="A1200" t="s">
        <v>2927</v>
      </c>
      <c r="B1200" t="s">
        <v>2928</v>
      </c>
    </row>
    <row r="1201" spans="1:2">
      <c r="A1201" t="s">
        <v>2929</v>
      </c>
      <c r="B1201" t="s">
        <v>2930</v>
      </c>
    </row>
    <row r="1202" spans="1:2">
      <c r="A1202" t="s">
        <v>2931</v>
      </c>
      <c r="B1202" t="s">
        <v>2932</v>
      </c>
    </row>
    <row r="1203" spans="1:2">
      <c r="A1203" t="s">
        <v>2933</v>
      </c>
      <c r="B1203" t="s">
        <v>2934</v>
      </c>
    </row>
    <row r="1204" spans="1:2">
      <c r="A1204" t="s">
        <v>2935</v>
      </c>
      <c r="B1204" t="s">
        <v>2936</v>
      </c>
    </row>
    <row r="1205" spans="1:2">
      <c r="A1205" t="s">
        <v>2937</v>
      </c>
      <c r="B1205" t="s">
        <v>2938</v>
      </c>
    </row>
    <row r="1206" spans="1:2">
      <c r="A1206" t="s">
        <v>2939</v>
      </c>
      <c r="B1206" t="s">
        <v>2940</v>
      </c>
    </row>
    <row r="1207" spans="1:2">
      <c r="A1207" t="s">
        <v>2941</v>
      </c>
      <c r="B1207" t="s">
        <v>2942</v>
      </c>
    </row>
    <row r="1208" spans="1:2">
      <c r="A1208" t="s">
        <v>2943</v>
      </c>
      <c r="B1208" t="s">
        <v>2944</v>
      </c>
    </row>
    <row r="1209" spans="1:2">
      <c r="A1209" t="s">
        <v>2945</v>
      </c>
      <c r="B1209" t="s">
        <v>2946</v>
      </c>
    </row>
    <row r="1210" spans="1:2">
      <c r="A1210" t="s">
        <v>2947</v>
      </c>
      <c r="B1210" t="s">
        <v>2948</v>
      </c>
    </row>
    <row r="1211" spans="1:2">
      <c r="A1211" t="s">
        <v>2949</v>
      </c>
      <c r="B1211" t="s">
        <v>2950</v>
      </c>
    </row>
    <row r="1212" spans="1:2">
      <c r="A1212" t="s">
        <v>2951</v>
      </c>
      <c r="B1212" t="s">
        <v>2952</v>
      </c>
    </row>
    <row r="1213" spans="1:2">
      <c r="A1213" t="s">
        <v>2953</v>
      </c>
      <c r="B1213" t="s">
        <v>2954</v>
      </c>
    </row>
    <row r="1214" spans="1:2">
      <c r="A1214" t="s">
        <v>2955</v>
      </c>
      <c r="B1214" t="s">
        <v>2956</v>
      </c>
    </row>
    <row r="1215" spans="1:2">
      <c r="A1215" t="s">
        <v>2957</v>
      </c>
      <c r="B1215" t="s">
        <v>2958</v>
      </c>
    </row>
    <row r="1216" spans="1:2">
      <c r="A1216" t="s">
        <v>2959</v>
      </c>
      <c r="B1216" t="s">
        <v>2960</v>
      </c>
    </row>
    <row r="1217" spans="1:2">
      <c r="A1217" t="s">
        <v>2961</v>
      </c>
      <c r="B1217" t="s">
        <v>2962</v>
      </c>
    </row>
    <row r="1218" spans="1:2">
      <c r="A1218" t="s">
        <v>2963</v>
      </c>
      <c r="B1218" t="s">
        <v>2964</v>
      </c>
    </row>
    <row r="1219" spans="1:2">
      <c r="A1219" t="s">
        <v>2965</v>
      </c>
      <c r="B1219" t="s">
        <v>2966</v>
      </c>
    </row>
    <row r="1220" spans="1:2">
      <c r="A1220" t="s">
        <v>2967</v>
      </c>
      <c r="B1220" t="s">
        <v>2968</v>
      </c>
    </row>
    <row r="1221" spans="1:2">
      <c r="A1221" t="s">
        <v>2969</v>
      </c>
      <c r="B1221" t="s">
        <v>2970</v>
      </c>
    </row>
    <row r="1222" spans="1:2">
      <c r="A1222" t="s">
        <v>2971</v>
      </c>
      <c r="B1222" t="s">
        <v>2972</v>
      </c>
    </row>
    <row r="1223" spans="1:2">
      <c r="A1223" t="s">
        <v>2973</v>
      </c>
      <c r="B1223" t="s">
        <v>2974</v>
      </c>
    </row>
    <row r="1224" spans="1:2">
      <c r="A1224" t="s">
        <v>2975</v>
      </c>
      <c r="B1224" t="s">
        <v>2976</v>
      </c>
    </row>
    <row r="1225" spans="1:2">
      <c r="A1225" t="s">
        <v>2977</v>
      </c>
      <c r="B1225" t="s">
        <v>2978</v>
      </c>
    </row>
    <row r="1226" spans="1:2">
      <c r="A1226" t="s">
        <v>2979</v>
      </c>
      <c r="B1226" t="s">
        <v>2980</v>
      </c>
    </row>
    <row r="1227" spans="1:2">
      <c r="A1227" t="s">
        <v>2981</v>
      </c>
      <c r="B1227" t="s">
        <v>2982</v>
      </c>
    </row>
    <row r="1228" spans="1:2">
      <c r="A1228" t="s">
        <v>2983</v>
      </c>
      <c r="B1228" t="s">
        <v>2984</v>
      </c>
    </row>
    <row r="1229" spans="1:2">
      <c r="A1229" t="s">
        <v>2985</v>
      </c>
      <c r="B1229" t="s">
        <v>2986</v>
      </c>
    </row>
    <row r="1230" spans="1:2">
      <c r="A1230" t="s">
        <v>2987</v>
      </c>
      <c r="B1230" t="s">
        <v>2988</v>
      </c>
    </row>
    <row r="1231" spans="1:2">
      <c r="A1231" t="s">
        <v>2989</v>
      </c>
      <c r="B1231" t="s">
        <v>2990</v>
      </c>
    </row>
    <row r="1232" spans="1:2">
      <c r="A1232" t="s">
        <v>2991</v>
      </c>
      <c r="B1232" t="s">
        <v>2992</v>
      </c>
    </row>
    <row r="1233" spans="1:2">
      <c r="A1233" t="s">
        <v>2993</v>
      </c>
      <c r="B1233" t="s">
        <v>2994</v>
      </c>
    </row>
    <row r="1234" spans="1:2">
      <c r="A1234" t="s">
        <v>2995</v>
      </c>
      <c r="B1234" t="s">
        <v>2996</v>
      </c>
    </row>
    <row r="1235" spans="1:2">
      <c r="A1235" t="s">
        <v>2997</v>
      </c>
      <c r="B1235" t="s">
        <v>2998</v>
      </c>
    </row>
    <row r="1236" spans="1:2">
      <c r="A1236" t="s">
        <v>2999</v>
      </c>
      <c r="B1236" t="s">
        <v>3000</v>
      </c>
    </row>
    <row r="1237" spans="1:2">
      <c r="A1237" t="s">
        <v>3001</v>
      </c>
      <c r="B1237" t="s">
        <v>3002</v>
      </c>
    </row>
    <row r="1238" spans="1:2">
      <c r="A1238" t="s">
        <v>3003</v>
      </c>
      <c r="B1238" t="s">
        <v>3004</v>
      </c>
    </row>
    <row r="1239" spans="1:2">
      <c r="A1239" t="s">
        <v>3005</v>
      </c>
      <c r="B1239" t="s">
        <v>3006</v>
      </c>
    </row>
    <row r="1240" spans="1:2">
      <c r="A1240" t="s">
        <v>3007</v>
      </c>
      <c r="B1240" t="s">
        <v>3008</v>
      </c>
    </row>
    <row r="1241" spans="1:2">
      <c r="A1241" t="s">
        <v>3009</v>
      </c>
      <c r="B1241" t="s">
        <v>3010</v>
      </c>
    </row>
    <row r="1242" spans="1:2">
      <c r="A1242" t="s">
        <v>3011</v>
      </c>
      <c r="B1242" t="s">
        <v>3012</v>
      </c>
    </row>
    <row r="1243" spans="1:2">
      <c r="A1243" t="s">
        <v>3013</v>
      </c>
      <c r="B1243" t="s">
        <v>3014</v>
      </c>
    </row>
    <row r="1244" spans="1:2">
      <c r="A1244" t="s">
        <v>3015</v>
      </c>
      <c r="B1244" t="s">
        <v>3016</v>
      </c>
    </row>
    <row r="1245" spans="1:2">
      <c r="A1245" t="s">
        <v>3017</v>
      </c>
      <c r="B1245" t="s">
        <v>3018</v>
      </c>
    </row>
    <row r="1246" spans="1:2">
      <c r="A1246" t="s">
        <v>3019</v>
      </c>
      <c r="B1246" t="s">
        <v>3020</v>
      </c>
    </row>
    <row r="1247" spans="1:2">
      <c r="A1247" t="s">
        <v>3021</v>
      </c>
      <c r="B1247" t="s">
        <v>3022</v>
      </c>
    </row>
    <row r="1248" spans="1:2">
      <c r="A1248" t="s">
        <v>3023</v>
      </c>
      <c r="B1248" t="s">
        <v>3024</v>
      </c>
    </row>
    <row r="1249" spans="1:2">
      <c r="A1249" t="s">
        <v>3025</v>
      </c>
      <c r="B1249" t="s">
        <v>3026</v>
      </c>
    </row>
    <row r="1250" spans="1:2">
      <c r="A1250" t="s">
        <v>3027</v>
      </c>
      <c r="B1250" t="s">
        <v>3028</v>
      </c>
    </row>
    <row r="1251" spans="1:2">
      <c r="A1251" t="s">
        <v>3029</v>
      </c>
      <c r="B1251" t="s">
        <v>3030</v>
      </c>
    </row>
    <row r="1252" spans="1:2">
      <c r="A1252" t="s">
        <v>3031</v>
      </c>
      <c r="B1252" t="s">
        <v>3032</v>
      </c>
    </row>
    <row r="1253" spans="1:2">
      <c r="A1253" t="s">
        <v>3033</v>
      </c>
      <c r="B1253" t="s">
        <v>3034</v>
      </c>
    </row>
    <row r="1254" spans="1:2">
      <c r="A1254" t="s">
        <v>3035</v>
      </c>
      <c r="B1254" t="s">
        <v>3036</v>
      </c>
    </row>
    <row r="1255" spans="1:2">
      <c r="A1255" t="s">
        <v>3037</v>
      </c>
      <c r="B1255" t="s">
        <v>3038</v>
      </c>
    </row>
    <row r="1256" spans="1:2">
      <c r="A1256" t="s">
        <v>3039</v>
      </c>
      <c r="B1256" t="s">
        <v>3040</v>
      </c>
    </row>
    <row r="1257" spans="1:2">
      <c r="A1257" t="s">
        <v>3041</v>
      </c>
      <c r="B1257" t="s">
        <v>3042</v>
      </c>
    </row>
    <row r="1258" spans="1:2">
      <c r="A1258" t="s">
        <v>3043</v>
      </c>
      <c r="B1258" t="s">
        <v>3044</v>
      </c>
    </row>
    <row r="1259" spans="1:2">
      <c r="A1259" t="s">
        <v>3045</v>
      </c>
      <c r="B1259" t="s">
        <v>3046</v>
      </c>
    </row>
    <row r="1260" spans="1:2">
      <c r="A1260" t="s">
        <v>3047</v>
      </c>
      <c r="B1260" t="s">
        <v>3048</v>
      </c>
    </row>
    <row r="1261" spans="1:2">
      <c r="A1261" t="s">
        <v>3049</v>
      </c>
      <c r="B1261" t="s">
        <v>3050</v>
      </c>
    </row>
    <row r="1262" spans="1:2">
      <c r="A1262" t="s">
        <v>3051</v>
      </c>
      <c r="B1262" t="s">
        <v>303</v>
      </c>
    </row>
    <row r="1263" spans="1:2">
      <c r="A1263" t="s">
        <v>3052</v>
      </c>
      <c r="B1263" t="s">
        <v>3053</v>
      </c>
    </row>
    <row r="1264" spans="1:2">
      <c r="A1264" t="s">
        <v>3054</v>
      </c>
      <c r="B1264" t="s">
        <v>3055</v>
      </c>
    </row>
    <row r="1265" spans="1:2">
      <c r="A1265" t="s">
        <v>3056</v>
      </c>
      <c r="B1265" t="s">
        <v>3057</v>
      </c>
    </row>
    <row r="1266" spans="1:2">
      <c r="A1266" t="s">
        <v>3058</v>
      </c>
      <c r="B1266" t="s">
        <v>3059</v>
      </c>
    </row>
    <row r="1267" spans="1:2">
      <c r="A1267" t="s">
        <v>3060</v>
      </c>
      <c r="B1267" t="s">
        <v>3061</v>
      </c>
    </row>
    <row r="1268" spans="1:2">
      <c r="A1268" t="s">
        <v>3062</v>
      </c>
      <c r="B1268" t="s">
        <v>3063</v>
      </c>
    </row>
    <row r="1269" spans="1:2">
      <c r="A1269" t="s">
        <v>3064</v>
      </c>
      <c r="B1269" t="s">
        <v>308</v>
      </c>
    </row>
    <row r="1270" spans="1:2">
      <c r="A1270" t="s">
        <v>3065</v>
      </c>
      <c r="B1270" t="s">
        <v>3066</v>
      </c>
    </row>
    <row r="1271" spans="1:2">
      <c r="A1271" t="s">
        <v>3067</v>
      </c>
      <c r="B1271" t="s">
        <v>3068</v>
      </c>
    </row>
    <row r="1272" spans="1:2">
      <c r="A1272" t="s">
        <v>3069</v>
      </c>
      <c r="B1272" t="s">
        <v>3070</v>
      </c>
    </row>
    <row r="1273" spans="1:2">
      <c r="A1273" t="s">
        <v>3071</v>
      </c>
      <c r="B1273" t="s">
        <v>3072</v>
      </c>
    </row>
    <row r="1274" spans="1:2">
      <c r="A1274" t="s">
        <v>3073</v>
      </c>
      <c r="B1274" t="s">
        <v>3074</v>
      </c>
    </row>
    <row r="1275" spans="1:2">
      <c r="A1275" t="s">
        <v>3075</v>
      </c>
      <c r="B1275" t="s">
        <v>3076</v>
      </c>
    </row>
    <row r="1276" spans="1:2">
      <c r="A1276" t="s">
        <v>3077</v>
      </c>
      <c r="B1276" t="s">
        <v>3078</v>
      </c>
    </row>
    <row r="1277" spans="1:2">
      <c r="A1277" t="s">
        <v>3079</v>
      </c>
      <c r="B1277" t="s">
        <v>3080</v>
      </c>
    </row>
    <row r="1278" spans="1:2">
      <c r="A1278" t="s">
        <v>3081</v>
      </c>
      <c r="B1278" t="s">
        <v>3082</v>
      </c>
    </row>
    <row r="1279" spans="1:2">
      <c r="A1279" t="s">
        <v>3083</v>
      </c>
      <c r="B1279" t="s">
        <v>313</v>
      </c>
    </row>
    <row r="1280" spans="1:2">
      <c r="A1280" t="s">
        <v>3084</v>
      </c>
      <c r="B1280" t="s">
        <v>3085</v>
      </c>
    </row>
    <row r="1281" spans="1:2">
      <c r="A1281" t="s">
        <v>3086</v>
      </c>
      <c r="B1281" t="s">
        <v>3087</v>
      </c>
    </row>
    <row r="1282" spans="1:2">
      <c r="A1282" t="s">
        <v>3088</v>
      </c>
      <c r="B1282" t="s">
        <v>3089</v>
      </c>
    </row>
    <row r="1283" spans="1:2">
      <c r="A1283" t="s">
        <v>3090</v>
      </c>
      <c r="B1283" t="s">
        <v>318</v>
      </c>
    </row>
    <row r="1284" spans="1:2">
      <c r="A1284" t="s">
        <v>3091</v>
      </c>
      <c r="B1284" t="s">
        <v>323</v>
      </c>
    </row>
    <row r="1285" spans="1:2">
      <c r="A1285" t="s">
        <v>3092</v>
      </c>
      <c r="B1285" t="s">
        <v>328</v>
      </c>
    </row>
    <row r="1286" spans="1:2">
      <c r="A1286" t="s">
        <v>3093</v>
      </c>
      <c r="B1286" t="s">
        <v>3094</v>
      </c>
    </row>
    <row r="1287" spans="1:2">
      <c r="A1287" t="s">
        <v>3095</v>
      </c>
      <c r="B1287" t="s">
        <v>3096</v>
      </c>
    </row>
    <row r="1288" spans="1:2">
      <c r="A1288" t="s">
        <v>3097</v>
      </c>
      <c r="B1288" t="s">
        <v>3098</v>
      </c>
    </row>
    <row r="1289" spans="1:2">
      <c r="A1289" t="s">
        <v>3099</v>
      </c>
      <c r="B1289" t="s">
        <v>3100</v>
      </c>
    </row>
    <row r="1290" spans="1:2">
      <c r="A1290" t="s">
        <v>3101</v>
      </c>
      <c r="B1290" t="s">
        <v>3102</v>
      </c>
    </row>
    <row r="1291" spans="1:2">
      <c r="A1291" t="s">
        <v>3103</v>
      </c>
      <c r="B1291" t="s">
        <v>3104</v>
      </c>
    </row>
    <row r="1292" spans="1:2">
      <c r="A1292" t="s">
        <v>3105</v>
      </c>
      <c r="B1292" t="s">
        <v>3106</v>
      </c>
    </row>
    <row r="1293" spans="1:2">
      <c r="A1293" t="s">
        <v>3107</v>
      </c>
      <c r="B1293" t="s">
        <v>3108</v>
      </c>
    </row>
    <row r="1294" spans="1:2">
      <c r="A1294" t="s">
        <v>3109</v>
      </c>
      <c r="B1294" t="s">
        <v>3110</v>
      </c>
    </row>
    <row r="1295" spans="1:2">
      <c r="A1295" t="s">
        <v>3111</v>
      </c>
      <c r="B1295" t="s">
        <v>3112</v>
      </c>
    </row>
    <row r="1296" spans="1:2">
      <c r="A1296" t="s">
        <v>3113</v>
      </c>
      <c r="B1296" t="s">
        <v>3114</v>
      </c>
    </row>
    <row r="1297" spans="1:2">
      <c r="A1297" t="s">
        <v>3115</v>
      </c>
      <c r="B1297" t="s">
        <v>3116</v>
      </c>
    </row>
    <row r="1298" spans="1:2">
      <c r="A1298" t="s">
        <v>3117</v>
      </c>
      <c r="B1298" t="s">
        <v>3118</v>
      </c>
    </row>
    <row r="1299" spans="1:2">
      <c r="A1299" t="s">
        <v>3119</v>
      </c>
      <c r="B1299" t="s">
        <v>3120</v>
      </c>
    </row>
    <row r="1300" spans="1:2">
      <c r="A1300" t="s">
        <v>3121</v>
      </c>
      <c r="B1300" t="s">
        <v>333</v>
      </c>
    </row>
    <row r="1301" spans="1:2">
      <c r="A1301" t="s">
        <v>3122</v>
      </c>
      <c r="B1301" t="s">
        <v>3123</v>
      </c>
    </row>
    <row r="1302" spans="1:2">
      <c r="A1302" t="s">
        <v>3124</v>
      </c>
      <c r="B1302" t="s">
        <v>3125</v>
      </c>
    </row>
    <row r="1303" spans="1:2">
      <c r="A1303" t="s">
        <v>3126</v>
      </c>
      <c r="B1303" t="s">
        <v>338</v>
      </c>
    </row>
    <row r="1304" spans="1:2">
      <c r="A1304" t="s">
        <v>3127</v>
      </c>
      <c r="B1304" t="s">
        <v>3128</v>
      </c>
    </row>
    <row r="1305" spans="1:2">
      <c r="A1305" t="s">
        <v>3129</v>
      </c>
      <c r="B1305" t="s">
        <v>3130</v>
      </c>
    </row>
    <row r="1306" spans="1:2">
      <c r="A1306" t="s">
        <v>3131</v>
      </c>
      <c r="B1306" t="s">
        <v>3132</v>
      </c>
    </row>
    <row r="1307" spans="1:2">
      <c r="A1307" t="s">
        <v>3133</v>
      </c>
      <c r="B1307" t="s">
        <v>3134</v>
      </c>
    </row>
    <row r="1308" spans="1:2">
      <c r="A1308" t="s">
        <v>3135</v>
      </c>
      <c r="B1308" t="s">
        <v>3136</v>
      </c>
    </row>
    <row r="1309" spans="1:2">
      <c r="A1309" t="s">
        <v>3137</v>
      </c>
      <c r="B1309" t="s">
        <v>3138</v>
      </c>
    </row>
    <row r="1310" spans="1:2">
      <c r="A1310" t="s">
        <v>3139</v>
      </c>
      <c r="B1310" t="s">
        <v>3140</v>
      </c>
    </row>
    <row r="1311" spans="1:2">
      <c r="A1311" t="s">
        <v>3141</v>
      </c>
      <c r="B1311" t="s">
        <v>3142</v>
      </c>
    </row>
    <row r="1312" spans="1:2">
      <c r="A1312" t="s">
        <v>3143</v>
      </c>
      <c r="B1312" t="s">
        <v>3144</v>
      </c>
    </row>
    <row r="1313" spans="1:2">
      <c r="A1313" t="s">
        <v>3145</v>
      </c>
      <c r="B1313" t="s">
        <v>3146</v>
      </c>
    </row>
    <row r="1314" spans="1:2">
      <c r="A1314" t="s">
        <v>3147</v>
      </c>
      <c r="B1314" t="s">
        <v>3148</v>
      </c>
    </row>
    <row r="1315" spans="1:2">
      <c r="A1315" t="s">
        <v>3149</v>
      </c>
      <c r="B1315" t="s">
        <v>3150</v>
      </c>
    </row>
    <row r="1316" spans="1:2">
      <c r="A1316" t="s">
        <v>3151</v>
      </c>
      <c r="B1316" t="s">
        <v>3152</v>
      </c>
    </row>
    <row r="1317" spans="1:2">
      <c r="A1317" t="s">
        <v>3153</v>
      </c>
      <c r="B1317" t="s">
        <v>3154</v>
      </c>
    </row>
    <row r="1318" spans="1:2">
      <c r="A1318" t="s">
        <v>3155</v>
      </c>
      <c r="B1318" t="s">
        <v>3156</v>
      </c>
    </row>
    <row r="1319" spans="1:2">
      <c r="A1319" t="s">
        <v>3157</v>
      </c>
      <c r="B1319" t="s">
        <v>3158</v>
      </c>
    </row>
    <row r="1320" spans="1:2">
      <c r="A1320" t="s">
        <v>3159</v>
      </c>
      <c r="B1320" t="s">
        <v>3160</v>
      </c>
    </row>
    <row r="1321" spans="1:2">
      <c r="A1321" t="s">
        <v>3161</v>
      </c>
      <c r="B1321" t="s">
        <v>3162</v>
      </c>
    </row>
    <row r="1322" spans="1:2">
      <c r="A1322" t="s">
        <v>3163</v>
      </c>
      <c r="B1322" t="s">
        <v>3164</v>
      </c>
    </row>
    <row r="1323" spans="1:2">
      <c r="A1323" t="s">
        <v>3165</v>
      </c>
      <c r="B1323" t="s">
        <v>3166</v>
      </c>
    </row>
    <row r="1324" spans="1:2">
      <c r="A1324" t="s">
        <v>3167</v>
      </c>
      <c r="B1324" t="s">
        <v>3168</v>
      </c>
    </row>
    <row r="1325" spans="1:2">
      <c r="A1325" t="s">
        <v>3169</v>
      </c>
      <c r="B1325" t="s">
        <v>3170</v>
      </c>
    </row>
    <row r="1326" spans="1:2">
      <c r="A1326" t="s">
        <v>3171</v>
      </c>
      <c r="B1326" t="s">
        <v>3172</v>
      </c>
    </row>
    <row r="1327" spans="1:2">
      <c r="A1327" t="s">
        <v>3173</v>
      </c>
      <c r="B1327" t="s">
        <v>3174</v>
      </c>
    </row>
    <row r="1328" spans="1:2">
      <c r="A1328" t="s">
        <v>3175</v>
      </c>
      <c r="B1328" t="s">
        <v>3176</v>
      </c>
    </row>
    <row r="1329" spans="1:2">
      <c r="A1329" t="s">
        <v>3177</v>
      </c>
      <c r="B1329" t="s">
        <v>3178</v>
      </c>
    </row>
    <row r="1330" spans="1:2">
      <c r="A1330" t="s">
        <v>3179</v>
      </c>
      <c r="B1330" t="s">
        <v>3180</v>
      </c>
    </row>
    <row r="1331" spans="1:2">
      <c r="A1331" t="s">
        <v>3181</v>
      </c>
      <c r="B1331" t="s">
        <v>3182</v>
      </c>
    </row>
    <row r="1332" spans="1:2">
      <c r="A1332" t="s">
        <v>3183</v>
      </c>
      <c r="B1332" t="s">
        <v>3184</v>
      </c>
    </row>
    <row r="1333" spans="1:2">
      <c r="A1333" t="s">
        <v>3185</v>
      </c>
      <c r="B1333" t="s">
        <v>3186</v>
      </c>
    </row>
    <row r="1334" spans="1:2">
      <c r="A1334" t="s">
        <v>3187</v>
      </c>
      <c r="B1334" t="s">
        <v>3188</v>
      </c>
    </row>
    <row r="1335" spans="1:2">
      <c r="A1335" t="s">
        <v>3189</v>
      </c>
      <c r="B1335" t="s">
        <v>3190</v>
      </c>
    </row>
    <row r="1336" spans="1:2">
      <c r="A1336" t="s">
        <v>3191</v>
      </c>
      <c r="B1336" t="s">
        <v>3192</v>
      </c>
    </row>
    <row r="1337" spans="1:2">
      <c r="A1337" t="s">
        <v>3193</v>
      </c>
      <c r="B1337" t="s">
        <v>3194</v>
      </c>
    </row>
    <row r="1338" spans="1:2">
      <c r="A1338" t="s">
        <v>3195</v>
      </c>
      <c r="B1338" t="s">
        <v>3196</v>
      </c>
    </row>
    <row r="1339" spans="1:2">
      <c r="A1339" t="s">
        <v>3197</v>
      </c>
      <c r="B1339" t="s">
        <v>3198</v>
      </c>
    </row>
    <row r="1340" spans="1:2">
      <c r="A1340" t="s">
        <v>3199</v>
      </c>
      <c r="B1340" t="s">
        <v>3200</v>
      </c>
    </row>
    <row r="1341" spans="1:2">
      <c r="A1341" t="s">
        <v>3201</v>
      </c>
      <c r="B1341" t="s">
        <v>3202</v>
      </c>
    </row>
    <row r="1342" spans="1:2">
      <c r="A1342" t="s">
        <v>3203</v>
      </c>
      <c r="B1342" t="s">
        <v>3204</v>
      </c>
    </row>
    <row r="1343" spans="1:2">
      <c r="A1343" t="s">
        <v>3205</v>
      </c>
      <c r="B1343" t="s">
        <v>3206</v>
      </c>
    </row>
    <row r="1344" spans="1:2">
      <c r="A1344" t="s">
        <v>3207</v>
      </c>
      <c r="B1344" t="s">
        <v>3208</v>
      </c>
    </row>
    <row r="1345" spans="1:2">
      <c r="A1345" t="s">
        <v>3209</v>
      </c>
      <c r="B1345" t="s">
        <v>3210</v>
      </c>
    </row>
    <row r="1346" spans="1:2">
      <c r="A1346" t="s">
        <v>3211</v>
      </c>
      <c r="B1346" t="s">
        <v>3212</v>
      </c>
    </row>
    <row r="1347" spans="1:2">
      <c r="A1347" t="s">
        <v>3213</v>
      </c>
      <c r="B1347" t="s">
        <v>3214</v>
      </c>
    </row>
    <row r="1348" spans="1:2">
      <c r="A1348" t="s">
        <v>3215</v>
      </c>
      <c r="B1348" t="s">
        <v>3216</v>
      </c>
    </row>
    <row r="1349" spans="1:2">
      <c r="A1349" t="s">
        <v>3217</v>
      </c>
      <c r="B1349" t="s">
        <v>3218</v>
      </c>
    </row>
    <row r="1350" spans="1:2">
      <c r="A1350" t="s">
        <v>3219</v>
      </c>
      <c r="B1350" t="s">
        <v>3220</v>
      </c>
    </row>
    <row r="1351" spans="1:2">
      <c r="A1351" t="s">
        <v>3221</v>
      </c>
      <c r="B1351" t="s">
        <v>3222</v>
      </c>
    </row>
    <row r="1352" spans="1:2">
      <c r="A1352" t="s">
        <v>3223</v>
      </c>
      <c r="B1352" t="s">
        <v>3224</v>
      </c>
    </row>
    <row r="1353" spans="1:2">
      <c r="A1353" t="s">
        <v>3225</v>
      </c>
      <c r="B1353" t="s">
        <v>3226</v>
      </c>
    </row>
    <row r="1354" spans="1:2">
      <c r="A1354" t="s">
        <v>3227</v>
      </c>
      <c r="B1354" t="s">
        <v>3228</v>
      </c>
    </row>
    <row r="1355" spans="1:2">
      <c r="A1355" t="s">
        <v>3229</v>
      </c>
      <c r="B1355" t="s">
        <v>343</v>
      </c>
    </row>
    <row r="1356" spans="1:2">
      <c r="A1356" t="s">
        <v>3230</v>
      </c>
      <c r="B1356" t="s">
        <v>3231</v>
      </c>
    </row>
    <row r="1357" spans="1:2">
      <c r="A1357" t="s">
        <v>3232</v>
      </c>
      <c r="B1357" t="s">
        <v>348</v>
      </c>
    </row>
    <row r="1358" spans="1:2">
      <c r="A1358" t="s">
        <v>3233</v>
      </c>
      <c r="B1358" t="s">
        <v>3234</v>
      </c>
    </row>
    <row r="1359" spans="1:2">
      <c r="A1359" t="s">
        <v>3235</v>
      </c>
      <c r="B1359" t="s">
        <v>3236</v>
      </c>
    </row>
    <row r="1360" spans="1:2">
      <c r="A1360" t="s">
        <v>3237</v>
      </c>
      <c r="B1360" t="s">
        <v>3238</v>
      </c>
    </row>
    <row r="1361" spans="1:2">
      <c r="A1361" t="s">
        <v>3239</v>
      </c>
      <c r="B1361" t="s">
        <v>3240</v>
      </c>
    </row>
    <row r="1362" spans="1:2">
      <c r="A1362" t="s">
        <v>3241</v>
      </c>
      <c r="B1362" t="s">
        <v>3242</v>
      </c>
    </row>
    <row r="1363" spans="1:2">
      <c r="A1363" t="s">
        <v>3243</v>
      </c>
      <c r="B1363" t="s">
        <v>3244</v>
      </c>
    </row>
    <row r="1364" spans="1:2">
      <c r="A1364" t="s">
        <v>3245</v>
      </c>
      <c r="B1364" t="s">
        <v>3246</v>
      </c>
    </row>
    <row r="1365" spans="1:2">
      <c r="A1365" t="s">
        <v>3247</v>
      </c>
      <c r="B1365" t="s">
        <v>3248</v>
      </c>
    </row>
    <row r="1366" spans="1:2">
      <c r="A1366" t="s">
        <v>3249</v>
      </c>
      <c r="B1366" t="s">
        <v>3250</v>
      </c>
    </row>
    <row r="1367" spans="1:2">
      <c r="A1367" t="s">
        <v>3251</v>
      </c>
      <c r="B1367" t="s">
        <v>3252</v>
      </c>
    </row>
    <row r="1368" spans="1:2">
      <c r="A1368" t="s">
        <v>3253</v>
      </c>
      <c r="B1368" t="s">
        <v>3254</v>
      </c>
    </row>
    <row r="1369" spans="1:2">
      <c r="A1369" t="s">
        <v>3255</v>
      </c>
      <c r="B1369" t="s">
        <v>3256</v>
      </c>
    </row>
    <row r="1370" spans="1:2">
      <c r="A1370" t="s">
        <v>3257</v>
      </c>
      <c r="B1370" t="s">
        <v>3258</v>
      </c>
    </row>
    <row r="1371" spans="1:2">
      <c r="A1371" t="s">
        <v>3259</v>
      </c>
      <c r="B1371" t="s">
        <v>3260</v>
      </c>
    </row>
    <row r="1372" spans="1:2">
      <c r="A1372" t="s">
        <v>3261</v>
      </c>
      <c r="B1372" t="s">
        <v>3262</v>
      </c>
    </row>
    <row r="1373" spans="1:2">
      <c r="A1373" t="s">
        <v>3263</v>
      </c>
      <c r="B1373" t="s">
        <v>3264</v>
      </c>
    </row>
    <row r="1374" spans="1:2">
      <c r="A1374" t="s">
        <v>3265</v>
      </c>
      <c r="B1374" t="s">
        <v>3266</v>
      </c>
    </row>
    <row r="1375" spans="1:2">
      <c r="A1375" t="s">
        <v>3267</v>
      </c>
      <c r="B1375" t="s">
        <v>3268</v>
      </c>
    </row>
    <row r="1376" spans="1:2">
      <c r="A1376" t="s">
        <v>3269</v>
      </c>
      <c r="B1376" t="s">
        <v>3270</v>
      </c>
    </row>
    <row r="1377" spans="1:2">
      <c r="A1377" t="s">
        <v>3271</v>
      </c>
      <c r="B1377" t="s">
        <v>3272</v>
      </c>
    </row>
    <row r="1378" spans="1:2">
      <c r="A1378" t="s">
        <v>3273</v>
      </c>
      <c r="B1378" t="s">
        <v>3274</v>
      </c>
    </row>
    <row r="1379" spans="1:2">
      <c r="A1379" t="s">
        <v>3275</v>
      </c>
      <c r="B1379" t="s">
        <v>3276</v>
      </c>
    </row>
    <row r="1380" spans="1:2">
      <c r="A1380" t="s">
        <v>3277</v>
      </c>
      <c r="B1380" t="s">
        <v>3278</v>
      </c>
    </row>
    <row r="1381" spans="1:2">
      <c r="A1381" t="s">
        <v>3279</v>
      </c>
      <c r="B1381" t="s">
        <v>3280</v>
      </c>
    </row>
    <row r="1382" spans="1:2">
      <c r="A1382" t="s">
        <v>3281</v>
      </c>
      <c r="B1382" t="s">
        <v>3282</v>
      </c>
    </row>
    <row r="1383" spans="1:2">
      <c r="A1383" t="s">
        <v>3283</v>
      </c>
      <c r="B1383" t="s">
        <v>3284</v>
      </c>
    </row>
    <row r="1384" spans="1:2">
      <c r="A1384" t="s">
        <v>3285</v>
      </c>
      <c r="B1384" t="s">
        <v>3286</v>
      </c>
    </row>
    <row r="1385" spans="1:2">
      <c r="A1385" t="s">
        <v>3287</v>
      </c>
      <c r="B1385" t="s">
        <v>910</v>
      </c>
    </row>
    <row r="1386" spans="1:2">
      <c r="A1386" t="s">
        <v>3288</v>
      </c>
      <c r="B1386" t="s">
        <v>3289</v>
      </c>
    </row>
    <row r="1387" spans="1:2">
      <c r="A1387" t="s">
        <v>3290</v>
      </c>
      <c r="B1387" t="s">
        <v>353</v>
      </c>
    </row>
    <row r="1388" spans="1:2">
      <c r="A1388" t="s">
        <v>3291</v>
      </c>
      <c r="B1388" t="s">
        <v>3292</v>
      </c>
    </row>
    <row r="1389" spans="1:2">
      <c r="A1389" t="s">
        <v>3293</v>
      </c>
      <c r="B1389" t="s">
        <v>358</v>
      </c>
    </row>
    <row r="1390" spans="1:2">
      <c r="A1390" t="s">
        <v>3294</v>
      </c>
      <c r="B1390" t="s">
        <v>3295</v>
      </c>
    </row>
    <row r="1391" spans="1:2">
      <c r="A1391" t="s">
        <v>3296</v>
      </c>
      <c r="B1391" t="s">
        <v>363</v>
      </c>
    </row>
    <row r="1392" spans="1:2">
      <c r="A1392" t="s">
        <v>3297</v>
      </c>
      <c r="B1392" t="s">
        <v>368</v>
      </c>
    </row>
    <row r="1393" spans="1:2">
      <c r="A1393" t="s">
        <v>3298</v>
      </c>
      <c r="B1393" t="s">
        <v>120</v>
      </c>
    </row>
    <row r="1394" spans="1:2">
      <c r="A1394" t="s">
        <v>3299</v>
      </c>
      <c r="B1394" t="s">
        <v>3300</v>
      </c>
    </row>
    <row r="1395" spans="1:2">
      <c r="A1395" t="s">
        <v>3301</v>
      </c>
      <c r="B1395" t="s">
        <v>3302</v>
      </c>
    </row>
    <row r="1396" spans="1:2">
      <c r="A1396" t="s">
        <v>3303</v>
      </c>
      <c r="B1396" t="s">
        <v>3304</v>
      </c>
    </row>
    <row r="1397" spans="1:2">
      <c r="A1397" t="s">
        <v>3305</v>
      </c>
      <c r="B1397" t="s">
        <v>373</v>
      </c>
    </row>
    <row r="1398" spans="1:2">
      <c r="A1398" t="s">
        <v>3306</v>
      </c>
      <c r="B1398" t="s">
        <v>3307</v>
      </c>
    </row>
    <row r="1399" spans="1:2">
      <c r="A1399" t="s">
        <v>3308</v>
      </c>
      <c r="B1399" t="s">
        <v>3309</v>
      </c>
    </row>
    <row r="1400" spans="1:2">
      <c r="A1400" t="s">
        <v>3310</v>
      </c>
      <c r="B1400" t="s">
        <v>3311</v>
      </c>
    </row>
    <row r="1401" spans="1:2">
      <c r="A1401" t="s">
        <v>3312</v>
      </c>
      <c r="B1401" t="s">
        <v>3313</v>
      </c>
    </row>
    <row r="1402" spans="1:2">
      <c r="A1402" t="s">
        <v>3314</v>
      </c>
      <c r="B1402" t="s">
        <v>3315</v>
      </c>
    </row>
    <row r="1403" spans="1:2">
      <c r="A1403" t="s">
        <v>3316</v>
      </c>
      <c r="B1403" t="s">
        <v>3317</v>
      </c>
    </row>
    <row r="1404" spans="1:2">
      <c r="A1404" t="s">
        <v>3318</v>
      </c>
      <c r="B1404" t="s">
        <v>3319</v>
      </c>
    </row>
    <row r="1405" spans="1:2">
      <c r="A1405" t="s">
        <v>3320</v>
      </c>
      <c r="B1405" t="s">
        <v>3321</v>
      </c>
    </row>
    <row r="1406" spans="1:2">
      <c r="A1406" t="s">
        <v>3322</v>
      </c>
      <c r="B1406" t="s">
        <v>3323</v>
      </c>
    </row>
    <row r="1407" spans="1:2">
      <c r="A1407" t="s">
        <v>3324</v>
      </c>
      <c r="B1407" t="s">
        <v>3325</v>
      </c>
    </row>
    <row r="1408" spans="1:2">
      <c r="A1408" t="s">
        <v>3326</v>
      </c>
      <c r="B1408" t="s">
        <v>3327</v>
      </c>
    </row>
    <row r="1409" spans="1:2">
      <c r="A1409" t="s">
        <v>3328</v>
      </c>
      <c r="B1409" t="s">
        <v>3329</v>
      </c>
    </row>
    <row r="1410" spans="1:2">
      <c r="A1410" t="s">
        <v>3330</v>
      </c>
      <c r="B1410" t="s">
        <v>3331</v>
      </c>
    </row>
    <row r="1411" spans="1:2">
      <c r="A1411" t="s">
        <v>3332</v>
      </c>
      <c r="B1411" t="s">
        <v>3333</v>
      </c>
    </row>
    <row r="1412" spans="1:2">
      <c r="A1412" t="s">
        <v>3334</v>
      </c>
      <c r="B1412" t="s">
        <v>3335</v>
      </c>
    </row>
    <row r="1413" spans="1:2">
      <c r="A1413" t="s">
        <v>3336</v>
      </c>
      <c r="B1413" t="s">
        <v>3337</v>
      </c>
    </row>
    <row r="1414" spans="1:2">
      <c r="A1414" t="s">
        <v>3338</v>
      </c>
      <c r="B1414" t="s">
        <v>3339</v>
      </c>
    </row>
    <row r="1415" spans="1:2">
      <c r="A1415" t="s">
        <v>3340</v>
      </c>
      <c r="B1415" t="s">
        <v>3341</v>
      </c>
    </row>
    <row r="1416" spans="1:2">
      <c r="A1416" t="s">
        <v>3342</v>
      </c>
      <c r="B1416" t="s">
        <v>3343</v>
      </c>
    </row>
    <row r="1417" spans="1:2">
      <c r="A1417" t="s">
        <v>3344</v>
      </c>
      <c r="B1417" t="s">
        <v>3345</v>
      </c>
    </row>
    <row r="1418" spans="1:2">
      <c r="A1418" t="s">
        <v>3346</v>
      </c>
      <c r="B1418" t="s">
        <v>3347</v>
      </c>
    </row>
    <row r="1419" spans="1:2">
      <c r="A1419" t="s">
        <v>3348</v>
      </c>
      <c r="B1419" t="s">
        <v>3349</v>
      </c>
    </row>
    <row r="1420" spans="1:2">
      <c r="A1420" t="s">
        <v>3350</v>
      </c>
      <c r="B1420" t="s">
        <v>3351</v>
      </c>
    </row>
    <row r="1421" spans="1:2">
      <c r="A1421" t="s">
        <v>3352</v>
      </c>
      <c r="B1421" t="s">
        <v>3353</v>
      </c>
    </row>
    <row r="1422" spans="1:2">
      <c r="A1422" t="s">
        <v>3354</v>
      </c>
      <c r="B1422" t="s">
        <v>3355</v>
      </c>
    </row>
    <row r="1423" spans="1:2">
      <c r="A1423" t="s">
        <v>3356</v>
      </c>
      <c r="B1423" t="s">
        <v>3357</v>
      </c>
    </row>
    <row r="1424" spans="1:2">
      <c r="A1424" t="s">
        <v>3358</v>
      </c>
      <c r="B1424" t="s">
        <v>3359</v>
      </c>
    </row>
    <row r="1425" spans="1:2">
      <c r="A1425" t="s">
        <v>3360</v>
      </c>
      <c r="B1425" t="s">
        <v>3361</v>
      </c>
    </row>
    <row r="1426" spans="1:2">
      <c r="A1426" t="s">
        <v>3362</v>
      </c>
      <c r="B1426" t="s">
        <v>3363</v>
      </c>
    </row>
    <row r="1427" spans="1:2">
      <c r="A1427" t="s">
        <v>3364</v>
      </c>
      <c r="B1427" t="s">
        <v>3365</v>
      </c>
    </row>
    <row r="1428" spans="1:2">
      <c r="A1428" t="s">
        <v>3366</v>
      </c>
      <c r="B1428" t="s">
        <v>3367</v>
      </c>
    </row>
    <row r="1429" spans="1:2">
      <c r="A1429" t="s">
        <v>3368</v>
      </c>
      <c r="B1429" t="s">
        <v>3369</v>
      </c>
    </row>
    <row r="1430" spans="1:2">
      <c r="A1430" t="s">
        <v>3370</v>
      </c>
      <c r="B1430" t="s">
        <v>3371</v>
      </c>
    </row>
    <row r="1431" spans="1:2">
      <c r="A1431" t="s">
        <v>3372</v>
      </c>
      <c r="B1431" t="s">
        <v>3373</v>
      </c>
    </row>
    <row r="1432" spans="1:2">
      <c r="A1432" t="s">
        <v>3374</v>
      </c>
      <c r="B1432" t="s">
        <v>3375</v>
      </c>
    </row>
    <row r="1433" spans="1:2">
      <c r="A1433" t="s">
        <v>3376</v>
      </c>
      <c r="B1433" t="s">
        <v>3377</v>
      </c>
    </row>
    <row r="1434" spans="1:2">
      <c r="A1434" t="s">
        <v>3378</v>
      </c>
      <c r="B1434" t="s">
        <v>3379</v>
      </c>
    </row>
    <row r="1435" spans="1:2">
      <c r="A1435" t="s">
        <v>3380</v>
      </c>
      <c r="B1435" t="s">
        <v>3381</v>
      </c>
    </row>
    <row r="1436" spans="1:2">
      <c r="A1436" t="s">
        <v>3382</v>
      </c>
      <c r="B1436" t="s">
        <v>3383</v>
      </c>
    </row>
    <row r="1437" spans="1:2">
      <c r="A1437" t="s">
        <v>3384</v>
      </c>
      <c r="B1437" t="s">
        <v>3385</v>
      </c>
    </row>
    <row r="1438" spans="1:2">
      <c r="A1438" t="s">
        <v>3386</v>
      </c>
      <c r="B1438" t="s">
        <v>3387</v>
      </c>
    </row>
    <row r="1439" spans="1:2">
      <c r="A1439" t="s">
        <v>3388</v>
      </c>
      <c r="B1439" t="s">
        <v>3389</v>
      </c>
    </row>
    <row r="1440" spans="1:2">
      <c r="A1440" t="s">
        <v>3390</v>
      </c>
      <c r="B1440" t="s">
        <v>3391</v>
      </c>
    </row>
    <row r="1441" spans="1:2">
      <c r="A1441" t="s">
        <v>3392</v>
      </c>
      <c r="B1441" t="s">
        <v>3393</v>
      </c>
    </row>
    <row r="1442" spans="1:2">
      <c r="A1442" t="s">
        <v>3394</v>
      </c>
      <c r="B1442" t="s">
        <v>3395</v>
      </c>
    </row>
    <row r="1443" spans="1:2">
      <c r="A1443" t="s">
        <v>3396</v>
      </c>
      <c r="B1443" t="s">
        <v>3397</v>
      </c>
    </row>
    <row r="1444" spans="1:2">
      <c r="A1444" t="s">
        <v>3398</v>
      </c>
      <c r="B1444" t="s">
        <v>3399</v>
      </c>
    </row>
    <row r="1445" spans="1:2">
      <c r="A1445" t="s">
        <v>3400</v>
      </c>
      <c r="B1445" t="s">
        <v>3401</v>
      </c>
    </row>
    <row r="1446" spans="1:2">
      <c r="A1446" t="s">
        <v>3402</v>
      </c>
      <c r="B1446" t="s">
        <v>3403</v>
      </c>
    </row>
    <row r="1447" spans="1:2">
      <c r="A1447" t="s">
        <v>3404</v>
      </c>
      <c r="B1447" t="s">
        <v>3405</v>
      </c>
    </row>
    <row r="1448" spans="1:2">
      <c r="A1448" t="s">
        <v>3406</v>
      </c>
      <c r="B1448" t="s">
        <v>3407</v>
      </c>
    </row>
    <row r="1449" spans="1:2">
      <c r="A1449" t="s">
        <v>3408</v>
      </c>
      <c r="B1449" t="s">
        <v>3409</v>
      </c>
    </row>
    <row r="1450" spans="1:2">
      <c r="A1450" t="s">
        <v>3410</v>
      </c>
      <c r="B1450" t="s">
        <v>3411</v>
      </c>
    </row>
    <row r="1451" spans="1:2">
      <c r="A1451" t="s">
        <v>3412</v>
      </c>
      <c r="B1451" t="s">
        <v>3413</v>
      </c>
    </row>
    <row r="1452" spans="1:2">
      <c r="A1452" t="s">
        <v>3414</v>
      </c>
      <c r="B1452" t="s">
        <v>3415</v>
      </c>
    </row>
    <row r="1453" spans="1:2">
      <c r="A1453" t="s">
        <v>3416</v>
      </c>
      <c r="B1453" t="s">
        <v>3417</v>
      </c>
    </row>
    <row r="1454" spans="1:2">
      <c r="A1454" t="s">
        <v>3418</v>
      </c>
      <c r="B1454" t="s">
        <v>3419</v>
      </c>
    </row>
    <row r="1455" spans="1:2">
      <c r="A1455" t="s">
        <v>3420</v>
      </c>
      <c r="B1455" t="s">
        <v>3421</v>
      </c>
    </row>
    <row r="1456" spans="1:2">
      <c r="A1456" t="s">
        <v>3422</v>
      </c>
      <c r="B1456" t="s">
        <v>3423</v>
      </c>
    </row>
    <row r="1457" spans="1:2">
      <c r="A1457" t="s">
        <v>3424</v>
      </c>
      <c r="B1457" t="s">
        <v>3425</v>
      </c>
    </row>
    <row r="1458" spans="1:2">
      <c r="A1458" t="s">
        <v>3426</v>
      </c>
    </row>
    <row r="1459" spans="1:2">
      <c r="A1459" t="s">
        <v>3427</v>
      </c>
    </row>
    <row r="1460" spans="1:2">
      <c r="A1460" t="s">
        <v>3428</v>
      </c>
    </row>
    <row r="1461" spans="1:2">
      <c r="A1461" t="s">
        <v>3429</v>
      </c>
    </row>
    <row r="1462" spans="1:2">
      <c r="A1462" t="s">
        <v>3430</v>
      </c>
    </row>
    <row r="1463" spans="1:2">
      <c r="A1463" t="s">
        <v>3431</v>
      </c>
    </row>
    <row r="1464" spans="1:2">
      <c r="A1464" t="s">
        <v>3432</v>
      </c>
    </row>
    <row r="1465" spans="1:2">
      <c r="A1465" t="s">
        <v>3433</v>
      </c>
    </row>
    <row r="1466" spans="1:2">
      <c r="A1466" t="s">
        <v>3434</v>
      </c>
    </row>
    <row r="1467" spans="1:2">
      <c r="A1467" t="s">
        <v>3435</v>
      </c>
    </row>
    <row r="1468" spans="1:2">
      <c r="A1468" t="s">
        <v>3436</v>
      </c>
    </row>
    <row r="1469" spans="1:2">
      <c r="A1469" t="s">
        <v>3437</v>
      </c>
    </row>
    <row r="1470" spans="1:2">
      <c r="A1470" t="s">
        <v>3438</v>
      </c>
    </row>
    <row r="1471" spans="1:2">
      <c r="A1471" t="s">
        <v>3439</v>
      </c>
    </row>
    <row r="1472" spans="1:2">
      <c r="A1472" t="s">
        <v>3440</v>
      </c>
    </row>
    <row r="1473" spans="1:1">
      <c r="A1473" t="s">
        <v>3441</v>
      </c>
    </row>
    <row r="1474" spans="1:1">
      <c r="A1474" t="s">
        <v>3442</v>
      </c>
    </row>
    <row r="1475" spans="1:1">
      <c r="A1475" t="s">
        <v>3443</v>
      </c>
    </row>
    <row r="1476" spans="1:1">
      <c r="A1476" t="s">
        <v>3444</v>
      </c>
    </row>
    <row r="1477" spans="1:1">
      <c r="A1477" t="s">
        <v>3445</v>
      </c>
    </row>
    <row r="1478" spans="1:1">
      <c r="A1478" t="s">
        <v>3446</v>
      </c>
    </row>
    <row r="1479" spans="1:1">
      <c r="A1479" t="s">
        <v>3447</v>
      </c>
    </row>
    <row r="1480" spans="1:1">
      <c r="A1480" t="s">
        <v>3448</v>
      </c>
    </row>
    <row r="1481" spans="1:1">
      <c r="A1481" t="s">
        <v>3449</v>
      </c>
    </row>
    <row r="1482" spans="1:1">
      <c r="A1482" t="s">
        <v>3450</v>
      </c>
    </row>
    <row r="1483" spans="1:1">
      <c r="A1483" t="s">
        <v>3451</v>
      </c>
    </row>
    <row r="1484" spans="1:1">
      <c r="A1484" t="s">
        <v>3452</v>
      </c>
    </row>
    <row r="1485" spans="1:1">
      <c r="A1485" t="s">
        <v>3453</v>
      </c>
    </row>
    <row r="1486" spans="1:1">
      <c r="A1486" t="s">
        <v>3454</v>
      </c>
    </row>
    <row r="1487" spans="1:1">
      <c r="A1487" t="s">
        <v>3455</v>
      </c>
    </row>
    <row r="1488" spans="1:1">
      <c r="A1488" t="s">
        <v>3456</v>
      </c>
    </row>
    <row r="1489" spans="1:1">
      <c r="A1489" t="s">
        <v>3457</v>
      </c>
    </row>
    <row r="1490" spans="1:1">
      <c r="A1490" t="s">
        <v>3458</v>
      </c>
    </row>
    <row r="1491" spans="1:1">
      <c r="A1491" t="s">
        <v>3459</v>
      </c>
    </row>
    <row r="1492" spans="1:1">
      <c r="A1492" t="s">
        <v>3460</v>
      </c>
    </row>
    <row r="1493" spans="1:1">
      <c r="A1493" t="s">
        <v>3461</v>
      </c>
    </row>
    <row r="1494" spans="1:1">
      <c r="A1494" t="s">
        <v>3462</v>
      </c>
    </row>
    <row r="1495" spans="1:1">
      <c r="A1495" t="s">
        <v>3463</v>
      </c>
    </row>
    <row r="1496" spans="1:1">
      <c r="A1496" t="s">
        <v>3464</v>
      </c>
    </row>
    <row r="1497" spans="1:1">
      <c r="A1497" t="s">
        <v>3465</v>
      </c>
    </row>
    <row r="1498" spans="1:1">
      <c r="A1498" t="s">
        <v>3466</v>
      </c>
    </row>
    <row r="1499" spans="1:1">
      <c r="A1499" t="s">
        <v>3467</v>
      </c>
    </row>
    <row r="1500" spans="1:1">
      <c r="A1500" t="s">
        <v>3468</v>
      </c>
    </row>
    <row r="1501" spans="1:1">
      <c r="A1501" t="s">
        <v>3469</v>
      </c>
    </row>
    <row r="1502" spans="1:1">
      <c r="A1502" t="s">
        <v>3470</v>
      </c>
    </row>
    <row r="1503" spans="1:1">
      <c r="A1503" t="s">
        <v>3471</v>
      </c>
    </row>
    <row r="1504" spans="1:1">
      <c r="A1504" t="s">
        <v>3472</v>
      </c>
    </row>
    <row r="1505" spans="1:1">
      <c r="A1505" t="s">
        <v>3473</v>
      </c>
    </row>
    <row r="1506" spans="1:1">
      <c r="A1506" t="s">
        <v>3474</v>
      </c>
    </row>
    <row r="1507" spans="1:1">
      <c r="A1507" t="s">
        <v>3475</v>
      </c>
    </row>
    <row r="1508" spans="1:1">
      <c r="A1508" t="s">
        <v>3476</v>
      </c>
    </row>
    <row r="1509" spans="1:1">
      <c r="A1509" t="s">
        <v>3477</v>
      </c>
    </row>
    <row r="1510" spans="1:1">
      <c r="A1510" t="s">
        <v>3478</v>
      </c>
    </row>
    <row r="1511" spans="1:1">
      <c r="A1511" t="s">
        <v>3479</v>
      </c>
    </row>
    <row r="1512" spans="1:1">
      <c r="A1512" t="s">
        <v>3480</v>
      </c>
    </row>
    <row r="1513" spans="1:1">
      <c r="A1513" t="s">
        <v>3481</v>
      </c>
    </row>
    <row r="1514" spans="1:1">
      <c r="A1514" t="s">
        <v>3482</v>
      </c>
    </row>
    <row r="1515" spans="1:1">
      <c r="A1515" t="s">
        <v>3483</v>
      </c>
    </row>
    <row r="1516" spans="1:1">
      <c r="A1516" t="s">
        <v>3484</v>
      </c>
    </row>
    <row r="1517" spans="1:1">
      <c r="A1517" t="s">
        <v>3485</v>
      </c>
    </row>
    <row r="1518" spans="1:1">
      <c r="A1518" t="s">
        <v>3486</v>
      </c>
    </row>
    <row r="1519" spans="1:1">
      <c r="A1519" t="s">
        <v>3487</v>
      </c>
    </row>
    <row r="1520" spans="1:1">
      <c r="A1520" t="s">
        <v>3488</v>
      </c>
    </row>
    <row r="1521" spans="1:1">
      <c r="A1521" t="s">
        <v>3489</v>
      </c>
    </row>
    <row r="1522" spans="1:1">
      <c r="A1522" t="s">
        <v>3490</v>
      </c>
    </row>
    <row r="1523" spans="1:1">
      <c r="A1523" t="s">
        <v>3491</v>
      </c>
    </row>
    <row r="1524" spans="1:1">
      <c r="A1524" t="s">
        <v>3492</v>
      </c>
    </row>
    <row r="1525" spans="1:1">
      <c r="A1525" t="s">
        <v>3493</v>
      </c>
    </row>
    <row r="1526" spans="1:1">
      <c r="A1526" t="s">
        <v>3494</v>
      </c>
    </row>
    <row r="1527" spans="1:1">
      <c r="A1527" t="s">
        <v>3495</v>
      </c>
    </row>
    <row r="1528" spans="1:1">
      <c r="A1528" t="s">
        <v>3496</v>
      </c>
    </row>
    <row r="1529" spans="1:1">
      <c r="A1529" t="s">
        <v>3497</v>
      </c>
    </row>
    <row r="1530" spans="1:1">
      <c r="A1530" t="s">
        <v>3498</v>
      </c>
    </row>
    <row r="1531" spans="1:1">
      <c r="A1531" t="s">
        <v>3499</v>
      </c>
    </row>
    <row r="1532" spans="1:1">
      <c r="A1532" t="s">
        <v>3500</v>
      </c>
    </row>
    <row r="1533" spans="1:1">
      <c r="A1533" t="s">
        <v>3501</v>
      </c>
    </row>
    <row r="1534" spans="1:1">
      <c r="A1534" t="s">
        <v>3502</v>
      </c>
    </row>
    <row r="1535" spans="1:1">
      <c r="A1535" t="s">
        <v>3503</v>
      </c>
    </row>
    <row r="1536" spans="1:1">
      <c r="A1536" t="s">
        <v>3504</v>
      </c>
    </row>
    <row r="1537" spans="1:1">
      <c r="A1537" t="s">
        <v>3505</v>
      </c>
    </row>
    <row r="1538" spans="1:1">
      <c r="A1538" t="s">
        <v>3506</v>
      </c>
    </row>
    <row r="1539" spans="1:1">
      <c r="A1539" t="s">
        <v>3507</v>
      </c>
    </row>
    <row r="1540" spans="1:1">
      <c r="A1540" t="s">
        <v>3508</v>
      </c>
    </row>
    <row r="1541" spans="1:1">
      <c r="A1541" t="s">
        <v>3509</v>
      </c>
    </row>
    <row r="1542" spans="1:1">
      <c r="A1542" t="s">
        <v>3510</v>
      </c>
    </row>
    <row r="1543" spans="1:1">
      <c r="A1543" t="s">
        <v>3511</v>
      </c>
    </row>
    <row r="1544" spans="1:1">
      <c r="A1544" t="s">
        <v>3512</v>
      </c>
    </row>
    <row r="1545" spans="1:1">
      <c r="A1545" t="s">
        <v>3513</v>
      </c>
    </row>
    <row r="1546" spans="1:1">
      <c r="A1546" t="s">
        <v>3514</v>
      </c>
    </row>
    <row r="1547" spans="1:1">
      <c r="A1547" t="s">
        <v>3515</v>
      </c>
    </row>
    <row r="1548" spans="1:1">
      <c r="A1548" t="s">
        <v>3516</v>
      </c>
    </row>
    <row r="1549" spans="1:1">
      <c r="A1549" t="s">
        <v>3517</v>
      </c>
    </row>
    <row r="1550" spans="1:1">
      <c r="A1550" t="s">
        <v>3518</v>
      </c>
    </row>
    <row r="1551" spans="1:1">
      <c r="A1551" t="s">
        <v>3519</v>
      </c>
    </row>
    <row r="1552" spans="1:1">
      <c r="A1552" t="s">
        <v>3520</v>
      </c>
    </row>
    <row r="1553" spans="1:1">
      <c r="A1553" t="s">
        <v>3521</v>
      </c>
    </row>
    <row r="1554" spans="1:1">
      <c r="A1554" t="s">
        <v>3522</v>
      </c>
    </row>
    <row r="1555" spans="1:1">
      <c r="A1555" t="s">
        <v>3523</v>
      </c>
    </row>
    <row r="1556" spans="1:1">
      <c r="A1556" t="s">
        <v>3524</v>
      </c>
    </row>
    <row r="1557" spans="1:1">
      <c r="A1557" t="s">
        <v>3525</v>
      </c>
    </row>
    <row r="1558" spans="1:1">
      <c r="A1558" t="s">
        <v>3526</v>
      </c>
    </row>
    <row r="1559" spans="1:1">
      <c r="A1559" t="s">
        <v>3527</v>
      </c>
    </row>
    <row r="1560" spans="1:1">
      <c r="A1560" t="s">
        <v>3528</v>
      </c>
    </row>
    <row r="1561" spans="1:1">
      <c r="A1561" t="s">
        <v>3529</v>
      </c>
    </row>
    <row r="1562" spans="1:1">
      <c r="A1562" t="s">
        <v>3530</v>
      </c>
    </row>
    <row r="1563" spans="1:1">
      <c r="A1563" t="s">
        <v>3531</v>
      </c>
    </row>
    <row r="1564" spans="1:1">
      <c r="A1564" t="s">
        <v>3532</v>
      </c>
    </row>
    <row r="1565" spans="1:1">
      <c r="A1565" t="s">
        <v>3533</v>
      </c>
    </row>
    <row r="1566" spans="1:1">
      <c r="A1566" t="s">
        <v>3534</v>
      </c>
    </row>
    <row r="1567" spans="1:1">
      <c r="A1567" t="s">
        <v>3535</v>
      </c>
    </row>
    <row r="1568" spans="1:1">
      <c r="A1568" t="s">
        <v>3536</v>
      </c>
    </row>
    <row r="1569" spans="1:1">
      <c r="A1569" t="s">
        <v>3537</v>
      </c>
    </row>
    <row r="1570" spans="1:1">
      <c r="A1570" t="s">
        <v>3538</v>
      </c>
    </row>
    <row r="1571" spans="1:1">
      <c r="A1571" t="s">
        <v>3539</v>
      </c>
    </row>
    <row r="1572" spans="1:1">
      <c r="A1572" t="s">
        <v>3540</v>
      </c>
    </row>
    <row r="1573" spans="1:1">
      <c r="A1573" t="s">
        <v>3541</v>
      </c>
    </row>
    <row r="1574" spans="1:1">
      <c r="A1574" t="s">
        <v>3542</v>
      </c>
    </row>
    <row r="1575" spans="1:1">
      <c r="A1575" t="s">
        <v>3543</v>
      </c>
    </row>
    <row r="1576" spans="1:1">
      <c r="A1576" t="s">
        <v>3544</v>
      </c>
    </row>
    <row r="1577" spans="1:1">
      <c r="A1577" t="s">
        <v>3545</v>
      </c>
    </row>
    <row r="1578" spans="1:1">
      <c r="A1578" t="s">
        <v>3546</v>
      </c>
    </row>
    <row r="1579" spans="1:1">
      <c r="A1579" t="s">
        <v>3547</v>
      </c>
    </row>
    <row r="1580" spans="1:1">
      <c r="A1580" t="s">
        <v>3548</v>
      </c>
    </row>
    <row r="1581" spans="1:1">
      <c r="A1581" t="s">
        <v>3549</v>
      </c>
    </row>
    <row r="1582" spans="1:1">
      <c r="A1582" t="s">
        <v>3550</v>
      </c>
    </row>
    <row r="1583" spans="1:1">
      <c r="A1583" t="s">
        <v>3551</v>
      </c>
    </row>
    <row r="1584" spans="1:1">
      <c r="A1584" t="s">
        <v>3552</v>
      </c>
    </row>
    <row r="1585" spans="1:1">
      <c r="A1585" t="s">
        <v>3553</v>
      </c>
    </row>
    <row r="1586" spans="1:1">
      <c r="A1586" t="s">
        <v>3554</v>
      </c>
    </row>
    <row r="1587" spans="1:1">
      <c r="A1587" t="s">
        <v>3555</v>
      </c>
    </row>
    <row r="1588" spans="1:1">
      <c r="A1588" t="s">
        <v>3556</v>
      </c>
    </row>
    <row r="1589" spans="1:1">
      <c r="A1589" t="s">
        <v>3557</v>
      </c>
    </row>
    <row r="1590" spans="1:1">
      <c r="A1590" t="s">
        <v>3558</v>
      </c>
    </row>
    <row r="1591" spans="1:1">
      <c r="A1591" t="s">
        <v>3559</v>
      </c>
    </row>
    <row r="1592" spans="1:1">
      <c r="A1592" t="s">
        <v>3560</v>
      </c>
    </row>
    <row r="1593" spans="1:1">
      <c r="A1593" t="s">
        <v>3561</v>
      </c>
    </row>
    <row r="1594" spans="1:1">
      <c r="A1594" t="s">
        <v>3562</v>
      </c>
    </row>
    <row r="1595" spans="1:1">
      <c r="A1595" t="s">
        <v>3563</v>
      </c>
    </row>
    <row r="1596" spans="1:1">
      <c r="A1596" t="s">
        <v>3564</v>
      </c>
    </row>
    <row r="1597" spans="1:1">
      <c r="A1597" t="s">
        <v>3565</v>
      </c>
    </row>
    <row r="1598" spans="1:1">
      <c r="A1598" t="s">
        <v>3566</v>
      </c>
    </row>
    <row r="1599" spans="1:1">
      <c r="A1599" t="s">
        <v>3567</v>
      </c>
    </row>
    <row r="1600" spans="1:1">
      <c r="A1600" t="s">
        <v>3568</v>
      </c>
    </row>
    <row r="1601" spans="1:1">
      <c r="A1601" t="s">
        <v>3569</v>
      </c>
    </row>
    <row r="1602" spans="1:1">
      <c r="A1602" t="s">
        <v>3570</v>
      </c>
    </row>
    <row r="1603" spans="1:1">
      <c r="A1603" t="s">
        <v>3571</v>
      </c>
    </row>
    <row r="1604" spans="1:1">
      <c r="A1604" t="s">
        <v>3572</v>
      </c>
    </row>
    <row r="1605" spans="1:1">
      <c r="A1605" t="s">
        <v>3573</v>
      </c>
    </row>
    <row r="1606" spans="1:1">
      <c r="A1606" t="s">
        <v>3574</v>
      </c>
    </row>
    <row r="1607" spans="1:1">
      <c r="A1607" t="s">
        <v>3575</v>
      </c>
    </row>
    <row r="1608" spans="1:1">
      <c r="A1608" t="s">
        <v>3576</v>
      </c>
    </row>
    <row r="1609" spans="1:1">
      <c r="A1609" t="s">
        <v>3577</v>
      </c>
    </row>
    <row r="1610" spans="1:1">
      <c r="A1610" t="s">
        <v>3578</v>
      </c>
    </row>
    <row r="1611" spans="1:1">
      <c r="A1611" t="s">
        <v>3579</v>
      </c>
    </row>
    <row r="1612" spans="1:1">
      <c r="A1612" t="s">
        <v>3580</v>
      </c>
    </row>
    <row r="1613" spans="1:1">
      <c r="A1613" t="s">
        <v>3581</v>
      </c>
    </row>
    <row r="1614" spans="1:1">
      <c r="A1614" t="s">
        <v>3582</v>
      </c>
    </row>
    <row r="1615" spans="1:1">
      <c r="A1615" t="s">
        <v>3583</v>
      </c>
    </row>
    <row r="1616" spans="1:1">
      <c r="A1616" t="s">
        <v>3584</v>
      </c>
    </row>
    <row r="1617" spans="1:1">
      <c r="A1617" t="s">
        <v>3585</v>
      </c>
    </row>
    <row r="1618" spans="1:1">
      <c r="A1618" t="s">
        <v>3586</v>
      </c>
    </row>
    <row r="1619" spans="1:1">
      <c r="A1619" t="s">
        <v>3587</v>
      </c>
    </row>
    <row r="1620" spans="1:1">
      <c r="A1620" t="s">
        <v>3588</v>
      </c>
    </row>
    <row r="1621" spans="1:1">
      <c r="A1621" t="s">
        <v>3589</v>
      </c>
    </row>
    <row r="1622" spans="1:1">
      <c r="A1622" t="s">
        <v>3590</v>
      </c>
    </row>
    <row r="1623" spans="1:1">
      <c r="A1623" t="s">
        <v>3591</v>
      </c>
    </row>
    <row r="1624" spans="1:1">
      <c r="A1624" t="s">
        <v>3592</v>
      </c>
    </row>
    <row r="1625" spans="1:1">
      <c r="A1625" t="s">
        <v>3593</v>
      </c>
    </row>
    <row r="1626" spans="1:1">
      <c r="A1626" t="s">
        <v>3594</v>
      </c>
    </row>
    <row r="1627" spans="1:1">
      <c r="A1627" t="s">
        <v>3595</v>
      </c>
    </row>
    <row r="1628" spans="1:1">
      <c r="A1628" t="s">
        <v>3596</v>
      </c>
    </row>
    <row r="1629" spans="1:1">
      <c r="A1629" t="s">
        <v>3597</v>
      </c>
    </row>
    <row r="1630" spans="1:1">
      <c r="A1630" t="s">
        <v>3598</v>
      </c>
    </row>
    <row r="1631" spans="1:1">
      <c r="A1631" t="s">
        <v>3599</v>
      </c>
    </row>
    <row r="1632" spans="1:1">
      <c r="A1632" t="s">
        <v>3600</v>
      </c>
    </row>
    <row r="1633" spans="1:1">
      <c r="A1633" t="s">
        <v>3601</v>
      </c>
    </row>
    <row r="1634" spans="1:1">
      <c r="A1634" t="s">
        <v>3602</v>
      </c>
    </row>
    <row r="1635" spans="1:1">
      <c r="A1635" t="s">
        <v>3603</v>
      </c>
    </row>
    <row r="1636" spans="1:1">
      <c r="A1636" t="s">
        <v>3604</v>
      </c>
    </row>
    <row r="1637" spans="1:1">
      <c r="A1637" t="s">
        <v>3605</v>
      </c>
    </row>
    <row r="1638" spans="1:1">
      <c r="A1638" t="s">
        <v>3606</v>
      </c>
    </row>
    <row r="1639" spans="1:1">
      <c r="A1639" t="s">
        <v>3607</v>
      </c>
    </row>
    <row r="1640" spans="1:1">
      <c r="A1640" t="s">
        <v>3608</v>
      </c>
    </row>
    <row r="1641" spans="1:1">
      <c r="A1641" t="s">
        <v>3609</v>
      </c>
    </row>
    <row r="1642" spans="1:1">
      <c r="A1642" t="s">
        <v>3610</v>
      </c>
    </row>
    <row r="1643" spans="1:1">
      <c r="A1643" t="s">
        <v>3611</v>
      </c>
    </row>
    <row r="1644" spans="1:1">
      <c r="A1644" t="s">
        <v>3612</v>
      </c>
    </row>
    <row r="1645" spans="1:1">
      <c r="A1645" t="s">
        <v>3613</v>
      </c>
    </row>
    <row r="1646" spans="1:1">
      <c r="A1646" t="s">
        <v>3614</v>
      </c>
    </row>
    <row r="1647" spans="1:1">
      <c r="A1647" t="s">
        <v>3615</v>
      </c>
    </row>
    <row r="1648" spans="1:1">
      <c r="A1648" t="s">
        <v>3616</v>
      </c>
    </row>
    <row r="1649" spans="1:1">
      <c r="A1649" t="s">
        <v>3617</v>
      </c>
    </row>
    <row r="1650" spans="1:1">
      <c r="A1650" t="s">
        <v>3618</v>
      </c>
    </row>
    <row r="1651" spans="1:1">
      <c r="A1651" t="s">
        <v>3619</v>
      </c>
    </row>
    <row r="1652" spans="1:1">
      <c r="A1652" t="s">
        <v>3620</v>
      </c>
    </row>
    <row r="1653" spans="1:1">
      <c r="A1653" t="s">
        <v>3621</v>
      </c>
    </row>
    <row r="1654" spans="1:1">
      <c r="A1654" t="s">
        <v>3622</v>
      </c>
    </row>
    <row r="1655" spans="1:1">
      <c r="A1655" t="s">
        <v>3623</v>
      </c>
    </row>
    <row r="1656" spans="1:1">
      <c r="A1656" t="s">
        <v>3624</v>
      </c>
    </row>
    <row r="1657" spans="1:1">
      <c r="A1657" t="s">
        <v>3625</v>
      </c>
    </row>
    <row r="1658" spans="1:1">
      <c r="A1658" t="s">
        <v>3626</v>
      </c>
    </row>
    <row r="1659" spans="1:1">
      <c r="A1659" t="s">
        <v>3627</v>
      </c>
    </row>
    <row r="1660" spans="1:1">
      <c r="A1660" t="s">
        <v>3628</v>
      </c>
    </row>
    <row r="1661" spans="1:1">
      <c r="A1661" t="s">
        <v>3629</v>
      </c>
    </row>
    <row r="1662" spans="1:1">
      <c r="A1662" t="s">
        <v>3630</v>
      </c>
    </row>
    <row r="1663" spans="1:1">
      <c r="A1663" t="s">
        <v>3631</v>
      </c>
    </row>
    <row r="1664" spans="1:1">
      <c r="A1664" t="s">
        <v>3632</v>
      </c>
    </row>
    <row r="1665" spans="1:1">
      <c r="A1665" t="s">
        <v>3633</v>
      </c>
    </row>
    <row r="1666" spans="1:1">
      <c r="A1666" t="s">
        <v>3634</v>
      </c>
    </row>
    <row r="1667" spans="1:1">
      <c r="A1667" t="s">
        <v>3635</v>
      </c>
    </row>
    <row r="1668" spans="1:1">
      <c r="A1668" t="s">
        <v>3636</v>
      </c>
    </row>
    <row r="1669" spans="1:1">
      <c r="A1669" t="s">
        <v>3637</v>
      </c>
    </row>
    <row r="1670" spans="1:1">
      <c r="A1670" t="s">
        <v>3638</v>
      </c>
    </row>
    <row r="1671" spans="1:1">
      <c r="A1671" t="s">
        <v>3639</v>
      </c>
    </row>
    <row r="1672" spans="1:1">
      <c r="A1672" t="s">
        <v>3640</v>
      </c>
    </row>
    <row r="1673" spans="1:1">
      <c r="A1673" t="s">
        <v>3641</v>
      </c>
    </row>
    <row r="1674" spans="1:1">
      <c r="A1674" t="s">
        <v>3642</v>
      </c>
    </row>
    <row r="1675" spans="1:1">
      <c r="A1675" t="s">
        <v>3643</v>
      </c>
    </row>
    <row r="1676" spans="1:1">
      <c r="A1676" t="s">
        <v>3644</v>
      </c>
    </row>
    <row r="1677" spans="1:1">
      <c r="A1677" t="s">
        <v>3645</v>
      </c>
    </row>
    <row r="1678" spans="1:1">
      <c r="A1678" t="s">
        <v>3646</v>
      </c>
    </row>
    <row r="1679" spans="1:1">
      <c r="A1679" t="s">
        <v>3647</v>
      </c>
    </row>
    <row r="1680" spans="1:1">
      <c r="A1680" t="s">
        <v>3648</v>
      </c>
    </row>
    <row r="1681" spans="1:1">
      <c r="A1681" t="s">
        <v>3649</v>
      </c>
    </row>
    <row r="1682" spans="1:1">
      <c r="A1682" t="s">
        <v>3650</v>
      </c>
    </row>
    <row r="1683" spans="1:1">
      <c r="A1683" t="s">
        <v>3651</v>
      </c>
    </row>
    <row r="1684" spans="1:1">
      <c r="A1684" t="s">
        <v>3652</v>
      </c>
    </row>
    <row r="1685" spans="1:1">
      <c r="A1685" t="s">
        <v>3653</v>
      </c>
    </row>
    <row r="1686" spans="1:1">
      <c r="A1686" t="s">
        <v>3654</v>
      </c>
    </row>
    <row r="1687" spans="1:1">
      <c r="A1687" t="s">
        <v>3655</v>
      </c>
    </row>
    <row r="1688" spans="1:1">
      <c r="A1688" t="s">
        <v>3656</v>
      </c>
    </row>
    <row r="1689" spans="1:1">
      <c r="A1689" t="s">
        <v>3657</v>
      </c>
    </row>
    <row r="1690" spans="1:1">
      <c r="A1690" t="s">
        <v>3658</v>
      </c>
    </row>
    <row r="1691" spans="1:1">
      <c r="A1691" t="s">
        <v>3659</v>
      </c>
    </row>
    <row r="1692" spans="1:1">
      <c r="A1692" t="s">
        <v>3660</v>
      </c>
    </row>
    <row r="1693" spans="1:1">
      <c r="A1693" t="s">
        <v>3661</v>
      </c>
    </row>
    <row r="1694" spans="1:1">
      <c r="A1694" t="s">
        <v>3662</v>
      </c>
    </row>
    <row r="1695" spans="1:1">
      <c r="A1695" t="s">
        <v>3663</v>
      </c>
    </row>
    <row r="1696" spans="1:1">
      <c r="A1696" t="s">
        <v>3664</v>
      </c>
    </row>
    <row r="1697" spans="1:1">
      <c r="A1697" t="s">
        <v>3665</v>
      </c>
    </row>
    <row r="1698" spans="1:1">
      <c r="A1698" t="s">
        <v>3666</v>
      </c>
    </row>
    <row r="1699" spans="1:1">
      <c r="A1699" t="s">
        <v>3667</v>
      </c>
    </row>
    <row r="1700" spans="1:1">
      <c r="A1700" t="s">
        <v>3668</v>
      </c>
    </row>
    <row r="1701" spans="1:1">
      <c r="A1701" t="s">
        <v>3669</v>
      </c>
    </row>
    <row r="1702" spans="1:1">
      <c r="A1702" t="s">
        <v>3670</v>
      </c>
    </row>
    <row r="1703" spans="1:1">
      <c r="A1703" t="s">
        <v>3671</v>
      </c>
    </row>
    <row r="1704" spans="1:1">
      <c r="A1704" t="s">
        <v>3672</v>
      </c>
    </row>
    <row r="1705" spans="1:1">
      <c r="A1705" t="s">
        <v>3673</v>
      </c>
    </row>
    <row r="1706" spans="1:1">
      <c r="A1706" t="s">
        <v>3674</v>
      </c>
    </row>
    <row r="1707" spans="1:1">
      <c r="A1707" t="s">
        <v>3675</v>
      </c>
    </row>
    <row r="1708" spans="1:1">
      <c r="A1708" t="s">
        <v>3676</v>
      </c>
    </row>
    <row r="1709" spans="1:1">
      <c r="A1709" t="s">
        <v>3677</v>
      </c>
    </row>
    <row r="1710" spans="1:1">
      <c r="A1710" t="s">
        <v>3678</v>
      </c>
    </row>
    <row r="1711" spans="1:1">
      <c r="A1711" t="s">
        <v>3679</v>
      </c>
    </row>
    <row r="1712" spans="1:1">
      <c r="A1712" t="s">
        <v>3680</v>
      </c>
    </row>
    <row r="1713" spans="1:1">
      <c r="A1713" t="s">
        <v>3681</v>
      </c>
    </row>
    <row r="1714" spans="1:1">
      <c r="A1714" t="s">
        <v>3682</v>
      </c>
    </row>
    <row r="1715" spans="1:1">
      <c r="A1715" t="s">
        <v>3683</v>
      </c>
    </row>
    <row r="1716" spans="1:1">
      <c r="A1716" t="s">
        <v>3684</v>
      </c>
    </row>
    <row r="1717" spans="1:1">
      <c r="A1717" t="s">
        <v>3685</v>
      </c>
    </row>
    <row r="1718" spans="1:1">
      <c r="A1718" t="s">
        <v>3686</v>
      </c>
    </row>
    <row r="1719" spans="1:1">
      <c r="A1719" t="s">
        <v>3687</v>
      </c>
    </row>
    <row r="1720" spans="1:1">
      <c r="A1720" t="s">
        <v>3688</v>
      </c>
    </row>
    <row r="1721" spans="1:1">
      <c r="A1721" t="s">
        <v>3689</v>
      </c>
    </row>
    <row r="1722" spans="1:1">
      <c r="A1722" t="s">
        <v>3690</v>
      </c>
    </row>
    <row r="1723" spans="1:1">
      <c r="A1723" t="s">
        <v>3691</v>
      </c>
    </row>
    <row r="1724" spans="1:1">
      <c r="A1724" t="s">
        <v>3692</v>
      </c>
    </row>
    <row r="1725" spans="1:1">
      <c r="A1725" t="s">
        <v>3693</v>
      </c>
    </row>
    <row r="1726" spans="1:1">
      <c r="A1726" t="s">
        <v>3694</v>
      </c>
    </row>
    <row r="1727" spans="1:1">
      <c r="A1727" t="s">
        <v>3695</v>
      </c>
    </row>
    <row r="1728" spans="1:1">
      <c r="A1728" t="s">
        <v>3696</v>
      </c>
    </row>
    <row r="1729" spans="1:1">
      <c r="A1729" t="s">
        <v>3697</v>
      </c>
    </row>
    <row r="1730" spans="1:1">
      <c r="A1730" t="s">
        <v>3698</v>
      </c>
    </row>
    <row r="1731" spans="1:1">
      <c r="A1731" t="s">
        <v>3699</v>
      </c>
    </row>
    <row r="1732" spans="1:1">
      <c r="A1732" t="s">
        <v>3700</v>
      </c>
    </row>
    <row r="1733" spans="1:1">
      <c r="A1733" t="s">
        <v>3701</v>
      </c>
    </row>
    <row r="1734" spans="1:1">
      <c r="A1734" t="s">
        <v>3702</v>
      </c>
    </row>
    <row r="1735" spans="1:1">
      <c r="A1735" t="s">
        <v>3703</v>
      </c>
    </row>
    <row r="1736" spans="1:1">
      <c r="A1736" t="s">
        <v>3704</v>
      </c>
    </row>
    <row r="1737" spans="1:1">
      <c r="A1737" t="s">
        <v>3705</v>
      </c>
    </row>
    <row r="1738" spans="1:1">
      <c r="A1738" t="s">
        <v>3706</v>
      </c>
    </row>
    <row r="1739" spans="1:1">
      <c r="A1739" t="s">
        <v>3707</v>
      </c>
    </row>
    <row r="1740" spans="1:1">
      <c r="A1740" t="s">
        <v>3708</v>
      </c>
    </row>
    <row r="1741" spans="1:1">
      <c r="A1741" t="s">
        <v>3709</v>
      </c>
    </row>
    <row r="1742" spans="1:1">
      <c r="A1742" t="s">
        <v>3710</v>
      </c>
    </row>
    <row r="1743" spans="1:1">
      <c r="A1743" t="s">
        <v>3711</v>
      </c>
    </row>
    <row r="1744" spans="1:1">
      <c r="A1744" t="s">
        <v>3712</v>
      </c>
    </row>
    <row r="1745" spans="1:1">
      <c r="A1745" t="s">
        <v>3713</v>
      </c>
    </row>
    <row r="1746" spans="1:1">
      <c r="A1746" t="s">
        <v>3714</v>
      </c>
    </row>
    <row r="1747" spans="1:1">
      <c r="A1747" t="s">
        <v>3715</v>
      </c>
    </row>
    <row r="1748" spans="1:1">
      <c r="A1748" t="s">
        <v>3716</v>
      </c>
    </row>
    <row r="1749" spans="1:1">
      <c r="A1749" t="s">
        <v>3717</v>
      </c>
    </row>
    <row r="1750" spans="1:1">
      <c r="A1750" t="s">
        <v>3718</v>
      </c>
    </row>
    <row r="1751" spans="1:1">
      <c r="A1751" t="s">
        <v>3719</v>
      </c>
    </row>
    <row r="1752" spans="1:1">
      <c r="A1752" t="s">
        <v>3720</v>
      </c>
    </row>
    <row r="1753" spans="1:1">
      <c r="A1753" t="s">
        <v>3721</v>
      </c>
    </row>
    <row r="1754" spans="1:1">
      <c r="A1754" t="s">
        <v>3722</v>
      </c>
    </row>
    <row r="1755" spans="1:1">
      <c r="A1755" t="s">
        <v>3723</v>
      </c>
    </row>
    <row r="1756" spans="1:1">
      <c r="A1756" t="s">
        <v>3724</v>
      </c>
    </row>
    <row r="1757" spans="1:1">
      <c r="A1757" t="s">
        <v>3725</v>
      </c>
    </row>
    <row r="1758" spans="1:1">
      <c r="A1758" t="s">
        <v>3726</v>
      </c>
    </row>
    <row r="1759" spans="1:1">
      <c r="A1759" t="s">
        <v>3727</v>
      </c>
    </row>
    <row r="1760" spans="1:1">
      <c r="A1760" t="s">
        <v>3728</v>
      </c>
    </row>
    <row r="1761" spans="1:1">
      <c r="A1761" t="s">
        <v>3729</v>
      </c>
    </row>
    <row r="1762" spans="1:1">
      <c r="A1762" t="s">
        <v>3730</v>
      </c>
    </row>
    <row r="1763" spans="1:1">
      <c r="A1763" t="s">
        <v>3731</v>
      </c>
    </row>
    <row r="1764" spans="1:1">
      <c r="A1764" t="s">
        <v>3732</v>
      </c>
    </row>
    <row r="1765" spans="1:1">
      <c r="A1765" t="s">
        <v>3733</v>
      </c>
    </row>
    <row r="1766" spans="1:1">
      <c r="A1766" t="s">
        <v>3734</v>
      </c>
    </row>
    <row r="1767" spans="1:1">
      <c r="A1767" t="s">
        <v>3735</v>
      </c>
    </row>
    <row r="1768" spans="1:1">
      <c r="A1768" t="s">
        <v>3736</v>
      </c>
    </row>
    <row r="1769" spans="1:1">
      <c r="A1769" t="s">
        <v>3737</v>
      </c>
    </row>
    <row r="1770" spans="1:1">
      <c r="A1770" t="s">
        <v>3738</v>
      </c>
    </row>
    <row r="1771" spans="1:1">
      <c r="A1771" t="s">
        <v>3739</v>
      </c>
    </row>
    <row r="1772" spans="1:1">
      <c r="A1772" t="s">
        <v>3740</v>
      </c>
    </row>
    <row r="1773" spans="1:1">
      <c r="A1773" t="s">
        <v>3741</v>
      </c>
    </row>
    <row r="1774" spans="1:1">
      <c r="A1774" t="s">
        <v>3742</v>
      </c>
    </row>
    <row r="1775" spans="1:1">
      <c r="A1775" t="s">
        <v>3743</v>
      </c>
    </row>
    <row r="1776" spans="1:1">
      <c r="A1776" t="s">
        <v>3744</v>
      </c>
    </row>
    <row r="1777" spans="1:1">
      <c r="A1777" t="s">
        <v>3745</v>
      </c>
    </row>
    <row r="1778" spans="1:1">
      <c r="A1778" t="s">
        <v>3746</v>
      </c>
    </row>
    <row r="1779" spans="1:1">
      <c r="A1779" t="s">
        <v>3747</v>
      </c>
    </row>
    <row r="1780" spans="1:1">
      <c r="A1780" t="s">
        <v>3748</v>
      </c>
    </row>
    <row r="1781" spans="1:1">
      <c r="A1781" t="s">
        <v>3749</v>
      </c>
    </row>
    <row r="1782" spans="1:1">
      <c r="A1782" t="s">
        <v>3750</v>
      </c>
    </row>
    <row r="1783" spans="1:1">
      <c r="A1783" t="s">
        <v>3751</v>
      </c>
    </row>
    <row r="1784" spans="1:1">
      <c r="A1784" t="s">
        <v>3752</v>
      </c>
    </row>
    <row r="1785" spans="1:1">
      <c r="A1785" t="s">
        <v>3753</v>
      </c>
    </row>
    <row r="1786" spans="1:1">
      <c r="A1786" t="s">
        <v>3754</v>
      </c>
    </row>
    <row r="1787" spans="1:1">
      <c r="A1787" t="s">
        <v>3755</v>
      </c>
    </row>
    <row r="1788" spans="1:1">
      <c r="A1788" t="s">
        <v>3756</v>
      </c>
    </row>
    <row r="1789" spans="1:1">
      <c r="A1789" t="s">
        <v>3757</v>
      </c>
    </row>
    <row r="1790" spans="1:1">
      <c r="A1790" t="s">
        <v>3758</v>
      </c>
    </row>
    <row r="1791" spans="1:1">
      <c r="A1791" t="s">
        <v>3759</v>
      </c>
    </row>
    <row r="1792" spans="1:1">
      <c r="A1792" t="s">
        <v>3760</v>
      </c>
    </row>
    <row r="1793" spans="1:1">
      <c r="A1793" t="s">
        <v>3761</v>
      </c>
    </row>
    <row r="1794" spans="1:1">
      <c r="A1794" t="s">
        <v>3762</v>
      </c>
    </row>
    <row r="1795" spans="1:1">
      <c r="A1795" t="s">
        <v>3763</v>
      </c>
    </row>
    <row r="1796" spans="1:1">
      <c r="A1796" t="s">
        <v>3764</v>
      </c>
    </row>
    <row r="1797" spans="1:1">
      <c r="A1797" t="s">
        <v>3765</v>
      </c>
    </row>
    <row r="1798" spans="1:1">
      <c r="A1798" t="s">
        <v>3766</v>
      </c>
    </row>
    <row r="1799" spans="1:1">
      <c r="A1799" t="s">
        <v>3767</v>
      </c>
    </row>
    <row r="1800" spans="1:1">
      <c r="A1800" t="s">
        <v>3768</v>
      </c>
    </row>
    <row r="1801" spans="1:1">
      <c r="A1801" t="s">
        <v>3769</v>
      </c>
    </row>
    <row r="1802" spans="1:1">
      <c r="A1802" t="s">
        <v>3770</v>
      </c>
    </row>
    <row r="1803" spans="1:1">
      <c r="A1803" t="s">
        <v>3771</v>
      </c>
    </row>
    <row r="1804" spans="1:1">
      <c r="A1804" t="s">
        <v>3772</v>
      </c>
    </row>
    <row r="1805" spans="1:1">
      <c r="A1805" t="s">
        <v>3773</v>
      </c>
    </row>
    <row r="1806" spans="1:1">
      <c r="A1806" t="s">
        <v>3774</v>
      </c>
    </row>
    <row r="1807" spans="1:1">
      <c r="A1807" t="s">
        <v>3775</v>
      </c>
    </row>
    <row r="1808" spans="1:1">
      <c r="A1808" t="s">
        <v>3776</v>
      </c>
    </row>
    <row r="1809" spans="1:1">
      <c r="A1809" t="s">
        <v>3777</v>
      </c>
    </row>
    <row r="1810" spans="1:1">
      <c r="A1810" t="s">
        <v>3778</v>
      </c>
    </row>
    <row r="1811" spans="1:1">
      <c r="A1811" t="s">
        <v>3779</v>
      </c>
    </row>
    <row r="1812" spans="1:1">
      <c r="A1812" t="s">
        <v>3780</v>
      </c>
    </row>
    <row r="1813" spans="1:1">
      <c r="A1813" t="s">
        <v>3781</v>
      </c>
    </row>
    <row r="1814" spans="1:1">
      <c r="A1814" t="s">
        <v>3782</v>
      </c>
    </row>
    <row r="1815" spans="1:1">
      <c r="A1815" t="s">
        <v>3783</v>
      </c>
    </row>
    <row r="1816" spans="1:1">
      <c r="A1816" t="s">
        <v>3784</v>
      </c>
    </row>
    <row r="1817" spans="1:1">
      <c r="A1817" t="s">
        <v>3785</v>
      </c>
    </row>
    <row r="1818" spans="1:1">
      <c r="A1818" t="s">
        <v>3786</v>
      </c>
    </row>
    <row r="1819" spans="1:1">
      <c r="A1819" t="s">
        <v>3787</v>
      </c>
    </row>
    <row r="1820" spans="1:1">
      <c r="A1820" t="s">
        <v>3788</v>
      </c>
    </row>
    <row r="1821" spans="1:1">
      <c r="A1821" t="s">
        <v>3789</v>
      </c>
    </row>
    <row r="1822" spans="1:1">
      <c r="A1822" t="s">
        <v>3790</v>
      </c>
    </row>
    <row r="1823" spans="1:1">
      <c r="A1823" t="s">
        <v>3791</v>
      </c>
    </row>
    <row r="1824" spans="1:1">
      <c r="A1824" t="s">
        <v>3792</v>
      </c>
    </row>
    <row r="1825" spans="1:1">
      <c r="A1825" t="s">
        <v>3793</v>
      </c>
    </row>
    <row r="1826" spans="1:1">
      <c r="A1826" t="s">
        <v>3794</v>
      </c>
    </row>
    <row r="1827" spans="1:1">
      <c r="A1827" t="s">
        <v>3795</v>
      </c>
    </row>
    <row r="1828" spans="1:1">
      <c r="A1828" t="s">
        <v>3796</v>
      </c>
    </row>
    <row r="1829" spans="1:1">
      <c r="A1829" t="s">
        <v>3797</v>
      </c>
    </row>
    <row r="1830" spans="1:1">
      <c r="A1830" t="s">
        <v>3798</v>
      </c>
    </row>
    <row r="1831" spans="1:1">
      <c r="A1831" t="s">
        <v>3799</v>
      </c>
    </row>
    <row r="1832" spans="1:1">
      <c r="A1832" t="s">
        <v>3800</v>
      </c>
    </row>
    <row r="1833" spans="1:1">
      <c r="A1833" t="s">
        <v>3801</v>
      </c>
    </row>
    <row r="1834" spans="1:1">
      <c r="A1834" t="s">
        <v>3802</v>
      </c>
    </row>
    <row r="1835" spans="1:1">
      <c r="A1835" t="s">
        <v>3803</v>
      </c>
    </row>
    <row r="1836" spans="1:1">
      <c r="A1836" t="s">
        <v>3804</v>
      </c>
    </row>
    <row r="1837" spans="1:1">
      <c r="A1837" t="s">
        <v>3805</v>
      </c>
    </row>
    <row r="1838" spans="1:1">
      <c r="A1838" t="s">
        <v>3806</v>
      </c>
    </row>
    <row r="1839" spans="1:1">
      <c r="A1839" t="s">
        <v>3807</v>
      </c>
    </row>
    <row r="1840" spans="1:1">
      <c r="A1840" t="s">
        <v>3808</v>
      </c>
    </row>
    <row r="1841" spans="1:1">
      <c r="A1841" t="s">
        <v>3809</v>
      </c>
    </row>
    <row r="1842" spans="1:1">
      <c r="A1842" t="s">
        <v>3810</v>
      </c>
    </row>
    <row r="1843" spans="1:1">
      <c r="A1843" t="s">
        <v>3811</v>
      </c>
    </row>
    <row r="1844" spans="1:1">
      <c r="A1844" t="s">
        <v>3812</v>
      </c>
    </row>
    <row r="1845" spans="1:1">
      <c r="A1845" t="s">
        <v>3813</v>
      </c>
    </row>
    <row r="1846" spans="1:1">
      <c r="A1846" t="s">
        <v>3814</v>
      </c>
    </row>
    <row r="1847" spans="1:1">
      <c r="A1847" t="s">
        <v>3815</v>
      </c>
    </row>
    <row r="1848" spans="1:1">
      <c r="A1848" t="s">
        <v>3816</v>
      </c>
    </row>
    <row r="1849" spans="1:1">
      <c r="A1849" t="s">
        <v>3817</v>
      </c>
    </row>
    <row r="1850" spans="1:1">
      <c r="A1850" t="s">
        <v>3818</v>
      </c>
    </row>
    <row r="1851" spans="1:1">
      <c r="A1851" t="s">
        <v>3819</v>
      </c>
    </row>
    <row r="1852" spans="1:1">
      <c r="A1852" t="s">
        <v>3820</v>
      </c>
    </row>
    <row r="1853" spans="1:1">
      <c r="A1853" t="s">
        <v>3821</v>
      </c>
    </row>
    <row r="1854" spans="1:1">
      <c r="A1854" t="s">
        <v>3822</v>
      </c>
    </row>
    <row r="1855" spans="1:1">
      <c r="A1855" t="s">
        <v>3823</v>
      </c>
    </row>
    <row r="1856" spans="1:1">
      <c r="A1856" t="s">
        <v>3824</v>
      </c>
    </row>
    <row r="1857" spans="1:1">
      <c r="A1857" t="s">
        <v>3825</v>
      </c>
    </row>
    <row r="1858" spans="1:1">
      <c r="A1858" t="s">
        <v>3826</v>
      </c>
    </row>
    <row r="1859" spans="1:1">
      <c r="A1859" t="s">
        <v>3827</v>
      </c>
    </row>
    <row r="1860" spans="1:1">
      <c r="A1860" t="s">
        <v>3828</v>
      </c>
    </row>
    <row r="1861" spans="1:1">
      <c r="A1861" t="s">
        <v>3829</v>
      </c>
    </row>
    <row r="1862" spans="1:1">
      <c r="A1862" t="s">
        <v>3830</v>
      </c>
    </row>
    <row r="1863" spans="1:1">
      <c r="A1863" t="s">
        <v>3831</v>
      </c>
    </row>
    <row r="1864" spans="1:1">
      <c r="A1864" t="s">
        <v>3832</v>
      </c>
    </row>
    <row r="1865" spans="1:1">
      <c r="A1865" t="s">
        <v>3833</v>
      </c>
    </row>
    <row r="1866" spans="1:1">
      <c r="A1866" t="s">
        <v>3834</v>
      </c>
    </row>
    <row r="1867" spans="1:1">
      <c r="A1867" t="s">
        <v>3835</v>
      </c>
    </row>
    <row r="1868" spans="1:1">
      <c r="A1868" t="s">
        <v>3836</v>
      </c>
    </row>
    <row r="1869" spans="1:1">
      <c r="A1869" t="s">
        <v>3837</v>
      </c>
    </row>
    <row r="1870" spans="1:1">
      <c r="A1870" t="s">
        <v>3838</v>
      </c>
    </row>
    <row r="1871" spans="1:1">
      <c r="A1871" t="s">
        <v>3839</v>
      </c>
    </row>
    <row r="1872" spans="1:1">
      <c r="A1872" t="s">
        <v>3840</v>
      </c>
    </row>
    <row r="1873" spans="1:1">
      <c r="A1873" t="s">
        <v>3841</v>
      </c>
    </row>
    <row r="1874" spans="1:1">
      <c r="A1874" t="s">
        <v>3842</v>
      </c>
    </row>
    <row r="1875" spans="1:1">
      <c r="A1875" t="s">
        <v>3843</v>
      </c>
    </row>
    <row r="1876" spans="1:1">
      <c r="A1876" t="s">
        <v>3844</v>
      </c>
    </row>
    <row r="1877" spans="1:1">
      <c r="A1877" t="s">
        <v>3845</v>
      </c>
    </row>
    <row r="1878" spans="1:1">
      <c r="A1878" t="s">
        <v>3846</v>
      </c>
    </row>
    <row r="1879" spans="1:1">
      <c r="A1879" t="s">
        <v>3847</v>
      </c>
    </row>
    <row r="1880" spans="1:1">
      <c r="A1880" t="s">
        <v>3848</v>
      </c>
    </row>
    <row r="1881" spans="1:1">
      <c r="A1881" t="s">
        <v>3849</v>
      </c>
    </row>
    <row r="1882" spans="1:1">
      <c r="A1882" t="s">
        <v>3850</v>
      </c>
    </row>
    <row r="1883" spans="1:1">
      <c r="A1883" t="s">
        <v>3851</v>
      </c>
    </row>
    <row r="1884" spans="1:1">
      <c r="A1884" t="s">
        <v>3852</v>
      </c>
    </row>
    <row r="1885" spans="1:1">
      <c r="A1885" t="s">
        <v>3853</v>
      </c>
    </row>
    <row r="1886" spans="1:1">
      <c r="A1886" t="s">
        <v>3854</v>
      </c>
    </row>
    <row r="1887" spans="1:1">
      <c r="A1887" t="s">
        <v>3855</v>
      </c>
    </row>
    <row r="1888" spans="1:1">
      <c r="A1888" t="s">
        <v>3856</v>
      </c>
    </row>
    <row r="1889" spans="1:1">
      <c r="A1889" t="s">
        <v>3857</v>
      </c>
    </row>
    <row r="1890" spans="1:1">
      <c r="A1890" t="s">
        <v>3858</v>
      </c>
    </row>
    <row r="1891" spans="1:1">
      <c r="A1891" t="s">
        <v>3859</v>
      </c>
    </row>
    <row r="1892" spans="1:1">
      <c r="A1892" t="s">
        <v>3860</v>
      </c>
    </row>
    <row r="1893" spans="1:1">
      <c r="A1893" t="s">
        <v>3861</v>
      </c>
    </row>
    <row r="1894" spans="1:1">
      <c r="A1894" t="s">
        <v>3862</v>
      </c>
    </row>
    <row r="1895" spans="1:1">
      <c r="A1895" t="s">
        <v>3863</v>
      </c>
    </row>
    <row r="1896" spans="1:1">
      <c r="A1896" t="s">
        <v>3864</v>
      </c>
    </row>
    <row r="1897" spans="1:1">
      <c r="A1897" t="s">
        <v>3865</v>
      </c>
    </row>
    <row r="1898" spans="1:1">
      <c r="A1898" t="s">
        <v>3866</v>
      </c>
    </row>
    <row r="1899" spans="1:1">
      <c r="A1899" t="s">
        <v>3867</v>
      </c>
    </row>
    <row r="1900" spans="1:1">
      <c r="A1900" t="s">
        <v>3868</v>
      </c>
    </row>
    <row r="1901" spans="1:1">
      <c r="A1901" t="s">
        <v>3869</v>
      </c>
    </row>
    <row r="1902" spans="1:1">
      <c r="A1902" t="s">
        <v>3870</v>
      </c>
    </row>
    <row r="1903" spans="1:1">
      <c r="A1903" t="s">
        <v>3871</v>
      </c>
    </row>
    <row r="1904" spans="1:1">
      <c r="A1904" t="s">
        <v>3872</v>
      </c>
    </row>
    <row r="1905" spans="1:1">
      <c r="A1905" t="s">
        <v>3873</v>
      </c>
    </row>
    <row r="1906" spans="1:1">
      <c r="A1906" t="s">
        <v>3874</v>
      </c>
    </row>
    <row r="1907" spans="1:1">
      <c r="A1907" t="s">
        <v>3875</v>
      </c>
    </row>
    <row r="1908" spans="1:1">
      <c r="A1908" t="s">
        <v>3876</v>
      </c>
    </row>
    <row r="1909" spans="1:1">
      <c r="A1909" t="s">
        <v>3877</v>
      </c>
    </row>
    <row r="1910" spans="1:1">
      <c r="A1910" t="s">
        <v>3878</v>
      </c>
    </row>
    <row r="1911" spans="1:1">
      <c r="A1911" t="s">
        <v>3879</v>
      </c>
    </row>
    <row r="1912" spans="1:1">
      <c r="A1912" t="s">
        <v>3880</v>
      </c>
    </row>
    <row r="1913" spans="1:1">
      <c r="A1913" t="s">
        <v>3881</v>
      </c>
    </row>
    <row r="1914" spans="1:1">
      <c r="A1914" t="s">
        <v>3882</v>
      </c>
    </row>
    <row r="1915" spans="1:1">
      <c r="A1915" t="s">
        <v>3883</v>
      </c>
    </row>
    <row r="1916" spans="1:1">
      <c r="A1916" t="s">
        <v>3884</v>
      </c>
    </row>
    <row r="1917" spans="1:1">
      <c r="A1917" t="s">
        <v>3885</v>
      </c>
    </row>
    <row r="1918" spans="1:1">
      <c r="A1918" t="s">
        <v>3886</v>
      </c>
    </row>
    <row r="1919" spans="1:1">
      <c r="A1919" t="s">
        <v>3887</v>
      </c>
    </row>
    <row r="1920" spans="1:1">
      <c r="A1920" t="s">
        <v>3888</v>
      </c>
    </row>
    <row r="1921" spans="1:1">
      <c r="A1921" t="s">
        <v>3889</v>
      </c>
    </row>
    <row r="1922" spans="1:1">
      <c r="A1922" t="s">
        <v>3890</v>
      </c>
    </row>
    <row r="1923" spans="1:1">
      <c r="A1923" t="s">
        <v>3891</v>
      </c>
    </row>
    <row r="1924" spans="1:1">
      <c r="A1924" t="s">
        <v>3892</v>
      </c>
    </row>
    <row r="1925" spans="1:1">
      <c r="A1925" t="s">
        <v>3893</v>
      </c>
    </row>
    <row r="1926" spans="1:1">
      <c r="A1926" t="s">
        <v>3894</v>
      </c>
    </row>
    <row r="1927" spans="1:1">
      <c r="A1927" t="s">
        <v>3895</v>
      </c>
    </row>
    <row r="1928" spans="1:1">
      <c r="A1928" t="s">
        <v>3896</v>
      </c>
    </row>
    <row r="1929" spans="1:1">
      <c r="A1929" t="s">
        <v>3897</v>
      </c>
    </row>
    <row r="1930" spans="1:1">
      <c r="A1930" t="s">
        <v>3898</v>
      </c>
    </row>
    <row r="1931" spans="1:1">
      <c r="A1931" t="s">
        <v>3899</v>
      </c>
    </row>
    <row r="1932" spans="1:1">
      <c r="A1932" t="s">
        <v>3900</v>
      </c>
    </row>
    <row r="1933" spans="1:1">
      <c r="A1933" t="s">
        <v>3901</v>
      </c>
    </row>
    <row r="1934" spans="1:1">
      <c r="A1934" t="s">
        <v>3902</v>
      </c>
    </row>
    <row r="1935" spans="1:1">
      <c r="A1935" t="s">
        <v>3903</v>
      </c>
    </row>
    <row r="1936" spans="1:1">
      <c r="A1936" t="s">
        <v>3904</v>
      </c>
    </row>
    <row r="1937" spans="1:1">
      <c r="A1937" t="s">
        <v>3905</v>
      </c>
    </row>
    <row r="1938" spans="1:1">
      <c r="A1938" t="s">
        <v>3906</v>
      </c>
    </row>
    <row r="1939" spans="1:1">
      <c r="A1939" t="s">
        <v>3907</v>
      </c>
    </row>
    <row r="1940" spans="1:1">
      <c r="A1940" t="s">
        <v>3908</v>
      </c>
    </row>
    <row r="1941" spans="1:1">
      <c r="A1941" t="s">
        <v>3909</v>
      </c>
    </row>
    <row r="1942" spans="1:1">
      <c r="A1942" t="s">
        <v>3910</v>
      </c>
    </row>
    <row r="1943" spans="1:1">
      <c r="A1943" t="s">
        <v>3911</v>
      </c>
    </row>
    <row r="1944" spans="1:1">
      <c r="A1944" t="s">
        <v>3912</v>
      </c>
    </row>
    <row r="1945" spans="1:1">
      <c r="A1945" t="s">
        <v>3913</v>
      </c>
    </row>
    <row r="1946" spans="1:1">
      <c r="A1946" t="s">
        <v>3914</v>
      </c>
    </row>
    <row r="1947" spans="1:1">
      <c r="A1947" t="s">
        <v>3915</v>
      </c>
    </row>
    <row r="1948" spans="1:1">
      <c r="A1948" t="s">
        <v>3916</v>
      </c>
    </row>
    <row r="1949" spans="1:1">
      <c r="A1949" t="s">
        <v>3917</v>
      </c>
    </row>
    <row r="1950" spans="1:1">
      <c r="A1950" t="s">
        <v>3918</v>
      </c>
    </row>
    <row r="1951" spans="1:1">
      <c r="A1951" t="s">
        <v>3919</v>
      </c>
    </row>
    <row r="1952" spans="1:1">
      <c r="A1952" t="s">
        <v>3920</v>
      </c>
    </row>
    <row r="1953" spans="1:1">
      <c r="A1953" t="s">
        <v>3921</v>
      </c>
    </row>
    <row r="1954" spans="1:1">
      <c r="A1954" t="s">
        <v>3922</v>
      </c>
    </row>
    <row r="1955" spans="1:1">
      <c r="A1955" t="s">
        <v>3923</v>
      </c>
    </row>
    <row r="1956" spans="1:1">
      <c r="A1956" t="s">
        <v>3924</v>
      </c>
    </row>
    <row r="1957" spans="1:1">
      <c r="A1957" t="s">
        <v>3925</v>
      </c>
    </row>
    <row r="1958" spans="1:1">
      <c r="A1958" t="s">
        <v>3926</v>
      </c>
    </row>
    <row r="1959" spans="1:1">
      <c r="A1959" t="s">
        <v>3927</v>
      </c>
    </row>
    <row r="1960" spans="1:1">
      <c r="A1960" t="s">
        <v>3928</v>
      </c>
    </row>
    <row r="1961" spans="1:1">
      <c r="A1961" t="s">
        <v>3929</v>
      </c>
    </row>
    <row r="1962" spans="1:1">
      <c r="A1962" t="s">
        <v>3930</v>
      </c>
    </row>
    <row r="1963" spans="1:1">
      <c r="A1963" t="s">
        <v>3931</v>
      </c>
    </row>
    <row r="1964" spans="1:1">
      <c r="A1964" t="s">
        <v>3932</v>
      </c>
    </row>
    <row r="1965" spans="1:1">
      <c r="A1965" t="s">
        <v>3933</v>
      </c>
    </row>
    <row r="1966" spans="1:1">
      <c r="A1966" t="s">
        <v>3934</v>
      </c>
    </row>
    <row r="1967" spans="1:1">
      <c r="A1967" t="s">
        <v>3935</v>
      </c>
    </row>
    <row r="1968" spans="1:1">
      <c r="A1968" t="s">
        <v>3936</v>
      </c>
    </row>
    <row r="1969" spans="1:1">
      <c r="A1969" t="s">
        <v>3937</v>
      </c>
    </row>
    <row r="1970" spans="1:1">
      <c r="A1970" t="s">
        <v>3938</v>
      </c>
    </row>
    <row r="1971" spans="1:1">
      <c r="A1971" t="s">
        <v>3939</v>
      </c>
    </row>
    <row r="1972" spans="1:1">
      <c r="A1972" t="s">
        <v>3940</v>
      </c>
    </row>
    <row r="1973" spans="1:1">
      <c r="A1973" t="s">
        <v>3941</v>
      </c>
    </row>
    <row r="1974" spans="1:1">
      <c r="A1974" t="s">
        <v>3942</v>
      </c>
    </row>
    <row r="1975" spans="1:1">
      <c r="A1975" t="s">
        <v>3943</v>
      </c>
    </row>
    <row r="1976" spans="1:1">
      <c r="A1976" t="s">
        <v>3944</v>
      </c>
    </row>
    <row r="1977" spans="1:1">
      <c r="A1977" t="s">
        <v>3945</v>
      </c>
    </row>
    <row r="1978" spans="1:1">
      <c r="A1978" t="s">
        <v>3946</v>
      </c>
    </row>
    <row r="1979" spans="1:1">
      <c r="A1979" t="s">
        <v>3947</v>
      </c>
    </row>
    <row r="1980" spans="1:1">
      <c r="A1980" t="s">
        <v>3948</v>
      </c>
    </row>
    <row r="1981" spans="1:1">
      <c r="A1981" t="s">
        <v>3949</v>
      </c>
    </row>
    <row r="1982" spans="1:1">
      <c r="A1982" t="s">
        <v>3950</v>
      </c>
    </row>
    <row r="1983" spans="1:1">
      <c r="A1983" t="s">
        <v>3951</v>
      </c>
    </row>
    <row r="1984" spans="1:1">
      <c r="A1984" t="s">
        <v>3952</v>
      </c>
    </row>
    <row r="1985" spans="1:1">
      <c r="A1985" t="s">
        <v>3953</v>
      </c>
    </row>
    <row r="1986" spans="1:1">
      <c r="A1986" t="s">
        <v>3954</v>
      </c>
    </row>
    <row r="1987" spans="1:1">
      <c r="A1987" t="s">
        <v>3955</v>
      </c>
    </row>
    <row r="1988" spans="1:1">
      <c r="A1988" t="s">
        <v>3956</v>
      </c>
    </row>
    <row r="1989" spans="1:1">
      <c r="A1989" t="s">
        <v>3957</v>
      </c>
    </row>
    <row r="1990" spans="1:1">
      <c r="A1990" t="s">
        <v>3958</v>
      </c>
    </row>
    <row r="1991" spans="1:1">
      <c r="A1991" t="s">
        <v>3959</v>
      </c>
    </row>
    <row r="1992" spans="1:1">
      <c r="A1992" t="s">
        <v>3960</v>
      </c>
    </row>
    <row r="1993" spans="1:1">
      <c r="A1993" t="s">
        <v>3961</v>
      </c>
    </row>
    <row r="1994" spans="1:1">
      <c r="A1994" t="s">
        <v>3962</v>
      </c>
    </row>
    <row r="1995" spans="1:1">
      <c r="A1995" t="s">
        <v>3963</v>
      </c>
    </row>
    <row r="1996" spans="1:1">
      <c r="A1996" t="s">
        <v>3964</v>
      </c>
    </row>
    <row r="1997" spans="1:1">
      <c r="A1997" t="s">
        <v>3965</v>
      </c>
    </row>
    <row r="1998" spans="1:1">
      <c r="A1998" t="s">
        <v>3966</v>
      </c>
    </row>
    <row r="1999" spans="1:1">
      <c r="A1999" t="s">
        <v>3967</v>
      </c>
    </row>
    <row r="2000" spans="1:1">
      <c r="A2000" t="s">
        <v>3968</v>
      </c>
    </row>
    <row r="2001" spans="1:1">
      <c r="A2001" t="s">
        <v>3969</v>
      </c>
    </row>
    <row r="2002" spans="1:1">
      <c r="A2002" t="s">
        <v>3970</v>
      </c>
    </row>
    <row r="2003" spans="1:1">
      <c r="A2003" t="s">
        <v>3971</v>
      </c>
    </row>
    <row r="2004" spans="1:1">
      <c r="A2004" t="s">
        <v>3972</v>
      </c>
    </row>
    <row r="2005" spans="1:1">
      <c r="A2005" t="s">
        <v>3973</v>
      </c>
    </row>
    <row r="2006" spans="1:1">
      <c r="A2006" t="s">
        <v>3974</v>
      </c>
    </row>
    <row r="2007" spans="1:1">
      <c r="A2007" t="s">
        <v>3975</v>
      </c>
    </row>
    <row r="2008" spans="1:1">
      <c r="A2008" t="s">
        <v>3976</v>
      </c>
    </row>
    <row r="2009" spans="1:1">
      <c r="A2009" t="s">
        <v>3977</v>
      </c>
    </row>
    <row r="2010" spans="1:1">
      <c r="A2010" t="s">
        <v>3978</v>
      </c>
    </row>
    <row r="2011" spans="1:1">
      <c r="A2011" t="s">
        <v>3979</v>
      </c>
    </row>
    <row r="2012" spans="1:1">
      <c r="A2012" t="s">
        <v>3980</v>
      </c>
    </row>
    <row r="2013" spans="1:1">
      <c r="A2013" t="s">
        <v>3981</v>
      </c>
    </row>
    <row r="2014" spans="1:1">
      <c r="A2014" t="s">
        <v>3982</v>
      </c>
    </row>
    <row r="2015" spans="1:1">
      <c r="A2015" t="s">
        <v>3983</v>
      </c>
    </row>
    <row r="2016" spans="1:1">
      <c r="A2016" t="s">
        <v>3984</v>
      </c>
    </row>
    <row r="2017" spans="1:1">
      <c r="A2017" t="s">
        <v>3985</v>
      </c>
    </row>
    <row r="2018" spans="1:1">
      <c r="A2018" t="s">
        <v>3986</v>
      </c>
    </row>
    <row r="2019" spans="1:1">
      <c r="A2019" t="s">
        <v>3987</v>
      </c>
    </row>
    <row r="2020" spans="1:1">
      <c r="A2020" t="s">
        <v>3988</v>
      </c>
    </row>
    <row r="2021" spans="1:1">
      <c r="A2021" t="s">
        <v>3989</v>
      </c>
    </row>
    <row r="2022" spans="1:1">
      <c r="A2022" t="s">
        <v>3990</v>
      </c>
    </row>
    <row r="2023" spans="1:1">
      <c r="A2023" t="s">
        <v>3991</v>
      </c>
    </row>
    <row r="2024" spans="1:1">
      <c r="A2024" t="s">
        <v>3992</v>
      </c>
    </row>
    <row r="2025" spans="1:1">
      <c r="A2025" t="s">
        <v>3993</v>
      </c>
    </row>
    <row r="2026" spans="1:1">
      <c r="A2026" t="s">
        <v>3994</v>
      </c>
    </row>
    <row r="2027" spans="1:1">
      <c r="A2027" t="s">
        <v>3995</v>
      </c>
    </row>
    <row r="2028" spans="1:1">
      <c r="A2028" t="s">
        <v>3996</v>
      </c>
    </row>
    <row r="2029" spans="1:1">
      <c r="A2029" t="s">
        <v>3997</v>
      </c>
    </row>
    <row r="2030" spans="1:1">
      <c r="A2030" t="s">
        <v>3998</v>
      </c>
    </row>
    <row r="2031" spans="1:1">
      <c r="A2031" t="s">
        <v>3999</v>
      </c>
    </row>
    <row r="2032" spans="1:1">
      <c r="A2032" t="s">
        <v>4000</v>
      </c>
    </row>
    <row r="2033" spans="1:1">
      <c r="A2033" t="s">
        <v>4001</v>
      </c>
    </row>
    <row r="2034" spans="1:1">
      <c r="A2034" t="s">
        <v>4002</v>
      </c>
    </row>
    <row r="2035" spans="1:1">
      <c r="A2035" t="s">
        <v>4003</v>
      </c>
    </row>
    <row r="2036" spans="1:1">
      <c r="A2036" t="s">
        <v>4004</v>
      </c>
    </row>
    <row r="2037" spans="1:1">
      <c r="A2037" t="s">
        <v>4005</v>
      </c>
    </row>
    <row r="2038" spans="1:1">
      <c r="A2038" t="s">
        <v>4006</v>
      </c>
    </row>
    <row r="2039" spans="1:1">
      <c r="A2039" t="s">
        <v>4007</v>
      </c>
    </row>
    <row r="2040" spans="1:1">
      <c r="A2040" t="s">
        <v>4008</v>
      </c>
    </row>
    <row r="2041" spans="1:1">
      <c r="A2041" t="s">
        <v>4009</v>
      </c>
    </row>
    <row r="2042" spans="1:1">
      <c r="A2042" t="s">
        <v>4010</v>
      </c>
    </row>
    <row r="2043" spans="1:1">
      <c r="A2043" t="s">
        <v>4011</v>
      </c>
    </row>
    <row r="2044" spans="1:1">
      <c r="A2044" t="s">
        <v>4012</v>
      </c>
    </row>
    <row r="2045" spans="1:1">
      <c r="A2045" t="s">
        <v>4013</v>
      </c>
    </row>
    <row r="2046" spans="1:1">
      <c r="A2046" t="s">
        <v>4014</v>
      </c>
    </row>
    <row r="2047" spans="1:1">
      <c r="A2047" t="s">
        <v>4015</v>
      </c>
    </row>
    <row r="2048" spans="1:1">
      <c r="A2048" t="s">
        <v>4016</v>
      </c>
    </row>
    <row r="2049" spans="1:1">
      <c r="A2049" t="s">
        <v>4017</v>
      </c>
    </row>
    <row r="2050" spans="1:1">
      <c r="A2050" t="s">
        <v>4018</v>
      </c>
    </row>
    <row r="2051" spans="1:1">
      <c r="A2051" t="s">
        <v>4019</v>
      </c>
    </row>
    <row r="2052" spans="1:1">
      <c r="A2052" t="s">
        <v>4020</v>
      </c>
    </row>
    <row r="2053" spans="1:1">
      <c r="A2053" t="s">
        <v>4021</v>
      </c>
    </row>
    <row r="2054" spans="1:1">
      <c r="A2054" t="s">
        <v>4022</v>
      </c>
    </row>
    <row r="2055" spans="1:1">
      <c r="A2055" t="s">
        <v>4023</v>
      </c>
    </row>
    <row r="2056" spans="1:1">
      <c r="A2056" t="s">
        <v>4024</v>
      </c>
    </row>
    <row r="2057" spans="1:1">
      <c r="A2057" t="s">
        <v>4025</v>
      </c>
    </row>
    <row r="2058" spans="1:1">
      <c r="A2058" t="s">
        <v>4026</v>
      </c>
    </row>
    <row r="2059" spans="1:1">
      <c r="A2059" t="s">
        <v>4027</v>
      </c>
    </row>
    <row r="2060" spans="1:1">
      <c r="A2060" t="s">
        <v>4028</v>
      </c>
    </row>
    <row r="2061" spans="1:1">
      <c r="A2061" t="s">
        <v>4029</v>
      </c>
    </row>
    <row r="2062" spans="1:1">
      <c r="A2062" t="s">
        <v>4030</v>
      </c>
    </row>
    <row r="2063" spans="1:1">
      <c r="A2063" t="s">
        <v>4031</v>
      </c>
    </row>
    <row r="2064" spans="1:1">
      <c r="A2064" t="s">
        <v>4032</v>
      </c>
    </row>
    <row r="2065" spans="1:1">
      <c r="A2065" t="s">
        <v>4033</v>
      </c>
    </row>
    <row r="2066" spans="1:1">
      <c r="A2066" t="s">
        <v>4034</v>
      </c>
    </row>
    <row r="2067" spans="1:1">
      <c r="A2067" t="s">
        <v>4035</v>
      </c>
    </row>
    <row r="2068" spans="1:1">
      <c r="A2068" t="s">
        <v>4036</v>
      </c>
    </row>
    <row r="2069" spans="1:1">
      <c r="A2069" t="s">
        <v>4037</v>
      </c>
    </row>
    <row r="2070" spans="1:1">
      <c r="A2070" t="s">
        <v>4038</v>
      </c>
    </row>
    <row r="2071" spans="1:1">
      <c r="A2071" t="s">
        <v>4039</v>
      </c>
    </row>
    <row r="2072" spans="1:1">
      <c r="A2072" t="s">
        <v>4040</v>
      </c>
    </row>
    <row r="2073" spans="1:1">
      <c r="A2073" t="s">
        <v>4041</v>
      </c>
    </row>
    <row r="2074" spans="1:1">
      <c r="A2074" t="s">
        <v>4042</v>
      </c>
    </row>
    <row r="2075" spans="1:1">
      <c r="A2075" t="s">
        <v>4043</v>
      </c>
    </row>
    <row r="2076" spans="1:1">
      <c r="A2076" t="s">
        <v>4044</v>
      </c>
    </row>
    <row r="2077" spans="1:1">
      <c r="A2077" t="s">
        <v>4045</v>
      </c>
    </row>
    <row r="2078" spans="1:1">
      <c r="A2078" t="s">
        <v>4046</v>
      </c>
    </row>
    <row r="2079" spans="1:1">
      <c r="A2079" t="s">
        <v>4047</v>
      </c>
    </row>
    <row r="2080" spans="1:1">
      <c r="A2080" t="s">
        <v>4048</v>
      </c>
    </row>
    <row r="2081" spans="1:1">
      <c r="A2081" t="s">
        <v>4049</v>
      </c>
    </row>
    <row r="2082" spans="1:1">
      <c r="A2082" t="s">
        <v>4050</v>
      </c>
    </row>
    <row r="2083" spans="1:1">
      <c r="A2083" t="s">
        <v>4051</v>
      </c>
    </row>
    <row r="2084" spans="1:1">
      <c r="A2084" t="s">
        <v>4052</v>
      </c>
    </row>
    <row r="2085" spans="1:1">
      <c r="A2085" t="s">
        <v>4053</v>
      </c>
    </row>
    <row r="2086" spans="1:1">
      <c r="A2086" t="s">
        <v>4054</v>
      </c>
    </row>
    <row r="2087" spans="1:1">
      <c r="A2087" t="s">
        <v>4055</v>
      </c>
    </row>
    <row r="2088" spans="1:1">
      <c r="A2088" t="s">
        <v>4056</v>
      </c>
    </row>
    <row r="2089" spans="1:1">
      <c r="A2089" t="s">
        <v>4057</v>
      </c>
    </row>
    <row r="2090" spans="1:1">
      <c r="A2090" t="s">
        <v>4058</v>
      </c>
    </row>
    <row r="2091" spans="1:1">
      <c r="A2091" t="s">
        <v>4059</v>
      </c>
    </row>
    <row r="2092" spans="1:1">
      <c r="A2092" t="s">
        <v>4060</v>
      </c>
    </row>
    <row r="2093" spans="1:1">
      <c r="A2093" t="s">
        <v>4061</v>
      </c>
    </row>
    <row r="2094" spans="1:1">
      <c r="A2094" t="s">
        <v>4062</v>
      </c>
    </row>
    <row r="2095" spans="1:1">
      <c r="A2095" t="s">
        <v>4063</v>
      </c>
    </row>
    <row r="2096" spans="1:1">
      <c r="A2096" t="s">
        <v>4064</v>
      </c>
    </row>
    <row r="2097" spans="1:1">
      <c r="A2097" t="s">
        <v>4065</v>
      </c>
    </row>
    <row r="2098" spans="1:1">
      <c r="A2098" t="s">
        <v>4066</v>
      </c>
    </row>
    <row r="2099" spans="1:1">
      <c r="A2099" t="s">
        <v>4067</v>
      </c>
    </row>
    <row r="2100" spans="1:1">
      <c r="A2100" t="s">
        <v>4068</v>
      </c>
    </row>
    <row r="2101" spans="1:1">
      <c r="A2101" t="s">
        <v>4069</v>
      </c>
    </row>
    <row r="2102" spans="1:1">
      <c r="A2102" t="s">
        <v>4070</v>
      </c>
    </row>
    <row r="2103" spans="1:1">
      <c r="A2103" t="s">
        <v>4071</v>
      </c>
    </row>
    <row r="2104" spans="1:1">
      <c r="A2104" t="s">
        <v>4072</v>
      </c>
    </row>
    <row r="2105" spans="1:1">
      <c r="A2105" t="s">
        <v>4073</v>
      </c>
    </row>
    <row r="2106" spans="1:1">
      <c r="A2106" t="s">
        <v>4074</v>
      </c>
    </row>
    <row r="2107" spans="1:1">
      <c r="A2107" t="s">
        <v>4075</v>
      </c>
    </row>
    <row r="2108" spans="1:1">
      <c r="A2108" t="s">
        <v>4076</v>
      </c>
    </row>
    <row r="2109" spans="1:1">
      <c r="A2109" t="s">
        <v>4077</v>
      </c>
    </row>
    <row r="2110" spans="1:1">
      <c r="A2110" t="s">
        <v>4078</v>
      </c>
    </row>
    <row r="2111" spans="1:1">
      <c r="A2111" t="s">
        <v>4079</v>
      </c>
    </row>
    <row r="2112" spans="1:1">
      <c r="A2112" t="s">
        <v>4080</v>
      </c>
    </row>
    <row r="2113" spans="1:1">
      <c r="A2113" t="s">
        <v>4081</v>
      </c>
    </row>
    <row r="2114" spans="1:1">
      <c r="A2114" t="s">
        <v>4082</v>
      </c>
    </row>
    <row r="2115" spans="1:1">
      <c r="A2115" t="s">
        <v>4083</v>
      </c>
    </row>
    <row r="2116" spans="1:1">
      <c r="A2116" t="s">
        <v>4084</v>
      </c>
    </row>
    <row r="2117" spans="1:1">
      <c r="A2117" t="s">
        <v>4085</v>
      </c>
    </row>
    <row r="2118" spans="1:1">
      <c r="A2118" t="s">
        <v>4086</v>
      </c>
    </row>
    <row r="2119" spans="1:1">
      <c r="A2119" t="s">
        <v>4087</v>
      </c>
    </row>
    <row r="2120" spans="1:1">
      <c r="A2120" t="s">
        <v>4088</v>
      </c>
    </row>
    <row r="2121" spans="1:1">
      <c r="A2121" t="s">
        <v>4089</v>
      </c>
    </row>
    <row r="2122" spans="1:1">
      <c r="A2122" t="s">
        <v>4090</v>
      </c>
    </row>
    <row r="2123" spans="1:1">
      <c r="A2123" t="s">
        <v>4091</v>
      </c>
    </row>
    <row r="2124" spans="1:1">
      <c r="A2124" t="s">
        <v>4092</v>
      </c>
    </row>
    <row r="2125" spans="1:1">
      <c r="A2125" t="s">
        <v>4093</v>
      </c>
    </row>
    <row r="2126" spans="1:1">
      <c r="A2126" t="s">
        <v>4094</v>
      </c>
    </row>
    <row r="2127" spans="1:1">
      <c r="A2127" t="s">
        <v>4095</v>
      </c>
    </row>
    <row r="2128" spans="1:1">
      <c r="A2128" t="s">
        <v>4096</v>
      </c>
    </row>
    <row r="2129" spans="1:1">
      <c r="A2129" t="s">
        <v>4097</v>
      </c>
    </row>
    <row r="2130" spans="1:1">
      <c r="A2130" t="s">
        <v>4098</v>
      </c>
    </row>
    <row r="2131" spans="1:1">
      <c r="A2131" t="s">
        <v>4099</v>
      </c>
    </row>
    <row r="2132" spans="1:1">
      <c r="A2132" t="s">
        <v>4100</v>
      </c>
    </row>
    <row r="2133" spans="1:1">
      <c r="A2133" t="s">
        <v>4101</v>
      </c>
    </row>
    <row r="2134" spans="1:1">
      <c r="A2134" t="s">
        <v>4102</v>
      </c>
    </row>
    <row r="2135" spans="1:1">
      <c r="A2135" t="s">
        <v>4103</v>
      </c>
    </row>
    <row r="2136" spans="1:1">
      <c r="A2136" t="s">
        <v>4104</v>
      </c>
    </row>
    <row r="2137" spans="1:1">
      <c r="A2137" t="s">
        <v>4105</v>
      </c>
    </row>
    <row r="2138" spans="1:1">
      <c r="A2138" t="s">
        <v>4106</v>
      </c>
    </row>
    <row r="2139" spans="1:1">
      <c r="A2139" t="s">
        <v>4107</v>
      </c>
    </row>
    <row r="2140" spans="1:1">
      <c r="A2140" t="s">
        <v>4108</v>
      </c>
    </row>
    <row r="2141" spans="1:1">
      <c r="A2141" t="s">
        <v>4109</v>
      </c>
    </row>
    <row r="2142" spans="1:1">
      <c r="A2142" t="s">
        <v>4110</v>
      </c>
    </row>
    <row r="2143" spans="1:1">
      <c r="A2143" t="s">
        <v>4111</v>
      </c>
    </row>
    <row r="2144" spans="1:1">
      <c r="A2144" t="s">
        <v>4112</v>
      </c>
    </row>
    <row r="2145" spans="1:1">
      <c r="A2145" t="s">
        <v>4113</v>
      </c>
    </row>
    <row r="2146" spans="1:1">
      <c r="A2146" t="s">
        <v>4114</v>
      </c>
    </row>
    <row r="2147" spans="1:1">
      <c r="A2147" t="s">
        <v>4115</v>
      </c>
    </row>
    <row r="2148" spans="1:1">
      <c r="A2148" t="s">
        <v>4116</v>
      </c>
    </row>
    <row r="2149" spans="1:1">
      <c r="A2149" t="s">
        <v>4117</v>
      </c>
    </row>
    <row r="2150" spans="1:1">
      <c r="A2150" t="s">
        <v>4118</v>
      </c>
    </row>
    <row r="2151" spans="1:1">
      <c r="A2151" t="s">
        <v>4119</v>
      </c>
    </row>
    <row r="2152" spans="1:1">
      <c r="A2152" t="s">
        <v>4120</v>
      </c>
    </row>
    <row r="2153" spans="1:1">
      <c r="A2153" t="s">
        <v>4121</v>
      </c>
    </row>
    <row r="2154" spans="1:1">
      <c r="A2154" t="s">
        <v>4122</v>
      </c>
    </row>
    <row r="2155" spans="1:1">
      <c r="A2155" t="s">
        <v>4123</v>
      </c>
    </row>
    <row r="2156" spans="1:1">
      <c r="A2156" t="s">
        <v>4124</v>
      </c>
    </row>
    <row r="2157" spans="1:1">
      <c r="A2157" t="s">
        <v>4125</v>
      </c>
    </row>
    <row r="2158" spans="1:1">
      <c r="A2158" t="s">
        <v>4126</v>
      </c>
    </row>
    <row r="2159" spans="1:1">
      <c r="A2159" t="s">
        <v>4127</v>
      </c>
    </row>
    <row r="2160" spans="1:1">
      <c r="A2160" t="s">
        <v>4128</v>
      </c>
    </row>
    <row r="2161" spans="1:1">
      <c r="A2161" t="s">
        <v>4129</v>
      </c>
    </row>
    <row r="2162" spans="1:1">
      <c r="A2162" t="s">
        <v>4130</v>
      </c>
    </row>
    <row r="2163" spans="1:1">
      <c r="A2163" t="s">
        <v>4131</v>
      </c>
    </row>
    <row r="2164" spans="1:1">
      <c r="A2164" t="s">
        <v>4132</v>
      </c>
    </row>
    <row r="2165" spans="1:1">
      <c r="A2165" t="s">
        <v>4133</v>
      </c>
    </row>
    <row r="2166" spans="1:1">
      <c r="A2166" t="s">
        <v>4134</v>
      </c>
    </row>
    <row r="2167" spans="1:1">
      <c r="A2167" t="s">
        <v>4135</v>
      </c>
    </row>
    <row r="2168" spans="1:1">
      <c r="A2168" t="s">
        <v>4136</v>
      </c>
    </row>
    <row r="2169" spans="1:1">
      <c r="A2169" t="s">
        <v>4137</v>
      </c>
    </row>
    <row r="2170" spans="1:1">
      <c r="A2170" t="s">
        <v>4138</v>
      </c>
    </row>
    <row r="2171" spans="1:1">
      <c r="A2171" t="s">
        <v>4139</v>
      </c>
    </row>
    <row r="2172" spans="1:1">
      <c r="A2172" t="s">
        <v>4140</v>
      </c>
    </row>
    <row r="2173" spans="1:1">
      <c r="A2173" t="s">
        <v>4141</v>
      </c>
    </row>
    <row r="2174" spans="1:1">
      <c r="A2174" t="s">
        <v>4142</v>
      </c>
    </row>
    <row r="2175" spans="1:1">
      <c r="A2175" t="s">
        <v>4143</v>
      </c>
    </row>
    <row r="2176" spans="1:1">
      <c r="A2176" t="s">
        <v>4144</v>
      </c>
    </row>
    <row r="2177" spans="1:1">
      <c r="A2177" t="s">
        <v>4145</v>
      </c>
    </row>
    <row r="2178" spans="1:1">
      <c r="A2178" t="s">
        <v>4146</v>
      </c>
    </row>
    <row r="2179" spans="1:1">
      <c r="A2179" t="s">
        <v>4147</v>
      </c>
    </row>
    <row r="2180" spans="1:1">
      <c r="A2180" t="s">
        <v>4148</v>
      </c>
    </row>
    <row r="2181" spans="1:1">
      <c r="A2181" t="s">
        <v>4149</v>
      </c>
    </row>
    <row r="2182" spans="1:1">
      <c r="A2182" t="s">
        <v>4150</v>
      </c>
    </row>
    <row r="2183" spans="1:1">
      <c r="A2183" t="s">
        <v>4151</v>
      </c>
    </row>
    <row r="2184" spans="1:1">
      <c r="A2184" t="s">
        <v>4152</v>
      </c>
    </row>
    <row r="2185" spans="1:1">
      <c r="A2185" t="s">
        <v>4153</v>
      </c>
    </row>
    <row r="2186" spans="1:1">
      <c r="A2186" t="s">
        <v>4154</v>
      </c>
    </row>
    <row r="2187" spans="1:1">
      <c r="A2187" t="s">
        <v>4155</v>
      </c>
    </row>
    <row r="2188" spans="1:1">
      <c r="A2188" t="s">
        <v>4156</v>
      </c>
    </row>
    <row r="2189" spans="1:1">
      <c r="A2189" t="s">
        <v>4157</v>
      </c>
    </row>
    <row r="2190" spans="1:1">
      <c r="A2190" t="s">
        <v>4158</v>
      </c>
    </row>
    <row r="2191" spans="1:1">
      <c r="A2191" t="s">
        <v>4159</v>
      </c>
    </row>
    <row r="2192" spans="1:1">
      <c r="A2192" t="s">
        <v>4160</v>
      </c>
    </row>
    <row r="2193" spans="1:1">
      <c r="A2193" t="s">
        <v>4161</v>
      </c>
    </row>
    <row r="2194" spans="1:1">
      <c r="A2194" t="s">
        <v>4162</v>
      </c>
    </row>
    <row r="2195" spans="1:1">
      <c r="A2195" t="s">
        <v>4163</v>
      </c>
    </row>
    <row r="2196" spans="1:1">
      <c r="A2196" t="s">
        <v>4164</v>
      </c>
    </row>
    <row r="2197" spans="1:1">
      <c r="A2197" t="s">
        <v>4165</v>
      </c>
    </row>
    <row r="2198" spans="1:1">
      <c r="A2198" t="s">
        <v>4166</v>
      </c>
    </row>
    <row r="2199" spans="1:1">
      <c r="A2199" t="s">
        <v>4167</v>
      </c>
    </row>
    <row r="2200" spans="1:1">
      <c r="A2200" t="s">
        <v>4168</v>
      </c>
    </row>
    <row r="2201" spans="1:1">
      <c r="A2201" t="s">
        <v>4169</v>
      </c>
    </row>
    <row r="2202" spans="1:1">
      <c r="A2202" t="s">
        <v>4170</v>
      </c>
    </row>
    <row r="2203" spans="1:1">
      <c r="A2203" t="s">
        <v>4171</v>
      </c>
    </row>
    <row r="2204" spans="1:1">
      <c r="A2204" t="s">
        <v>4172</v>
      </c>
    </row>
    <row r="2205" spans="1:1">
      <c r="A2205" t="s">
        <v>4173</v>
      </c>
    </row>
    <row r="2206" spans="1:1">
      <c r="A2206" t="s">
        <v>4174</v>
      </c>
    </row>
    <row r="2207" spans="1:1">
      <c r="A2207" t="s">
        <v>4175</v>
      </c>
    </row>
    <row r="2208" spans="1:1">
      <c r="A2208" t="s">
        <v>4176</v>
      </c>
    </row>
    <row r="2209" spans="1:1">
      <c r="A2209" t="s">
        <v>4177</v>
      </c>
    </row>
    <row r="2210" spans="1:1">
      <c r="A2210" t="s">
        <v>4178</v>
      </c>
    </row>
    <row r="2211" spans="1:1">
      <c r="A2211" t="s">
        <v>4179</v>
      </c>
    </row>
    <row r="2212" spans="1:1">
      <c r="A2212" t="s">
        <v>4180</v>
      </c>
    </row>
    <row r="2213" spans="1:1">
      <c r="A2213" t="s">
        <v>4181</v>
      </c>
    </row>
    <row r="2214" spans="1:1">
      <c r="A2214" t="s">
        <v>4182</v>
      </c>
    </row>
    <row r="2215" spans="1:1">
      <c r="A2215" t="s">
        <v>4183</v>
      </c>
    </row>
    <row r="2216" spans="1:1">
      <c r="A2216" t="s">
        <v>4184</v>
      </c>
    </row>
    <row r="2217" spans="1:1">
      <c r="A2217" t="s">
        <v>4185</v>
      </c>
    </row>
    <row r="2218" spans="1:1">
      <c r="A2218" t="s">
        <v>4186</v>
      </c>
    </row>
    <row r="2219" spans="1:1">
      <c r="A2219" t="s">
        <v>4187</v>
      </c>
    </row>
    <row r="2220" spans="1:1">
      <c r="A2220" t="s">
        <v>4188</v>
      </c>
    </row>
    <row r="2221" spans="1:1">
      <c r="A2221" t="s">
        <v>4189</v>
      </c>
    </row>
    <row r="2222" spans="1:1">
      <c r="A2222" t="s">
        <v>4190</v>
      </c>
    </row>
    <row r="2223" spans="1:1">
      <c r="A2223" t="s">
        <v>4191</v>
      </c>
    </row>
    <row r="2224" spans="1:1">
      <c r="A2224" t="s">
        <v>4192</v>
      </c>
    </row>
    <row r="2225" spans="1:1">
      <c r="A2225" t="s">
        <v>4193</v>
      </c>
    </row>
    <row r="2226" spans="1:1">
      <c r="A2226" t="s">
        <v>4194</v>
      </c>
    </row>
    <row r="2227" spans="1:1">
      <c r="A2227" t="s">
        <v>4195</v>
      </c>
    </row>
    <row r="2228" spans="1:1">
      <c r="A2228" t="s">
        <v>4196</v>
      </c>
    </row>
    <row r="2229" spans="1:1">
      <c r="A2229" t="s">
        <v>4197</v>
      </c>
    </row>
    <row r="2230" spans="1:1">
      <c r="A2230" t="s">
        <v>4198</v>
      </c>
    </row>
    <row r="2231" spans="1:1">
      <c r="A2231" t="s">
        <v>4199</v>
      </c>
    </row>
    <row r="2232" spans="1:1">
      <c r="A2232" t="s">
        <v>4200</v>
      </c>
    </row>
    <row r="2233" spans="1:1">
      <c r="A2233" t="s">
        <v>4201</v>
      </c>
    </row>
    <row r="2234" spans="1:1">
      <c r="A2234" t="s">
        <v>4202</v>
      </c>
    </row>
    <row r="2235" spans="1:1">
      <c r="A2235" t="s">
        <v>4203</v>
      </c>
    </row>
    <row r="2236" spans="1:1">
      <c r="A2236" t="s">
        <v>4204</v>
      </c>
    </row>
    <row r="2237" spans="1:1">
      <c r="A2237" t="s">
        <v>4205</v>
      </c>
    </row>
    <row r="2238" spans="1:1">
      <c r="A2238" t="s">
        <v>4206</v>
      </c>
    </row>
    <row r="2239" spans="1:1">
      <c r="A2239" t="s">
        <v>4207</v>
      </c>
    </row>
    <row r="2240" spans="1:1">
      <c r="A2240" t="s">
        <v>4208</v>
      </c>
    </row>
    <row r="2241" spans="1:1">
      <c r="A2241" t="s">
        <v>4209</v>
      </c>
    </row>
    <row r="2242" spans="1:1">
      <c r="A2242" t="s">
        <v>4210</v>
      </c>
    </row>
    <row r="2243" spans="1:1">
      <c r="A2243" t="s">
        <v>4211</v>
      </c>
    </row>
    <row r="2244" spans="1:1">
      <c r="A2244" t="s">
        <v>4212</v>
      </c>
    </row>
    <row r="2245" spans="1:1">
      <c r="A2245" t="s">
        <v>4213</v>
      </c>
    </row>
    <row r="2246" spans="1:1">
      <c r="A2246" t="s">
        <v>4214</v>
      </c>
    </row>
    <row r="2247" spans="1:1">
      <c r="A2247" t="s">
        <v>4215</v>
      </c>
    </row>
    <row r="2248" spans="1:1">
      <c r="A2248" t="s">
        <v>4216</v>
      </c>
    </row>
    <row r="2249" spans="1:1">
      <c r="A2249" t="s">
        <v>4217</v>
      </c>
    </row>
    <row r="2250" spans="1:1">
      <c r="A2250" t="s">
        <v>4218</v>
      </c>
    </row>
    <row r="2251" spans="1:1">
      <c r="A2251" t="s">
        <v>4219</v>
      </c>
    </row>
    <row r="2252" spans="1:1">
      <c r="A2252" t="s">
        <v>4220</v>
      </c>
    </row>
    <row r="2253" spans="1:1">
      <c r="A2253" t="s">
        <v>4221</v>
      </c>
    </row>
    <row r="2254" spans="1:1">
      <c r="A2254" t="s">
        <v>4222</v>
      </c>
    </row>
    <row r="2255" spans="1:1">
      <c r="A2255" t="s">
        <v>4223</v>
      </c>
    </row>
    <row r="2256" spans="1:1">
      <c r="A2256" t="s">
        <v>4224</v>
      </c>
    </row>
    <row r="2257" spans="1:1">
      <c r="A2257" t="s">
        <v>4225</v>
      </c>
    </row>
    <row r="2258" spans="1:1">
      <c r="A2258" t="s">
        <v>4226</v>
      </c>
    </row>
    <row r="2259" spans="1:1">
      <c r="A2259" t="s">
        <v>4227</v>
      </c>
    </row>
    <row r="2260" spans="1:1">
      <c r="A2260" t="s">
        <v>4228</v>
      </c>
    </row>
    <row r="2261" spans="1:1">
      <c r="A2261" t="s">
        <v>4229</v>
      </c>
    </row>
    <row r="2262" spans="1:1">
      <c r="A2262" t="s">
        <v>4230</v>
      </c>
    </row>
    <row r="2263" spans="1:1">
      <c r="A2263" t="s">
        <v>4231</v>
      </c>
    </row>
    <row r="2264" spans="1:1">
      <c r="A2264" t="s">
        <v>4232</v>
      </c>
    </row>
    <row r="2265" spans="1:1">
      <c r="A2265" t="s">
        <v>4233</v>
      </c>
    </row>
    <row r="2266" spans="1:1">
      <c r="A2266" t="s">
        <v>4234</v>
      </c>
    </row>
    <row r="2267" spans="1:1">
      <c r="A2267" t="s">
        <v>4235</v>
      </c>
    </row>
    <row r="2268" spans="1:1">
      <c r="A2268" t="s">
        <v>4236</v>
      </c>
    </row>
    <row r="2269" spans="1:1">
      <c r="A2269" t="s">
        <v>4237</v>
      </c>
    </row>
    <row r="2270" spans="1:1">
      <c r="A2270" t="s">
        <v>4238</v>
      </c>
    </row>
    <row r="2271" spans="1:1">
      <c r="A2271" t="s">
        <v>4239</v>
      </c>
    </row>
    <row r="2272" spans="1:1">
      <c r="A2272" t="s">
        <v>4240</v>
      </c>
    </row>
    <row r="2273" spans="1:1">
      <c r="A2273" t="s">
        <v>4241</v>
      </c>
    </row>
    <row r="2274" spans="1:1">
      <c r="A2274" t="s">
        <v>4242</v>
      </c>
    </row>
    <row r="2275" spans="1:1">
      <c r="A2275" t="s">
        <v>4243</v>
      </c>
    </row>
    <row r="2276" spans="1:1">
      <c r="A2276" t="s">
        <v>4244</v>
      </c>
    </row>
    <row r="2277" spans="1:1">
      <c r="A2277" t="s">
        <v>4245</v>
      </c>
    </row>
    <row r="2278" spans="1:1">
      <c r="A2278" t="s">
        <v>4246</v>
      </c>
    </row>
    <row r="2279" spans="1:1">
      <c r="A2279" t="s">
        <v>4247</v>
      </c>
    </row>
    <row r="2280" spans="1:1">
      <c r="A2280" t="s">
        <v>4248</v>
      </c>
    </row>
    <row r="2281" spans="1:1">
      <c r="A2281" t="s">
        <v>4249</v>
      </c>
    </row>
    <row r="2282" spans="1:1">
      <c r="A2282" t="s">
        <v>4250</v>
      </c>
    </row>
    <row r="2283" spans="1:1">
      <c r="A2283" t="s">
        <v>4251</v>
      </c>
    </row>
    <row r="2284" spans="1:1">
      <c r="A2284" t="s">
        <v>4252</v>
      </c>
    </row>
    <row r="2285" spans="1:1">
      <c r="A2285" t="s">
        <v>4253</v>
      </c>
    </row>
    <row r="2286" spans="1:1">
      <c r="A2286" t="s">
        <v>4254</v>
      </c>
    </row>
    <row r="2287" spans="1:1">
      <c r="A2287" t="s">
        <v>4255</v>
      </c>
    </row>
    <row r="2288" spans="1:1">
      <c r="A2288" t="s">
        <v>4256</v>
      </c>
    </row>
    <row r="2289" spans="1:1">
      <c r="A2289" t="s">
        <v>4257</v>
      </c>
    </row>
    <row r="2290" spans="1:1">
      <c r="A2290" t="s">
        <v>4258</v>
      </c>
    </row>
    <row r="2291" spans="1:1">
      <c r="A2291" t="s">
        <v>4259</v>
      </c>
    </row>
    <row r="2292" spans="1:1">
      <c r="A2292" t="s">
        <v>4260</v>
      </c>
    </row>
    <row r="2293" spans="1:1">
      <c r="A2293" t="s">
        <v>4261</v>
      </c>
    </row>
    <row r="2294" spans="1:1">
      <c r="A2294" t="s">
        <v>4262</v>
      </c>
    </row>
    <row r="2295" spans="1:1">
      <c r="A2295" t="s">
        <v>4263</v>
      </c>
    </row>
    <row r="2296" spans="1:1">
      <c r="A2296" t="s">
        <v>4264</v>
      </c>
    </row>
    <row r="2297" spans="1:1">
      <c r="A2297" t="s">
        <v>4265</v>
      </c>
    </row>
    <row r="2298" spans="1:1">
      <c r="A2298" t="s">
        <v>4266</v>
      </c>
    </row>
    <row r="2299" spans="1:1">
      <c r="A2299" t="s">
        <v>4267</v>
      </c>
    </row>
    <row r="2300" spans="1:1">
      <c r="A2300" t="s">
        <v>4268</v>
      </c>
    </row>
    <row r="2301" spans="1:1">
      <c r="A2301" t="s">
        <v>4269</v>
      </c>
    </row>
    <row r="2302" spans="1:1">
      <c r="A2302" t="s">
        <v>4270</v>
      </c>
    </row>
    <row r="2303" spans="1:1">
      <c r="A2303" t="s">
        <v>4271</v>
      </c>
    </row>
    <row r="2304" spans="1:1">
      <c r="A2304" t="s">
        <v>4272</v>
      </c>
    </row>
    <row r="2305" spans="1:1">
      <c r="A2305" t="s">
        <v>4273</v>
      </c>
    </row>
    <row r="2306" spans="1:1">
      <c r="A2306" t="s">
        <v>4274</v>
      </c>
    </row>
    <row r="2307" spans="1:1">
      <c r="A2307" t="s">
        <v>4275</v>
      </c>
    </row>
    <row r="2308" spans="1:1">
      <c r="A2308" t="s">
        <v>4276</v>
      </c>
    </row>
    <row r="2309" spans="1:1">
      <c r="A2309" t="s">
        <v>4277</v>
      </c>
    </row>
    <row r="2310" spans="1:1">
      <c r="A2310" t="s">
        <v>4278</v>
      </c>
    </row>
    <row r="2311" spans="1:1">
      <c r="A2311" t="s">
        <v>4279</v>
      </c>
    </row>
    <row r="2312" spans="1:1">
      <c r="A2312" t="s">
        <v>4280</v>
      </c>
    </row>
    <row r="2313" spans="1:1">
      <c r="A2313" t="s">
        <v>4281</v>
      </c>
    </row>
    <row r="2314" spans="1:1">
      <c r="A2314" t="s">
        <v>4282</v>
      </c>
    </row>
    <row r="2315" spans="1:1">
      <c r="A2315" t="s">
        <v>4283</v>
      </c>
    </row>
    <row r="2316" spans="1:1">
      <c r="A2316" t="s">
        <v>4284</v>
      </c>
    </row>
    <row r="2317" spans="1:1">
      <c r="A2317" t="s">
        <v>4285</v>
      </c>
    </row>
    <row r="2318" spans="1:1">
      <c r="A2318" t="s">
        <v>4286</v>
      </c>
    </row>
    <row r="2319" spans="1:1">
      <c r="A2319" t="s">
        <v>4287</v>
      </c>
    </row>
    <row r="2320" spans="1:1">
      <c r="A2320" t="s">
        <v>4288</v>
      </c>
    </row>
    <row r="2321" spans="1:1">
      <c r="A2321" t="s">
        <v>4289</v>
      </c>
    </row>
    <row r="2322" spans="1:1">
      <c r="A2322" t="s">
        <v>4290</v>
      </c>
    </row>
    <row r="2323" spans="1:1">
      <c r="A2323" t="s">
        <v>4291</v>
      </c>
    </row>
    <row r="2324" spans="1:1">
      <c r="A2324" t="s">
        <v>4292</v>
      </c>
    </row>
    <row r="2325" spans="1:1">
      <c r="A2325" t="s">
        <v>4293</v>
      </c>
    </row>
    <row r="2326" spans="1:1">
      <c r="A2326" t="s">
        <v>4294</v>
      </c>
    </row>
    <row r="2327" spans="1:1">
      <c r="A2327" t="s">
        <v>4295</v>
      </c>
    </row>
    <row r="2328" spans="1:1">
      <c r="A2328" t="s">
        <v>4296</v>
      </c>
    </row>
    <row r="2329" spans="1:1">
      <c r="A2329" t="s">
        <v>4297</v>
      </c>
    </row>
    <row r="2330" spans="1:1">
      <c r="A2330" t="s">
        <v>4298</v>
      </c>
    </row>
    <row r="2331" spans="1:1">
      <c r="A2331" t="s">
        <v>4299</v>
      </c>
    </row>
    <row r="2332" spans="1:1">
      <c r="A2332" t="s">
        <v>4300</v>
      </c>
    </row>
    <row r="2333" spans="1:1">
      <c r="A2333" t="s">
        <v>4301</v>
      </c>
    </row>
    <row r="2334" spans="1:1">
      <c r="A2334" t="s">
        <v>4302</v>
      </c>
    </row>
    <row r="2335" spans="1:1">
      <c r="A2335" t="s">
        <v>4303</v>
      </c>
    </row>
    <row r="2336" spans="1:1">
      <c r="A2336" t="s">
        <v>4304</v>
      </c>
    </row>
    <row r="2337" spans="1:1">
      <c r="A2337" t="s">
        <v>4305</v>
      </c>
    </row>
    <row r="2338" spans="1:1">
      <c r="A2338" t="s">
        <v>4306</v>
      </c>
    </row>
    <row r="2339" spans="1:1">
      <c r="A2339" t="s">
        <v>4307</v>
      </c>
    </row>
    <row r="2340" spans="1:1">
      <c r="A2340" t="s">
        <v>4308</v>
      </c>
    </row>
    <row r="2341" spans="1:1">
      <c r="A2341" t="s">
        <v>4309</v>
      </c>
    </row>
    <row r="2342" spans="1:1">
      <c r="A2342" t="s">
        <v>4310</v>
      </c>
    </row>
    <row r="2343" spans="1:1">
      <c r="A2343" t="s">
        <v>4311</v>
      </c>
    </row>
    <row r="2344" spans="1:1">
      <c r="A2344" t="s">
        <v>4312</v>
      </c>
    </row>
    <row r="2345" spans="1:1">
      <c r="A2345" t="s">
        <v>4313</v>
      </c>
    </row>
    <row r="2346" spans="1:1">
      <c r="A2346" t="s">
        <v>4314</v>
      </c>
    </row>
    <row r="2347" spans="1:1">
      <c r="A2347" t="s">
        <v>4315</v>
      </c>
    </row>
    <row r="2348" spans="1:1">
      <c r="A2348" t="s">
        <v>4316</v>
      </c>
    </row>
    <row r="2349" spans="1:1">
      <c r="A2349" t="s">
        <v>4317</v>
      </c>
    </row>
    <row r="2350" spans="1:1">
      <c r="A2350" t="s">
        <v>4318</v>
      </c>
    </row>
    <row r="2351" spans="1:1">
      <c r="A2351" t="s">
        <v>4319</v>
      </c>
    </row>
    <row r="2352" spans="1:1">
      <c r="A2352" t="s">
        <v>4320</v>
      </c>
    </row>
    <row r="2353" spans="1:1">
      <c r="A2353" t="s">
        <v>4321</v>
      </c>
    </row>
    <row r="2354" spans="1:1">
      <c r="A2354" t="s">
        <v>4322</v>
      </c>
    </row>
    <row r="2355" spans="1:1">
      <c r="A2355" t="s">
        <v>4323</v>
      </c>
    </row>
    <row r="2356" spans="1:1">
      <c r="A2356" t="s">
        <v>4324</v>
      </c>
    </row>
    <row r="2357" spans="1:1">
      <c r="A2357" t="s">
        <v>4325</v>
      </c>
    </row>
    <row r="2358" spans="1:1">
      <c r="A2358" t="s">
        <v>4326</v>
      </c>
    </row>
    <row r="2359" spans="1:1">
      <c r="A2359" t="s">
        <v>4327</v>
      </c>
    </row>
    <row r="2360" spans="1:1">
      <c r="A2360" t="s">
        <v>4328</v>
      </c>
    </row>
    <row r="2361" spans="1:1">
      <c r="A2361" t="s">
        <v>4329</v>
      </c>
    </row>
    <row r="2362" spans="1:1">
      <c r="A2362" t="s">
        <v>4330</v>
      </c>
    </row>
    <row r="2363" spans="1:1">
      <c r="A2363" t="s">
        <v>4331</v>
      </c>
    </row>
    <row r="2364" spans="1:1">
      <c r="A2364" t="s">
        <v>4332</v>
      </c>
    </row>
    <row r="2365" spans="1:1">
      <c r="A2365" t="s">
        <v>4333</v>
      </c>
    </row>
    <row r="2366" spans="1:1">
      <c r="A2366" t="s">
        <v>4334</v>
      </c>
    </row>
    <row r="2367" spans="1:1">
      <c r="A2367" t="s">
        <v>4335</v>
      </c>
    </row>
    <row r="2368" spans="1:1">
      <c r="A2368" t="s">
        <v>4336</v>
      </c>
    </row>
    <row r="2369" spans="1:1">
      <c r="A2369" t="s">
        <v>4337</v>
      </c>
    </row>
    <row r="2370" spans="1:1">
      <c r="A2370" t="s">
        <v>4338</v>
      </c>
    </row>
    <row r="2371" spans="1:1">
      <c r="A2371" t="s">
        <v>4339</v>
      </c>
    </row>
    <row r="2372" spans="1:1">
      <c r="A2372" t="s">
        <v>4340</v>
      </c>
    </row>
    <row r="2373" spans="1:1">
      <c r="A2373" t="s">
        <v>4341</v>
      </c>
    </row>
    <row r="2374" spans="1:1">
      <c r="A2374" t="s">
        <v>4342</v>
      </c>
    </row>
    <row r="2375" spans="1:1">
      <c r="A2375" t="s">
        <v>4343</v>
      </c>
    </row>
    <row r="2376" spans="1:1">
      <c r="A2376" t="s">
        <v>4344</v>
      </c>
    </row>
    <row r="2377" spans="1:1">
      <c r="A2377" t="s">
        <v>4345</v>
      </c>
    </row>
    <row r="2378" spans="1:1">
      <c r="A2378" t="s">
        <v>4346</v>
      </c>
    </row>
    <row r="2379" spans="1:1">
      <c r="A2379" t="s">
        <v>4347</v>
      </c>
    </row>
    <row r="2380" spans="1:1">
      <c r="A2380" t="s">
        <v>4348</v>
      </c>
    </row>
    <row r="2381" spans="1:1">
      <c r="A2381" t="s">
        <v>4349</v>
      </c>
    </row>
    <row r="2382" spans="1:1">
      <c r="A2382" t="s">
        <v>4350</v>
      </c>
    </row>
    <row r="2383" spans="1:1">
      <c r="A2383" t="s">
        <v>4351</v>
      </c>
    </row>
    <row r="2384" spans="1:1">
      <c r="A2384" t="s">
        <v>4352</v>
      </c>
    </row>
    <row r="2385" spans="1:1">
      <c r="A2385" t="s">
        <v>4353</v>
      </c>
    </row>
    <row r="2386" spans="1:1">
      <c r="A2386" t="s">
        <v>4354</v>
      </c>
    </row>
    <row r="2387" spans="1:1">
      <c r="A2387" t="s">
        <v>4355</v>
      </c>
    </row>
    <row r="2388" spans="1:1">
      <c r="A2388" t="s">
        <v>4356</v>
      </c>
    </row>
    <row r="2389" spans="1:1">
      <c r="A2389" t="s">
        <v>4357</v>
      </c>
    </row>
    <row r="2390" spans="1:1">
      <c r="A2390" t="s">
        <v>4358</v>
      </c>
    </row>
    <row r="2391" spans="1:1">
      <c r="A2391" t="s">
        <v>4359</v>
      </c>
    </row>
    <row r="2392" spans="1:1">
      <c r="A2392" t="s">
        <v>4360</v>
      </c>
    </row>
    <row r="2393" spans="1:1">
      <c r="A2393" t="s">
        <v>4361</v>
      </c>
    </row>
    <row r="2394" spans="1:1">
      <c r="A2394" t="s">
        <v>4362</v>
      </c>
    </row>
    <row r="2395" spans="1:1">
      <c r="A2395" t="s">
        <v>4363</v>
      </c>
    </row>
    <row r="2396" spans="1:1">
      <c r="A2396" t="s">
        <v>4364</v>
      </c>
    </row>
    <row r="2397" spans="1:1">
      <c r="A2397" t="s">
        <v>4365</v>
      </c>
    </row>
    <row r="2398" spans="1:1">
      <c r="A2398" t="s">
        <v>4366</v>
      </c>
    </row>
    <row r="2399" spans="1:1">
      <c r="A2399" t="s">
        <v>4367</v>
      </c>
    </row>
    <row r="2400" spans="1:1">
      <c r="A2400" t="s">
        <v>4368</v>
      </c>
    </row>
    <row r="2401" spans="1:1">
      <c r="A2401" t="s">
        <v>4369</v>
      </c>
    </row>
    <row r="2402" spans="1:1">
      <c r="A2402" t="s">
        <v>4370</v>
      </c>
    </row>
    <row r="2403" spans="1:1">
      <c r="A2403" t="s">
        <v>4371</v>
      </c>
    </row>
    <row r="2404" spans="1:1">
      <c r="A2404" t="s">
        <v>4372</v>
      </c>
    </row>
    <row r="2405" spans="1:1">
      <c r="A2405" t="s">
        <v>4373</v>
      </c>
    </row>
    <row r="2406" spans="1:1">
      <c r="A2406" t="s">
        <v>4374</v>
      </c>
    </row>
    <row r="2407" spans="1:1">
      <c r="A2407" t="s">
        <v>4375</v>
      </c>
    </row>
    <row r="2408" spans="1:1">
      <c r="A2408" t="s">
        <v>4376</v>
      </c>
    </row>
    <row r="2409" spans="1:1">
      <c r="A2409" t="s">
        <v>4377</v>
      </c>
    </row>
    <row r="2410" spans="1:1">
      <c r="A2410" t="s">
        <v>4378</v>
      </c>
    </row>
    <row r="2411" spans="1:1">
      <c r="A2411" t="s">
        <v>4379</v>
      </c>
    </row>
    <row r="2412" spans="1:1">
      <c r="A2412" t="s">
        <v>4380</v>
      </c>
    </row>
    <row r="2413" spans="1:1">
      <c r="A2413" t="s">
        <v>4381</v>
      </c>
    </row>
    <row r="2414" spans="1:1">
      <c r="A2414" t="s">
        <v>4382</v>
      </c>
    </row>
    <row r="2415" spans="1:1">
      <c r="A2415" t="s">
        <v>4383</v>
      </c>
    </row>
    <row r="2416" spans="1:1">
      <c r="A2416" t="s">
        <v>4384</v>
      </c>
    </row>
    <row r="2417" spans="1:1">
      <c r="A2417" t="s">
        <v>4385</v>
      </c>
    </row>
    <row r="2418" spans="1:1">
      <c r="A2418" t="s">
        <v>4386</v>
      </c>
    </row>
    <row r="2419" spans="1:1">
      <c r="A2419" t="s">
        <v>4387</v>
      </c>
    </row>
    <row r="2420" spans="1:1">
      <c r="A2420" t="s">
        <v>4388</v>
      </c>
    </row>
    <row r="2421" spans="1:1">
      <c r="A2421" t="s">
        <v>4389</v>
      </c>
    </row>
    <row r="2422" spans="1:1">
      <c r="A2422" t="s">
        <v>4390</v>
      </c>
    </row>
    <row r="2423" spans="1:1">
      <c r="A2423" t="s">
        <v>4391</v>
      </c>
    </row>
    <row r="2424" spans="1:1">
      <c r="A2424" t="s">
        <v>4392</v>
      </c>
    </row>
    <row r="2425" spans="1:1">
      <c r="A2425" t="s">
        <v>4393</v>
      </c>
    </row>
    <row r="2426" spans="1:1">
      <c r="A2426" t="s">
        <v>4394</v>
      </c>
    </row>
    <row r="2427" spans="1:1">
      <c r="A2427" t="s">
        <v>4395</v>
      </c>
    </row>
    <row r="2428" spans="1:1">
      <c r="A2428" t="s">
        <v>4396</v>
      </c>
    </row>
    <row r="2429" spans="1:1">
      <c r="A2429" t="s">
        <v>4397</v>
      </c>
    </row>
    <row r="2430" spans="1:1">
      <c r="A2430" t="s">
        <v>4398</v>
      </c>
    </row>
    <row r="2431" spans="1:1">
      <c r="A2431" t="s">
        <v>4399</v>
      </c>
    </row>
    <row r="2432" spans="1:1">
      <c r="A2432" t="s">
        <v>4400</v>
      </c>
    </row>
    <row r="2433" spans="1:1">
      <c r="A2433" t="s">
        <v>4401</v>
      </c>
    </row>
    <row r="2434" spans="1:1">
      <c r="A2434" t="s">
        <v>4402</v>
      </c>
    </row>
    <row r="2435" spans="1:1">
      <c r="A2435" t="s">
        <v>4403</v>
      </c>
    </row>
    <row r="2436" spans="1:1">
      <c r="A2436" t="s">
        <v>4404</v>
      </c>
    </row>
    <row r="2437" spans="1:1">
      <c r="A2437" t="s">
        <v>4405</v>
      </c>
    </row>
    <row r="2438" spans="1:1">
      <c r="A2438" t="s">
        <v>4406</v>
      </c>
    </row>
    <row r="2439" spans="1:1">
      <c r="A2439" t="s">
        <v>4407</v>
      </c>
    </row>
    <row r="2440" spans="1:1">
      <c r="A2440" t="s">
        <v>4408</v>
      </c>
    </row>
    <row r="2441" spans="1:1">
      <c r="A2441" t="s">
        <v>4409</v>
      </c>
    </row>
    <row r="2442" spans="1:1">
      <c r="A2442" t="s">
        <v>4410</v>
      </c>
    </row>
    <row r="2443" spans="1:1">
      <c r="A2443" t="s">
        <v>4411</v>
      </c>
    </row>
    <row r="2444" spans="1:1">
      <c r="A2444" t="s">
        <v>4412</v>
      </c>
    </row>
    <row r="2445" spans="1:1">
      <c r="A2445" t="s">
        <v>4413</v>
      </c>
    </row>
    <row r="2446" spans="1:1">
      <c r="A2446" t="s">
        <v>4414</v>
      </c>
    </row>
    <row r="2447" spans="1:1">
      <c r="A2447" t="s">
        <v>4415</v>
      </c>
    </row>
    <row r="2448" spans="1:1">
      <c r="A2448" t="s">
        <v>4416</v>
      </c>
    </row>
    <row r="2449" spans="1:1">
      <c r="A2449" t="s">
        <v>4417</v>
      </c>
    </row>
    <row r="2450" spans="1:1">
      <c r="A2450" t="s">
        <v>4418</v>
      </c>
    </row>
    <row r="2451" spans="1:1">
      <c r="A2451" t="s">
        <v>4419</v>
      </c>
    </row>
    <row r="2452" spans="1:1">
      <c r="A2452" t="s">
        <v>4420</v>
      </c>
    </row>
    <row r="2453" spans="1:1">
      <c r="A2453" t="s">
        <v>4421</v>
      </c>
    </row>
    <row r="2454" spans="1:1">
      <c r="A2454" t="s">
        <v>4422</v>
      </c>
    </row>
    <row r="2455" spans="1:1">
      <c r="A2455" t="s">
        <v>4423</v>
      </c>
    </row>
    <row r="2456" spans="1:1">
      <c r="A2456" t="s">
        <v>4424</v>
      </c>
    </row>
    <row r="2457" spans="1:1">
      <c r="A2457" t="s">
        <v>4425</v>
      </c>
    </row>
    <row r="2458" spans="1:1">
      <c r="A2458" t="s">
        <v>4426</v>
      </c>
    </row>
    <row r="2459" spans="1:1">
      <c r="A2459" t="s">
        <v>4427</v>
      </c>
    </row>
    <row r="2460" spans="1:1">
      <c r="A2460" t="s">
        <v>4428</v>
      </c>
    </row>
    <row r="2461" spans="1:1">
      <c r="A2461" t="s">
        <v>4429</v>
      </c>
    </row>
    <row r="2462" spans="1:1">
      <c r="A2462" t="s">
        <v>4430</v>
      </c>
    </row>
    <row r="2463" spans="1:1">
      <c r="A2463" t="s">
        <v>4431</v>
      </c>
    </row>
    <row r="2464" spans="1:1">
      <c r="A2464" t="s">
        <v>4432</v>
      </c>
    </row>
    <row r="2465" spans="1:1">
      <c r="A2465" t="s">
        <v>4433</v>
      </c>
    </row>
    <row r="2466" spans="1:1">
      <c r="A2466" t="s">
        <v>4434</v>
      </c>
    </row>
    <row r="2467" spans="1:1">
      <c r="A2467" t="s">
        <v>4435</v>
      </c>
    </row>
    <row r="2468" spans="1:1">
      <c r="A2468" t="s">
        <v>4436</v>
      </c>
    </row>
    <row r="2469" spans="1:1">
      <c r="A2469" t="s">
        <v>4437</v>
      </c>
    </row>
    <row r="2470" spans="1:1">
      <c r="A2470" t="s">
        <v>4438</v>
      </c>
    </row>
    <row r="2471" spans="1:1">
      <c r="A2471" t="s">
        <v>4439</v>
      </c>
    </row>
    <row r="2472" spans="1:1">
      <c r="A2472" t="s">
        <v>4440</v>
      </c>
    </row>
    <row r="2473" spans="1:1">
      <c r="A2473" t="s">
        <v>4441</v>
      </c>
    </row>
    <row r="2474" spans="1:1">
      <c r="A2474" t="s">
        <v>4442</v>
      </c>
    </row>
    <row r="2475" spans="1:1">
      <c r="A2475" t="s">
        <v>4443</v>
      </c>
    </row>
    <row r="2476" spans="1:1">
      <c r="A2476" t="s">
        <v>4444</v>
      </c>
    </row>
    <row r="2477" spans="1:1">
      <c r="A2477" t="s">
        <v>4445</v>
      </c>
    </row>
    <row r="2478" spans="1:1">
      <c r="A2478" t="s">
        <v>4446</v>
      </c>
    </row>
    <row r="2479" spans="1:1">
      <c r="A2479" t="s">
        <v>4447</v>
      </c>
    </row>
    <row r="2480" spans="1:1">
      <c r="A2480" t="s">
        <v>4448</v>
      </c>
    </row>
    <row r="2481" spans="1:1">
      <c r="A2481" t="s">
        <v>4449</v>
      </c>
    </row>
    <row r="2482" spans="1:1">
      <c r="A2482" t="s">
        <v>4450</v>
      </c>
    </row>
    <row r="2483" spans="1:1">
      <c r="A2483" t="s">
        <v>4451</v>
      </c>
    </row>
    <row r="2484" spans="1:1">
      <c r="A2484" t="s">
        <v>4452</v>
      </c>
    </row>
    <row r="2485" spans="1:1">
      <c r="A2485" t="s">
        <v>4453</v>
      </c>
    </row>
    <row r="2486" spans="1:1">
      <c r="A2486" t="s">
        <v>4454</v>
      </c>
    </row>
    <row r="2487" spans="1:1">
      <c r="A2487" t="s">
        <v>4455</v>
      </c>
    </row>
    <row r="2488" spans="1:1">
      <c r="A2488" t="s">
        <v>4456</v>
      </c>
    </row>
    <row r="2489" spans="1:1">
      <c r="A2489" t="s">
        <v>4457</v>
      </c>
    </row>
    <row r="2490" spans="1:1">
      <c r="A2490" t="s">
        <v>4458</v>
      </c>
    </row>
    <row r="2491" spans="1:1">
      <c r="A2491" t="s">
        <v>4459</v>
      </c>
    </row>
    <row r="2492" spans="1:1">
      <c r="A2492" t="s">
        <v>4460</v>
      </c>
    </row>
    <row r="2493" spans="1:1">
      <c r="A2493" t="s">
        <v>4461</v>
      </c>
    </row>
    <row r="2494" spans="1:1">
      <c r="A2494" t="s">
        <v>4462</v>
      </c>
    </row>
    <row r="2495" spans="1:1">
      <c r="A2495" t="s">
        <v>4463</v>
      </c>
    </row>
    <row r="2496" spans="1:1">
      <c r="A2496" t="s">
        <v>4464</v>
      </c>
    </row>
    <row r="2497" spans="1:1">
      <c r="A2497" t="s">
        <v>4465</v>
      </c>
    </row>
    <row r="2498" spans="1:1">
      <c r="A2498" t="s">
        <v>4466</v>
      </c>
    </row>
    <row r="2499" spans="1:1">
      <c r="A2499" t="s">
        <v>4467</v>
      </c>
    </row>
    <row r="2500" spans="1:1">
      <c r="A2500" t="s">
        <v>4468</v>
      </c>
    </row>
    <row r="2501" spans="1:1">
      <c r="A2501" t="s">
        <v>4469</v>
      </c>
    </row>
    <row r="2502" spans="1:1">
      <c r="A2502" t="s">
        <v>4470</v>
      </c>
    </row>
    <row r="2503" spans="1:1">
      <c r="A2503" t="s">
        <v>4471</v>
      </c>
    </row>
    <row r="2504" spans="1:1">
      <c r="A2504" t="s">
        <v>4472</v>
      </c>
    </row>
    <row r="2505" spans="1:1">
      <c r="A2505" t="s">
        <v>4473</v>
      </c>
    </row>
    <row r="2506" spans="1:1">
      <c r="A2506" t="s">
        <v>4474</v>
      </c>
    </row>
    <row r="2507" spans="1:1">
      <c r="A2507" t="s">
        <v>4475</v>
      </c>
    </row>
    <row r="2508" spans="1:1">
      <c r="A2508" t="s">
        <v>4476</v>
      </c>
    </row>
    <row r="2509" spans="1:1">
      <c r="A2509" t="s">
        <v>4477</v>
      </c>
    </row>
    <row r="2510" spans="1:1">
      <c r="A2510" t="s">
        <v>4478</v>
      </c>
    </row>
    <row r="2511" spans="1:1">
      <c r="A2511" t="s">
        <v>4479</v>
      </c>
    </row>
    <row r="2512" spans="1:1">
      <c r="A2512" t="s">
        <v>4480</v>
      </c>
    </row>
    <row r="2513" spans="1:1">
      <c r="A2513" t="s">
        <v>4481</v>
      </c>
    </row>
    <row r="2514" spans="1:1">
      <c r="A2514" t="s">
        <v>4482</v>
      </c>
    </row>
    <row r="2515" spans="1:1">
      <c r="A2515" t="s">
        <v>4483</v>
      </c>
    </row>
    <row r="2516" spans="1:1">
      <c r="A2516" t="s">
        <v>4484</v>
      </c>
    </row>
    <row r="2517" spans="1:1">
      <c r="A2517" t="s">
        <v>4485</v>
      </c>
    </row>
    <row r="2518" spans="1:1">
      <c r="A2518" t="s">
        <v>4486</v>
      </c>
    </row>
    <row r="2519" spans="1:1">
      <c r="A2519" t="s">
        <v>4487</v>
      </c>
    </row>
    <row r="2520" spans="1:1">
      <c r="A2520" t="s">
        <v>4488</v>
      </c>
    </row>
    <row r="2521" spans="1:1">
      <c r="A2521" t="s">
        <v>4489</v>
      </c>
    </row>
    <row r="2522" spans="1:1">
      <c r="A2522" t="s">
        <v>4490</v>
      </c>
    </row>
    <row r="2523" spans="1:1">
      <c r="A2523" t="s">
        <v>4491</v>
      </c>
    </row>
    <row r="2524" spans="1:1">
      <c r="A2524" t="s">
        <v>4492</v>
      </c>
    </row>
    <row r="2525" spans="1:1">
      <c r="A2525" t="s">
        <v>4493</v>
      </c>
    </row>
    <row r="2526" spans="1:1">
      <c r="A2526" t="s">
        <v>4494</v>
      </c>
    </row>
    <row r="2527" spans="1:1">
      <c r="A2527" t="s">
        <v>4495</v>
      </c>
    </row>
    <row r="2528" spans="1:1">
      <c r="A2528" t="s">
        <v>4496</v>
      </c>
    </row>
    <row r="2529" spans="1:1">
      <c r="A2529" t="s">
        <v>4497</v>
      </c>
    </row>
    <row r="2530" spans="1:1">
      <c r="A2530" t="s">
        <v>4498</v>
      </c>
    </row>
    <row r="2531" spans="1:1">
      <c r="A2531" t="s">
        <v>4499</v>
      </c>
    </row>
    <row r="2532" spans="1:1">
      <c r="A2532" t="s">
        <v>4500</v>
      </c>
    </row>
    <row r="2533" spans="1:1">
      <c r="A2533" t="s">
        <v>4501</v>
      </c>
    </row>
    <row r="2534" spans="1:1">
      <c r="A2534" t="s">
        <v>4502</v>
      </c>
    </row>
    <row r="2535" spans="1:1">
      <c r="A2535" t="s">
        <v>4503</v>
      </c>
    </row>
    <row r="2536" spans="1:1">
      <c r="A2536" t="s">
        <v>4504</v>
      </c>
    </row>
    <row r="2537" spans="1:1">
      <c r="A2537" t="s">
        <v>4505</v>
      </c>
    </row>
    <row r="2538" spans="1:1">
      <c r="A2538" t="s">
        <v>4506</v>
      </c>
    </row>
    <row r="2539" spans="1:1">
      <c r="A2539" t="s">
        <v>4507</v>
      </c>
    </row>
    <row r="2540" spans="1:1">
      <c r="A2540" t="s">
        <v>4508</v>
      </c>
    </row>
    <row r="2541" spans="1:1">
      <c r="A2541" t="s">
        <v>4509</v>
      </c>
    </row>
    <row r="2542" spans="1:1">
      <c r="A2542" t="s">
        <v>4510</v>
      </c>
    </row>
    <row r="2543" spans="1:1">
      <c r="A2543" t="s">
        <v>4511</v>
      </c>
    </row>
    <row r="2544" spans="1:1">
      <c r="A2544" t="s">
        <v>4512</v>
      </c>
    </row>
    <row r="2545" spans="1:1">
      <c r="A2545" t="s">
        <v>4513</v>
      </c>
    </row>
    <row r="2546" spans="1:1">
      <c r="A2546" t="s">
        <v>4514</v>
      </c>
    </row>
    <row r="2547" spans="1:1">
      <c r="A2547" t="s">
        <v>4515</v>
      </c>
    </row>
    <row r="2548" spans="1:1">
      <c r="A2548" t="s">
        <v>4516</v>
      </c>
    </row>
    <row r="2549" spans="1:1">
      <c r="A2549" t="s">
        <v>4517</v>
      </c>
    </row>
    <row r="2550" spans="1:1">
      <c r="A2550" t="s">
        <v>4518</v>
      </c>
    </row>
    <row r="2551" spans="1:1">
      <c r="A2551" t="s">
        <v>4519</v>
      </c>
    </row>
    <row r="2552" spans="1:1">
      <c r="A2552" t="s">
        <v>4520</v>
      </c>
    </row>
    <row r="2553" spans="1:1">
      <c r="A2553" t="s">
        <v>4521</v>
      </c>
    </row>
    <row r="2554" spans="1:1">
      <c r="A2554" t="s">
        <v>4522</v>
      </c>
    </row>
    <row r="2555" spans="1:1">
      <c r="A2555" t="s">
        <v>4523</v>
      </c>
    </row>
    <row r="2556" spans="1:1">
      <c r="A2556" t="s">
        <v>4524</v>
      </c>
    </row>
    <row r="2557" spans="1:1">
      <c r="A2557" t="s">
        <v>4525</v>
      </c>
    </row>
    <row r="2558" spans="1:1">
      <c r="A2558" t="s">
        <v>4526</v>
      </c>
    </row>
    <row r="2559" spans="1:1">
      <c r="A2559" t="s">
        <v>4527</v>
      </c>
    </row>
    <row r="2560" spans="1:1">
      <c r="A2560" t="s">
        <v>4528</v>
      </c>
    </row>
    <row r="2561" spans="1:1">
      <c r="A2561" t="s">
        <v>4529</v>
      </c>
    </row>
    <row r="2562" spans="1:1">
      <c r="A2562" t="s">
        <v>4530</v>
      </c>
    </row>
    <row r="2563" spans="1:1">
      <c r="A2563" t="s">
        <v>4531</v>
      </c>
    </row>
    <row r="2564" spans="1:1">
      <c r="A2564" t="s">
        <v>4532</v>
      </c>
    </row>
    <row r="2565" spans="1:1">
      <c r="A2565" t="s">
        <v>4533</v>
      </c>
    </row>
    <row r="2566" spans="1:1">
      <c r="A2566" t="s">
        <v>4534</v>
      </c>
    </row>
    <row r="2567" spans="1:1">
      <c r="A2567" t="s">
        <v>4535</v>
      </c>
    </row>
    <row r="2568" spans="1:1">
      <c r="A2568" t="s">
        <v>4536</v>
      </c>
    </row>
    <row r="2569" spans="1:1">
      <c r="A2569" t="s">
        <v>4537</v>
      </c>
    </row>
    <row r="2570" spans="1:1">
      <c r="A2570" t="s">
        <v>4538</v>
      </c>
    </row>
    <row r="2571" spans="1:1">
      <c r="A2571" t="s">
        <v>4539</v>
      </c>
    </row>
    <row r="2572" spans="1:1">
      <c r="A2572" t="s">
        <v>4540</v>
      </c>
    </row>
    <row r="2573" spans="1:1">
      <c r="A2573" t="s">
        <v>4541</v>
      </c>
    </row>
    <row r="2574" spans="1:1">
      <c r="A2574" t="s">
        <v>4542</v>
      </c>
    </row>
    <row r="2575" spans="1:1">
      <c r="A2575" t="s">
        <v>4543</v>
      </c>
    </row>
    <row r="2576" spans="1:1">
      <c r="A2576" t="s">
        <v>4544</v>
      </c>
    </row>
    <row r="2577" spans="1:1">
      <c r="A2577" t="s">
        <v>4545</v>
      </c>
    </row>
    <row r="2578" spans="1:1">
      <c r="A2578" t="s">
        <v>4546</v>
      </c>
    </row>
    <row r="2579" spans="1:1">
      <c r="A2579" t="s">
        <v>4547</v>
      </c>
    </row>
    <row r="2580" spans="1:1">
      <c r="A2580" t="s">
        <v>4548</v>
      </c>
    </row>
    <row r="2581" spans="1:1">
      <c r="A2581" t="s">
        <v>4549</v>
      </c>
    </row>
    <row r="2582" spans="1:1">
      <c r="A2582" t="s">
        <v>4550</v>
      </c>
    </row>
    <row r="2583" spans="1:1">
      <c r="A2583" t="s">
        <v>4551</v>
      </c>
    </row>
    <row r="2584" spans="1:1">
      <c r="A2584" t="s">
        <v>4552</v>
      </c>
    </row>
    <row r="2585" spans="1:1">
      <c r="A2585" t="s">
        <v>4553</v>
      </c>
    </row>
    <row r="2586" spans="1:1">
      <c r="A2586" t="s">
        <v>4554</v>
      </c>
    </row>
    <row r="2587" spans="1:1">
      <c r="A2587" t="s">
        <v>4555</v>
      </c>
    </row>
    <row r="2588" spans="1:1">
      <c r="A2588" t="s">
        <v>4556</v>
      </c>
    </row>
    <row r="2589" spans="1:1">
      <c r="A2589" t="s">
        <v>4557</v>
      </c>
    </row>
    <row r="2590" spans="1:1">
      <c r="A2590" t="s">
        <v>4558</v>
      </c>
    </row>
    <row r="2591" spans="1:1">
      <c r="A2591" t="s">
        <v>4559</v>
      </c>
    </row>
    <row r="2592" spans="1:1">
      <c r="A2592" t="s">
        <v>4560</v>
      </c>
    </row>
    <row r="2593" spans="1:1">
      <c r="A2593" t="s">
        <v>4561</v>
      </c>
    </row>
    <row r="2594" spans="1:1">
      <c r="A2594" t="s">
        <v>4562</v>
      </c>
    </row>
    <row r="2595" spans="1:1">
      <c r="A2595" t="s">
        <v>4563</v>
      </c>
    </row>
    <row r="2596" spans="1:1">
      <c r="A2596" t="s">
        <v>4564</v>
      </c>
    </row>
    <row r="2597" spans="1:1">
      <c r="A2597" t="s">
        <v>4565</v>
      </c>
    </row>
    <row r="2598" spans="1:1">
      <c r="A2598" t="s">
        <v>4566</v>
      </c>
    </row>
    <row r="2599" spans="1:1">
      <c r="A2599" t="s">
        <v>4567</v>
      </c>
    </row>
    <row r="2600" spans="1:1">
      <c r="A2600" t="s">
        <v>4568</v>
      </c>
    </row>
    <row r="2601" spans="1:1">
      <c r="A2601" t="s">
        <v>4569</v>
      </c>
    </row>
    <row r="2602" spans="1:1">
      <c r="A2602" t="s">
        <v>4570</v>
      </c>
    </row>
    <row r="2603" spans="1:1">
      <c r="A2603" t="s">
        <v>4571</v>
      </c>
    </row>
    <row r="2604" spans="1:1">
      <c r="A2604" t="s">
        <v>4572</v>
      </c>
    </row>
    <row r="2605" spans="1:1">
      <c r="A2605" t="s">
        <v>4573</v>
      </c>
    </row>
    <row r="2606" spans="1:1">
      <c r="A2606" t="s">
        <v>4574</v>
      </c>
    </row>
    <row r="2607" spans="1:1">
      <c r="A2607" t="s">
        <v>4575</v>
      </c>
    </row>
    <row r="2608" spans="1:1">
      <c r="A2608" t="s">
        <v>4576</v>
      </c>
    </row>
    <row r="2609" spans="1:1">
      <c r="A2609" t="s">
        <v>4577</v>
      </c>
    </row>
    <row r="2610" spans="1:1">
      <c r="A2610" t="s">
        <v>4578</v>
      </c>
    </row>
    <row r="2611" spans="1:1">
      <c r="A2611" t="s">
        <v>4579</v>
      </c>
    </row>
    <row r="2612" spans="1:1">
      <c r="A2612" t="s">
        <v>4580</v>
      </c>
    </row>
    <row r="2613" spans="1:1">
      <c r="A2613" t="s">
        <v>4581</v>
      </c>
    </row>
    <row r="2614" spans="1:1">
      <c r="A2614" t="s">
        <v>4582</v>
      </c>
    </row>
    <row r="2615" spans="1:1">
      <c r="A2615" t="s">
        <v>4583</v>
      </c>
    </row>
    <row r="2616" spans="1:1">
      <c r="A2616" t="s">
        <v>4584</v>
      </c>
    </row>
    <row r="2617" spans="1:1">
      <c r="A2617" t="s">
        <v>4585</v>
      </c>
    </row>
    <row r="2618" spans="1:1">
      <c r="A2618" t="s">
        <v>4586</v>
      </c>
    </row>
    <row r="2619" spans="1:1">
      <c r="A2619" t="s">
        <v>4587</v>
      </c>
    </row>
    <row r="2620" spans="1:1">
      <c r="A2620" t="s">
        <v>4588</v>
      </c>
    </row>
    <row r="2621" spans="1:1">
      <c r="A2621" t="s">
        <v>4589</v>
      </c>
    </row>
    <row r="2622" spans="1:1">
      <c r="A2622" t="s">
        <v>4590</v>
      </c>
    </row>
    <row r="2623" spans="1:1">
      <c r="A2623" t="s">
        <v>4591</v>
      </c>
    </row>
    <row r="2624" spans="1:1">
      <c r="A2624" t="s">
        <v>4592</v>
      </c>
    </row>
    <row r="2625" spans="1:1">
      <c r="A2625" t="s">
        <v>4593</v>
      </c>
    </row>
    <row r="2626" spans="1:1">
      <c r="A2626" t="s">
        <v>4594</v>
      </c>
    </row>
    <row r="2627" spans="1:1">
      <c r="A2627" t="s">
        <v>4595</v>
      </c>
    </row>
    <row r="2628" spans="1:1">
      <c r="A2628" t="s">
        <v>4596</v>
      </c>
    </row>
    <row r="2629" spans="1:1">
      <c r="A2629" t="s">
        <v>4597</v>
      </c>
    </row>
    <row r="2630" spans="1:1">
      <c r="A2630" t="s">
        <v>4598</v>
      </c>
    </row>
    <row r="2631" spans="1:1">
      <c r="A2631" t="s">
        <v>4599</v>
      </c>
    </row>
    <row r="2632" spans="1:1">
      <c r="A2632" t="s">
        <v>4600</v>
      </c>
    </row>
    <row r="2633" spans="1:1">
      <c r="A2633" t="s">
        <v>4601</v>
      </c>
    </row>
    <row r="2634" spans="1:1">
      <c r="A2634" t="s">
        <v>4602</v>
      </c>
    </row>
    <row r="2635" spans="1:1">
      <c r="A2635" t="s">
        <v>4603</v>
      </c>
    </row>
    <row r="2636" spans="1:1">
      <c r="A2636" t="s">
        <v>4604</v>
      </c>
    </row>
    <row r="2637" spans="1:1">
      <c r="A2637" t="s">
        <v>4605</v>
      </c>
    </row>
    <row r="2638" spans="1:1">
      <c r="A2638" t="s">
        <v>4606</v>
      </c>
    </row>
    <row r="2639" spans="1:1">
      <c r="A2639" t="s">
        <v>4607</v>
      </c>
    </row>
    <row r="2640" spans="1:1">
      <c r="A2640" t="s">
        <v>4608</v>
      </c>
    </row>
    <row r="2641" spans="1:1">
      <c r="A2641" t="s">
        <v>4609</v>
      </c>
    </row>
    <row r="2642" spans="1:1">
      <c r="A2642" t="s">
        <v>4610</v>
      </c>
    </row>
    <row r="2643" spans="1:1">
      <c r="A2643" t="s">
        <v>4611</v>
      </c>
    </row>
    <row r="2644" spans="1:1">
      <c r="A2644" t="s">
        <v>4612</v>
      </c>
    </row>
    <row r="2645" spans="1:1">
      <c r="A2645" t="s">
        <v>4613</v>
      </c>
    </row>
    <row r="2646" spans="1:1">
      <c r="A2646" t="s">
        <v>4614</v>
      </c>
    </row>
    <row r="2647" spans="1:1">
      <c r="A2647" t="s">
        <v>4615</v>
      </c>
    </row>
    <row r="2648" spans="1:1">
      <c r="A2648" t="s">
        <v>4616</v>
      </c>
    </row>
    <row r="2649" spans="1:1">
      <c r="A2649" t="s">
        <v>4617</v>
      </c>
    </row>
    <row r="2650" spans="1:1">
      <c r="A2650" t="s">
        <v>4618</v>
      </c>
    </row>
    <row r="2651" spans="1:1">
      <c r="A2651" t="s">
        <v>4619</v>
      </c>
    </row>
    <row r="2652" spans="1:1">
      <c r="A2652" t="s">
        <v>4620</v>
      </c>
    </row>
    <row r="2653" spans="1:1">
      <c r="A2653" t="s">
        <v>4621</v>
      </c>
    </row>
    <row r="2654" spans="1:1">
      <c r="A2654" t="s">
        <v>4622</v>
      </c>
    </row>
    <row r="2655" spans="1:1">
      <c r="A2655" t="s">
        <v>4623</v>
      </c>
    </row>
    <row r="2656" spans="1:1">
      <c r="A2656" t="s">
        <v>4624</v>
      </c>
    </row>
    <row r="2657" spans="1:1">
      <c r="A2657" t="s">
        <v>4625</v>
      </c>
    </row>
    <row r="2658" spans="1:1">
      <c r="A2658" t="s">
        <v>4626</v>
      </c>
    </row>
    <row r="2659" spans="1:1">
      <c r="A2659" t="s">
        <v>4627</v>
      </c>
    </row>
    <row r="2660" spans="1:1">
      <c r="A2660" t="s">
        <v>4628</v>
      </c>
    </row>
    <row r="2661" spans="1:1">
      <c r="A2661" t="s">
        <v>4629</v>
      </c>
    </row>
    <row r="2662" spans="1:1">
      <c r="A2662" t="s">
        <v>4630</v>
      </c>
    </row>
    <row r="2663" spans="1:1">
      <c r="A2663" t="s">
        <v>4631</v>
      </c>
    </row>
    <row r="2664" spans="1:1">
      <c r="A2664" t="s">
        <v>4632</v>
      </c>
    </row>
    <row r="2665" spans="1:1">
      <c r="A2665" t="s">
        <v>4633</v>
      </c>
    </row>
    <row r="2666" spans="1:1">
      <c r="A2666" t="s">
        <v>4634</v>
      </c>
    </row>
    <row r="2667" spans="1:1">
      <c r="A2667" t="s">
        <v>4635</v>
      </c>
    </row>
    <row r="2668" spans="1:1">
      <c r="A2668" t="s">
        <v>4636</v>
      </c>
    </row>
    <row r="2669" spans="1:1">
      <c r="A2669" t="s">
        <v>4637</v>
      </c>
    </row>
    <row r="2670" spans="1:1">
      <c r="A2670" t="s">
        <v>4638</v>
      </c>
    </row>
    <row r="2671" spans="1:1">
      <c r="A2671" t="s">
        <v>4639</v>
      </c>
    </row>
    <row r="2672" spans="1:1">
      <c r="A2672" t="s">
        <v>4640</v>
      </c>
    </row>
    <row r="2673" spans="1:1">
      <c r="A2673" t="s">
        <v>4641</v>
      </c>
    </row>
    <row r="2674" spans="1:1">
      <c r="A2674" t="s">
        <v>4642</v>
      </c>
    </row>
    <row r="2675" spans="1:1">
      <c r="A2675" t="s">
        <v>4643</v>
      </c>
    </row>
    <row r="2676" spans="1:1">
      <c r="A2676" t="s">
        <v>4644</v>
      </c>
    </row>
    <row r="2677" spans="1:1">
      <c r="A2677" t="s">
        <v>4645</v>
      </c>
    </row>
    <row r="2678" spans="1:1">
      <c r="A2678" t="s">
        <v>4646</v>
      </c>
    </row>
    <row r="2679" spans="1:1">
      <c r="A2679" t="s">
        <v>4647</v>
      </c>
    </row>
    <row r="2680" spans="1:1">
      <c r="A2680" t="s">
        <v>4648</v>
      </c>
    </row>
    <row r="2681" spans="1:1">
      <c r="A2681" t="s">
        <v>4649</v>
      </c>
    </row>
    <row r="2682" spans="1:1">
      <c r="A2682" t="s">
        <v>4650</v>
      </c>
    </row>
    <row r="2683" spans="1:1">
      <c r="A2683" t="s">
        <v>4651</v>
      </c>
    </row>
    <row r="2684" spans="1:1">
      <c r="A2684" t="s">
        <v>4652</v>
      </c>
    </row>
    <row r="2685" spans="1:1">
      <c r="A2685" t="s">
        <v>4653</v>
      </c>
    </row>
    <row r="2686" spans="1:1">
      <c r="A2686" t="s">
        <v>4654</v>
      </c>
    </row>
    <row r="2687" spans="1:1">
      <c r="A2687" t="s">
        <v>4655</v>
      </c>
    </row>
    <row r="2688" spans="1:1">
      <c r="A2688" t="s">
        <v>4656</v>
      </c>
    </row>
    <row r="2689" spans="1:1">
      <c r="A2689" t="s">
        <v>4657</v>
      </c>
    </row>
    <row r="2690" spans="1:1">
      <c r="A2690" t="s">
        <v>4658</v>
      </c>
    </row>
    <row r="2691" spans="1:1">
      <c r="A2691" t="s">
        <v>4659</v>
      </c>
    </row>
    <row r="2692" spans="1:1">
      <c r="A2692" t="s">
        <v>4660</v>
      </c>
    </row>
    <row r="2693" spans="1:1">
      <c r="A2693" t="s">
        <v>4661</v>
      </c>
    </row>
    <row r="2694" spans="1:1">
      <c r="A2694" t="s">
        <v>4662</v>
      </c>
    </row>
    <row r="2695" spans="1:1">
      <c r="A2695" t="s">
        <v>4663</v>
      </c>
    </row>
    <row r="2696" spans="1:1">
      <c r="A2696" t="s">
        <v>4664</v>
      </c>
    </row>
    <row r="2697" spans="1:1">
      <c r="A2697" t="s">
        <v>4665</v>
      </c>
    </row>
    <row r="2698" spans="1:1">
      <c r="A2698" t="s">
        <v>4666</v>
      </c>
    </row>
    <row r="2699" spans="1:1">
      <c r="A2699" t="s">
        <v>4667</v>
      </c>
    </row>
    <row r="2700" spans="1:1">
      <c r="A2700" t="s">
        <v>4668</v>
      </c>
    </row>
    <row r="2701" spans="1:1">
      <c r="A2701" t="s">
        <v>4669</v>
      </c>
    </row>
    <row r="2702" spans="1:1">
      <c r="A2702" t="s">
        <v>4670</v>
      </c>
    </row>
    <row r="2703" spans="1:1">
      <c r="A2703" t="s">
        <v>4671</v>
      </c>
    </row>
    <row r="2704" spans="1:1">
      <c r="A2704" t="s">
        <v>4672</v>
      </c>
    </row>
    <row r="2705" spans="1:1">
      <c r="A2705" t="s">
        <v>4673</v>
      </c>
    </row>
    <row r="2706" spans="1:1">
      <c r="A2706" t="s">
        <v>4674</v>
      </c>
    </row>
    <row r="2707" spans="1:1">
      <c r="A2707" t="s">
        <v>4675</v>
      </c>
    </row>
    <row r="2708" spans="1:1">
      <c r="A2708" t="s">
        <v>4676</v>
      </c>
    </row>
    <row r="2709" spans="1:1">
      <c r="A2709" t="s">
        <v>4677</v>
      </c>
    </row>
    <row r="2710" spans="1:1">
      <c r="A2710" t="s">
        <v>4678</v>
      </c>
    </row>
    <row r="2711" spans="1:1">
      <c r="A2711" t="s">
        <v>4679</v>
      </c>
    </row>
    <row r="2712" spans="1:1">
      <c r="A2712" t="s">
        <v>4680</v>
      </c>
    </row>
    <row r="2713" spans="1:1">
      <c r="A2713" t="s">
        <v>4681</v>
      </c>
    </row>
    <row r="2714" spans="1:1">
      <c r="A2714" t="s">
        <v>4682</v>
      </c>
    </row>
    <row r="2715" spans="1:1">
      <c r="A2715" t="s">
        <v>4683</v>
      </c>
    </row>
    <row r="2716" spans="1:1">
      <c r="A2716" t="s">
        <v>4684</v>
      </c>
    </row>
    <row r="2717" spans="1:1">
      <c r="A2717" t="s">
        <v>4685</v>
      </c>
    </row>
    <row r="2718" spans="1:1">
      <c r="A2718" t="s">
        <v>4686</v>
      </c>
    </row>
    <row r="2719" spans="1:1">
      <c r="A2719" t="s">
        <v>4687</v>
      </c>
    </row>
    <row r="2720" spans="1:1">
      <c r="A2720" t="s">
        <v>4688</v>
      </c>
    </row>
    <row r="2721" spans="1:1">
      <c r="A2721" t="s">
        <v>4689</v>
      </c>
    </row>
    <row r="2722" spans="1:1">
      <c r="A2722" t="s">
        <v>4690</v>
      </c>
    </row>
    <row r="2723" spans="1:1">
      <c r="A2723" t="s">
        <v>4691</v>
      </c>
    </row>
    <row r="2724" spans="1:1">
      <c r="A2724" t="s">
        <v>4692</v>
      </c>
    </row>
    <row r="2725" spans="1:1">
      <c r="A2725" t="s">
        <v>4693</v>
      </c>
    </row>
    <row r="2726" spans="1:1">
      <c r="A2726" t="s">
        <v>4694</v>
      </c>
    </row>
    <row r="2727" spans="1:1">
      <c r="A2727" t="s">
        <v>4695</v>
      </c>
    </row>
    <row r="2728" spans="1:1">
      <c r="A2728" t="s">
        <v>4696</v>
      </c>
    </row>
    <row r="2729" spans="1:1">
      <c r="A2729" t="s">
        <v>4697</v>
      </c>
    </row>
    <row r="2730" spans="1:1">
      <c r="A2730" t="s">
        <v>4698</v>
      </c>
    </row>
    <row r="2731" spans="1:1">
      <c r="A2731" t="s">
        <v>4699</v>
      </c>
    </row>
    <row r="2732" spans="1:1">
      <c r="A2732" t="s">
        <v>4700</v>
      </c>
    </row>
    <row r="2733" spans="1:1">
      <c r="A2733" t="s">
        <v>4701</v>
      </c>
    </row>
    <row r="2734" spans="1:1">
      <c r="A2734" t="s">
        <v>4702</v>
      </c>
    </row>
    <row r="2735" spans="1:1">
      <c r="A2735" t="s">
        <v>4703</v>
      </c>
    </row>
    <row r="2736" spans="1:1">
      <c r="A2736" t="s">
        <v>4704</v>
      </c>
    </row>
    <row r="2737" spans="1:1">
      <c r="A2737" t="s">
        <v>4705</v>
      </c>
    </row>
    <row r="2738" spans="1:1">
      <c r="A2738" t="s">
        <v>4706</v>
      </c>
    </row>
    <row r="2739" spans="1:1">
      <c r="A2739" t="s">
        <v>4707</v>
      </c>
    </row>
    <row r="2740" spans="1:1">
      <c r="A2740" t="s">
        <v>4708</v>
      </c>
    </row>
    <row r="2741" spans="1:1">
      <c r="A2741" t="s">
        <v>4709</v>
      </c>
    </row>
    <row r="2742" spans="1:1">
      <c r="A2742" t="s">
        <v>4710</v>
      </c>
    </row>
    <row r="2743" spans="1:1">
      <c r="A2743" t="s">
        <v>4711</v>
      </c>
    </row>
    <row r="2744" spans="1:1">
      <c r="A2744" t="s">
        <v>4712</v>
      </c>
    </row>
    <row r="2745" spans="1:1">
      <c r="A2745" t="s">
        <v>4713</v>
      </c>
    </row>
    <row r="2746" spans="1:1">
      <c r="A2746" t="s">
        <v>4714</v>
      </c>
    </row>
    <row r="2747" spans="1:1">
      <c r="A2747" t="s">
        <v>4715</v>
      </c>
    </row>
    <row r="2748" spans="1:1">
      <c r="A2748" t="s">
        <v>4716</v>
      </c>
    </row>
    <row r="2749" spans="1:1">
      <c r="A2749" t="s">
        <v>4717</v>
      </c>
    </row>
    <row r="2750" spans="1:1">
      <c r="A2750" t="s">
        <v>4718</v>
      </c>
    </row>
    <row r="2751" spans="1:1">
      <c r="A2751" t="s">
        <v>4719</v>
      </c>
    </row>
    <row r="2752" spans="1:1">
      <c r="A2752" t="s">
        <v>4720</v>
      </c>
    </row>
    <row r="2753" spans="1:1">
      <c r="A2753" t="s">
        <v>4721</v>
      </c>
    </row>
    <row r="2754" spans="1:1">
      <c r="A2754" t="s">
        <v>4722</v>
      </c>
    </row>
    <row r="2755" spans="1:1">
      <c r="A2755" t="s">
        <v>4723</v>
      </c>
    </row>
    <row r="2756" spans="1:1">
      <c r="A2756" t="s">
        <v>4724</v>
      </c>
    </row>
    <row r="2757" spans="1:1">
      <c r="A2757" t="s">
        <v>4725</v>
      </c>
    </row>
    <row r="2758" spans="1:1">
      <c r="A2758" t="s">
        <v>4726</v>
      </c>
    </row>
    <row r="2759" spans="1:1">
      <c r="A2759" t="s">
        <v>4727</v>
      </c>
    </row>
    <row r="2760" spans="1:1">
      <c r="A2760" t="s">
        <v>4728</v>
      </c>
    </row>
    <row r="2761" spans="1:1">
      <c r="A2761" t="s">
        <v>4729</v>
      </c>
    </row>
    <row r="2762" spans="1:1">
      <c r="A2762" t="s">
        <v>4730</v>
      </c>
    </row>
    <row r="2763" spans="1:1">
      <c r="A2763" t="s">
        <v>4731</v>
      </c>
    </row>
    <row r="2764" spans="1:1">
      <c r="A2764" t="s">
        <v>4732</v>
      </c>
    </row>
    <row r="2765" spans="1:1">
      <c r="A2765" t="s">
        <v>4733</v>
      </c>
    </row>
    <row r="2766" spans="1:1">
      <c r="A2766" t="s">
        <v>4734</v>
      </c>
    </row>
    <row r="2767" spans="1:1">
      <c r="A2767" t="s">
        <v>4735</v>
      </c>
    </row>
    <row r="2768" spans="1:1">
      <c r="A2768" t="s">
        <v>4736</v>
      </c>
    </row>
    <row r="2769" spans="1:1">
      <c r="A2769" t="s">
        <v>4737</v>
      </c>
    </row>
    <row r="2770" spans="1:1">
      <c r="A2770" t="s">
        <v>4738</v>
      </c>
    </row>
    <row r="2771" spans="1:1">
      <c r="A2771" t="s">
        <v>4739</v>
      </c>
    </row>
    <row r="2772" spans="1:1">
      <c r="A2772" t="s">
        <v>4740</v>
      </c>
    </row>
    <row r="2773" spans="1:1">
      <c r="A2773" t="s">
        <v>4741</v>
      </c>
    </row>
    <row r="2774" spans="1:1">
      <c r="A2774" t="s">
        <v>4742</v>
      </c>
    </row>
    <row r="2775" spans="1:1">
      <c r="A2775" t="s">
        <v>4743</v>
      </c>
    </row>
    <row r="2776" spans="1:1">
      <c r="A2776" t="s">
        <v>4744</v>
      </c>
    </row>
    <row r="2777" spans="1:1">
      <c r="A2777" t="s">
        <v>4745</v>
      </c>
    </row>
    <row r="2778" spans="1:1">
      <c r="A2778" t="s">
        <v>4746</v>
      </c>
    </row>
    <row r="2779" spans="1:1">
      <c r="A2779" t="s">
        <v>4747</v>
      </c>
    </row>
    <row r="2780" spans="1:1">
      <c r="A2780" t="s">
        <v>4748</v>
      </c>
    </row>
    <row r="2781" spans="1:1">
      <c r="A2781" t="s">
        <v>4749</v>
      </c>
    </row>
    <row r="2782" spans="1:1">
      <c r="A2782" t="s">
        <v>4750</v>
      </c>
    </row>
    <row r="2783" spans="1:1">
      <c r="A2783" t="s">
        <v>4751</v>
      </c>
    </row>
    <row r="2784" spans="1:1">
      <c r="A2784" t="s">
        <v>4752</v>
      </c>
    </row>
    <row r="2785" spans="1:1">
      <c r="A2785" t="s">
        <v>4753</v>
      </c>
    </row>
    <row r="2786" spans="1:1">
      <c r="A2786" t="s">
        <v>4754</v>
      </c>
    </row>
    <row r="2787" spans="1:1">
      <c r="A2787" t="s">
        <v>4755</v>
      </c>
    </row>
    <row r="2788" spans="1:1">
      <c r="A2788" t="s">
        <v>4756</v>
      </c>
    </row>
    <row r="2789" spans="1:1">
      <c r="A2789" t="s">
        <v>4757</v>
      </c>
    </row>
    <row r="2790" spans="1:1">
      <c r="A2790" t="s">
        <v>4758</v>
      </c>
    </row>
    <row r="2791" spans="1:1">
      <c r="A2791" t="s">
        <v>4759</v>
      </c>
    </row>
    <row r="2792" spans="1:1">
      <c r="A2792" t="s">
        <v>4760</v>
      </c>
    </row>
    <row r="2793" spans="1:1">
      <c r="A2793" t="s">
        <v>4761</v>
      </c>
    </row>
    <row r="2794" spans="1:1">
      <c r="A2794" t="s">
        <v>4762</v>
      </c>
    </row>
    <row r="2795" spans="1:1">
      <c r="A2795" t="s">
        <v>4763</v>
      </c>
    </row>
    <row r="2796" spans="1:1">
      <c r="A2796" t="s">
        <v>4764</v>
      </c>
    </row>
    <row r="2797" spans="1:1">
      <c r="A2797" t="s">
        <v>4765</v>
      </c>
    </row>
    <row r="2798" spans="1:1">
      <c r="A2798" t="s">
        <v>4766</v>
      </c>
    </row>
    <row r="2799" spans="1:1">
      <c r="A2799" t="s">
        <v>4767</v>
      </c>
    </row>
    <row r="2800" spans="1:1">
      <c r="A2800" t="s">
        <v>4768</v>
      </c>
    </row>
    <row r="2801" spans="1:1">
      <c r="A2801" t="s">
        <v>4769</v>
      </c>
    </row>
    <row r="2802" spans="1:1">
      <c r="A2802" t="s">
        <v>4770</v>
      </c>
    </row>
    <row r="2803" spans="1:1">
      <c r="A2803" t="s">
        <v>4771</v>
      </c>
    </row>
    <row r="2804" spans="1:1">
      <c r="A2804" t="s">
        <v>4772</v>
      </c>
    </row>
    <row r="2805" spans="1:1">
      <c r="A2805" t="s">
        <v>4773</v>
      </c>
    </row>
    <row r="2806" spans="1:1">
      <c r="A2806" t="s">
        <v>4774</v>
      </c>
    </row>
    <row r="2807" spans="1:1">
      <c r="A2807" t="s">
        <v>4775</v>
      </c>
    </row>
    <row r="2808" spans="1:1">
      <c r="A2808" t="s">
        <v>4776</v>
      </c>
    </row>
    <row r="2809" spans="1:1">
      <c r="A2809" t="s">
        <v>4777</v>
      </c>
    </row>
    <row r="2810" spans="1:1">
      <c r="A2810" t="s">
        <v>4778</v>
      </c>
    </row>
    <row r="2811" spans="1:1">
      <c r="A2811" t="s">
        <v>4779</v>
      </c>
    </row>
    <row r="2812" spans="1:1">
      <c r="A2812" t="s">
        <v>4780</v>
      </c>
    </row>
    <row r="2813" spans="1:1">
      <c r="A2813" t="s">
        <v>4781</v>
      </c>
    </row>
    <row r="2814" spans="1:1">
      <c r="A2814" t="s">
        <v>4782</v>
      </c>
    </row>
    <row r="2815" spans="1:1">
      <c r="A2815" t="s">
        <v>4783</v>
      </c>
    </row>
    <row r="2816" spans="1:1">
      <c r="A2816" t="s">
        <v>4784</v>
      </c>
    </row>
    <row r="2817" spans="1:1">
      <c r="A2817" t="s">
        <v>4785</v>
      </c>
    </row>
    <row r="2818" spans="1:1">
      <c r="A2818" t="s">
        <v>4786</v>
      </c>
    </row>
    <row r="2819" spans="1:1">
      <c r="A2819" t="s">
        <v>4787</v>
      </c>
    </row>
    <row r="2820" spans="1:1">
      <c r="A2820" t="s">
        <v>4788</v>
      </c>
    </row>
    <row r="2821" spans="1:1">
      <c r="A2821" t="s">
        <v>4789</v>
      </c>
    </row>
    <row r="2822" spans="1:1">
      <c r="A2822" t="s">
        <v>4790</v>
      </c>
    </row>
    <row r="2823" spans="1:1">
      <c r="A2823" t="s">
        <v>4791</v>
      </c>
    </row>
    <row r="2824" spans="1:1">
      <c r="A2824" t="s">
        <v>4792</v>
      </c>
    </row>
    <row r="2825" spans="1:1">
      <c r="A2825" t="s">
        <v>4793</v>
      </c>
    </row>
    <row r="2826" spans="1:1">
      <c r="A2826" t="s">
        <v>4794</v>
      </c>
    </row>
    <row r="2827" spans="1:1">
      <c r="A2827" t="s">
        <v>4795</v>
      </c>
    </row>
    <row r="2828" spans="1:1">
      <c r="A2828" t="s">
        <v>4796</v>
      </c>
    </row>
    <row r="2829" spans="1:1">
      <c r="A2829" t="s">
        <v>4797</v>
      </c>
    </row>
    <row r="2830" spans="1:1">
      <c r="A2830" t="s">
        <v>4798</v>
      </c>
    </row>
    <row r="2831" spans="1:1">
      <c r="A2831" t="s">
        <v>4799</v>
      </c>
    </row>
    <row r="2832" spans="1:1">
      <c r="A2832" t="s">
        <v>4800</v>
      </c>
    </row>
    <row r="2833" spans="1:1">
      <c r="A2833" t="s">
        <v>4801</v>
      </c>
    </row>
    <row r="2834" spans="1:1">
      <c r="A2834" t="s">
        <v>4802</v>
      </c>
    </row>
    <row r="2835" spans="1:1">
      <c r="A2835" t="s">
        <v>4803</v>
      </c>
    </row>
    <row r="2836" spans="1:1">
      <c r="A2836" t="s">
        <v>4804</v>
      </c>
    </row>
    <row r="2837" spans="1:1">
      <c r="A2837" t="s">
        <v>4805</v>
      </c>
    </row>
    <row r="2838" spans="1:1">
      <c r="A2838" t="s">
        <v>4806</v>
      </c>
    </row>
    <row r="2839" spans="1:1">
      <c r="A2839" t="s">
        <v>4807</v>
      </c>
    </row>
    <row r="2840" spans="1:1">
      <c r="A2840" t="s">
        <v>4808</v>
      </c>
    </row>
    <row r="2841" spans="1:1">
      <c r="A2841" t="s">
        <v>4809</v>
      </c>
    </row>
    <row r="2842" spans="1:1">
      <c r="A2842" t="s">
        <v>4810</v>
      </c>
    </row>
    <row r="2843" spans="1:1">
      <c r="A2843" t="s">
        <v>4811</v>
      </c>
    </row>
    <row r="2844" spans="1:1">
      <c r="A2844" t="s">
        <v>4812</v>
      </c>
    </row>
    <row r="2845" spans="1:1">
      <c r="A2845" t="s">
        <v>4813</v>
      </c>
    </row>
    <row r="2846" spans="1:1">
      <c r="A2846" t="s">
        <v>4814</v>
      </c>
    </row>
    <row r="2847" spans="1:1">
      <c r="A2847" t="s">
        <v>4815</v>
      </c>
    </row>
    <row r="2848" spans="1:1">
      <c r="A2848" t="s">
        <v>4816</v>
      </c>
    </row>
    <row r="2849" spans="1:1">
      <c r="A2849" t="s">
        <v>4817</v>
      </c>
    </row>
    <row r="2850" spans="1:1">
      <c r="A2850" t="s">
        <v>4818</v>
      </c>
    </row>
    <row r="2851" spans="1:1">
      <c r="A2851" t="s">
        <v>4819</v>
      </c>
    </row>
    <row r="2852" spans="1:1">
      <c r="A2852" t="s">
        <v>4820</v>
      </c>
    </row>
    <row r="2853" spans="1:1">
      <c r="A2853" t="s">
        <v>4821</v>
      </c>
    </row>
    <row r="2854" spans="1:1">
      <c r="A2854" t="s">
        <v>4822</v>
      </c>
    </row>
    <row r="2855" spans="1:1">
      <c r="A2855" t="s">
        <v>4823</v>
      </c>
    </row>
    <row r="2856" spans="1:1">
      <c r="A2856" t="s">
        <v>4824</v>
      </c>
    </row>
    <row r="2857" spans="1:1">
      <c r="A2857" t="s">
        <v>4825</v>
      </c>
    </row>
    <row r="2858" spans="1:1">
      <c r="A2858" t="s">
        <v>4826</v>
      </c>
    </row>
    <row r="2859" spans="1:1">
      <c r="A2859" t="s">
        <v>4827</v>
      </c>
    </row>
    <row r="2860" spans="1:1">
      <c r="A2860" t="s">
        <v>4828</v>
      </c>
    </row>
    <row r="2861" spans="1:1">
      <c r="A2861" t="s">
        <v>4829</v>
      </c>
    </row>
    <row r="2862" spans="1:1">
      <c r="A2862" t="s">
        <v>4830</v>
      </c>
    </row>
    <row r="2863" spans="1:1">
      <c r="A2863" t="s">
        <v>4831</v>
      </c>
    </row>
    <row r="2864" spans="1:1">
      <c r="A2864" t="s">
        <v>4832</v>
      </c>
    </row>
    <row r="2865" spans="1:1">
      <c r="A2865" t="s">
        <v>4833</v>
      </c>
    </row>
    <row r="2866" spans="1:1">
      <c r="A2866" t="s">
        <v>4834</v>
      </c>
    </row>
    <row r="2867" spans="1:1">
      <c r="A2867" t="s">
        <v>4835</v>
      </c>
    </row>
    <row r="2868" spans="1:1">
      <c r="A2868" t="s">
        <v>4836</v>
      </c>
    </row>
    <row r="2869" spans="1:1">
      <c r="A2869" t="s">
        <v>4837</v>
      </c>
    </row>
    <row r="2870" spans="1:1">
      <c r="A2870" t="s">
        <v>4838</v>
      </c>
    </row>
    <row r="2871" spans="1:1">
      <c r="A2871" t="s">
        <v>4839</v>
      </c>
    </row>
    <row r="2872" spans="1:1">
      <c r="A2872" t="s">
        <v>4840</v>
      </c>
    </row>
    <row r="2873" spans="1:1">
      <c r="A2873" t="s">
        <v>4841</v>
      </c>
    </row>
    <row r="2874" spans="1:1">
      <c r="A2874" t="s">
        <v>4842</v>
      </c>
    </row>
    <row r="2875" spans="1:1">
      <c r="A2875" t="s">
        <v>4843</v>
      </c>
    </row>
    <row r="2876" spans="1:1">
      <c r="A2876" t="s">
        <v>4844</v>
      </c>
    </row>
    <row r="2877" spans="1:1">
      <c r="A2877" t="s">
        <v>4845</v>
      </c>
    </row>
    <row r="2878" spans="1:1">
      <c r="A2878" t="s">
        <v>4846</v>
      </c>
    </row>
    <row r="2879" spans="1:1">
      <c r="A2879" t="s">
        <v>4847</v>
      </c>
    </row>
    <row r="2880" spans="1:1">
      <c r="A2880" t="s">
        <v>4848</v>
      </c>
    </row>
    <row r="2881" spans="1:1">
      <c r="A2881" t="s">
        <v>4849</v>
      </c>
    </row>
    <row r="2882" spans="1:1">
      <c r="A2882" t="s">
        <v>4850</v>
      </c>
    </row>
    <row r="2883" spans="1:1">
      <c r="A2883" t="s">
        <v>4851</v>
      </c>
    </row>
    <row r="2884" spans="1:1">
      <c r="A2884" t="s">
        <v>4852</v>
      </c>
    </row>
    <row r="2885" spans="1:1">
      <c r="A2885" t="s">
        <v>4853</v>
      </c>
    </row>
    <row r="2886" spans="1:1">
      <c r="A2886" t="s">
        <v>4854</v>
      </c>
    </row>
    <row r="2887" spans="1:1">
      <c r="A2887" t="s">
        <v>4855</v>
      </c>
    </row>
    <row r="2888" spans="1:1">
      <c r="A2888" t="s">
        <v>4856</v>
      </c>
    </row>
    <row r="2889" spans="1:1">
      <c r="A2889" t="s">
        <v>4857</v>
      </c>
    </row>
    <row r="2890" spans="1:1">
      <c r="A2890" t="s">
        <v>4858</v>
      </c>
    </row>
    <row r="2891" spans="1:1">
      <c r="A2891" t="s">
        <v>4859</v>
      </c>
    </row>
    <row r="2892" spans="1:1">
      <c r="A2892" t="s">
        <v>4860</v>
      </c>
    </row>
    <row r="2893" spans="1:1">
      <c r="A2893" t="s">
        <v>4861</v>
      </c>
    </row>
    <row r="2894" spans="1:1">
      <c r="A2894" t="s">
        <v>4862</v>
      </c>
    </row>
    <row r="2895" spans="1:1">
      <c r="A2895" t="s">
        <v>4863</v>
      </c>
    </row>
    <row r="2896" spans="1:1">
      <c r="A2896" t="s">
        <v>4864</v>
      </c>
    </row>
    <row r="2897" spans="1:1">
      <c r="A2897" t="s">
        <v>4865</v>
      </c>
    </row>
    <row r="2898" spans="1:1">
      <c r="A2898" t="s">
        <v>4866</v>
      </c>
    </row>
    <row r="2899" spans="1:1">
      <c r="A2899" t="s">
        <v>4867</v>
      </c>
    </row>
    <row r="2900" spans="1:1">
      <c r="A2900" t="s">
        <v>4868</v>
      </c>
    </row>
    <row r="2901" spans="1:1">
      <c r="A2901" t="s">
        <v>4869</v>
      </c>
    </row>
    <row r="2902" spans="1:1">
      <c r="A2902" t="s">
        <v>4870</v>
      </c>
    </row>
    <row r="2903" spans="1:1">
      <c r="A2903" t="s">
        <v>4871</v>
      </c>
    </row>
    <row r="2904" spans="1:1">
      <c r="A2904" t="s">
        <v>4872</v>
      </c>
    </row>
    <row r="2905" spans="1:1">
      <c r="A2905" t="s">
        <v>4873</v>
      </c>
    </row>
    <row r="2906" spans="1:1">
      <c r="A2906" t="s">
        <v>4874</v>
      </c>
    </row>
    <row r="2907" spans="1:1">
      <c r="A2907" t="s">
        <v>4875</v>
      </c>
    </row>
    <row r="2908" spans="1:1">
      <c r="A2908" t="s">
        <v>4876</v>
      </c>
    </row>
    <row r="2909" spans="1:1">
      <c r="A2909" t="s">
        <v>4877</v>
      </c>
    </row>
    <row r="2910" spans="1:1">
      <c r="A2910" t="s">
        <v>4878</v>
      </c>
    </row>
    <row r="2911" spans="1:1">
      <c r="A2911" t="s">
        <v>4879</v>
      </c>
    </row>
    <row r="2912" spans="1:1">
      <c r="A2912" t="s">
        <v>4880</v>
      </c>
    </row>
    <row r="2913" spans="1:1">
      <c r="A2913" t="s">
        <v>4881</v>
      </c>
    </row>
    <row r="2914" spans="1:1">
      <c r="A2914" t="s">
        <v>4882</v>
      </c>
    </row>
    <row r="2915" spans="1:1">
      <c r="A2915" t="s">
        <v>4883</v>
      </c>
    </row>
    <row r="2916" spans="1:1">
      <c r="A2916" t="s">
        <v>4884</v>
      </c>
    </row>
    <row r="2917" spans="1:1">
      <c r="A2917" t="s">
        <v>4885</v>
      </c>
    </row>
    <row r="2918" spans="1:1">
      <c r="A2918" t="s">
        <v>4886</v>
      </c>
    </row>
    <row r="2919" spans="1:1">
      <c r="A2919" t="s">
        <v>4887</v>
      </c>
    </row>
    <row r="2920" spans="1:1">
      <c r="A2920" t="s">
        <v>4888</v>
      </c>
    </row>
    <row r="2921" spans="1:1">
      <c r="A2921" t="s">
        <v>4889</v>
      </c>
    </row>
    <row r="2922" spans="1:1">
      <c r="A2922" t="s">
        <v>4890</v>
      </c>
    </row>
    <row r="2923" spans="1:1">
      <c r="A2923" t="s">
        <v>4891</v>
      </c>
    </row>
    <row r="2924" spans="1:1">
      <c r="A2924" t="s">
        <v>4892</v>
      </c>
    </row>
    <row r="2925" spans="1:1">
      <c r="A2925" t="s">
        <v>4893</v>
      </c>
    </row>
    <row r="2926" spans="1:1">
      <c r="A2926" t="s">
        <v>4894</v>
      </c>
    </row>
    <row r="2927" spans="1:1">
      <c r="A2927" t="s">
        <v>4895</v>
      </c>
    </row>
    <row r="2928" spans="1:1">
      <c r="A2928" t="s">
        <v>4896</v>
      </c>
    </row>
    <row r="2929" spans="1:1">
      <c r="A2929" t="s">
        <v>4897</v>
      </c>
    </row>
    <row r="2930" spans="1:1">
      <c r="A2930" t="s">
        <v>4898</v>
      </c>
    </row>
    <row r="2931" spans="1:1">
      <c r="A2931" t="s">
        <v>4899</v>
      </c>
    </row>
    <row r="2932" spans="1:1">
      <c r="A2932" t="s">
        <v>4900</v>
      </c>
    </row>
    <row r="2933" spans="1:1">
      <c r="A2933" t="s">
        <v>4901</v>
      </c>
    </row>
    <row r="2934" spans="1:1">
      <c r="A2934" t="s">
        <v>4902</v>
      </c>
    </row>
    <row r="2935" spans="1:1">
      <c r="A2935" t="s">
        <v>4903</v>
      </c>
    </row>
    <row r="2936" spans="1:1">
      <c r="A2936" t="s">
        <v>4904</v>
      </c>
    </row>
    <row r="2937" spans="1:1">
      <c r="A2937" t="s">
        <v>4905</v>
      </c>
    </row>
    <row r="2938" spans="1:1">
      <c r="A2938" t="s">
        <v>4906</v>
      </c>
    </row>
    <row r="2939" spans="1:1">
      <c r="A2939" t="s">
        <v>4907</v>
      </c>
    </row>
    <row r="2940" spans="1:1">
      <c r="A2940" t="s">
        <v>4908</v>
      </c>
    </row>
    <row r="2941" spans="1:1">
      <c r="A2941" t="s">
        <v>4909</v>
      </c>
    </row>
    <row r="2942" spans="1:1">
      <c r="A2942" t="s">
        <v>4910</v>
      </c>
    </row>
    <row r="2943" spans="1:1">
      <c r="A2943" t="s">
        <v>4911</v>
      </c>
    </row>
    <row r="2944" spans="1:1">
      <c r="A2944" t="s">
        <v>4912</v>
      </c>
    </row>
    <row r="2945" spans="1:1">
      <c r="A2945" t="s">
        <v>4913</v>
      </c>
    </row>
    <row r="2946" spans="1:1">
      <c r="A2946" t="s">
        <v>4914</v>
      </c>
    </row>
    <row r="2947" spans="1:1">
      <c r="A2947" t="s">
        <v>4915</v>
      </c>
    </row>
    <row r="2948" spans="1:1">
      <c r="A2948" t="s">
        <v>4916</v>
      </c>
    </row>
    <row r="2949" spans="1:1">
      <c r="A2949" t="s">
        <v>4917</v>
      </c>
    </row>
    <row r="2950" spans="1:1">
      <c r="A2950" t="s">
        <v>4918</v>
      </c>
    </row>
    <row r="2951" spans="1:1">
      <c r="A2951" t="s">
        <v>4919</v>
      </c>
    </row>
    <row r="2952" spans="1:1">
      <c r="A2952" t="s">
        <v>4920</v>
      </c>
    </row>
    <row r="2953" spans="1:1">
      <c r="A2953" t="s">
        <v>4921</v>
      </c>
    </row>
    <row r="2954" spans="1:1">
      <c r="A2954" t="s">
        <v>4922</v>
      </c>
    </row>
    <row r="2955" spans="1:1">
      <c r="A2955" t="s">
        <v>4923</v>
      </c>
    </row>
    <row r="2956" spans="1:1">
      <c r="A2956" t="s">
        <v>4924</v>
      </c>
    </row>
    <row r="2957" spans="1:1">
      <c r="A2957" t="s">
        <v>4925</v>
      </c>
    </row>
    <row r="2958" spans="1:1">
      <c r="A2958" t="s">
        <v>4926</v>
      </c>
    </row>
    <row r="2959" spans="1:1">
      <c r="A2959" t="s">
        <v>4927</v>
      </c>
    </row>
    <row r="2960" spans="1:1">
      <c r="A2960" t="s">
        <v>4928</v>
      </c>
    </row>
    <row r="2961" spans="1:1">
      <c r="A2961" t="s">
        <v>4929</v>
      </c>
    </row>
    <row r="2962" spans="1:1">
      <c r="A2962" t="s">
        <v>4930</v>
      </c>
    </row>
    <row r="2963" spans="1:1">
      <c r="A2963" t="s">
        <v>4931</v>
      </c>
    </row>
    <row r="2964" spans="1:1">
      <c r="A2964" t="s">
        <v>4932</v>
      </c>
    </row>
    <row r="2965" spans="1:1">
      <c r="A2965" t="s">
        <v>4933</v>
      </c>
    </row>
    <row r="2966" spans="1:1">
      <c r="A2966" t="s">
        <v>4934</v>
      </c>
    </row>
    <row r="2967" spans="1:1">
      <c r="A2967" t="s">
        <v>4935</v>
      </c>
    </row>
    <row r="2968" spans="1:1">
      <c r="A2968" t="s">
        <v>4936</v>
      </c>
    </row>
    <row r="2969" spans="1:1">
      <c r="A2969" t="s">
        <v>4937</v>
      </c>
    </row>
    <row r="2970" spans="1:1">
      <c r="A2970" t="s">
        <v>4938</v>
      </c>
    </row>
    <row r="2971" spans="1:1">
      <c r="A2971" t="s">
        <v>4939</v>
      </c>
    </row>
    <row r="2972" spans="1:1">
      <c r="A2972" t="s">
        <v>4940</v>
      </c>
    </row>
    <row r="2973" spans="1:1">
      <c r="A2973" t="s">
        <v>4941</v>
      </c>
    </row>
    <row r="2974" spans="1:1">
      <c r="A2974" t="s">
        <v>4942</v>
      </c>
    </row>
    <row r="2975" spans="1:1">
      <c r="A2975" t="s">
        <v>4943</v>
      </c>
    </row>
    <row r="2976" spans="1:1">
      <c r="A2976" t="s">
        <v>4944</v>
      </c>
    </row>
    <row r="2977" spans="1:1">
      <c r="A2977" t="s">
        <v>4945</v>
      </c>
    </row>
    <row r="2978" spans="1:1">
      <c r="A2978" t="s">
        <v>4946</v>
      </c>
    </row>
    <row r="2979" spans="1:1">
      <c r="A2979" t="s">
        <v>4947</v>
      </c>
    </row>
    <row r="2980" spans="1:1">
      <c r="A2980" t="s">
        <v>4948</v>
      </c>
    </row>
    <row r="2981" spans="1:1">
      <c r="A2981" t="s">
        <v>4949</v>
      </c>
    </row>
    <row r="2982" spans="1:1">
      <c r="A2982" t="s">
        <v>4950</v>
      </c>
    </row>
    <row r="2983" spans="1:1">
      <c r="A2983" t="s">
        <v>4951</v>
      </c>
    </row>
    <row r="2984" spans="1:1">
      <c r="A2984" t="s">
        <v>4952</v>
      </c>
    </row>
    <row r="2985" spans="1:1">
      <c r="A2985" t="s">
        <v>4953</v>
      </c>
    </row>
    <row r="2986" spans="1:1">
      <c r="A2986" t="s">
        <v>4954</v>
      </c>
    </row>
    <row r="2987" spans="1:1">
      <c r="A2987" t="s">
        <v>4955</v>
      </c>
    </row>
    <row r="2988" spans="1:1">
      <c r="A2988" t="s">
        <v>4956</v>
      </c>
    </row>
    <row r="2989" spans="1:1">
      <c r="A2989" t="s">
        <v>4957</v>
      </c>
    </row>
    <row r="2990" spans="1:1">
      <c r="A2990" t="s">
        <v>4958</v>
      </c>
    </row>
    <row r="2991" spans="1:1">
      <c r="A2991" t="s">
        <v>4959</v>
      </c>
    </row>
    <row r="2992" spans="1:1">
      <c r="A2992" t="s">
        <v>4960</v>
      </c>
    </row>
    <row r="2993" spans="1:1">
      <c r="A2993" t="s">
        <v>4961</v>
      </c>
    </row>
    <row r="2994" spans="1:1">
      <c r="A2994" t="s">
        <v>4962</v>
      </c>
    </row>
    <row r="2995" spans="1:1">
      <c r="A2995" t="s">
        <v>4963</v>
      </c>
    </row>
    <row r="2996" spans="1:1">
      <c r="A2996" t="s">
        <v>4964</v>
      </c>
    </row>
    <row r="2997" spans="1:1">
      <c r="A2997" t="s">
        <v>4965</v>
      </c>
    </row>
    <row r="2998" spans="1:1">
      <c r="A2998" t="s">
        <v>4966</v>
      </c>
    </row>
    <row r="2999" spans="1:1">
      <c r="A2999" t="s">
        <v>4967</v>
      </c>
    </row>
    <row r="3000" spans="1:1">
      <c r="A3000" t="s">
        <v>4968</v>
      </c>
    </row>
    <row r="3001" spans="1:1">
      <c r="A3001" t="s">
        <v>4969</v>
      </c>
    </row>
    <row r="3002" spans="1:1">
      <c r="A3002" t="s">
        <v>4970</v>
      </c>
    </row>
    <row r="3003" spans="1:1">
      <c r="A3003" t="s">
        <v>4971</v>
      </c>
    </row>
    <row r="3004" spans="1:1">
      <c r="A3004" t="s">
        <v>4972</v>
      </c>
    </row>
    <row r="3005" spans="1:1">
      <c r="A3005" t="s">
        <v>4973</v>
      </c>
    </row>
    <row r="3006" spans="1:1">
      <c r="A3006" t="s">
        <v>4974</v>
      </c>
    </row>
    <row r="3007" spans="1:1">
      <c r="A3007" t="s">
        <v>4975</v>
      </c>
    </row>
    <row r="3008" spans="1:1">
      <c r="A3008" t="s">
        <v>4976</v>
      </c>
    </row>
    <row r="3009" spans="1:1">
      <c r="A3009" t="s">
        <v>4977</v>
      </c>
    </row>
    <row r="3010" spans="1:1">
      <c r="A3010" t="s">
        <v>4978</v>
      </c>
    </row>
    <row r="3011" spans="1:1">
      <c r="A3011" t="s">
        <v>4979</v>
      </c>
    </row>
    <row r="3012" spans="1:1">
      <c r="A3012" t="s">
        <v>4980</v>
      </c>
    </row>
    <row r="3013" spans="1:1">
      <c r="A3013" t="s">
        <v>4981</v>
      </c>
    </row>
    <row r="3014" spans="1:1">
      <c r="A3014" t="s">
        <v>4982</v>
      </c>
    </row>
    <row r="3015" spans="1:1">
      <c r="A3015" t="s">
        <v>4983</v>
      </c>
    </row>
    <row r="3016" spans="1:1">
      <c r="A3016" t="s">
        <v>4984</v>
      </c>
    </row>
    <row r="3017" spans="1:1">
      <c r="A3017" t="s">
        <v>4985</v>
      </c>
    </row>
    <row r="3018" spans="1:1">
      <c r="A3018" t="s">
        <v>4986</v>
      </c>
    </row>
    <row r="3019" spans="1:1">
      <c r="A3019" t="s">
        <v>4987</v>
      </c>
    </row>
    <row r="3020" spans="1:1">
      <c r="A3020" t="s">
        <v>4988</v>
      </c>
    </row>
    <row r="3021" spans="1:1">
      <c r="A3021" t="s">
        <v>4989</v>
      </c>
    </row>
    <row r="3022" spans="1:1">
      <c r="A3022" t="s">
        <v>4990</v>
      </c>
    </row>
    <row r="3023" spans="1:1">
      <c r="A3023" t="s">
        <v>4991</v>
      </c>
    </row>
    <row r="3024" spans="1:1">
      <c r="A3024" t="s">
        <v>4992</v>
      </c>
    </row>
    <row r="3025" spans="1:1">
      <c r="A3025" t="s">
        <v>4993</v>
      </c>
    </row>
    <row r="3026" spans="1:1">
      <c r="A3026" t="s">
        <v>4994</v>
      </c>
    </row>
    <row r="3027" spans="1:1">
      <c r="A3027" t="s">
        <v>4995</v>
      </c>
    </row>
    <row r="3028" spans="1:1">
      <c r="A3028" t="s">
        <v>4996</v>
      </c>
    </row>
    <row r="3029" spans="1:1">
      <c r="A3029" t="s">
        <v>4997</v>
      </c>
    </row>
    <row r="3030" spans="1:1">
      <c r="A3030" t="s">
        <v>4998</v>
      </c>
    </row>
    <row r="3031" spans="1:1">
      <c r="A3031" t="s">
        <v>4999</v>
      </c>
    </row>
    <row r="3032" spans="1:1">
      <c r="A3032" t="s">
        <v>5000</v>
      </c>
    </row>
    <row r="3033" spans="1:1">
      <c r="A3033" t="s">
        <v>5001</v>
      </c>
    </row>
    <row r="3034" spans="1:1">
      <c r="A3034" t="s">
        <v>5002</v>
      </c>
    </row>
    <row r="3035" spans="1:1">
      <c r="A3035" t="s">
        <v>5003</v>
      </c>
    </row>
    <row r="3036" spans="1:1">
      <c r="A3036" t="s">
        <v>5004</v>
      </c>
    </row>
    <row r="3037" spans="1:1">
      <c r="A3037" t="s">
        <v>5005</v>
      </c>
    </row>
    <row r="3038" spans="1:1">
      <c r="A3038" t="s">
        <v>5006</v>
      </c>
    </row>
    <row r="3039" spans="1:1">
      <c r="A3039" t="s">
        <v>5007</v>
      </c>
    </row>
    <row r="3040" spans="1:1">
      <c r="A3040" t="s">
        <v>5008</v>
      </c>
    </row>
    <row r="3041" spans="1:1">
      <c r="A3041" t="s">
        <v>5009</v>
      </c>
    </row>
    <row r="3042" spans="1:1">
      <c r="A3042" t="s">
        <v>5010</v>
      </c>
    </row>
    <row r="3043" spans="1:1">
      <c r="A3043" t="s">
        <v>5011</v>
      </c>
    </row>
    <row r="3044" spans="1:1">
      <c r="A3044" t="s">
        <v>5012</v>
      </c>
    </row>
    <row r="3045" spans="1:1">
      <c r="A3045" t="s">
        <v>5013</v>
      </c>
    </row>
    <row r="3046" spans="1:1">
      <c r="A3046" t="s">
        <v>5014</v>
      </c>
    </row>
    <row r="3047" spans="1:1">
      <c r="A3047" t="s">
        <v>5015</v>
      </c>
    </row>
    <row r="3048" spans="1:1">
      <c r="A3048" t="s">
        <v>5016</v>
      </c>
    </row>
    <row r="3049" spans="1:1">
      <c r="A3049" t="s">
        <v>5017</v>
      </c>
    </row>
    <row r="3050" spans="1:1">
      <c r="A3050" t="s">
        <v>5018</v>
      </c>
    </row>
    <row r="3051" spans="1:1">
      <c r="A3051" t="s">
        <v>5019</v>
      </c>
    </row>
    <row r="3052" spans="1:1">
      <c r="A3052" t="s">
        <v>5020</v>
      </c>
    </row>
    <row r="3053" spans="1:1">
      <c r="A3053" t="s">
        <v>5021</v>
      </c>
    </row>
    <row r="3054" spans="1:1">
      <c r="A3054" t="s">
        <v>5022</v>
      </c>
    </row>
    <row r="3055" spans="1:1">
      <c r="A3055" t="s">
        <v>5023</v>
      </c>
    </row>
    <row r="3056" spans="1:1">
      <c r="A3056" t="s">
        <v>5024</v>
      </c>
    </row>
    <row r="3057" spans="1:1">
      <c r="A3057" t="s">
        <v>5025</v>
      </c>
    </row>
    <row r="3058" spans="1:1">
      <c r="A3058" t="s">
        <v>5026</v>
      </c>
    </row>
    <row r="3059" spans="1:1">
      <c r="A3059" t="s">
        <v>5027</v>
      </c>
    </row>
    <row r="3060" spans="1:1">
      <c r="A3060" t="s">
        <v>5028</v>
      </c>
    </row>
    <row r="3061" spans="1:1">
      <c r="A3061" t="s">
        <v>5029</v>
      </c>
    </row>
    <row r="3062" spans="1:1">
      <c r="A3062" t="s">
        <v>5030</v>
      </c>
    </row>
    <row r="3063" spans="1:1">
      <c r="A3063" t="s">
        <v>5031</v>
      </c>
    </row>
    <row r="3064" spans="1:1">
      <c r="A3064" t="s">
        <v>5032</v>
      </c>
    </row>
    <row r="3065" spans="1:1">
      <c r="A3065" t="s">
        <v>5033</v>
      </c>
    </row>
    <row r="3066" spans="1:1">
      <c r="A3066" t="s">
        <v>5034</v>
      </c>
    </row>
    <row r="3067" spans="1:1">
      <c r="A3067" t="s">
        <v>5035</v>
      </c>
    </row>
    <row r="3068" spans="1:1">
      <c r="A3068" t="s">
        <v>5036</v>
      </c>
    </row>
    <row r="3069" spans="1:1">
      <c r="A3069" t="s">
        <v>5037</v>
      </c>
    </row>
    <row r="3070" spans="1:1">
      <c r="A3070" t="s">
        <v>5038</v>
      </c>
    </row>
    <row r="3071" spans="1:1">
      <c r="A3071" t="s">
        <v>5039</v>
      </c>
    </row>
    <row r="3072" spans="1:1">
      <c r="A3072" t="s">
        <v>5040</v>
      </c>
    </row>
    <row r="3073" spans="1:1">
      <c r="A3073" t="s">
        <v>5041</v>
      </c>
    </row>
    <row r="3074" spans="1:1">
      <c r="A3074" t="s">
        <v>5042</v>
      </c>
    </row>
    <row r="3075" spans="1:1">
      <c r="A3075" t="s">
        <v>5043</v>
      </c>
    </row>
    <row r="3076" spans="1:1">
      <c r="A3076" t="s">
        <v>5044</v>
      </c>
    </row>
    <row r="3077" spans="1:1">
      <c r="A3077" t="s">
        <v>5045</v>
      </c>
    </row>
    <row r="3078" spans="1:1">
      <c r="A3078" t="s">
        <v>5046</v>
      </c>
    </row>
    <row r="3079" spans="1:1">
      <c r="A3079" t="s">
        <v>5047</v>
      </c>
    </row>
    <row r="3080" spans="1:1">
      <c r="A3080" t="s">
        <v>5048</v>
      </c>
    </row>
    <row r="3081" spans="1:1">
      <c r="A3081" t="s">
        <v>5049</v>
      </c>
    </row>
    <row r="3082" spans="1:1">
      <c r="A3082" t="s">
        <v>5050</v>
      </c>
    </row>
    <row r="3083" spans="1:1">
      <c r="A3083" t="s">
        <v>5051</v>
      </c>
    </row>
    <row r="3084" spans="1:1">
      <c r="A3084" t="s">
        <v>5052</v>
      </c>
    </row>
    <row r="3085" spans="1:1">
      <c r="A3085" t="s">
        <v>5053</v>
      </c>
    </row>
    <row r="3086" spans="1:1">
      <c r="A3086" t="s">
        <v>5054</v>
      </c>
    </row>
    <row r="3087" spans="1:1">
      <c r="A3087" t="s">
        <v>5055</v>
      </c>
    </row>
    <row r="3088" spans="1:1">
      <c r="A3088" t="s">
        <v>5056</v>
      </c>
    </row>
    <row r="3089" spans="1:1">
      <c r="A3089" t="s">
        <v>5057</v>
      </c>
    </row>
    <row r="3090" spans="1:1">
      <c r="A3090" t="s">
        <v>5058</v>
      </c>
    </row>
    <row r="3091" spans="1:1">
      <c r="A3091" t="s">
        <v>5059</v>
      </c>
    </row>
    <row r="3092" spans="1:1">
      <c r="A3092" t="s">
        <v>5060</v>
      </c>
    </row>
    <row r="3093" spans="1:1">
      <c r="A3093" t="s">
        <v>5061</v>
      </c>
    </row>
    <row r="3094" spans="1:1">
      <c r="A3094" t="s">
        <v>5062</v>
      </c>
    </row>
    <row r="3095" spans="1:1">
      <c r="A3095" t="s">
        <v>5063</v>
      </c>
    </row>
    <row r="3096" spans="1:1">
      <c r="A3096" t="s">
        <v>5064</v>
      </c>
    </row>
    <row r="3097" spans="1:1">
      <c r="A3097" t="s">
        <v>5065</v>
      </c>
    </row>
    <row r="3098" spans="1:1">
      <c r="A3098" t="s">
        <v>5066</v>
      </c>
    </row>
    <row r="3099" spans="1:1">
      <c r="A3099" t="s">
        <v>5067</v>
      </c>
    </row>
    <row r="3100" spans="1:1">
      <c r="A3100" t="s">
        <v>5068</v>
      </c>
    </row>
    <row r="3101" spans="1:1">
      <c r="A3101" t="s">
        <v>5069</v>
      </c>
    </row>
    <row r="3102" spans="1:1">
      <c r="A3102" t="s">
        <v>5070</v>
      </c>
    </row>
    <row r="3103" spans="1:1">
      <c r="A3103" t="s">
        <v>5071</v>
      </c>
    </row>
    <row r="3104" spans="1:1">
      <c r="A3104" t="s">
        <v>5072</v>
      </c>
    </row>
    <row r="3105" spans="1:1">
      <c r="A3105" t="s">
        <v>5073</v>
      </c>
    </row>
    <row r="3106" spans="1:1">
      <c r="A3106" t="s">
        <v>5074</v>
      </c>
    </row>
    <row r="3107" spans="1:1">
      <c r="A3107" t="s">
        <v>5075</v>
      </c>
    </row>
    <row r="3108" spans="1:1">
      <c r="A3108" t="s">
        <v>5076</v>
      </c>
    </row>
    <row r="3109" spans="1:1">
      <c r="A3109" t="s">
        <v>5077</v>
      </c>
    </row>
    <row r="3110" spans="1:1">
      <c r="A3110" t="s">
        <v>5078</v>
      </c>
    </row>
    <row r="3111" spans="1:1">
      <c r="A3111" t="s">
        <v>5079</v>
      </c>
    </row>
    <row r="3112" spans="1:1">
      <c r="A3112" t="s">
        <v>5080</v>
      </c>
    </row>
    <row r="3113" spans="1:1">
      <c r="A3113" t="s">
        <v>5081</v>
      </c>
    </row>
    <row r="3114" spans="1:1">
      <c r="A3114" t="s">
        <v>5082</v>
      </c>
    </row>
    <row r="3115" spans="1:1">
      <c r="A3115" t="s">
        <v>5083</v>
      </c>
    </row>
    <row r="3116" spans="1:1">
      <c r="A3116" t="s">
        <v>5084</v>
      </c>
    </row>
    <row r="3117" spans="1:1">
      <c r="A3117" t="s">
        <v>5085</v>
      </c>
    </row>
    <row r="3118" spans="1:1">
      <c r="A3118" t="s">
        <v>5086</v>
      </c>
    </row>
    <row r="3119" spans="1:1">
      <c r="A3119" t="s">
        <v>5087</v>
      </c>
    </row>
    <row r="3120" spans="1:1">
      <c r="A3120" t="s">
        <v>5088</v>
      </c>
    </row>
    <row r="3121" spans="1:1">
      <c r="A3121" t="s">
        <v>5089</v>
      </c>
    </row>
    <row r="3122" spans="1:1">
      <c r="A3122" t="s">
        <v>5090</v>
      </c>
    </row>
    <row r="3123" spans="1:1">
      <c r="A3123" t="s">
        <v>5091</v>
      </c>
    </row>
    <row r="3124" spans="1:1">
      <c r="A3124" t="s">
        <v>5092</v>
      </c>
    </row>
    <row r="3125" spans="1:1">
      <c r="A3125" t="s">
        <v>5093</v>
      </c>
    </row>
    <row r="3126" spans="1:1">
      <c r="A3126" t="s">
        <v>5094</v>
      </c>
    </row>
    <row r="3127" spans="1:1">
      <c r="A3127" t="s">
        <v>5095</v>
      </c>
    </row>
    <row r="3128" spans="1:1">
      <c r="A3128" t="s">
        <v>5096</v>
      </c>
    </row>
    <row r="3129" spans="1:1">
      <c r="A3129" t="s">
        <v>5097</v>
      </c>
    </row>
    <row r="3130" spans="1:1">
      <c r="A3130" t="s">
        <v>5098</v>
      </c>
    </row>
    <row r="3131" spans="1:1">
      <c r="A3131" t="s">
        <v>5099</v>
      </c>
    </row>
    <row r="3132" spans="1:1">
      <c r="A3132" t="s">
        <v>5100</v>
      </c>
    </row>
    <row r="3133" spans="1:1">
      <c r="A3133" t="s">
        <v>5101</v>
      </c>
    </row>
    <row r="3134" spans="1:1">
      <c r="A3134" t="s">
        <v>5102</v>
      </c>
    </row>
    <row r="3135" spans="1:1">
      <c r="A3135" t="s">
        <v>5103</v>
      </c>
    </row>
    <row r="3136" spans="1:1">
      <c r="A3136" t="s">
        <v>5104</v>
      </c>
    </row>
    <row r="3137" spans="1:1">
      <c r="A3137" t="s">
        <v>5105</v>
      </c>
    </row>
    <row r="3138" spans="1:1">
      <c r="A3138" t="s">
        <v>5106</v>
      </c>
    </row>
    <row r="3139" spans="1:1">
      <c r="A3139" t="s">
        <v>5107</v>
      </c>
    </row>
    <row r="3140" spans="1:1">
      <c r="A3140" t="s">
        <v>5108</v>
      </c>
    </row>
    <row r="3141" spans="1:1">
      <c r="A3141" t="s">
        <v>5109</v>
      </c>
    </row>
    <row r="3142" spans="1:1">
      <c r="A3142" t="s">
        <v>5110</v>
      </c>
    </row>
    <row r="3143" spans="1:1">
      <c r="A3143" t="s">
        <v>5111</v>
      </c>
    </row>
    <row r="3144" spans="1:1">
      <c r="A3144" t="s">
        <v>5112</v>
      </c>
    </row>
    <row r="3145" spans="1:1">
      <c r="A3145" t="s">
        <v>5113</v>
      </c>
    </row>
    <row r="3146" spans="1:1">
      <c r="A3146" t="s">
        <v>5114</v>
      </c>
    </row>
    <row r="3147" spans="1:1">
      <c r="A3147" t="s">
        <v>5115</v>
      </c>
    </row>
    <row r="3148" spans="1:1">
      <c r="A3148" t="s">
        <v>5116</v>
      </c>
    </row>
    <row r="3149" spans="1:1">
      <c r="A3149" t="s">
        <v>5117</v>
      </c>
    </row>
    <row r="3150" spans="1:1">
      <c r="A3150" t="s">
        <v>5118</v>
      </c>
    </row>
    <row r="3151" spans="1:1">
      <c r="A3151" t="s">
        <v>5119</v>
      </c>
    </row>
    <row r="3152" spans="1:1">
      <c r="A3152" t="s">
        <v>5120</v>
      </c>
    </row>
    <row r="3153" spans="1:1">
      <c r="A3153" t="s">
        <v>5121</v>
      </c>
    </row>
    <row r="3154" spans="1:1">
      <c r="A3154" t="s">
        <v>5122</v>
      </c>
    </row>
    <row r="3155" spans="1:1">
      <c r="A3155" t="s">
        <v>5123</v>
      </c>
    </row>
    <row r="3156" spans="1:1">
      <c r="A3156" t="s">
        <v>5124</v>
      </c>
    </row>
    <row r="3157" spans="1:1">
      <c r="A3157" t="s">
        <v>5125</v>
      </c>
    </row>
    <row r="3158" spans="1:1">
      <c r="A3158" t="s">
        <v>5126</v>
      </c>
    </row>
    <row r="3159" spans="1:1">
      <c r="A3159" t="s">
        <v>5127</v>
      </c>
    </row>
    <row r="3160" spans="1:1">
      <c r="A3160" t="s">
        <v>5128</v>
      </c>
    </row>
    <row r="3161" spans="1:1">
      <c r="A3161" t="s">
        <v>5129</v>
      </c>
    </row>
    <row r="3162" spans="1:1">
      <c r="A3162" t="s">
        <v>5130</v>
      </c>
    </row>
    <row r="3163" spans="1:1">
      <c r="A3163" t="s">
        <v>5131</v>
      </c>
    </row>
    <row r="3164" spans="1:1">
      <c r="A3164" t="s">
        <v>5132</v>
      </c>
    </row>
    <row r="3165" spans="1:1">
      <c r="A3165" t="s">
        <v>5133</v>
      </c>
    </row>
    <row r="3166" spans="1:1">
      <c r="A3166" t="s">
        <v>5134</v>
      </c>
    </row>
    <row r="3167" spans="1:1">
      <c r="A3167" t="s">
        <v>5135</v>
      </c>
    </row>
    <row r="3168" spans="1:1">
      <c r="A3168" t="s">
        <v>5136</v>
      </c>
    </row>
    <row r="3169" spans="1:1">
      <c r="A3169" t="s">
        <v>5137</v>
      </c>
    </row>
    <row r="3170" spans="1:1">
      <c r="A3170" t="s">
        <v>5138</v>
      </c>
    </row>
    <row r="3171" spans="1:1">
      <c r="A3171" t="s">
        <v>5139</v>
      </c>
    </row>
    <row r="3172" spans="1:1">
      <c r="A3172" t="s">
        <v>5140</v>
      </c>
    </row>
    <row r="3173" spans="1:1">
      <c r="A3173" t="s">
        <v>5141</v>
      </c>
    </row>
    <row r="3174" spans="1:1">
      <c r="A3174" t="s">
        <v>5142</v>
      </c>
    </row>
    <row r="3175" spans="1:1">
      <c r="A3175" t="s">
        <v>5143</v>
      </c>
    </row>
    <row r="3176" spans="1:1">
      <c r="A3176" t="s">
        <v>5144</v>
      </c>
    </row>
    <row r="3177" spans="1:1">
      <c r="A3177" t="s">
        <v>5145</v>
      </c>
    </row>
    <row r="3178" spans="1:1">
      <c r="A3178" t="s">
        <v>5146</v>
      </c>
    </row>
    <row r="3179" spans="1:1">
      <c r="A3179" t="s">
        <v>5147</v>
      </c>
    </row>
    <row r="3180" spans="1:1">
      <c r="A3180" t="s">
        <v>5148</v>
      </c>
    </row>
    <row r="3181" spans="1:1">
      <c r="A3181" t="s">
        <v>5149</v>
      </c>
    </row>
    <row r="3182" spans="1:1">
      <c r="A3182" t="s">
        <v>5150</v>
      </c>
    </row>
    <row r="3183" spans="1:1">
      <c r="A3183" t="s">
        <v>5151</v>
      </c>
    </row>
    <row r="3184" spans="1:1">
      <c r="A3184" t="s">
        <v>5152</v>
      </c>
    </row>
    <row r="3185" spans="1:1">
      <c r="A3185" t="s">
        <v>5153</v>
      </c>
    </row>
    <row r="3186" spans="1:1">
      <c r="A3186" t="s">
        <v>5154</v>
      </c>
    </row>
    <row r="3187" spans="1:1">
      <c r="A3187" t="s">
        <v>5155</v>
      </c>
    </row>
    <row r="3188" spans="1:1">
      <c r="A3188" t="s">
        <v>5156</v>
      </c>
    </row>
    <row r="3189" spans="1:1">
      <c r="A3189" t="s">
        <v>5157</v>
      </c>
    </row>
    <row r="3190" spans="1:1">
      <c r="A3190" t="s">
        <v>5158</v>
      </c>
    </row>
    <row r="3191" spans="1:1">
      <c r="A3191" t="s">
        <v>5159</v>
      </c>
    </row>
    <row r="3192" spans="1:1">
      <c r="A3192" t="s">
        <v>5160</v>
      </c>
    </row>
    <row r="3193" spans="1:1">
      <c r="A3193" t="s">
        <v>5161</v>
      </c>
    </row>
    <row r="3194" spans="1:1">
      <c r="A3194" t="s">
        <v>5162</v>
      </c>
    </row>
    <row r="3195" spans="1:1">
      <c r="A3195" t="s">
        <v>5163</v>
      </c>
    </row>
    <row r="3196" spans="1:1">
      <c r="A3196" t="s">
        <v>5164</v>
      </c>
    </row>
    <row r="3197" spans="1:1">
      <c r="A3197" t="s">
        <v>5165</v>
      </c>
    </row>
    <row r="3198" spans="1:1">
      <c r="A3198" t="s">
        <v>5166</v>
      </c>
    </row>
    <row r="3199" spans="1:1">
      <c r="A3199" t="s">
        <v>5167</v>
      </c>
    </row>
    <row r="3200" spans="1:1">
      <c r="A3200" t="s">
        <v>5168</v>
      </c>
    </row>
    <row r="3201" spans="1:1">
      <c r="A3201" t="s">
        <v>5169</v>
      </c>
    </row>
    <row r="3202" spans="1:1">
      <c r="A3202" t="s">
        <v>5170</v>
      </c>
    </row>
    <row r="3203" spans="1:1">
      <c r="A3203" t="s">
        <v>5171</v>
      </c>
    </row>
    <row r="3204" spans="1:1">
      <c r="A3204" t="s">
        <v>5172</v>
      </c>
    </row>
    <row r="3205" spans="1:1">
      <c r="A3205" t="s">
        <v>5173</v>
      </c>
    </row>
    <row r="3206" spans="1:1">
      <c r="A3206" t="s">
        <v>5174</v>
      </c>
    </row>
    <row r="3207" spans="1:1">
      <c r="A3207" t="s">
        <v>5175</v>
      </c>
    </row>
    <row r="3208" spans="1:1">
      <c r="A3208" t="s">
        <v>5176</v>
      </c>
    </row>
    <row r="3209" spans="1:1">
      <c r="A3209" t="s">
        <v>5177</v>
      </c>
    </row>
    <row r="3210" spans="1:1">
      <c r="A3210" t="s">
        <v>5178</v>
      </c>
    </row>
    <row r="3211" spans="1:1">
      <c r="A3211" t="s">
        <v>5179</v>
      </c>
    </row>
    <row r="3212" spans="1:1">
      <c r="A3212" t="s">
        <v>5180</v>
      </c>
    </row>
    <row r="3213" spans="1:1">
      <c r="A3213" t="s">
        <v>5181</v>
      </c>
    </row>
    <row r="3214" spans="1:1">
      <c r="A3214" t="s">
        <v>5182</v>
      </c>
    </row>
    <row r="3215" spans="1:1">
      <c r="A3215" t="s">
        <v>5183</v>
      </c>
    </row>
    <row r="3216" spans="1:1">
      <c r="A3216" t="s">
        <v>5184</v>
      </c>
    </row>
    <row r="3217" spans="1:1">
      <c r="A3217" t="s">
        <v>5185</v>
      </c>
    </row>
    <row r="3218" spans="1:1">
      <c r="A3218" t="s">
        <v>5186</v>
      </c>
    </row>
    <row r="3219" spans="1:1">
      <c r="A3219" t="s">
        <v>5187</v>
      </c>
    </row>
    <row r="3220" spans="1:1">
      <c r="A3220" t="s">
        <v>5188</v>
      </c>
    </row>
    <row r="3221" spans="1:1">
      <c r="A3221" t="s">
        <v>5189</v>
      </c>
    </row>
    <row r="3222" spans="1:1">
      <c r="A3222" t="s">
        <v>5190</v>
      </c>
    </row>
    <row r="3223" spans="1:1">
      <c r="A3223" t="s">
        <v>5191</v>
      </c>
    </row>
    <row r="3224" spans="1:1">
      <c r="A3224" t="s">
        <v>5192</v>
      </c>
    </row>
    <row r="3225" spans="1:1">
      <c r="A3225" t="s">
        <v>5193</v>
      </c>
    </row>
    <row r="3226" spans="1:1">
      <c r="A3226" t="s">
        <v>5194</v>
      </c>
    </row>
    <row r="3227" spans="1:1">
      <c r="A3227" t="s">
        <v>5195</v>
      </c>
    </row>
    <row r="3228" spans="1:1">
      <c r="A3228" t="s">
        <v>5196</v>
      </c>
    </row>
    <row r="3229" spans="1:1">
      <c r="A3229" t="s">
        <v>5197</v>
      </c>
    </row>
    <row r="3230" spans="1:1">
      <c r="A3230" t="s">
        <v>5198</v>
      </c>
    </row>
    <row r="3231" spans="1:1">
      <c r="A3231" t="s">
        <v>5199</v>
      </c>
    </row>
    <row r="3232" spans="1:1">
      <c r="A3232" t="s">
        <v>5200</v>
      </c>
    </row>
    <row r="3233" spans="1:1">
      <c r="A3233" t="s">
        <v>5201</v>
      </c>
    </row>
    <row r="3234" spans="1:1">
      <c r="A3234" t="s">
        <v>5202</v>
      </c>
    </row>
    <row r="3235" spans="1:1">
      <c r="A3235" t="s">
        <v>5203</v>
      </c>
    </row>
    <row r="3236" spans="1:1">
      <c r="A3236" t="s">
        <v>5204</v>
      </c>
    </row>
    <row r="3237" spans="1:1">
      <c r="A3237" t="s">
        <v>5205</v>
      </c>
    </row>
    <row r="3238" spans="1:1">
      <c r="A3238" t="s">
        <v>5206</v>
      </c>
    </row>
    <row r="3239" spans="1:1">
      <c r="A3239" t="s">
        <v>5207</v>
      </c>
    </row>
    <row r="3240" spans="1:1">
      <c r="A3240" t="s">
        <v>5208</v>
      </c>
    </row>
    <row r="3241" spans="1:1">
      <c r="A3241" t="s">
        <v>5209</v>
      </c>
    </row>
    <row r="3242" spans="1:1">
      <c r="A3242" t="s">
        <v>5210</v>
      </c>
    </row>
    <row r="3243" spans="1:1">
      <c r="A3243" t="s">
        <v>5211</v>
      </c>
    </row>
    <row r="3244" spans="1:1">
      <c r="A3244" t="s">
        <v>5212</v>
      </c>
    </row>
    <row r="3245" spans="1:1">
      <c r="A3245" t="s">
        <v>5213</v>
      </c>
    </row>
    <row r="3246" spans="1:1">
      <c r="A3246" t="s">
        <v>5214</v>
      </c>
    </row>
    <row r="3247" spans="1:1">
      <c r="A3247" t="s">
        <v>5215</v>
      </c>
    </row>
    <row r="3248" spans="1:1">
      <c r="A3248" t="s">
        <v>5216</v>
      </c>
    </row>
    <row r="3249" spans="1:1">
      <c r="A3249" t="s">
        <v>5217</v>
      </c>
    </row>
    <row r="3250" spans="1:1">
      <c r="A3250" t="s">
        <v>5218</v>
      </c>
    </row>
    <row r="3251" spans="1:1">
      <c r="A3251" t="s">
        <v>5219</v>
      </c>
    </row>
    <row r="3252" spans="1:1">
      <c r="A3252" t="s">
        <v>5220</v>
      </c>
    </row>
    <row r="3253" spans="1:1">
      <c r="A3253" t="s">
        <v>5221</v>
      </c>
    </row>
    <row r="3254" spans="1:1">
      <c r="A3254" t="s">
        <v>5222</v>
      </c>
    </row>
    <row r="3255" spans="1:1">
      <c r="A3255" t="s">
        <v>5223</v>
      </c>
    </row>
    <row r="3256" spans="1:1">
      <c r="A3256" t="s">
        <v>5224</v>
      </c>
    </row>
    <row r="3257" spans="1:1">
      <c r="A3257" t="s">
        <v>5225</v>
      </c>
    </row>
    <row r="3258" spans="1:1">
      <c r="A3258" t="s">
        <v>5226</v>
      </c>
    </row>
    <row r="3259" spans="1:1">
      <c r="A3259" t="s">
        <v>5227</v>
      </c>
    </row>
    <row r="3260" spans="1:1">
      <c r="A3260" t="s">
        <v>5228</v>
      </c>
    </row>
    <row r="3261" spans="1:1">
      <c r="A3261" t="s">
        <v>5229</v>
      </c>
    </row>
    <row r="3262" spans="1:1">
      <c r="A3262" t="s">
        <v>5230</v>
      </c>
    </row>
    <row r="3263" spans="1:1">
      <c r="A3263" t="s">
        <v>5231</v>
      </c>
    </row>
    <row r="3264" spans="1:1">
      <c r="A3264" t="s">
        <v>5232</v>
      </c>
    </row>
    <row r="3265" spans="1:1">
      <c r="A3265" t="s">
        <v>5233</v>
      </c>
    </row>
    <row r="3266" spans="1:1">
      <c r="A3266" t="s">
        <v>5234</v>
      </c>
    </row>
    <row r="3267" spans="1:1">
      <c r="A3267" t="s">
        <v>5235</v>
      </c>
    </row>
    <row r="3268" spans="1:1">
      <c r="A3268" t="s">
        <v>5236</v>
      </c>
    </row>
    <row r="3269" spans="1:1">
      <c r="A3269" t="s">
        <v>5237</v>
      </c>
    </row>
    <row r="3270" spans="1:1">
      <c r="A3270" t="s">
        <v>5238</v>
      </c>
    </row>
    <row r="3271" spans="1:1">
      <c r="A3271" t="s">
        <v>5239</v>
      </c>
    </row>
    <row r="3272" spans="1:1">
      <c r="A3272" t="s">
        <v>5240</v>
      </c>
    </row>
    <row r="3273" spans="1:1">
      <c r="A3273" t="s">
        <v>5241</v>
      </c>
    </row>
    <row r="3274" spans="1:1">
      <c r="A3274" t="s">
        <v>5242</v>
      </c>
    </row>
    <row r="3275" spans="1:1">
      <c r="A3275" t="s">
        <v>5243</v>
      </c>
    </row>
    <row r="3276" spans="1:1">
      <c r="A3276" t="s">
        <v>5244</v>
      </c>
    </row>
    <row r="3277" spans="1:1">
      <c r="A3277" t="s">
        <v>5245</v>
      </c>
    </row>
    <row r="3278" spans="1:1">
      <c r="A3278" t="s">
        <v>5246</v>
      </c>
    </row>
    <row r="3279" spans="1:1">
      <c r="A3279" t="s">
        <v>5247</v>
      </c>
    </row>
    <row r="3280" spans="1:1">
      <c r="A3280" t="s">
        <v>5248</v>
      </c>
    </row>
    <row r="3281" spans="1:1">
      <c r="A3281" t="s">
        <v>5249</v>
      </c>
    </row>
    <row r="3282" spans="1:1">
      <c r="A3282" t="s">
        <v>5250</v>
      </c>
    </row>
    <row r="3283" spans="1:1">
      <c r="A3283" t="s">
        <v>5251</v>
      </c>
    </row>
    <row r="3284" spans="1:1">
      <c r="A3284" t="s">
        <v>5252</v>
      </c>
    </row>
    <row r="3285" spans="1:1">
      <c r="A3285" t="s">
        <v>5253</v>
      </c>
    </row>
    <row r="3286" spans="1:1">
      <c r="A3286" t="s">
        <v>5254</v>
      </c>
    </row>
    <row r="3287" spans="1:1">
      <c r="A3287" t="s">
        <v>5255</v>
      </c>
    </row>
    <row r="3288" spans="1:1">
      <c r="A3288" t="s">
        <v>5256</v>
      </c>
    </row>
    <row r="3289" spans="1:1">
      <c r="A3289" t="s">
        <v>5257</v>
      </c>
    </row>
    <row r="3290" spans="1:1">
      <c r="A3290" t="s">
        <v>5258</v>
      </c>
    </row>
    <row r="3291" spans="1:1">
      <c r="A3291" t="s">
        <v>5259</v>
      </c>
    </row>
    <row r="3292" spans="1:1">
      <c r="A3292" t="s">
        <v>5260</v>
      </c>
    </row>
    <row r="3293" spans="1:1">
      <c r="A3293" t="s">
        <v>5261</v>
      </c>
    </row>
    <row r="3294" spans="1:1">
      <c r="A3294" t="s">
        <v>5262</v>
      </c>
    </row>
    <row r="3295" spans="1:1">
      <c r="A3295" t="s">
        <v>5263</v>
      </c>
    </row>
    <row r="3296" spans="1:1">
      <c r="A3296" t="s">
        <v>5264</v>
      </c>
    </row>
    <row r="3297" spans="1:1">
      <c r="A3297" t="s">
        <v>5265</v>
      </c>
    </row>
    <row r="3298" spans="1:1">
      <c r="A3298" t="s">
        <v>5266</v>
      </c>
    </row>
    <row r="3299" spans="1:1">
      <c r="A3299" t="s">
        <v>5267</v>
      </c>
    </row>
    <row r="3300" spans="1:1">
      <c r="A3300" t="s">
        <v>5268</v>
      </c>
    </row>
    <row r="3301" spans="1:1">
      <c r="A3301" t="s">
        <v>5269</v>
      </c>
    </row>
    <row r="3302" spans="1:1">
      <c r="A3302" t="s">
        <v>5270</v>
      </c>
    </row>
    <row r="3303" spans="1:1">
      <c r="A3303" t="s">
        <v>5271</v>
      </c>
    </row>
    <row r="3304" spans="1:1">
      <c r="A3304" t="s">
        <v>5272</v>
      </c>
    </row>
    <row r="3305" spans="1:1">
      <c r="A3305" t="s">
        <v>5273</v>
      </c>
    </row>
    <row r="3306" spans="1:1">
      <c r="A3306" t="s">
        <v>5274</v>
      </c>
    </row>
    <row r="3307" spans="1:1">
      <c r="A3307" t="s">
        <v>5275</v>
      </c>
    </row>
    <row r="3308" spans="1:1">
      <c r="A3308" t="s">
        <v>5276</v>
      </c>
    </row>
    <row r="3309" spans="1:1">
      <c r="A3309" t="s">
        <v>5277</v>
      </c>
    </row>
    <row r="3310" spans="1:1">
      <c r="A3310" t="s">
        <v>5278</v>
      </c>
    </row>
    <row r="3311" spans="1:1">
      <c r="A3311" t="s">
        <v>5279</v>
      </c>
    </row>
    <row r="3312" spans="1:1">
      <c r="A3312" t="s">
        <v>5280</v>
      </c>
    </row>
    <row r="3313" spans="1:1">
      <c r="A3313" t="s">
        <v>5281</v>
      </c>
    </row>
    <row r="3314" spans="1:1">
      <c r="A3314" t="s">
        <v>5282</v>
      </c>
    </row>
    <row r="3315" spans="1:1">
      <c r="A3315" t="s">
        <v>5283</v>
      </c>
    </row>
    <row r="3316" spans="1:1">
      <c r="A3316" t="s">
        <v>5284</v>
      </c>
    </row>
    <row r="3317" spans="1:1">
      <c r="A3317" t="s">
        <v>5285</v>
      </c>
    </row>
    <row r="3318" spans="1:1">
      <c r="A3318" t="s">
        <v>5286</v>
      </c>
    </row>
    <row r="3319" spans="1:1">
      <c r="A3319" t="s">
        <v>5287</v>
      </c>
    </row>
    <row r="3320" spans="1:1">
      <c r="A3320" t="s">
        <v>5288</v>
      </c>
    </row>
    <row r="3321" spans="1:1">
      <c r="A3321" t="s">
        <v>5289</v>
      </c>
    </row>
    <row r="3322" spans="1:1">
      <c r="A3322" t="s">
        <v>5290</v>
      </c>
    </row>
    <row r="3323" spans="1:1">
      <c r="A3323" t="s">
        <v>5291</v>
      </c>
    </row>
    <row r="3324" spans="1:1">
      <c r="A3324" t="s">
        <v>5292</v>
      </c>
    </row>
    <row r="3325" spans="1:1">
      <c r="A3325" t="s">
        <v>5293</v>
      </c>
    </row>
    <row r="3326" spans="1:1">
      <c r="A3326" t="s">
        <v>5294</v>
      </c>
    </row>
    <row r="3327" spans="1:1">
      <c r="A3327" t="s">
        <v>5295</v>
      </c>
    </row>
    <row r="3328" spans="1:1">
      <c r="A3328" t="s">
        <v>5296</v>
      </c>
    </row>
    <row r="3329" spans="1:1">
      <c r="A3329" t="s">
        <v>5297</v>
      </c>
    </row>
    <row r="3330" spans="1:1">
      <c r="A3330" t="s">
        <v>5298</v>
      </c>
    </row>
    <row r="3331" spans="1:1">
      <c r="A3331" t="s">
        <v>5299</v>
      </c>
    </row>
    <row r="3332" spans="1:1">
      <c r="A3332" t="s">
        <v>5300</v>
      </c>
    </row>
    <row r="3333" spans="1:1">
      <c r="A3333" t="s">
        <v>5301</v>
      </c>
    </row>
    <row r="3334" spans="1:1">
      <c r="A3334" t="s">
        <v>5302</v>
      </c>
    </row>
    <row r="3335" spans="1:1">
      <c r="A3335" t="s">
        <v>5303</v>
      </c>
    </row>
    <row r="3336" spans="1:1">
      <c r="A3336" t="s">
        <v>5304</v>
      </c>
    </row>
    <row r="3337" spans="1:1">
      <c r="A3337" t="s">
        <v>5305</v>
      </c>
    </row>
    <row r="3338" spans="1:1">
      <c r="A3338" t="s">
        <v>5306</v>
      </c>
    </row>
    <row r="3339" spans="1:1">
      <c r="A3339" t="s">
        <v>5307</v>
      </c>
    </row>
    <row r="3340" spans="1:1">
      <c r="A3340" t="s">
        <v>5308</v>
      </c>
    </row>
    <row r="3341" spans="1:1">
      <c r="A3341" t="s">
        <v>5309</v>
      </c>
    </row>
    <row r="3342" spans="1:1">
      <c r="A3342" t="s">
        <v>5310</v>
      </c>
    </row>
    <row r="3343" spans="1:1">
      <c r="A3343" t="s">
        <v>5311</v>
      </c>
    </row>
    <row r="3344" spans="1:1">
      <c r="A3344" t="s">
        <v>5312</v>
      </c>
    </row>
    <row r="3345" spans="1:1">
      <c r="A3345" t="s">
        <v>5313</v>
      </c>
    </row>
    <row r="3346" spans="1:1">
      <c r="A3346" t="s">
        <v>5314</v>
      </c>
    </row>
    <row r="3347" spans="1:1">
      <c r="A3347" t="s">
        <v>5315</v>
      </c>
    </row>
    <row r="3348" spans="1:1">
      <c r="A3348" t="s">
        <v>5316</v>
      </c>
    </row>
    <row r="3349" spans="1:1">
      <c r="A3349" t="s">
        <v>5317</v>
      </c>
    </row>
    <row r="3350" spans="1:1">
      <c r="A3350" t="s">
        <v>5318</v>
      </c>
    </row>
    <row r="3351" spans="1:1">
      <c r="A3351" t="s">
        <v>5319</v>
      </c>
    </row>
    <row r="3352" spans="1:1">
      <c r="A3352" t="s">
        <v>5320</v>
      </c>
    </row>
    <row r="3353" spans="1:1">
      <c r="A3353" t="s">
        <v>5321</v>
      </c>
    </row>
    <row r="3354" spans="1:1">
      <c r="A3354" t="s">
        <v>5322</v>
      </c>
    </row>
    <row r="3355" spans="1:1">
      <c r="A3355" t="s">
        <v>5323</v>
      </c>
    </row>
    <row r="3356" spans="1:1">
      <c r="A3356" t="s">
        <v>5324</v>
      </c>
    </row>
    <row r="3357" spans="1:1">
      <c r="A3357" t="s">
        <v>5325</v>
      </c>
    </row>
    <row r="3358" spans="1:1">
      <c r="A3358" t="s">
        <v>5326</v>
      </c>
    </row>
    <row r="3359" spans="1:1">
      <c r="A3359" t="s">
        <v>5327</v>
      </c>
    </row>
    <row r="3360" spans="1:1">
      <c r="A3360" t="s">
        <v>5328</v>
      </c>
    </row>
    <row r="3361" spans="1:1">
      <c r="A3361" t="s">
        <v>5329</v>
      </c>
    </row>
    <row r="3362" spans="1:1">
      <c r="A3362" t="s">
        <v>5330</v>
      </c>
    </row>
    <row r="3363" spans="1:1">
      <c r="A3363" t="s">
        <v>5331</v>
      </c>
    </row>
    <row r="3364" spans="1:1">
      <c r="A3364" t="s">
        <v>5332</v>
      </c>
    </row>
    <row r="3365" spans="1:1">
      <c r="A3365" t="s">
        <v>5333</v>
      </c>
    </row>
    <row r="3366" spans="1:1">
      <c r="A3366" t="s">
        <v>5334</v>
      </c>
    </row>
    <row r="3367" spans="1:1">
      <c r="A3367" t="s">
        <v>5335</v>
      </c>
    </row>
    <row r="3368" spans="1:1">
      <c r="A3368" t="s">
        <v>5336</v>
      </c>
    </row>
    <row r="3369" spans="1:1">
      <c r="A3369" t="s">
        <v>5337</v>
      </c>
    </row>
    <row r="3370" spans="1:1">
      <c r="A3370" t="s">
        <v>5338</v>
      </c>
    </row>
    <row r="3371" spans="1:1">
      <c r="A3371" t="s">
        <v>5339</v>
      </c>
    </row>
    <row r="3372" spans="1:1">
      <c r="A3372" t="s">
        <v>5340</v>
      </c>
    </row>
    <row r="3373" spans="1:1">
      <c r="A3373" t="s">
        <v>5341</v>
      </c>
    </row>
    <row r="3374" spans="1:1">
      <c r="A3374" t="s">
        <v>5342</v>
      </c>
    </row>
    <row r="3375" spans="1:1">
      <c r="A3375" t="s">
        <v>5343</v>
      </c>
    </row>
    <row r="3376" spans="1:1">
      <c r="A3376" t="s">
        <v>5344</v>
      </c>
    </row>
    <row r="3377" spans="1:1">
      <c r="A3377" t="s">
        <v>5345</v>
      </c>
    </row>
    <row r="3378" spans="1:1">
      <c r="A3378" t="s">
        <v>5346</v>
      </c>
    </row>
    <row r="3379" spans="1:1">
      <c r="A3379" t="s">
        <v>5347</v>
      </c>
    </row>
    <row r="3380" spans="1:1">
      <c r="A3380" t="s">
        <v>5348</v>
      </c>
    </row>
    <row r="3381" spans="1:1">
      <c r="A3381" t="s">
        <v>5349</v>
      </c>
    </row>
    <row r="3382" spans="1:1">
      <c r="A3382" t="s">
        <v>5350</v>
      </c>
    </row>
    <row r="3383" spans="1:1">
      <c r="A3383" t="s">
        <v>5351</v>
      </c>
    </row>
    <row r="3384" spans="1:1">
      <c r="A3384" t="s">
        <v>5352</v>
      </c>
    </row>
    <row r="3385" spans="1:1">
      <c r="A3385" t="s">
        <v>5353</v>
      </c>
    </row>
    <row r="3386" spans="1:1">
      <c r="A3386" t="s">
        <v>5354</v>
      </c>
    </row>
    <row r="3387" spans="1:1">
      <c r="A3387" t="s">
        <v>5355</v>
      </c>
    </row>
    <row r="3388" spans="1:1">
      <c r="A3388" t="s">
        <v>5356</v>
      </c>
    </row>
    <row r="3389" spans="1:1">
      <c r="A3389" t="s">
        <v>5357</v>
      </c>
    </row>
    <row r="3390" spans="1:1">
      <c r="A3390" t="s">
        <v>5358</v>
      </c>
    </row>
    <row r="3391" spans="1:1">
      <c r="A3391" t="s">
        <v>5359</v>
      </c>
    </row>
    <row r="3392" spans="1:1">
      <c r="A3392" t="s">
        <v>5360</v>
      </c>
    </row>
    <row r="3393" spans="1:1">
      <c r="A3393" t="s">
        <v>5361</v>
      </c>
    </row>
    <row r="3394" spans="1:1">
      <c r="A3394" t="s">
        <v>5362</v>
      </c>
    </row>
    <row r="3395" spans="1:1">
      <c r="A3395" t="s">
        <v>5363</v>
      </c>
    </row>
    <row r="3396" spans="1:1">
      <c r="A3396" t="s">
        <v>5364</v>
      </c>
    </row>
    <row r="3397" spans="1:1">
      <c r="A3397" t="s">
        <v>5365</v>
      </c>
    </row>
    <row r="3398" spans="1:1">
      <c r="A3398" t="s">
        <v>5366</v>
      </c>
    </row>
    <row r="3399" spans="1:1">
      <c r="A3399" t="s">
        <v>5367</v>
      </c>
    </row>
    <row r="3400" spans="1:1">
      <c r="A3400" t="s">
        <v>5368</v>
      </c>
    </row>
    <row r="3401" spans="1:1">
      <c r="A3401" t="s">
        <v>5369</v>
      </c>
    </row>
    <row r="3402" spans="1:1">
      <c r="A3402" t="s">
        <v>5370</v>
      </c>
    </row>
    <row r="3403" spans="1:1">
      <c r="A3403" t="s">
        <v>5371</v>
      </c>
    </row>
    <row r="3404" spans="1:1">
      <c r="A3404" t="s">
        <v>5372</v>
      </c>
    </row>
    <row r="3405" spans="1:1">
      <c r="A3405" t="s">
        <v>5373</v>
      </c>
    </row>
    <row r="3406" spans="1:1">
      <c r="A3406" t="s">
        <v>5374</v>
      </c>
    </row>
    <row r="3407" spans="1:1">
      <c r="A3407" t="s">
        <v>5375</v>
      </c>
    </row>
    <row r="3408" spans="1:1">
      <c r="A3408" t="s">
        <v>5376</v>
      </c>
    </row>
    <row r="3409" spans="1:1">
      <c r="A3409" t="s">
        <v>5377</v>
      </c>
    </row>
    <row r="3410" spans="1:1">
      <c r="A3410" t="s">
        <v>5378</v>
      </c>
    </row>
    <row r="3411" spans="1:1">
      <c r="A3411" t="s">
        <v>5379</v>
      </c>
    </row>
    <row r="3412" spans="1:1">
      <c r="A3412" t="s">
        <v>5380</v>
      </c>
    </row>
    <row r="3413" spans="1:1">
      <c r="A3413" t="s">
        <v>5381</v>
      </c>
    </row>
    <row r="3414" spans="1:1">
      <c r="A3414" t="s">
        <v>5382</v>
      </c>
    </row>
    <row r="3415" spans="1:1">
      <c r="A3415" t="s">
        <v>5383</v>
      </c>
    </row>
    <row r="3416" spans="1:1">
      <c r="A3416" t="s">
        <v>5384</v>
      </c>
    </row>
    <row r="3417" spans="1:1">
      <c r="A3417" t="s">
        <v>5385</v>
      </c>
    </row>
    <row r="3418" spans="1:1">
      <c r="A3418" t="s">
        <v>5386</v>
      </c>
    </row>
    <row r="3419" spans="1:1">
      <c r="A3419" t="s">
        <v>5387</v>
      </c>
    </row>
    <row r="3420" spans="1:1">
      <c r="A3420" t="s">
        <v>5388</v>
      </c>
    </row>
    <row r="3421" spans="1:1">
      <c r="A3421" t="s">
        <v>5389</v>
      </c>
    </row>
    <row r="3422" spans="1:1">
      <c r="A3422" t="s">
        <v>5390</v>
      </c>
    </row>
    <row r="3423" spans="1:1">
      <c r="A3423" t="s">
        <v>5391</v>
      </c>
    </row>
    <row r="3424" spans="1:1">
      <c r="A3424" t="s">
        <v>5392</v>
      </c>
    </row>
    <row r="3425" spans="1:1">
      <c r="A3425" t="s">
        <v>5393</v>
      </c>
    </row>
    <row r="3426" spans="1:1">
      <c r="A3426" t="s">
        <v>5394</v>
      </c>
    </row>
    <row r="3427" spans="1:1">
      <c r="A3427" t="s">
        <v>5395</v>
      </c>
    </row>
    <row r="3428" spans="1:1">
      <c r="A3428" t="s">
        <v>5396</v>
      </c>
    </row>
    <row r="3429" spans="1:1">
      <c r="A3429" t="s">
        <v>5397</v>
      </c>
    </row>
    <row r="3430" spans="1:1">
      <c r="A3430" t="s">
        <v>5398</v>
      </c>
    </row>
    <row r="3431" spans="1:1">
      <c r="A3431" t="s">
        <v>5399</v>
      </c>
    </row>
    <row r="3432" spans="1:1">
      <c r="A3432" t="s">
        <v>5400</v>
      </c>
    </row>
    <row r="3433" spans="1:1">
      <c r="A3433" t="s">
        <v>5401</v>
      </c>
    </row>
    <row r="3434" spans="1:1">
      <c r="A3434" t="s">
        <v>5402</v>
      </c>
    </row>
    <row r="3435" spans="1:1">
      <c r="A3435" t="s">
        <v>5403</v>
      </c>
    </row>
    <row r="3436" spans="1:1">
      <c r="A3436" t="s">
        <v>5404</v>
      </c>
    </row>
    <row r="3437" spans="1:1">
      <c r="A3437" t="s">
        <v>5405</v>
      </c>
    </row>
    <row r="3438" spans="1:1">
      <c r="A3438" t="s">
        <v>5406</v>
      </c>
    </row>
    <row r="3439" spans="1:1">
      <c r="A3439" t="s">
        <v>5407</v>
      </c>
    </row>
    <row r="3440" spans="1:1">
      <c r="A3440" t="s">
        <v>5408</v>
      </c>
    </row>
    <row r="3441" spans="1:1">
      <c r="A3441" t="s">
        <v>5409</v>
      </c>
    </row>
    <row r="3442" spans="1:1">
      <c r="A3442" t="s">
        <v>5410</v>
      </c>
    </row>
    <row r="3443" spans="1:1">
      <c r="A3443" t="s">
        <v>5411</v>
      </c>
    </row>
    <row r="3444" spans="1:1">
      <c r="A3444" t="s">
        <v>5412</v>
      </c>
    </row>
    <row r="3445" spans="1:1">
      <c r="A3445" t="s">
        <v>5413</v>
      </c>
    </row>
    <row r="3446" spans="1:1">
      <c r="A3446" t="s">
        <v>5414</v>
      </c>
    </row>
    <row r="3447" spans="1:1">
      <c r="A3447" t="s">
        <v>5415</v>
      </c>
    </row>
    <row r="3448" spans="1:1">
      <c r="A3448" t="s">
        <v>5416</v>
      </c>
    </row>
    <row r="3449" spans="1:1">
      <c r="A3449" t="s">
        <v>5417</v>
      </c>
    </row>
    <row r="3450" spans="1:1">
      <c r="A3450" t="s">
        <v>5418</v>
      </c>
    </row>
    <row r="3451" spans="1:1">
      <c r="A3451" t="s">
        <v>5419</v>
      </c>
    </row>
    <row r="3452" spans="1:1">
      <c r="A3452" t="s">
        <v>5420</v>
      </c>
    </row>
    <row r="3453" spans="1:1">
      <c r="A3453" t="s">
        <v>5421</v>
      </c>
    </row>
    <row r="3454" spans="1:1">
      <c r="A3454" t="s">
        <v>5422</v>
      </c>
    </row>
    <row r="3455" spans="1:1">
      <c r="A3455" t="s">
        <v>5423</v>
      </c>
    </row>
    <row r="3456" spans="1:1">
      <c r="A3456" t="s">
        <v>5424</v>
      </c>
    </row>
    <row r="3457" spans="1:1">
      <c r="A3457" t="s">
        <v>5425</v>
      </c>
    </row>
    <row r="3458" spans="1:1">
      <c r="A3458" t="s">
        <v>5426</v>
      </c>
    </row>
    <row r="3459" spans="1:1">
      <c r="A3459" t="s">
        <v>5427</v>
      </c>
    </row>
    <row r="3460" spans="1:1">
      <c r="A3460" t="s">
        <v>5428</v>
      </c>
    </row>
    <row r="3461" spans="1:1">
      <c r="A3461" t="s">
        <v>5429</v>
      </c>
    </row>
    <row r="3462" spans="1:1">
      <c r="A3462" t="s">
        <v>5430</v>
      </c>
    </row>
    <row r="3463" spans="1:1">
      <c r="A3463" t="s">
        <v>5431</v>
      </c>
    </row>
    <row r="3464" spans="1:1">
      <c r="A3464" t="s">
        <v>5432</v>
      </c>
    </row>
    <row r="3465" spans="1:1">
      <c r="A3465" t="s">
        <v>5433</v>
      </c>
    </row>
    <row r="3466" spans="1:1">
      <c r="A3466" t="s">
        <v>5434</v>
      </c>
    </row>
    <row r="3467" spans="1:1">
      <c r="A3467" t="s">
        <v>5435</v>
      </c>
    </row>
    <row r="3468" spans="1:1">
      <c r="A3468" t="s">
        <v>5436</v>
      </c>
    </row>
    <row r="3469" spans="1:1">
      <c r="A3469" t="s">
        <v>5437</v>
      </c>
    </row>
    <row r="3470" spans="1:1">
      <c r="A3470" t="s">
        <v>5438</v>
      </c>
    </row>
    <row r="3471" spans="1:1">
      <c r="A3471" t="s">
        <v>5439</v>
      </c>
    </row>
    <row r="3472" spans="1:1">
      <c r="A3472" t="s">
        <v>5440</v>
      </c>
    </row>
    <row r="3473" spans="1:1">
      <c r="A3473" t="s">
        <v>5441</v>
      </c>
    </row>
    <row r="3474" spans="1:1">
      <c r="A3474" t="s">
        <v>5442</v>
      </c>
    </row>
    <row r="3475" spans="1:1">
      <c r="A3475" t="s">
        <v>5443</v>
      </c>
    </row>
    <row r="3476" spans="1:1">
      <c r="A3476" t="s">
        <v>5444</v>
      </c>
    </row>
    <row r="3477" spans="1:1">
      <c r="A3477" t="s">
        <v>5445</v>
      </c>
    </row>
    <row r="3478" spans="1:1">
      <c r="A3478" t="s">
        <v>5446</v>
      </c>
    </row>
    <row r="3479" spans="1:1">
      <c r="A3479" t="s">
        <v>5447</v>
      </c>
    </row>
    <row r="3480" spans="1:1">
      <c r="A3480" t="s">
        <v>5448</v>
      </c>
    </row>
    <row r="3481" spans="1:1">
      <c r="A3481" t="s">
        <v>5449</v>
      </c>
    </row>
    <row r="3482" spans="1:1">
      <c r="A3482" t="s">
        <v>5450</v>
      </c>
    </row>
    <row r="3483" spans="1:1">
      <c r="A3483" t="s">
        <v>5451</v>
      </c>
    </row>
    <row r="3484" spans="1:1">
      <c r="A3484" t="s">
        <v>5452</v>
      </c>
    </row>
    <row r="3485" spans="1:1">
      <c r="A3485" t="s">
        <v>5453</v>
      </c>
    </row>
    <row r="3486" spans="1:1">
      <c r="A3486" t="s">
        <v>5454</v>
      </c>
    </row>
    <row r="3487" spans="1:1">
      <c r="A3487" t="s">
        <v>5455</v>
      </c>
    </row>
    <row r="3488" spans="1:1">
      <c r="A3488" t="s">
        <v>5456</v>
      </c>
    </row>
    <row r="3489" spans="1:1">
      <c r="A3489" t="s">
        <v>5457</v>
      </c>
    </row>
    <row r="3490" spans="1:1">
      <c r="A3490" t="s">
        <v>5458</v>
      </c>
    </row>
    <row r="3491" spans="1:1">
      <c r="A3491" t="s">
        <v>5459</v>
      </c>
    </row>
    <row r="3492" spans="1:1">
      <c r="A3492" t="s">
        <v>5460</v>
      </c>
    </row>
    <row r="3493" spans="1:1">
      <c r="A3493" t="s">
        <v>5461</v>
      </c>
    </row>
    <row r="3494" spans="1:1">
      <c r="A3494" t="s">
        <v>5462</v>
      </c>
    </row>
    <row r="3495" spans="1:1">
      <c r="A3495" t="s">
        <v>5463</v>
      </c>
    </row>
    <row r="3496" spans="1:1">
      <c r="A3496" t="s">
        <v>5464</v>
      </c>
    </row>
    <row r="3497" spans="1:1">
      <c r="A3497" t="s">
        <v>5465</v>
      </c>
    </row>
    <row r="3498" spans="1:1">
      <c r="A3498" t="s">
        <v>5466</v>
      </c>
    </row>
    <row r="3499" spans="1:1">
      <c r="A3499" t="s">
        <v>5467</v>
      </c>
    </row>
    <row r="3500" spans="1:1">
      <c r="A3500" t="s">
        <v>5468</v>
      </c>
    </row>
    <row r="3501" spans="1:1">
      <c r="A3501" t="s">
        <v>5469</v>
      </c>
    </row>
    <row r="3502" spans="1:1">
      <c r="A3502" t="s">
        <v>5470</v>
      </c>
    </row>
    <row r="3503" spans="1:1">
      <c r="A3503" t="s">
        <v>5471</v>
      </c>
    </row>
    <row r="3504" spans="1:1">
      <c r="A3504" t="s">
        <v>5472</v>
      </c>
    </row>
    <row r="3505" spans="1:1">
      <c r="A3505" t="s">
        <v>5473</v>
      </c>
    </row>
    <row r="3506" spans="1:1">
      <c r="A3506" t="s">
        <v>5474</v>
      </c>
    </row>
    <row r="3507" spans="1:1">
      <c r="A3507" t="s">
        <v>5475</v>
      </c>
    </row>
    <row r="3508" spans="1:1">
      <c r="A3508" t="s">
        <v>5476</v>
      </c>
    </row>
    <row r="3509" spans="1:1">
      <c r="A3509" t="s">
        <v>5477</v>
      </c>
    </row>
    <row r="3510" spans="1:1">
      <c r="A3510" t="s">
        <v>5478</v>
      </c>
    </row>
    <row r="3511" spans="1:1">
      <c r="A3511" t="s">
        <v>5479</v>
      </c>
    </row>
    <row r="3512" spans="1:1">
      <c r="A3512" t="s">
        <v>5480</v>
      </c>
    </row>
    <row r="3513" spans="1:1">
      <c r="A3513" t="s">
        <v>5481</v>
      </c>
    </row>
    <row r="3514" spans="1:1">
      <c r="A3514" t="s">
        <v>5482</v>
      </c>
    </row>
    <row r="3515" spans="1:1">
      <c r="A3515" t="s">
        <v>5483</v>
      </c>
    </row>
    <row r="3516" spans="1:1">
      <c r="A3516" t="s">
        <v>5484</v>
      </c>
    </row>
    <row r="3517" spans="1:1">
      <c r="A3517" t="s">
        <v>5485</v>
      </c>
    </row>
    <row r="3518" spans="1:1">
      <c r="A3518" t="s">
        <v>5486</v>
      </c>
    </row>
    <row r="3519" spans="1:1">
      <c r="A3519" t="s">
        <v>5487</v>
      </c>
    </row>
    <row r="3520" spans="1:1">
      <c r="A3520" t="s">
        <v>5488</v>
      </c>
    </row>
    <row r="3521" spans="1:1">
      <c r="A3521" t="s">
        <v>5489</v>
      </c>
    </row>
    <row r="3522" spans="1:1">
      <c r="A3522" t="s">
        <v>5490</v>
      </c>
    </row>
    <row r="3523" spans="1:1">
      <c r="A3523" t="s">
        <v>5491</v>
      </c>
    </row>
    <row r="3524" spans="1:1">
      <c r="A3524" t="s">
        <v>5492</v>
      </c>
    </row>
    <row r="3525" spans="1:1">
      <c r="A3525" t="s">
        <v>5493</v>
      </c>
    </row>
    <row r="3526" spans="1:1">
      <c r="A3526" t="s">
        <v>5494</v>
      </c>
    </row>
    <row r="3527" spans="1:1">
      <c r="A3527" t="s">
        <v>5495</v>
      </c>
    </row>
    <row r="3528" spans="1:1">
      <c r="A3528" t="s">
        <v>5496</v>
      </c>
    </row>
    <row r="3529" spans="1:1">
      <c r="A3529" t="s">
        <v>5497</v>
      </c>
    </row>
    <row r="3530" spans="1:1">
      <c r="A3530" t="s">
        <v>5498</v>
      </c>
    </row>
    <row r="3531" spans="1:1">
      <c r="A3531" t="s">
        <v>5499</v>
      </c>
    </row>
    <row r="3532" spans="1:1">
      <c r="A3532" t="s">
        <v>5500</v>
      </c>
    </row>
    <row r="3533" spans="1:1">
      <c r="A3533" t="s">
        <v>5501</v>
      </c>
    </row>
    <row r="3534" spans="1:1">
      <c r="A3534" t="s">
        <v>5502</v>
      </c>
    </row>
    <row r="3535" spans="1:1">
      <c r="A3535" t="s">
        <v>5503</v>
      </c>
    </row>
    <row r="3536" spans="1:1">
      <c r="A3536" t="s">
        <v>5504</v>
      </c>
    </row>
    <row r="3537" spans="1:1">
      <c r="A3537" t="s">
        <v>5505</v>
      </c>
    </row>
    <row r="3538" spans="1:1">
      <c r="A3538" t="s">
        <v>5506</v>
      </c>
    </row>
    <row r="3539" spans="1:1">
      <c r="A3539" t="s">
        <v>5507</v>
      </c>
    </row>
    <row r="3540" spans="1:1">
      <c r="A3540" t="s">
        <v>5508</v>
      </c>
    </row>
    <row r="3541" spans="1:1">
      <c r="A3541" t="s">
        <v>5509</v>
      </c>
    </row>
    <row r="3542" spans="1:1">
      <c r="A3542" t="s">
        <v>5510</v>
      </c>
    </row>
    <row r="3543" spans="1:1">
      <c r="A3543" t="s">
        <v>5511</v>
      </c>
    </row>
    <row r="3544" spans="1:1">
      <c r="A3544" t="s">
        <v>5512</v>
      </c>
    </row>
    <row r="3545" spans="1:1">
      <c r="A3545" t="s">
        <v>5513</v>
      </c>
    </row>
    <row r="3546" spans="1:1">
      <c r="A3546" t="s">
        <v>5514</v>
      </c>
    </row>
    <row r="3547" spans="1:1">
      <c r="A3547" t="s">
        <v>5515</v>
      </c>
    </row>
    <row r="3548" spans="1:1">
      <c r="A3548" t="s">
        <v>5516</v>
      </c>
    </row>
    <row r="3549" spans="1:1">
      <c r="A3549" t="s">
        <v>5517</v>
      </c>
    </row>
    <row r="3550" spans="1:1">
      <c r="A3550" t="s">
        <v>5518</v>
      </c>
    </row>
    <row r="3551" spans="1:1">
      <c r="A3551" t="s">
        <v>5519</v>
      </c>
    </row>
    <row r="3552" spans="1:1">
      <c r="A3552" t="s">
        <v>5520</v>
      </c>
    </row>
    <row r="3553" spans="1:1">
      <c r="A3553" t="s">
        <v>5521</v>
      </c>
    </row>
    <row r="3554" spans="1:1">
      <c r="A3554" t="s">
        <v>5522</v>
      </c>
    </row>
    <row r="3555" spans="1:1">
      <c r="A3555" t="s">
        <v>5523</v>
      </c>
    </row>
    <row r="3556" spans="1:1">
      <c r="A3556" t="s">
        <v>5524</v>
      </c>
    </row>
    <row r="3557" spans="1:1">
      <c r="A3557" t="s">
        <v>5525</v>
      </c>
    </row>
    <row r="3558" spans="1:1">
      <c r="A3558" t="s">
        <v>5526</v>
      </c>
    </row>
    <row r="3559" spans="1:1">
      <c r="A3559" t="s">
        <v>5527</v>
      </c>
    </row>
    <row r="3560" spans="1:1">
      <c r="A3560" t="s">
        <v>5528</v>
      </c>
    </row>
    <row r="3561" spans="1:1">
      <c r="A3561" t="s">
        <v>5529</v>
      </c>
    </row>
    <row r="3562" spans="1:1">
      <c r="A3562" t="s">
        <v>5530</v>
      </c>
    </row>
    <row r="3563" spans="1:1">
      <c r="A3563" t="s">
        <v>5531</v>
      </c>
    </row>
    <row r="3564" spans="1:1">
      <c r="A3564" t="s">
        <v>5532</v>
      </c>
    </row>
    <row r="3565" spans="1:1">
      <c r="A3565" t="s">
        <v>5533</v>
      </c>
    </row>
    <row r="3566" spans="1:1">
      <c r="A3566" t="s">
        <v>5534</v>
      </c>
    </row>
    <row r="3567" spans="1:1">
      <c r="A3567" t="s">
        <v>5535</v>
      </c>
    </row>
    <row r="3568" spans="1:1">
      <c r="A3568" t="s">
        <v>5536</v>
      </c>
    </row>
    <row r="3569" spans="1:1">
      <c r="A3569" t="s">
        <v>5537</v>
      </c>
    </row>
    <row r="3570" spans="1:1">
      <c r="A3570" t="s">
        <v>5538</v>
      </c>
    </row>
    <row r="3571" spans="1:1">
      <c r="A3571" t="s">
        <v>5539</v>
      </c>
    </row>
    <row r="3572" spans="1:1">
      <c r="A3572" t="s">
        <v>5540</v>
      </c>
    </row>
    <row r="3573" spans="1:1">
      <c r="A3573" t="s">
        <v>5541</v>
      </c>
    </row>
    <row r="3574" spans="1:1">
      <c r="A3574" t="s">
        <v>5542</v>
      </c>
    </row>
    <row r="3575" spans="1:1">
      <c r="A3575" t="s">
        <v>5543</v>
      </c>
    </row>
    <row r="3576" spans="1:1">
      <c r="A3576" t="s">
        <v>5544</v>
      </c>
    </row>
    <row r="3577" spans="1:1">
      <c r="A3577" t="s">
        <v>5545</v>
      </c>
    </row>
    <row r="3578" spans="1:1">
      <c r="A3578" t="s">
        <v>5546</v>
      </c>
    </row>
    <row r="3579" spans="1:1">
      <c r="A3579" t="s">
        <v>5547</v>
      </c>
    </row>
    <row r="3580" spans="1:1">
      <c r="A3580" t="s">
        <v>5548</v>
      </c>
    </row>
    <row r="3581" spans="1:1">
      <c r="A3581" t="s">
        <v>5549</v>
      </c>
    </row>
    <row r="3582" spans="1:1">
      <c r="A3582" t="s">
        <v>5550</v>
      </c>
    </row>
    <row r="3583" spans="1:1">
      <c r="A3583" t="s">
        <v>5551</v>
      </c>
    </row>
    <row r="3584" spans="1:1">
      <c r="A3584" t="s">
        <v>5552</v>
      </c>
    </row>
    <row r="3585" spans="1:1">
      <c r="A3585" t="s">
        <v>5553</v>
      </c>
    </row>
    <row r="3586" spans="1:1">
      <c r="A3586" t="s">
        <v>5554</v>
      </c>
    </row>
    <row r="3587" spans="1:1">
      <c r="A3587" t="s">
        <v>5555</v>
      </c>
    </row>
    <row r="3588" spans="1:1">
      <c r="A3588" t="s">
        <v>5556</v>
      </c>
    </row>
    <row r="3589" spans="1:1">
      <c r="A3589" t="s">
        <v>5557</v>
      </c>
    </row>
    <row r="3590" spans="1:1">
      <c r="A3590" t="s">
        <v>5558</v>
      </c>
    </row>
    <row r="3591" spans="1:1">
      <c r="A3591" t="s">
        <v>5559</v>
      </c>
    </row>
    <row r="3592" spans="1:1">
      <c r="A3592" t="s">
        <v>5560</v>
      </c>
    </row>
    <row r="3593" spans="1:1">
      <c r="A3593" t="s">
        <v>5561</v>
      </c>
    </row>
    <row r="3594" spans="1:1">
      <c r="A3594" t="s">
        <v>5562</v>
      </c>
    </row>
    <row r="3595" spans="1:1">
      <c r="A3595" t="s">
        <v>5563</v>
      </c>
    </row>
    <row r="3596" spans="1:1">
      <c r="A3596" t="s">
        <v>5564</v>
      </c>
    </row>
    <row r="3597" spans="1:1">
      <c r="A3597" t="s">
        <v>5565</v>
      </c>
    </row>
    <row r="3598" spans="1:1">
      <c r="A3598" t="s">
        <v>5566</v>
      </c>
    </row>
    <row r="3599" spans="1:1">
      <c r="A3599" t="s">
        <v>5567</v>
      </c>
    </row>
    <row r="3600" spans="1:1">
      <c r="A3600" t="s">
        <v>5568</v>
      </c>
    </row>
    <row r="3601" spans="1:1">
      <c r="A3601" t="s">
        <v>5569</v>
      </c>
    </row>
    <row r="3602" spans="1:1">
      <c r="A3602" t="s">
        <v>5570</v>
      </c>
    </row>
    <row r="3603" spans="1:1">
      <c r="A3603" t="s">
        <v>5571</v>
      </c>
    </row>
    <row r="3604" spans="1:1">
      <c r="A3604" t="s">
        <v>5572</v>
      </c>
    </row>
    <row r="3605" spans="1:1">
      <c r="A3605" t="s">
        <v>5573</v>
      </c>
    </row>
    <row r="3606" spans="1:1">
      <c r="A3606" t="s">
        <v>5574</v>
      </c>
    </row>
    <row r="3607" spans="1:1">
      <c r="A3607" t="s">
        <v>5575</v>
      </c>
    </row>
    <row r="3608" spans="1:1">
      <c r="A3608" t="s">
        <v>5576</v>
      </c>
    </row>
    <row r="3609" spans="1:1">
      <c r="A3609" t="s">
        <v>5577</v>
      </c>
    </row>
    <row r="3610" spans="1:1">
      <c r="A3610" t="s">
        <v>5578</v>
      </c>
    </row>
    <row r="3611" spans="1:1">
      <c r="A3611" t="s">
        <v>5579</v>
      </c>
    </row>
    <row r="3612" spans="1:1">
      <c r="A3612" t="s">
        <v>5580</v>
      </c>
    </row>
    <row r="3613" spans="1:1">
      <c r="A3613" t="s">
        <v>5581</v>
      </c>
    </row>
    <row r="3614" spans="1:1">
      <c r="A3614" t="s">
        <v>5582</v>
      </c>
    </row>
    <row r="3615" spans="1:1">
      <c r="A3615" t="s">
        <v>5583</v>
      </c>
    </row>
    <row r="3616" spans="1:1">
      <c r="A3616" t="s">
        <v>5584</v>
      </c>
    </row>
    <row r="3617" spans="1:1">
      <c r="A3617" t="s">
        <v>5585</v>
      </c>
    </row>
    <row r="3618" spans="1:1">
      <c r="A3618" t="s">
        <v>5586</v>
      </c>
    </row>
    <row r="3619" spans="1:1">
      <c r="A3619" t="s">
        <v>5587</v>
      </c>
    </row>
    <row r="3620" spans="1:1">
      <c r="A3620" t="s">
        <v>5588</v>
      </c>
    </row>
    <row r="3621" spans="1:1">
      <c r="A3621" t="s">
        <v>5589</v>
      </c>
    </row>
    <row r="3622" spans="1:1">
      <c r="A3622" t="s">
        <v>5590</v>
      </c>
    </row>
    <row r="3623" spans="1:1">
      <c r="A3623" t="s">
        <v>5591</v>
      </c>
    </row>
    <row r="3624" spans="1:1">
      <c r="A3624" t="s">
        <v>5592</v>
      </c>
    </row>
    <row r="3625" spans="1:1">
      <c r="A3625" t="s">
        <v>5593</v>
      </c>
    </row>
    <row r="3626" spans="1:1">
      <c r="A3626" t="s">
        <v>5594</v>
      </c>
    </row>
    <row r="3627" spans="1:1">
      <c r="A3627" t="s">
        <v>5595</v>
      </c>
    </row>
    <row r="3628" spans="1:1">
      <c r="A3628" t="s">
        <v>5596</v>
      </c>
    </row>
    <row r="3629" spans="1:1">
      <c r="A3629" t="s">
        <v>5597</v>
      </c>
    </row>
    <row r="3630" spans="1:1">
      <c r="A3630" t="s">
        <v>5598</v>
      </c>
    </row>
    <row r="3631" spans="1:1">
      <c r="A3631" t="s">
        <v>5599</v>
      </c>
    </row>
    <row r="3632" spans="1:1">
      <c r="A3632" t="s">
        <v>5600</v>
      </c>
    </row>
    <row r="3633" spans="1:1">
      <c r="A3633" t="s">
        <v>5601</v>
      </c>
    </row>
    <row r="3634" spans="1:1">
      <c r="A3634" t="s">
        <v>5602</v>
      </c>
    </row>
    <row r="3635" spans="1:1">
      <c r="A3635" t="s">
        <v>5603</v>
      </c>
    </row>
    <row r="3636" spans="1:1">
      <c r="A3636" t="s">
        <v>5604</v>
      </c>
    </row>
    <row r="3637" spans="1:1">
      <c r="A3637" t="s">
        <v>5605</v>
      </c>
    </row>
    <row r="3638" spans="1:1">
      <c r="A3638" t="s">
        <v>5606</v>
      </c>
    </row>
    <row r="3639" spans="1:1">
      <c r="A3639" t="s">
        <v>5607</v>
      </c>
    </row>
    <row r="3640" spans="1:1">
      <c r="A3640" t="s">
        <v>5608</v>
      </c>
    </row>
    <row r="3641" spans="1:1">
      <c r="A3641" t="s">
        <v>5609</v>
      </c>
    </row>
    <row r="3642" spans="1:1">
      <c r="A3642" t="s">
        <v>5610</v>
      </c>
    </row>
    <row r="3643" spans="1:1">
      <c r="A3643" t="s">
        <v>5611</v>
      </c>
    </row>
    <row r="3644" spans="1:1">
      <c r="A3644" t="s">
        <v>5612</v>
      </c>
    </row>
    <row r="3645" spans="1:1">
      <c r="A3645" t="s">
        <v>5613</v>
      </c>
    </row>
    <row r="3646" spans="1:1">
      <c r="A3646" t="s">
        <v>5614</v>
      </c>
    </row>
    <row r="3647" spans="1:1">
      <c r="A3647" t="s">
        <v>5615</v>
      </c>
    </row>
    <row r="3648" spans="1:1">
      <c r="A3648" t="s">
        <v>5616</v>
      </c>
    </row>
    <row r="3649" spans="1:1">
      <c r="A3649" t="s">
        <v>5617</v>
      </c>
    </row>
    <row r="3650" spans="1:1">
      <c r="A3650" t="s">
        <v>5618</v>
      </c>
    </row>
    <row r="3651" spans="1:1">
      <c r="A3651" t="s">
        <v>5619</v>
      </c>
    </row>
    <row r="3652" spans="1:1">
      <c r="A3652" t="s">
        <v>5620</v>
      </c>
    </row>
    <row r="3653" spans="1:1">
      <c r="A3653" t="s">
        <v>5621</v>
      </c>
    </row>
    <row r="3654" spans="1:1">
      <c r="A3654" t="s">
        <v>5622</v>
      </c>
    </row>
    <row r="3655" spans="1:1">
      <c r="A3655" t="s">
        <v>5623</v>
      </c>
    </row>
    <row r="3656" spans="1:1">
      <c r="A3656" t="s">
        <v>5624</v>
      </c>
    </row>
    <row r="3657" spans="1:1">
      <c r="A3657" t="s">
        <v>5625</v>
      </c>
    </row>
    <row r="3658" spans="1:1">
      <c r="A3658" t="s">
        <v>5626</v>
      </c>
    </row>
    <row r="3659" spans="1:1">
      <c r="A3659" t="s">
        <v>5627</v>
      </c>
    </row>
    <row r="3660" spans="1:1">
      <c r="A3660" t="s">
        <v>5628</v>
      </c>
    </row>
    <row r="3661" spans="1:1">
      <c r="A3661" t="s">
        <v>5629</v>
      </c>
    </row>
    <row r="3662" spans="1:1">
      <c r="A3662" t="s">
        <v>5630</v>
      </c>
    </row>
    <row r="3663" spans="1:1">
      <c r="A3663" t="s">
        <v>5631</v>
      </c>
    </row>
    <row r="3664" spans="1:1">
      <c r="A3664" t="s">
        <v>5632</v>
      </c>
    </row>
    <row r="3665" spans="1:1">
      <c r="A3665" t="s">
        <v>5633</v>
      </c>
    </row>
    <row r="3666" spans="1:1">
      <c r="A3666" t="s">
        <v>5634</v>
      </c>
    </row>
    <row r="3667" spans="1:1">
      <c r="A3667" t="s">
        <v>5635</v>
      </c>
    </row>
    <row r="3668" spans="1:1">
      <c r="A3668" t="s">
        <v>5636</v>
      </c>
    </row>
    <row r="3669" spans="1:1">
      <c r="A3669" t="s">
        <v>5637</v>
      </c>
    </row>
    <row r="3670" spans="1:1">
      <c r="A3670" t="s">
        <v>5638</v>
      </c>
    </row>
    <row r="3671" spans="1:1">
      <c r="A3671" t="s">
        <v>5639</v>
      </c>
    </row>
    <row r="3672" spans="1:1">
      <c r="A3672" t="s">
        <v>5640</v>
      </c>
    </row>
    <row r="3673" spans="1:1">
      <c r="A3673" t="s">
        <v>5641</v>
      </c>
    </row>
    <row r="3674" spans="1:1">
      <c r="A3674" t="s">
        <v>5642</v>
      </c>
    </row>
    <row r="3675" spans="1:1">
      <c r="A3675" t="s">
        <v>5643</v>
      </c>
    </row>
    <row r="3676" spans="1:1">
      <c r="A3676" t="s">
        <v>5644</v>
      </c>
    </row>
    <row r="3677" spans="1:1">
      <c r="A3677" t="s">
        <v>5645</v>
      </c>
    </row>
    <row r="3678" spans="1:1">
      <c r="A3678" t="s">
        <v>5646</v>
      </c>
    </row>
    <row r="3679" spans="1:1">
      <c r="A3679" t="s">
        <v>5647</v>
      </c>
    </row>
    <row r="3680" spans="1:1">
      <c r="A3680" t="s">
        <v>5648</v>
      </c>
    </row>
    <row r="3681" spans="1:1">
      <c r="A3681" t="s">
        <v>5649</v>
      </c>
    </row>
    <row r="3682" spans="1:1">
      <c r="A3682" t="s">
        <v>5650</v>
      </c>
    </row>
    <row r="3683" spans="1:1">
      <c r="A3683" t="s">
        <v>5651</v>
      </c>
    </row>
    <row r="3684" spans="1:1">
      <c r="A3684" t="s">
        <v>5652</v>
      </c>
    </row>
    <row r="3685" spans="1:1">
      <c r="A3685" t="s">
        <v>5653</v>
      </c>
    </row>
    <row r="3686" spans="1:1">
      <c r="A3686" t="s">
        <v>5654</v>
      </c>
    </row>
    <row r="3687" spans="1:1">
      <c r="A3687" t="s">
        <v>5655</v>
      </c>
    </row>
    <row r="3688" spans="1:1">
      <c r="A3688" t="s">
        <v>5656</v>
      </c>
    </row>
    <row r="3689" spans="1:1">
      <c r="A3689" t="s">
        <v>5657</v>
      </c>
    </row>
    <row r="3690" spans="1:1">
      <c r="A3690" t="s">
        <v>5658</v>
      </c>
    </row>
    <row r="3691" spans="1:1">
      <c r="A3691" t="s">
        <v>5659</v>
      </c>
    </row>
    <row r="3692" spans="1:1">
      <c r="A3692" t="s">
        <v>5660</v>
      </c>
    </row>
    <row r="3693" spans="1:1">
      <c r="A3693" t="s">
        <v>5661</v>
      </c>
    </row>
    <row r="3694" spans="1:1">
      <c r="A3694" t="s">
        <v>5662</v>
      </c>
    </row>
    <row r="3695" spans="1:1">
      <c r="A3695" t="s">
        <v>5663</v>
      </c>
    </row>
    <row r="3696" spans="1:1">
      <c r="A3696" t="s">
        <v>5664</v>
      </c>
    </row>
    <row r="3697" spans="1:1">
      <c r="A3697" t="s">
        <v>5665</v>
      </c>
    </row>
    <row r="3698" spans="1:1">
      <c r="A3698" t="s">
        <v>5666</v>
      </c>
    </row>
    <row r="3699" spans="1:1">
      <c r="A3699" t="s">
        <v>5667</v>
      </c>
    </row>
    <row r="3700" spans="1:1">
      <c r="A3700" t="s">
        <v>5668</v>
      </c>
    </row>
    <row r="3701" spans="1:1">
      <c r="A3701" t="s">
        <v>5669</v>
      </c>
    </row>
    <row r="3702" spans="1:1">
      <c r="A3702" t="s">
        <v>5670</v>
      </c>
    </row>
    <row r="3703" spans="1:1">
      <c r="A3703" t="s">
        <v>5671</v>
      </c>
    </row>
    <row r="3704" spans="1:1">
      <c r="A3704" t="s">
        <v>5672</v>
      </c>
    </row>
    <row r="3705" spans="1:1">
      <c r="A3705" t="s">
        <v>5673</v>
      </c>
    </row>
    <row r="3706" spans="1:1">
      <c r="A3706" t="s">
        <v>5674</v>
      </c>
    </row>
    <row r="3707" spans="1:1">
      <c r="A3707" t="s">
        <v>5675</v>
      </c>
    </row>
    <row r="3708" spans="1:1">
      <c r="A3708" t="s">
        <v>5676</v>
      </c>
    </row>
    <row r="3709" spans="1:1">
      <c r="A3709" t="s">
        <v>5677</v>
      </c>
    </row>
    <row r="3710" spans="1:1">
      <c r="A3710" t="s">
        <v>5678</v>
      </c>
    </row>
    <row r="3711" spans="1:1">
      <c r="A3711" t="s">
        <v>5679</v>
      </c>
    </row>
    <row r="3712" spans="1:1">
      <c r="A3712" t="s">
        <v>5680</v>
      </c>
    </row>
    <row r="3713" spans="1:1">
      <c r="A3713" t="s">
        <v>5681</v>
      </c>
    </row>
    <row r="3714" spans="1:1">
      <c r="A3714" t="s">
        <v>5682</v>
      </c>
    </row>
    <row r="3715" spans="1:1">
      <c r="A3715" t="s">
        <v>5683</v>
      </c>
    </row>
    <row r="3716" spans="1:1">
      <c r="A3716" t="s">
        <v>5684</v>
      </c>
    </row>
    <row r="3717" spans="1:1">
      <c r="A3717" t="s">
        <v>5685</v>
      </c>
    </row>
    <row r="3718" spans="1:1">
      <c r="A3718" t="s">
        <v>5686</v>
      </c>
    </row>
    <row r="3719" spans="1:1">
      <c r="A3719" t="s">
        <v>5687</v>
      </c>
    </row>
    <row r="3720" spans="1:1">
      <c r="A3720" t="s">
        <v>5688</v>
      </c>
    </row>
    <row r="3721" spans="1:1">
      <c r="A3721" t="s">
        <v>5689</v>
      </c>
    </row>
    <row r="3722" spans="1:1">
      <c r="A3722" t="s">
        <v>5690</v>
      </c>
    </row>
    <row r="3723" spans="1:1">
      <c r="A3723" t="s">
        <v>5691</v>
      </c>
    </row>
    <row r="3724" spans="1:1">
      <c r="A3724" t="s">
        <v>5692</v>
      </c>
    </row>
    <row r="3725" spans="1:1">
      <c r="A3725" t="s">
        <v>5693</v>
      </c>
    </row>
    <row r="3726" spans="1:1">
      <c r="A3726" t="s">
        <v>5694</v>
      </c>
    </row>
    <row r="3727" spans="1:1">
      <c r="A3727" t="s">
        <v>5695</v>
      </c>
    </row>
    <row r="3728" spans="1:1">
      <c r="A3728" t="s">
        <v>5696</v>
      </c>
    </row>
    <row r="3729" spans="1:1">
      <c r="A3729" t="s">
        <v>5697</v>
      </c>
    </row>
    <row r="3730" spans="1:1">
      <c r="A3730" t="s">
        <v>5698</v>
      </c>
    </row>
    <row r="3731" spans="1:1">
      <c r="A3731" t="s">
        <v>5699</v>
      </c>
    </row>
    <row r="3732" spans="1:1">
      <c r="A3732" t="s">
        <v>5700</v>
      </c>
    </row>
    <row r="3733" spans="1:1">
      <c r="A3733" t="s">
        <v>5701</v>
      </c>
    </row>
    <row r="3734" spans="1:1">
      <c r="A3734" t="s">
        <v>5702</v>
      </c>
    </row>
    <row r="3735" spans="1:1">
      <c r="A3735" t="s">
        <v>5703</v>
      </c>
    </row>
    <row r="3736" spans="1:1">
      <c r="A3736" t="s">
        <v>5704</v>
      </c>
    </row>
    <row r="3737" spans="1:1">
      <c r="A3737" t="s">
        <v>5705</v>
      </c>
    </row>
    <row r="3738" spans="1:1">
      <c r="A3738" t="s">
        <v>5706</v>
      </c>
    </row>
    <row r="3739" spans="1:1">
      <c r="A3739" t="s">
        <v>5707</v>
      </c>
    </row>
    <row r="3740" spans="1:1">
      <c r="A3740" t="s">
        <v>5708</v>
      </c>
    </row>
    <row r="3741" spans="1:1">
      <c r="A3741" t="s">
        <v>5709</v>
      </c>
    </row>
    <row r="3742" spans="1:1">
      <c r="A3742" t="s">
        <v>5710</v>
      </c>
    </row>
    <row r="3743" spans="1:1">
      <c r="A3743" t="s">
        <v>5711</v>
      </c>
    </row>
    <row r="3744" spans="1:1">
      <c r="A3744" t="s">
        <v>5712</v>
      </c>
    </row>
    <row r="3745" spans="1:1">
      <c r="A3745" t="s">
        <v>5713</v>
      </c>
    </row>
    <row r="3746" spans="1:1">
      <c r="A3746" t="s">
        <v>5714</v>
      </c>
    </row>
    <row r="3747" spans="1:1">
      <c r="A3747" t="s">
        <v>5715</v>
      </c>
    </row>
    <row r="3748" spans="1:1">
      <c r="A3748" t="s">
        <v>5716</v>
      </c>
    </row>
    <row r="3749" spans="1:1">
      <c r="A3749" t="s">
        <v>5717</v>
      </c>
    </row>
    <row r="3750" spans="1:1">
      <c r="A3750" t="s">
        <v>5718</v>
      </c>
    </row>
    <row r="3751" spans="1:1">
      <c r="A3751" t="s">
        <v>5719</v>
      </c>
    </row>
    <row r="3752" spans="1:1">
      <c r="A3752" t="s">
        <v>5720</v>
      </c>
    </row>
    <row r="3753" spans="1:1">
      <c r="A3753" t="s">
        <v>5721</v>
      </c>
    </row>
    <row r="3754" spans="1:1">
      <c r="A3754" t="s">
        <v>5722</v>
      </c>
    </row>
    <row r="3755" spans="1:1">
      <c r="A3755" t="s">
        <v>5723</v>
      </c>
    </row>
    <row r="3756" spans="1:1">
      <c r="A3756" t="s">
        <v>5724</v>
      </c>
    </row>
    <row r="3757" spans="1:1">
      <c r="A3757" t="s">
        <v>5725</v>
      </c>
    </row>
    <row r="3758" spans="1:1">
      <c r="A3758" t="s">
        <v>5726</v>
      </c>
    </row>
    <row r="3759" spans="1:1">
      <c r="A3759" t="s">
        <v>5727</v>
      </c>
    </row>
    <row r="3760" spans="1:1">
      <c r="A3760" t="s">
        <v>5728</v>
      </c>
    </row>
    <row r="3761" spans="1:1">
      <c r="A3761" t="s">
        <v>5729</v>
      </c>
    </row>
    <row r="3762" spans="1:1">
      <c r="A3762" t="s">
        <v>5730</v>
      </c>
    </row>
    <row r="3763" spans="1:1">
      <c r="A3763" t="s">
        <v>5731</v>
      </c>
    </row>
    <row r="3764" spans="1:1">
      <c r="A3764" t="s">
        <v>5732</v>
      </c>
    </row>
    <row r="3765" spans="1:1">
      <c r="A3765" t="s">
        <v>5733</v>
      </c>
    </row>
    <row r="3766" spans="1:1">
      <c r="A3766" t="s">
        <v>5734</v>
      </c>
    </row>
    <row r="3767" spans="1:1">
      <c r="A3767" t="s">
        <v>5735</v>
      </c>
    </row>
    <row r="3768" spans="1:1">
      <c r="A3768" t="s">
        <v>5736</v>
      </c>
    </row>
    <row r="3769" spans="1:1">
      <c r="A3769" t="s">
        <v>5737</v>
      </c>
    </row>
    <row r="3770" spans="1:1">
      <c r="A3770" t="s">
        <v>5738</v>
      </c>
    </row>
    <row r="3771" spans="1:1">
      <c r="A3771" t="s">
        <v>5739</v>
      </c>
    </row>
    <row r="3772" spans="1:1">
      <c r="A3772" t="s">
        <v>5740</v>
      </c>
    </row>
    <row r="3773" spans="1:1">
      <c r="A3773" t="s">
        <v>5741</v>
      </c>
    </row>
    <row r="3774" spans="1:1">
      <c r="A3774" t="s">
        <v>5742</v>
      </c>
    </row>
    <row r="3775" spans="1:1">
      <c r="A3775" t="s">
        <v>5743</v>
      </c>
    </row>
    <row r="3776" spans="1:1">
      <c r="A3776" t="s">
        <v>5744</v>
      </c>
    </row>
    <row r="3777" spans="1:1">
      <c r="A3777" t="s">
        <v>5745</v>
      </c>
    </row>
    <row r="3778" spans="1:1">
      <c r="A3778" t="s">
        <v>5746</v>
      </c>
    </row>
    <row r="3779" spans="1:1">
      <c r="A3779" t="s">
        <v>5747</v>
      </c>
    </row>
    <row r="3780" spans="1:1">
      <c r="A3780" t="s">
        <v>5748</v>
      </c>
    </row>
    <row r="3781" spans="1:1">
      <c r="A3781" t="s">
        <v>5749</v>
      </c>
    </row>
    <row r="3782" spans="1:1">
      <c r="A3782" t="s">
        <v>5750</v>
      </c>
    </row>
    <row r="3783" spans="1:1">
      <c r="A3783" t="s">
        <v>5751</v>
      </c>
    </row>
    <row r="3784" spans="1:1">
      <c r="A3784" t="s">
        <v>5752</v>
      </c>
    </row>
    <row r="3785" spans="1:1">
      <c r="A3785" t="s">
        <v>5753</v>
      </c>
    </row>
    <row r="3786" spans="1:1">
      <c r="A3786" t="s">
        <v>5754</v>
      </c>
    </row>
    <row r="3787" spans="1:1">
      <c r="A3787" t="s">
        <v>5755</v>
      </c>
    </row>
    <row r="3788" spans="1:1">
      <c r="A3788" t="s">
        <v>5756</v>
      </c>
    </row>
    <row r="3789" spans="1:1">
      <c r="A3789" t="s">
        <v>5757</v>
      </c>
    </row>
    <row r="3790" spans="1:1">
      <c r="A3790" t="s">
        <v>5758</v>
      </c>
    </row>
    <row r="3791" spans="1:1">
      <c r="A3791" t="s">
        <v>5759</v>
      </c>
    </row>
    <row r="3792" spans="1:1">
      <c r="A3792" t="s">
        <v>5760</v>
      </c>
    </row>
    <row r="3793" spans="1:1">
      <c r="A3793" t="s">
        <v>5761</v>
      </c>
    </row>
    <row r="3794" spans="1:1">
      <c r="A3794" t="s">
        <v>5762</v>
      </c>
    </row>
    <row r="3795" spans="1:1">
      <c r="A3795" t="s">
        <v>5763</v>
      </c>
    </row>
    <row r="3796" spans="1:1">
      <c r="A3796" t="s">
        <v>5764</v>
      </c>
    </row>
    <row r="3797" spans="1:1">
      <c r="A3797" t="s">
        <v>5765</v>
      </c>
    </row>
    <row r="3798" spans="1:1">
      <c r="A3798" t="s">
        <v>5766</v>
      </c>
    </row>
    <row r="3799" spans="1:1">
      <c r="A3799" t="s">
        <v>5767</v>
      </c>
    </row>
    <row r="3800" spans="1:1">
      <c r="A3800" t="s">
        <v>5768</v>
      </c>
    </row>
    <row r="3801" spans="1:1">
      <c r="A3801" t="s">
        <v>5769</v>
      </c>
    </row>
    <row r="3802" spans="1:1">
      <c r="A3802" t="s">
        <v>5770</v>
      </c>
    </row>
    <row r="3803" spans="1:1">
      <c r="A3803" t="s">
        <v>5771</v>
      </c>
    </row>
    <row r="3804" spans="1:1">
      <c r="A3804" t="s">
        <v>5772</v>
      </c>
    </row>
    <row r="3805" spans="1:1">
      <c r="A3805" t="s">
        <v>5773</v>
      </c>
    </row>
    <row r="3806" spans="1:1">
      <c r="A3806" t="s">
        <v>5774</v>
      </c>
    </row>
    <row r="3807" spans="1:1">
      <c r="A3807" t="s">
        <v>5775</v>
      </c>
    </row>
    <row r="3808" spans="1:1">
      <c r="A3808" t="s">
        <v>5776</v>
      </c>
    </row>
    <row r="3809" spans="1:1">
      <c r="A3809" t="s">
        <v>5777</v>
      </c>
    </row>
    <row r="3810" spans="1:1">
      <c r="A3810" t="s">
        <v>5778</v>
      </c>
    </row>
    <row r="3811" spans="1:1">
      <c r="A3811" t="s">
        <v>5779</v>
      </c>
    </row>
    <row r="3812" spans="1:1">
      <c r="A3812" t="s">
        <v>5780</v>
      </c>
    </row>
    <row r="3813" spans="1:1">
      <c r="A3813" t="s">
        <v>5781</v>
      </c>
    </row>
    <row r="3814" spans="1:1">
      <c r="A3814" t="s">
        <v>5782</v>
      </c>
    </row>
    <row r="3815" spans="1:1">
      <c r="A3815" t="s">
        <v>5783</v>
      </c>
    </row>
    <row r="3816" spans="1:1">
      <c r="A3816" t="s">
        <v>5784</v>
      </c>
    </row>
    <row r="3817" spans="1:1">
      <c r="A3817" t="s">
        <v>5785</v>
      </c>
    </row>
    <row r="3818" spans="1:1">
      <c r="A3818" t="s">
        <v>5786</v>
      </c>
    </row>
    <row r="3819" spans="1:1">
      <c r="A3819" t="s">
        <v>5787</v>
      </c>
    </row>
    <row r="3820" spans="1:1">
      <c r="A3820" t="s">
        <v>5788</v>
      </c>
    </row>
    <row r="3821" spans="1:1">
      <c r="A3821" t="s">
        <v>5789</v>
      </c>
    </row>
    <row r="3822" spans="1:1">
      <c r="A3822" t="s">
        <v>5790</v>
      </c>
    </row>
    <row r="3823" spans="1:1">
      <c r="A3823" t="s">
        <v>5791</v>
      </c>
    </row>
    <row r="3824" spans="1:1">
      <c r="A3824" t="s">
        <v>5792</v>
      </c>
    </row>
    <row r="3825" spans="1:1">
      <c r="A3825" t="s">
        <v>5793</v>
      </c>
    </row>
    <row r="3826" spans="1:1">
      <c r="A3826" t="s">
        <v>5794</v>
      </c>
    </row>
    <row r="3827" spans="1:1">
      <c r="A3827" t="s">
        <v>5795</v>
      </c>
    </row>
    <row r="3828" spans="1:1">
      <c r="A3828" t="s">
        <v>5796</v>
      </c>
    </row>
    <row r="3829" spans="1:1">
      <c r="A3829" t="s">
        <v>5797</v>
      </c>
    </row>
    <row r="3830" spans="1:1">
      <c r="A3830" t="s">
        <v>5798</v>
      </c>
    </row>
    <row r="3831" spans="1:1">
      <c r="A3831" t="s">
        <v>5799</v>
      </c>
    </row>
    <row r="3832" spans="1:1">
      <c r="A3832" t="s">
        <v>5800</v>
      </c>
    </row>
    <row r="3833" spans="1:1">
      <c r="A3833" t="s">
        <v>5801</v>
      </c>
    </row>
    <row r="3834" spans="1:1">
      <c r="A3834" t="s">
        <v>5802</v>
      </c>
    </row>
    <row r="3835" spans="1:1">
      <c r="A3835" t="s">
        <v>5803</v>
      </c>
    </row>
    <row r="3836" spans="1:1">
      <c r="A3836" t="s">
        <v>5804</v>
      </c>
    </row>
    <row r="3837" spans="1:1">
      <c r="A3837" t="s">
        <v>5805</v>
      </c>
    </row>
    <row r="3838" spans="1:1">
      <c r="A3838" t="s">
        <v>5806</v>
      </c>
    </row>
    <row r="3839" spans="1:1">
      <c r="A3839" t="s">
        <v>5807</v>
      </c>
    </row>
    <row r="3840" spans="1:1">
      <c r="A3840" t="s">
        <v>5808</v>
      </c>
    </row>
    <row r="3841" spans="1:1">
      <c r="A3841" t="s">
        <v>5809</v>
      </c>
    </row>
    <row r="3842" spans="1:1">
      <c r="A3842" t="s">
        <v>5810</v>
      </c>
    </row>
    <row r="3843" spans="1:1">
      <c r="A3843" t="s">
        <v>5811</v>
      </c>
    </row>
    <row r="3844" spans="1:1">
      <c r="A3844" t="s">
        <v>5812</v>
      </c>
    </row>
    <row r="3845" spans="1:1">
      <c r="A3845" t="s">
        <v>5813</v>
      </c>
    </row>
    <row r="3846" spans="1:1">
      <c r="A3846" t="s">
        <v>5814</v>
      </c>
    </row>
    <row r="3847" spans="1:1">
      <c r="A3847" t="s">
        <v>5815</v>
      </c>
    </row>
    <row r="3848" spans="1:1">
      <c r="A3848" t="s">
        <v>5816</v>
      </c>
    </row>
    <row r="3849" spans="1:1">
      <c r="A3849" t="s">
        <v>5817</v>
      </c>
    </row>
    <row r="3850" spans="1:1">
      <c r="A3850" t="s">
        <v>5818</v>
      </c>
    </row>
    <row r="3851" spans="1:1">
      <c r="A3851" t="s">
        <v>5819</v>
      </c>
    </row>
    <row r="3852" spans="1:1">
      <c r="A3852" t="s">
        <v>5820</v>
      </c>
    </row>
    <row r="3853" spans="1:1">
      <c r="A3853" t="s">
        <v>5821</v>
      </c>
    </row>
    <row r="3854" spans="1:1">
      <c r="A3854" t="s">
        <v>5822</v>
      </c>
    </row>
    <row r="3855" spans="1:1">
      <c r="A3855" t="s">
        <v>5823</v>
      </c>
    </row>
    <row r="3856" spans="1:1">
      <c r="A3856" t="s">
        <v>5824</v>
      </c>
    </row>
    <row r="3857" spans="1:1">
      <c r="A3857" t="s">
        <v>5825</v>
      </c>
    </row>
    <row r="3858" spans="1:1">
      <c r="A3858" t="s">
        <v>5826</v>
      </c>
    </row>
    <row r="3859" spans="1:1">
      <c r="A3859" t="s">
        <v>5827</v>
      </c>
    </row>
    <row r="3860" spans="1:1">
      <c r="A3860" t="s">
        <v>5828</v>
      </c>
    </row>
    <row r="3861" spans="1:1">
      <c r="A3861" t="s">
        <v>5829</v>
      </c>
    </row>
    <row r="3862" spans="1:1">
      <c r="A3862" t="s">
        <v>5830</v>
      </c>
    </row>
    <row r="3863" spans="1:1">
      <c r="A3863" t="s">
        <v>5831</v>
      </c>
    </row>
    <row r="3864" spans="1:1">
      <c r="A3864" t="s">
        <v>5832</v>
      </c>
    </row>
    <row r="3865" spans="1:1">
      <c r="A3865" t="s">
        <v>5833</v>
      </c>
    </row>
    <row r="3866" spans="1:1">
      <c r="A3866" t="s">
        <v>5834</v>
      </c>
    </row>
    <row r="3867" spans="1:1">
      <c r="A3867" t="s">
        <v>5835</v>
      </c>
    </row>
    <row r="3868" spans="1:1">
      <c r="A3868" t="s">
        <v>5836</v>
      </c>
    </row>
    <row r="3869" spans="1:1">
      <c r="A3869" t="s">
        <v>5837</v>
      </c>
    </row>
    <row r="3870" spans="1:1">
      <c r="A3870" t="s">
        <v>5838</v>
      </c>
    </row>
    <row r="3871" spans="1:1">
      <c r="A3871" t="s">
        <v>5839</v>
      </c>
    </row>
    <row r="3872" spans="1:1">
      <c r="A3872" t="s">
        <v>5840</v>
      </c>
    </row>
    <row r="3873" spans="1:1">
      <c r="A3873" t="s">
        <v>5841</v>
      </c>
    </row>
    <row r="3874" spans="1:1">
      <c r="A3874" t="s">
        <v>5842</v>
      </c>
    </row>
    <row r="3875" spans="1:1">
      <c r="A3875" t="s">
        <v>5843</v>
      </c>
    </row>
    <row r="3876" spans="1:1">
      <c r="A3876" t="s">
        <v>5844</v>
      </c>
    </row>
    <row r="3877" spans="1:1">
      <c r="A3877" t="s">
        <v>5845</v>
      </c>
    </row>
    <row r="3878" spans="1:1">
      <c r="A3878" t="s">
        <v>5846</v>
      </c>
    </row>
    <row r="3879" spans="1:1">
      <c r="A3879" t="s">
        <v>5847</v>
      </c>
    </row>
    <row r="3880" spans="1:1">
      <c r="A3880" t="s">
        <v>5848</v>
      </c>
    </row>
    <row r="3881" spans="1:1">
      <c r="A3881" t="s">
        <v>5849</v>
      </c>
    </row>
    <row r="3882" spans="1:1">
      <c r="A3882" t="s">
        <v>5850</v>
      </c>
    </row>
    <row r="3883" spans="1:1">
      <c r="A3883" t="s">
        <v>5851</v>
      </c>
    </row>
    <row r="3884" spans="1:1">
      <c r="A3884" t="s">
        <v>5852</v>
      </c>
    </row>
    <row r="3885" spans="1:1">
      <c r="A3885" t="s">
        <v>5853</v>
      </c>
    </row>
    <row r="3886" spans="1:1">
      <c r="A3886" t="s">
        <v>5854</v>
      </c>
    </row>
    <row r="3887" spans="1:1">
      <c r="A3887" t="s">
        <v>5855</v>
      </c>
    </row>
    <row r="3888" spans="1:1">
      <c r="A3888" t="s">
        <v>5856</v>
      </c>
    </row>
    <row r="3889" spans="1:1">
      <c r="A3889" t="s">
        <v>5857</v>
      </c>
    </row>
    <row r="3890" spans="1:1">
      <c r="A3890" t="s">
        <v>5858</v>
      </c>
    </row>
    <row r="3891" spans="1:1">
      <c r="A3891" t="s">
        <v>5859</v>
      </c>
    </row>
    <row r="3892" spans="1:1">
      <c r="A3892" t="s">
        <v>5860</v>
      </c>
    </row>
    <row r="3893" spans="1:1">
      <c r="A3893" t="s">
        <v>5861</v>
      </c>
    </row>
    <row r="3894" spans="1:1">
      <c r="A3894" t="s">
        <v>5862</v>
      </c>
    </row>
    <row r="3895" spans="1:1">
      <c r="A3895" t="s">
        <v>5863</v>
      </c>
    </row>
    <row r="3896" spans="1:1">
      <c r="A3896" t="s">
        <v>5864</v>
      </c>
    </row>
    <row r="3897" spans="1:1">
      <c r="A3897" t="s">
        <v>5865</v>
      </c>
    </row>
    <row r="3898" spans="1:1">
      <c r="A3898" t="s">
        <v>5866</v>
      </c>
    </row>
    <row r="3899" spans="1:1">
      <c r="A3899" t="s">
        <v>5867</v>
      </c>
    </row>
    <row r="3900" spans="1:1">
      <c r="A3900" t="s">
        <v>5868</v>
      </c>
    </row>
    <row r="3901" spans="1:1">
      <c r="A3901" t="s">
        <v>5869</v>
      </c>
    </row>
    <row r="3902" spans="1:1">
      <c r="A3902" t="s">
        <v>5870</v>
      </c>
    </row>
    <row r="3903" spans="1:1">
      <c r="A3903" t="s">
        <v>5871</v>
      </c>
    </row>
    <row r="3904" spans="1:1">
      <c r="A3904" t="s">
        <v>5872</v>
      </c>
    </row>
    <row r="3905" spans="1:1">
      <c r="A3905" t="s">
        <v>5873</v>
      </c>
    </row>
    <row r="3906" spans="1:1">
      <c r="A3906" t="s">
        <v>5874</v>
      </c>
    </row>
    <row r="3907" spans="1:1">
      <c r="A3907" t="s">
        <v>5875</v>
      </c>
    </row>
    <row r="3908" spans="1:1">
      <c r="A3908" t="s">
        <v>5876</v>
      </c>
    </row>
    <row r="3909" spans="1:1">
      <c r="A3909" t="s">
        <v>5877</v>
      </c>
    </row>
    <row r="3910" spans="1:1">
      <c r="A3910" t="s">
        <v>5878</v>
      </c>
    </row>
    <row r="3911" spans="1:1">
      <c r="A3911" t="s">
        <v>5879</v>
      </c>
    </row>
    <row r="3912" spans="1:1">
      <c r="A3912" t="s">
        <v>5880</v>
      </c>
    </row>
    <row r="3913" spans="1:1">
      <c r="A3913" t="s">
        <v>5881</v>
      </c>
    </row>
    <row r="3914" spans="1:1">
      <c r="A3914" t="s">
        <v>5882</v>
      </c>
    </row>
    <row r="3915" spans="1:1">
      <c r="A3915" t="s">
        <v>5883</v>
      </c>
    </row>
    <row r="3916" spans="1:1">
      <c r="A3916" t="s">
        <v>5884</v>
      </c>
    </row>
    <row r="3917" spans="1:1">
      <c r="A3917" t="s">
        <v>5885</v>
      </c>
    </row>
    <row r="3918" spans="1:1">
      <c r="A3918" t="s">
        <v>5886</v>
      </c>
    </row>
    <row r="3919" spans="1:1">
      <c r="A3919" t="s">
        <v>5887</v>
      </c>
    </row>
    <row r="3920" spans="1:1">
      <c r="A3920" t="s">
        <v>5888</v>
      </c>
    </row>
    <row r="3921" spans="1:1">
      <c r="A3921" t="s">
        <v>5889</v>
      </c>
    </row>
    <row r="3922" spans="1:1">
      <c r="A3922" t="s">
        <v>5890</v>
      </c>
    </row>
    <row r="3923" spans="1:1">
      <c r="A3923" t="s">
        <v>5891</v>
      </c>
    </row>
    <row r="3924" spans="1:1">
      <c r="A3924" t="s">
        <v>5892</v>
      </c>
    </row>
    <row r="3925" spans="1:1">
      <c r="A3925" t="s">
        <v>5893</v>
      </c>
    </row>
    <row r="3926" spans="1:1">
      <c r="A3926" t="s">
        <v>5894</v>
      </c>
    </row>
    <row r="3927" spans="1:1">
      <c r="A3927" t="s">
        <v>5895</v>
      </c>
    </row>
    <row r="3928" spans="1:1">
      <c r="A3928" t="s">
        <v>5896</v>
      </c>
    </row>
    <row r="3929" spans="1:1">
      <c r="A3929" t="s">
        <v>5897</v>
      </c>
    </row>
    <row r="3930" spans="1:1">
      <c r="A3930" t="s">
        <v>5898</v>
      </c>
    </row>
    <row r="3931" spans="1:1">
      <c r="A3931" t="s">
        <v>5899</v>
      </c>
    </row>
    <row r="3932" spans="1:1">
      <c r="A3932" t="s">
        <v>5900</v>
      </c>
    </row>
    <row r="3933" spans="1:1">
      <c r="A3933" t="s">
        <v>5901</v>
      </c>
    </row>
    <row r="3934" spans="1:1">
      <c r="A3934" t="s">
        <v>5902</v>
      </c>
    </row>
    <row r="3935" spans="1:1">
      <c r="A3935" t="s">
        <v>5903</v>
      </c>
    </row>
    <row r="3936" spans="1:1">
      <c r="A3936" t="s">
        <v>5904</v>
      </c>
    </row>
    <row r="3937" spans="1:1">
      <c r="A3937" t="s">
        <v>5905</v>
      </c>
    </row>
    <row r="3938" spans="1:1">
      <c r="A3938" t="s">
        <v>5906</v>
      </c>
    </row>
    <row r="3939" spans="1:1">
      <c r="A3939" t="s">
        <v>5907</v>
      </c>
    </row>
    <row r="3940" spans="1:1">
      <c r="A3940" t="s">
        <v>5908</v>
      </c>
    </row>
    <row r="3941" spans="1:1">
      <c r="A3941" t="s">
        <v>5909</v>
      </c>
    </row>
    <row r="3942" spans="1:1">
      <c r="A3942" t="s">
        <v>5910</v>
      </c>
    </row>
    <row r="3943" spans="1:1">
      <c r="A3943" t="s">
        <v>5911</v>
      </c>
    </row>
    <row r="3944" spans="1:1">
      <c r="A3944" t="s">
        <v>5912</v>
      </c>
    </row>
    <row r="3945" spans="1:1">
      <c r="A3945" t="s">
        <v>5913</v>
      </c>
    </row>
    <row r="3946" spans="1:1">
      <c r="A3946" t="s">
        <v>5914</v>
      </c>
    </row>
    <row r="3947" spans="1:1">
      <c r="A3947" t="s">
        <v>5915</v>
      </c>
    </row>
    <row r="3948" spans="1:1">
      <c r="A3948" t="s">
        <v>5916</v>
      </c>
    </row>
    <row r="3949" spans="1:1">
      <c r="A3949" t="s">
        <v>5917</v>
      </c>
    </row>
    <row r="3950" spans="1:1">
      <c r="A3950" t="s">
        <v>5918</v>
      </c>
    </row>
    <row r="3951" spans="1:1">
      <c r="A3951" t="s">
        <v>5919</v>
      </c>
    </row>
    <row r="3952" spans="1:1">
      <c r="A3952" t="s">
        <v>5920</v>
      </c>
    </row>
    <row r="3953" spans="1:1">
      <c r="A3953" t="s">
        <v>5921</v>
      </c>
    </row>
    <row r="3954" spans="1:1">
      <c r="A3954" t="s">
        <v>5922</v>
      </c>
    </row>
    <row r="3955" spans="1:1">
      <c r="A3955" t="s">
        <v>5923</v>
      </c>
    </row>
    <row r="3956" spans="1:1">
      <c r="A3956" t="s">
        <v>5924</v>
      </c>
    </row>
    <row r="3957" spans="1:1">
      <c r="A3957" t="s">
        <v>5925</v>
      </c>
    </row>
    <row r="3958" spans="1:1">
      <c r="A3958" t="s">
        <v>5926</v>
      </c>
    </row>
    <row r="3959" spans="1:1">
      <c r="A3959" t="s">
        <v>5927</v>
      </c>
    </row>
    <row r="3960" spans="1:1">
      <c r="A3960" t="s">
        <v>5928</v>
      </c>
    </row>
    <row r="3961" spans="1:1">
      <c r="A3961" t="s">
        <v>5929</v>
      </c>
    </row>
    <row r="3962" spans="1:1">
      <c r="A3962" t="s">
        <v>5930</v>
      </c>
    </row>
    <row r="3963" spans="1:1">
      <c r="A3963" t="s">
        <v>5931</v>
      </c>
    </row>
    <row r="3964" spans="1:1">
      <c r="A3964" t="s">
        <v>5932</v>
      </c>
    </row>
    <row r="3965" spans="1:1">
      <c r="A3965" t="s">
        <v>5933</v>
      </c>
    </row>
    <row r="3966" spans="1:1">
      <c r="A3966" t="s">
        <v>5934</v>
      </c>
    </row>
    <row r="3967" spans="1:1">
      <c r="A3967" t="s">
        <v>5935</v>
      </c>
    </row>
    <row r="3968" spans="1:1">
      <c r="A3968" t="s">
        <v>5936</v>
      </c>
    </row>
    <row r="3969" spans="1:1">
      <c r="A3969" t="s">
        <v>5937</v>
      </c>
    </row>
    <row r="3970" spans="1:1">
      <c r="A3970" t="s">
        <v>5938</v>
      </c>
    </row>
    <row r="3971" spans="1:1">
      <c r="A3971" t="s">
        <v>5939</v>
      </c>
    </row>
    <row r="3972" spans="1:1">
      <c r="A3972" t="s">
        <v>5940</v>
      </c>
    </row>
    <row r="3973" spans="1:1">
      <c r="A3973" t="s">
        <v>5941</v>
      </c>
    </row>
    <row r="3974" spans="1:1">
      <c r="A3974" t="s">
        <v>5942</v>
      </c>
    </row>
    <row r="3975" spans="1:1">
      <c r="A3975" t="s">
        <v>5943</v>
      </c>
    </row>
    <row r="3976" spans="1:1">
      <c r="A3976" t="s">
        <v>5944</v>
      </c>
    </row>
    <row r="3977" spans="1:1">
      <c r="A3977" t="s">
        <v>5945</v>
      </c>
    </row>
    <row r="3978" spans="1:1">
      <c r="A3978" t="s">
        <v>5946</v>
      </c>
    </row>
    <row r="3979" spans="1:1">
      <c r="A3979" t="s">
        <v>5947</v>
      </c>
    </row>
    <row r="3980" spans="1:1">
      <c r="A3980" t="s">
        <v>5948</v>
      </c>
    </row>
    <row r="3981" spans="1:1">
      <c r="A3981" t="s">
        <v>5949</v>
      </c>
    </row>
    <row r="3982" spans="1:1">
      <c r="A3982" t="s">
        <v>5950</v>
      </c>
    </row>
    <row r="3983" spans="1:1">
      <c r="A3983" t="s">
        <v>5951</v>
      </c>
    </row>
    <row r="3984" spans="1:1">
      <c r="A3984" t="s">
        <v>5952</v>
      </c>
    </row>
    <row r="3985" spans="1:1">
      <c r="A3985" t="s">
        <v>5953</v>
      </c>
    </row>
    <row r="3986" spans="1:1">
      <c r="A3986" t="s">
        <v>5954</v>
      </c>
    </row>
    <row r="3987" spans="1:1">
      <c r="A3987" t="s">
        <v>5955</v>
      </c>
    </row>
    <row r="3988" spans="1:1">
      <c r="A3988" t="s">
        <v>5956</v>
      </c>
    </row>
    <row r="3989" spans="1:1">
      <c r="A3989" t="s">
        <v>5957</v>
      </c>
    </row>
    <row r="3990" spans="1:1">
      <c r="A3990" t="s">
        <v>5958</v>
      </c>
    </row>
    <row r="3991" spans="1:1">
      <c r="A3991" t="s">
        <v>5959</v>
      </c>
    </row>
    <row r="3992" spans="1:1">
      <c r="A3992" t="s">
        <v>5960</v>
      </c>
    </row>
    <row r="3993" spans="1:1">
      <c r="A3993" t="s">
        <v>5961</v>
      </c>
    </row>
    <row r="3994" spans="1:1">
      <c r="A3994" t="s">
        <v>5962</v>
      </c>
    </row>
    <row r="3995" spans="1:1">
      <c r="A3995" t="s">
        <v>5963</v>
      </c>
    </row>
    <row r="3996" spans="1:1">
      <c r="A3996" t="s">
        <v>5964</v>
      </c>
    </row>
    <row r="3997" spans="1:1">
      <c r="A3997" t="s">
        <v>5965</v>
      </c>
    </row>
    <row r="3998" spans="1:1">
      <c r="A3998" t="s">
        <v>5966</v>
      </c>
    </row>
    <row r="3999" spans="1:1">
      <c r="A3999" t="s">
        <v>5967</v>
      </c>
    </row>
    <row r="4000" spans="1:1">
      <c r="A4000" t="s">
        <v>5968</v>
      </c>
    </row>
    <row r="4001" spans="1:1">
      <c r="A4001" t="s">
        <v>5969</v>
      </c>
    </row>
    <row r="4002" spans="1:1">
      <c r="A4002" t="s">
        <v>5970</v>
      </c>
    </row>
    <row r="4003" spans="1:1">
      <c r="A4003" t="s">
        <v>5971</v>
      </c>
    </row>
    <row r="4004" spans="1:1">
      <c r="A4004" t="s">
        <v>5972</v>
      </c>
    </row>
    <row r="4005" spans="1:1">
      <c r="A4005" t="s">
        <v>5973</v>
      </c>
    </row>
    <row r="4006" spans="1:1">
      <c r="A4006" t="s">
        <v>5974</v>
      </c>
    </row>
    <row r="4007" spans="1:1">
      <c r="A4007" t="s">
        <v>5975</v>
      </c>
    </row>
    <row r="4008" spans="1:1">
      <c r="A4008" t="s">
        <v>5976</v>
      </c>
    </row>
    <row r="4009" spans="1:1">
      <c r="A4009" t="s">
        <v>5977</v>
      </c>
    </row>
    <row r="4010" spans="1:1">
      <c r="A4010" t="s">
        <v>5978</v>
      </c>
    </row>
    <row r="4011" spans="1:1">
      <c r="A4011" t="s">
        <v>5979</v>
      </c>
    </row>
    <row r="4012" spans="1:1">
      <c r="A4012" t="s">
        <v>5980</v>
      </c>
    </row>
    <row r="4013" spans="1:1">
      <c r="A4013" t="s">
        <v>5981</v>
      </c>
    </row>
    <row r="4014" spans="1:1">
      <c r="A4014" t="s">
        <v>5982</v>
      </c>
    </row>
    <row r="4015" spans="1:1">
      <c r="A4015" t="s">
        <v>5983</v>
      </c>
    </row>
    <row r="4016" spans="1:1">
      <c r="A4016" t="s">
        <v>5984</v>
      </c>
    </row>
    <row r="4017" spans="1:1">
      <c r="A4017" t="s">
        <v>5985</v>
      </c>
    </row>
    <row r="4018" spans="1:1">
      <c r="A4018" t="s">
        <v>5986</v>
      </c>
    </row>
    <row r="4019" spans="1:1">
      <c r="A4019" t="s">
        <v>5987</v>
      </c>
    </row>
    <row r="4020" spans="1:1">
      <c r="A4020" t="s">
        <v>5988</v>
      </c>
    </row>
    <row r="4021" spans="1:1">
      <c r="A4021" t="s">
        <v>5989</v>
      </c>
    </row>
    <row r="4022" spans="1:1">
      <c r="A4022" t="s">
        <v>5990</v>
      </c>
    </row>
    <row r="4023" spans="1:1">
      <c r="A4023" t="s">
        <v>5991</v>
      </c>
    </row>
    <row r="4024" spans="1:1">
      <c r="A4024" t="s">
        <v>5992</v>
      </c>
    </row>
    <row r="4025" spans="1:1">
      <c r="A4025" t="s">
        <v>5993</v>
      </c>
    </row>
    <row r="4026" spans="1:1">
      <c r="A4026" t="s">
        <v>5994</v>
      </c>
    </row>
    <row r="4027" spans="1:1">
      <c r="A4027" t="s">
        <v>5995</v>
      </c>
    </row>
    <row r="4028" spans="1:1">
      <c r="A4028" t="s">
        <v>5996</v>
      </c>
    </row>
    <row r="4029" spans="1:1">
      <c r="A4029" t="s">
        <v>5997</v>
      </c>
    </row>
    <row r="4030" spans="1:1">
      <c r="A4030" t="s">
        <v>5998</v>
      </c>
    </row>
    <row r="4031" spans="1:1">
      <c r="A4031" t="s">
        <v>5999</v>
      </c>
    </row>
    <row r="4032" spans="1:1">
      <c r="A4032" t="s">
        <v>6000</v>
      </c>
    </row>
    <row r="4033" spans="1:1">
      <c r="A4033" t="s">
        <v>6001</v>
      </c>
    </row>
    <row r="4034" spans="1:1">
      <c r="A4034" t="s">
        <v>6002</v>
      </c>
    </row>
    <row r="4035" spans="1:1">
      <c r="A4035" t="s">
        <v>6003</v>
      </c>
    </row>
    <row r="4036" spans="1:1">
      <c r="A4036" t="s">
        <v>6004</v>
      </c>
    </row>
    <row r="4037" spans="1:1">
      <c r="A4037" t="s">
        <v>6005</v>
      </c>
    </row>
    <row r="4038" spans="1:1">
      <c r="A4038" t="s">
        <v>6006</v>
      </c>
    </row>
    <row r="4039" spans="1:1">
      <c r="A4039" t="s">
        <v>6007</v>
      </c>
    </row>
    <row r="4040" spans="1:1">
      <c r="A4040" t="s">
        <v>6008</v>
      </c>
    </row>
    <row r="4041" spans="1:1">
      <c r="A4041" t="s">
        <v>6009</v>
      </c>
    </row>
    <row r="4042" spans="1:1">
      <c r="A4042" t="s">
        <v>6010</v>
      </c>
    </row>
    <row r="4043" spans="1:1">
      <c r="A4043" t="s">
        <v>6011</v>
      </c>
    </row>
    <row r="4044" spans="1:1">
      <c r="A4044" t="s">
        <v>6012</v>
      </c>
    </row>
    <row r="4045" spans="1:1">
      <c r="A4045" t="s">
        <v>6013</v>
      </c>
    </row>
    <row r="4046" spans="1:1">
      <c r="A4046" t="s">
        <v>6014</v>
      </c>
    </row>
    <row r="4047" spans="1:1">
      <c r="A4047" t="s">
        <v>6015</v>
      </c>
    </row>
    <row r="4048" spans="1:1">
      <c r="A4048" t="s">
        <v>6016</v>
      </c>
    </row>
    <row r="4049" spans="1:1">
      <c r="A4049" t="s">
        <v>6017</v>
      </c>
    </row>
    <row r="4050" spans="1:1">
      <c r="A4050" t="s">
        <v>6018</v>
      </c>
    </row>
    <row r="4051" spans="1:1">
      <c r="A4051" t="s">
        <v>6019</v>
      </c>
    </row>
    <row r="4052" spans="1:1">
      <c r="A4052" t="s">
        <v>6020</v>
      </c>
    </row>
    <row r="4053" spans="1:1">
      <c r="A4053" t="s">
        <v>6021</v>
      </c>
    </row>
    <row r="4054" spans="1:1">
      <c r="A4054" t="s">
        <v>6022</v>
      </c>
    </row>
    <row r="4055" spans="1:1">
      <c r="A4055" t="s">
        <v>6023</v>
      </c>
    </row>
    <row r="4056" spans="1:1">
      <c r="A4056" t="s">
        <v>6024</v>
      </c>
    </row>
    <row r="4057" spans="1:1">
      <c r="A4057" t="s">
        <v>6025</v>
      </c>
    </row>
    <row r="4058" spans="1:1">
      <c r="A4058" t="s">
        <v>6026</v>
      </c>
    </row>
    <row r="4059" spans="1:1">
      <c r="A4059" t="s">
        <v>6027</v>
      </c>
    </row>
    <row r="4060" spans="1:1">
      <c r="A4060" t="s">
        <v>6028</v>
      </c>
    </row>
    <row r="4061" spans="1:1">
      <c r="A4061" t="s">
        <v>6029</v>
      </c>
    </row>
    <row r="4062" spans="1:1">
      <c r="A4062" t="s">
        <v>6030</v>
      </c>
    </row>
    <row r="4063" spans="1:1">
      <c r="A4063" t="s">
        <v>6031</v>
      </c>
    </row>
    <row r="4064" spans="1:1">
      <c r="A4064" t="s">
        <v>6032</v>
      </c>
    </row>
    <row r="4065" spans="1:1">
      <c r="A4065" t="s">
        <v>6033</v>
      </c>
    </row>
    <row r="4066" spans="1:1">
      <c r="A4066" t="s">
        <v>6034</v>
      </c>
    </row>
    <row r="4067" spans="1:1">
      <c r="A4067" t="s">
        <v>6035</v>
      </c>
    </row>
    <row r="4068" spans="1:1">
      <c r="A4068" t="s">
        <v>6036</v>
      </c>
    </row>
    <row r="4069" spans="1:1">
      <c r="A4069" t="s">
        <v>6037</v>
      </c>
    </row>
    <row r="4070" spans="1:1">
      <c r="A4070" t="s">
        <v>6038</v>
      </c>
    </row>
    <row r="4071" spans="1:1">
      <c r="A4071" t="s">
        <v>6039</v>
      </c>
    </row>
    <row r="4072" spans="1:1">
      <c r="A4072" t="s">
        <v>6040</v>
      </c>
    </row>
    <row r="4073" spans="1:1">
      <c r="A4073" t="s">
        <v>6041</v>
      </c>
    </row>
    <row r="4074" spans="1:1">
      <c r="A4074" t="s">
        <v>6042</v>
      </c>
    </row>
    <row r="4075" spans="1:1">
      <c r="A4075" t="s">
        <v>6043</v>
      </c>
    </row>
    <row r="4076" spans="1:1">
      <c r="A4076" t="s">
        <v>6044</v>
      </c>
    </row>
    <row r="4077" spans="1:1">
      <c r="A4077" t="s">
        <v>6045</v>
      </c>
    </row>
    <row r="4078" spans="1:1">
      <c r="A4078" t="s">
        <v>6046</v>
      </c>
    </row>
    <row r="4079" spans="1:1">
      <c r="A4079" t="s">
        <v>6047</v>
      </c>
    </row>
    <row r="4080" spans="1:1">
      <c r="A4080" t="s">
        <v>6048</v>
      </c>
    </row>
    <row r="4081" spans="1:1">
      <c r="A4081" t="s">
        <v>6049</v>
      </c>
    </row>
    <row r="4082" spans="1:1">
      <c r="A4082" t="s">
        <v>6050</v>
      </c>
    </row>
    <row r="4083" spans="1:1">
      <c r="A4083" t="s">
        <v>6051</v>
      </c>
    </row>
    <row r="4084" spans="1:1">
      <c r="A4084" t="s">
        <v>6052</v>
      </c>
    </row>
    <row r="4085" spans="1:1">
      <c r="A4085" t="s">
        <v>6053</v>
      </c>
    </row>
    <row r="4086" spans="1:1">
      <c r="A4086" t="s">
        <v>6054</v>
      </c>
    </row>
    <row r="4087" spans="1:1">
      <c r="A4087" t="s">
        <v>6055</v>
      </c>
    </row>
    <row r="4088" spans="1:1">
      <c r="A4088" t="s">
        <v>6056</v>
      </c>
    </row>
    <row r="4089" spans="1:1">
      <c r="A4089" t="s">
        <v>6057</v>
      </c>
    </row>
    <row r="4090" spans="1:1">
      <c r="A4090" t="s">
        <v>6058</v>
      </c>
    </row>
    <row r="4091" spans="1:1">
      <c r="A4091" t="s">
        <v>6059</v>
      </c>
    </row>
    <row r="4092" spans="1:1">
      <c r="A4092" t="s">
        <v>6060</v>
      </c>
    </row>
    <row r="4093" spans="1:1">
      <c r="A4093" t="s">
        <v>6061</v>
      </c>
    </row>
    <row r="4094" spans="1:1">
      <c r="A4094" t="s">
        <v>6062</v>
      </c>
    </row>
    <row r="4095" spans="1:1">
      <c r="A4095" t="s">
        <v>6063</v>
      </c>
    </row>
    <row r="4096" spans="1:1">
      <c r="A4096" t="s">
        <v>6064</v>
      </c>
    </row>
    <row r="4097" spans="1:1">
      <c r="A4097" t="s">
        <v>6065</v>
      </c>
    </row>
    <row r="4098" spans="1:1">
      <c r="A4098" t="s">
        <v>6066</v>
      </c>
    </row>
    <row r="4099" spans="1:1">
      <c r="A4099" t="s">
        <v>6067</v>
      </c>
    </row>
    <row r="4100" spans="1:1">
      <c r="A4100" t="s">
        <v>6068</v>
      </c>
    </row>
    <row r="4101" spans="1:1">
      <c r="A4101" t="s">
        <v>6069</v>
      </c>
    </row>
    <row r="4102" spans="1:1">
      <c r="A4102" t="s">
        <v>6070</v>
      </c>
    </row>
    <row r="4103" spans="1:1">
      <c r="A4103" t="s">
        <v>6071</v>
      </c>
    </row>
    <row r="4104" spans="1:1">
      <c r="A4104" t="s">
        <v>6072</v>
      </c>
    </row>
    <row r="4105" spans="1:1">
      <c r="A4105" t="s">
        <v>6073</v>
      </c>
    </row>
    <row r="4106" spans="1:1">
      <c r="A4106" t="s">
        <v>6074</v>
      </c>
    </row>
    <row r="4107" spans="1:1">
      <c r="A4107" t="s">
        <v>6075</v>
      </c>
    </row>
    <row r="4108" spans="1:1">
      <c r="A4108" t="s">
        <v>6076</v>
      </c>
    </row>
    <row r="4109" spans="1:1">
      <c r="A4109" t="s">
        <v>6077</v>
      </c>
    </row>
    <row r="4110" spans="1:1">
      <c r="A4110" t="s">
        <v>6078</v>
      </c>
    </row>
    <row r="4111" spans="1:1">
      <c r="A4111" t="s">
        <v>6079</v>
      </c>
    </row>
    <row r="4112" spans="1:1">
      <c r="A4112" t="s">
        <v>6080</v>
      </c>
    </row>
    <row r="4113" spans="1:1">
      <c r="A4113" t="s">
        <v>6081</v>
      </c>
    </row>
    <row r="4114" spans="1:1">
      <c r="A4114" t="s">
        <v>6082</v>
      </c>
    </row>
    <row r="4115" spans="1:1">
      <c r="A4115" t="s">
        <v>6083</v>
      </c>
    </row>
    <row r="4116" spans="1:1">
      <c r="A4116" t="s">
        <v>6084</v>
      </c>
    </row>
    <row r="4117" spans="1:1">
      <c r="A4117" t="s">
        <v>6085</v>
      </c>
    </row>
    <row r="4118" spans="1:1">
      <c r="A4118" t="s">
        <v>6086</v>
      </c>
    </row>
    <row r="4119" spans="1:1">
      <c r="A4119" t="s">
        <v>6087</v>
      </c>
    </row>
    <row r="4120" spans="1:1">
      <c r="A4120" t="s">
        <v>6088</v>
      </c>
    </row>
    <row r="4121" spans="1:1">
      <c r="A4121" t="s">
        <v>6089</v>
      </c>
    </row>
    <row r="4122" spans="1:1">
      <c r="A4122" t="s">
        <v>6090</v>
      </c>
    </row>
    <row r="4123" spans="1:1">
      <c r="A4123" t="s">
        <v>6091</v>
      </c>
    </row>
    <row r="4124" spans="1:1">
      <c r="A4124" t="s">
        <v>6092</v>
      </c>
    </row>
    <row r="4125" spans="1:1">
      <c r="A4125" t="s">
        <v>6093</v>
      </c>
    </row>
    <row r="4126" spans="1:1">
      <c r="A4126" t="s">
        <v>6094</v>
      </c>
    </row>
    <row r="4127" spans="1:1">
      <c r="A4127" t="s">
        <v>6095</v>
      </c>
    </row>
    <row r="4128" spans="1:1">
      <c r="A4128" t="s">
        <v>6096</v>
      </c>
    </row>
    <row r="4129" spans="1:1">
      <c r="A4129" t="s">
        <v>6097</v>
      </c>
    </row>
    <row r="4130" spans="1:1">
      <c r="A4130" t="s">
        <v>6098</v>
      </c>
    </row>
    <row r="4131" spans="1:1">
      <c r="A4131" t="s">
        <v>6099</v>
      </c>
    </row>
    <row r="4132" spans="1:1">
      <c r="A4132" t="s">
        <v>6100</v>
      </c>
    </row>
    <row r="4133" spans="1:1">
      <c r="A4133" t="s">
        <v>6101</v>
      </c>
    </row>
    <row r="4134" spans="1:1">
      <c r="A4134" t="s">
        <v>6102</v>
      </c>
    </row>
    <row r="4135" spans="1:1">
      <c r="A4135" t="s">
        <v>6103</v>
      </c>
    </row>
    <row r="4136" spans="1:1">
      <c r="A4136" t="s">
        <v>6104</v>
      </c>
    </row>
    <row r="4137" spans="1:1">
      <c r="A4137" t="s">
        <v>6105</v>
      </c>
    </row>
    <row r="4138" spans="1:1">
      <c r="A4138" t="s">
        <v>6106</v>
      </c>
    </row>
    <row r="4139" spans="1:1">
      <c r="A4139" t="s">
        <v>6107</v>
      </c>
    </row>
    <row r="4140" spans="1:1">
      <c r="A4140" t="s">
        <v>6108</v>
      </c>
    </row>
    <row r="4141" spans="1:1">
      <c r="A4141" t="s">
        <v>6109</v>
      </c>
    </row>
    <row r="4142" spans="1:1">
      <c r="A4142" t="s">
        <v>6110</v>
      </c>
    </row>
    <row r="4143" spans="1:1">
      <c r="A4143" t="s">
        <v>6111</v>
      </c>
    </row>
    <row r="4144" spans="1:1">
      <c r="A4144" t="s">
        <v>6112</v>
      </c>
    </row>
    <row r="4145" spans="1:1">
      <c r="A4145" t="s">
        <v>6113</v>
      </c>
    </row>
    <row r="4146" spans="1:1">
      <c r="A4146" t="s">
        <v>6114</v>
      </c>
    </row>
    <row r="4147" spans="1:1">
      <c r="A4147" t="s">
        <v>6115</v>
      </c>
    </row>
    <row r="4148" spans="1:1">
      <c r="A4148" t="s">
        <v>6116</v>
      </c>
    </row>
    <row r="4149" spans="1:1">
      <c r="A4149" t="s">
        <v>6117</v>
      </c>
    </row>
    <row r="4150" spans="1:1">
      <c r="A4150" t="s">
        <v>6118</v>
      </c>
    </row>
    <row r="4151" spans="1:1">
      <c r="A4151" t="s">
        <v>6119</v>
      </c>
    </row>
    <row r="4152" spans="1:1">
      <c r="A4152" t="s">
        <v>6120</v>
      </c>
    </row>
    <row r="4153" spans="1:1">
      <c r="A4153" t="s">
        <v>6121</v>
      </c>
    </row>
    <row r="4154" spans="1:1">
      <c r="A4154" t="s">
        <v>6122</v>
      </c>
    </row>
    <row r="4155" spans="1:1">
      <c r="A4155" t="s">
        <v>6123</v>
      </c>
    </row>
    <row r="4156" spans="1:1">
      <c r="A4156" t="s">
        <v>6124</v>
      </c>
    </row>
    <row r="4157" spans="1:1">
      <c r="A4157" t="s">
        <v>6125</v>
      </c>
    </row>
    <row r="4158" spans="1:1">
      <c r="A4158" t="s">
        <v>6126</v>
      </c>
    </row>
    <row r="4159" spans="1:1">
      <c r="A4159" t="s">
        <v>6127</v>
      </c>
    </row>
    <row r="4160" spans="1:1">
      <c r="A4160" t="s">
        <v>6128</v>
      </c>
    </row>
    <row r="4161" spans="1:1">
      <c r="A4161" t="s">
        <v>6129</v>
      </c>
    </row>
    <row r="4162" spans="1:1">
      <c r="A4162" t="s">
        <v>6130</v>
      </c>
    </row>
    <row r="4163" spans="1:1">
      <c r="A4163" t="s">
        <v>6131</v>
      </c>
    </row>
    <row r="4164" spans="1:1">
      <c r="A4164" t="s">
        <v>6132</v>
      </c>
    </row>
    <row r="4165" spans="1:1">
      <c r="A4165" t="s">
        <v>6133</v>
      </c>
    </row>
    <row r="4166" spans="1:1">
      <c r="A4166" t="s">
        <v>6134</v>
      </c>
    </row>
    <row r="4167" spans="1:1">
      <c r="A4167" t="s">
        <v>6135</v>
      </c>
    </row>
    <row r="4168" spans="1:1">
      <c r="A4168" t="s">
        <v>6136</v>
      </c>
    </row>
    <row r="4169" spans="1:1">
      <c r="A4169" t="s">
        <v>6137</v>
      </c>
    </row>
    <row r="4170" spans="1:1">
      <c r="A4170" t="s">
        <v>6138</v>
      </c>
    </row>
    <row r="4171" spans="1:1">
      <c r="A4171" t="s">
        <v>6139</v>
      </c>
    </row>
    <row r="4172" spans="1:1">
      <c r="A4172" t="s">
        <v>6140</v>
      </c>
    </row>
    <row r="4173" spans="1:1">
      <c r="A4173" t="s">
        <v>6141</v>
      </c>
    </row>
    <row r="4174" spans="1:1">
      <c r="A4174" t="s">
        <v>6142</v>
      </c>
    </row>
    <row r="4175" spans="1:1">
      <c r="A4175" t="s">
        <v>6143</v>
      </c>
    </row>
    <row r="4176" spans="1:1">
      <c r="A4176" t="s">
        <v>6144</v>
      </c>
    </row>
    <row r="4177" spans="1:1">
      <c r="A4177" t="s">
        <v>6145</v>
      </c>
    </row>
    <row r="4178" spans="1:1">
      <c r="A4178" t="s">
        <v>6146</v>
      </c>
    </row>
    <row r="4179" spans="1:1">
      <c r="A4179" t="s">
        <v>6147</v>
      </c>
    </row>
    <row r="4180" spans="1:1">
      <c r="A4180" t="s">
        <v>6148</v>
      </c>
    </row>
    <row r="4181" spans="1:1">
      <c r="A4181" t="s">
        <v>6149</v>
      </c>
    </row>
    <row r="4182" spans="1:1">
      <c r="A4182" t="s">
        <v>6150</v>
      </c>
    </row>
    <row r="4183" spans="1:1">
      <c r="A4183" t="s">
        <v>6151</v>
      </c>
    </row>
    <row r="4184" spans="1:1">
      <c r="A4184" t="s">
        <v>6152</v>
      </c>
    </row>
    <row r="4185" spans="1:1">
      <c r="A4185" t="s">
        <v>6153</v>
      </c>
    </row>
    <row r="4186" spans="1:1">
      <c r="A4186" t="s">
        <v>6154</v>
      </c>
    </row>
    <row r="4187" spans="1:1">
      <c r="A4187" t="s">
        <v>6155</v>
      </c>
    </row>
    <row r="4188" spans="1:1">
      <c r="A4188" t="s">
        <v>6156</v>
      </c>
    </row>
    <row r="4189" spans="1:1">
      <c r="A4189" t="s">
        <v>6157</v>
      </c>
    </row>
    <row r="4190" spans="1:1">
      <c r="A4190" t="s">
        <v>6158</v>
      </c>
    </row>
    <row r="4191" spans="1:1">
      <c r="A4191" t="s">
        <v>6159</v>
      </c>
    </row>
    <row r="4192" spans="1:1">
      <c r="A4192" t="s">
        <v>6160</v>
      </c>
    </row>
    <row r="4193" spans="1:1">
      <c r="A4193" t="s">
        <v>6161</v>
      </c>
    </row>
    <row r="4194" spans="1:1">
      <c r="A4194" t="s">
        <v>6162</v>
      </c>
    </row>
    <row r="4195" spans="1:1">
      <c r="A4195" t="s">
        <v>6163</v>
      </c>
    </row>
    <row r="4196" spans="1:1">
      <c r="A4196" t="s">
        <v>6164</v>
      </c>
    </row>
    <row r="4197" spans="1:1">
      <c r="A4197" t="s">
        <v>6165</v>
      </c>
    </row>
    <row r="4198" spans="1:1">
      <c r="A4198" t="s">
        <v>6166</v>
      </c>
    </row>
    <row r="4199" spans="1:1">
      <c r="A4199" t="s">
        <v>6167</v>
      </c>
    </row>
    <row r="4200" spans="1:1">
      <c r="A4200" t="s">
        <v>6168</v>
      </c>
    </row>
    <row r="4201" spans="1:1">
      <c r="A4201" t="s">
        <v>6169</v>
      </c>
    </row>
    <row r="4202" spans="1:1">
      <c r="A4202" t="s">
        <v>6170</v>
      </c>
    </row>
    <row r="4203" spans="1:1">
      <c r="A4203" t="s">
        <v>6171</v>
      </c>
    </row>
    <row r="4204" spans="1:1">
      <c r="A4204" t="s">
        <v>6172</v>
      </c>
    </row>
    <row r="4205" spans="1:1">
      <c r="A4205" t="s">
        <v>6173</v>
      </c>
    </row>
    <row r="4206" spans="1:1">
      <c r="A4206" t="s">
        <v>6174</v>
      </c>
    </row>
    <row r="4207" spans="1:1">
      <c r="A4207" t="s">
        <v>6175</v>
      </c>
    </row>
    <row r="4208" spans="1:1">
      <c r="A4208" t="s">
        <v>6176</v>
      </c>
    </row>
    <row r="4209" spans="1:1">
      <c r="A4209" t="s">
        <v>6177</v>
      </c>
    </row>
    <row r="4210" spans="1:1">
      <c r="A4210" t="s">
        <v>6178</v>
      </c>
    </row>
    <row r="4211" spans="1:1">
      <c r="A4211" t="s">
        <v>6179</v>
      </c>
    </row>
    <row r="4212" spans="1:1">
      <c r="A4212" t="s">
        <v>6180</v>
      </c>
    </row>
    <row r="4213" spans="1:1">
      <c r="A4213" t="s">
        <v>6181</v>
      </c>
    </row>
    <row r="4214" spans="1:1">
      <c r="A4214" t="s">
        <v>6182</v>
      </c>
    </row>
    <row r="4215" spans="1:1">
      <c r="A4215" t="s">
        <v>6183</v>
      </c>
    </row>
    <row r="4216" spans="1:1">
      <c r="A4216" t="s">
        <v>6184</v>
      </c>
    </row>
    <row r="4217" spans="1:1">
      <c r="A4217" t="s">
        <v>6185</v>
      </c>
    </row>
    <row r="4218" spans="1:1">
      <c r="A4218" t="s">
        <v>6186</v>
      </c>
    </row>
    <row r="4219" spans="1:1">
      <c r="A4219" t="s">
        <v>6187</v>
      </c>
    </row>
    <row r="4220" spans="1:1">
      <c r="A4220" t="s">
        <v>6188</v>
      </c>
    </row>
    <row r="4221" spans="1:1">
      <c r="A4221" t="s">
        <v>6189</v>
      </c>
    </row>
    <row r="4222" spans="1:1">
      <c r="A4222" t="s">
        <v>6190</v>
      </c>
    </row>
    <row r="4223" spans="1:1">
      <c r="A4223" t="s">
        <v>6191</v>
      </c>
    </row>
    <row r="4224" spans="1:1">
      <c r="A4224" t="s">
        <v>6192</v>
      </c>
    </row>
    <row r="4225" spans="1:1">
      <c r="A4225" t="s">
        <v>6193</v>
      </c>
    </row>
    <row r="4226" spans="1:1">
      <c r="A4226" t="s">
        <v>6194</v>
      </c>
    </row>
    <row r="4227" spans="1:1">
      <c r="A4227" t="s">
        <v>6195</v>
      </c>
    </row>
    <row r="4228" spans="1:1">
      <c r="A4228" t="s">
        <v>6196</v>
      </c>
    </row>
    <row r="4229" spans="1:1">
      <c r="A4229" t="s">
        <v>6197</v>
      </c>
    </row>
    <row r="4230" spans="1:1">
      <c r="A4230" t="s">
        <v>6198</v>
      </c>
    </row>
    <row r="4231" spans="1:1">
      <c r="A4231" t="s">
        <v>6199</v>
      </c>
    </row>
    <row r="4232" spans="1:1">
      <c r="A4232" t="s">
        <v>6200</v>
      </c>
    </row>
    <row r="4233" spans="1:1">
      <c r="A4233" t="s">
        <v>6201</v>
      </c>
    </row>
    <row r="4234" spans="1:1">
      <c r="A4234" t="s">
        <v>6202</v>
      </c>
    </row>
    <row r="4235" spans="1:1">
      <c r="A4235" t="s">
        <v>6203</v>
      </c>
    </row>
    <row r="4236" spans="1:1">
      <c r="A4236" t="s">
        <v>6204</v>
      </c>
    </row>
    <row r="4237" spans="1:1">
      <c r="A4237" t="s">
        <v>6205</v>
      </c>
    </row>
    <row r="4238" spans="1:1">
      <c r="A4238" t="s">
        <v>6206</v>
      </c>
    </row>
    <row r="4239" spans="1:1">
      <c r="A4239" t="s">
        <v>6207</v>
      </c>
    </row>
    <row r="4240" spans="1:1">
      <c r="A4240" t="s">
        <v>6208</v>
      </c>
    </row>
    <row r="4241" spans="1:1">
      <c r="A4241" t="s">
        <v>6209</v>
      </c>
    </row>
    <row r="4242" spans="1:1">
      <c r="A4242" t="s">
        <v>6210</v>
      </c>
    </row>
    <row r="4243" spans="1:1">
      <c r="A4243" t="s">
        <v>6211</v>
      </c>
    </row>
    <row r="4244" spans="1:1">
      <c r="A4244" t="s">
        <v>6212</v>
      </c>
    </row>
    <row r="4245" spans="1:1">
      <c r="A4245" t="s">
        <v>6213</v>
      </c>
    </row>
    <row r="4246" spans="1:1">
      <c r="A4246" t="s">
        <v>6214</v>
      </c>
    </row>
    <row r="4247" spans="1:1">
      <c r="A4247" t="s">
        <v>6215</v>
      </c>
    </row>
    <row r="4248" spans="1:1">
      <c r="A4248" t="s">
        <v>6216</v>
      </c>
    </row>
    <row r="4249" spans="1:1">
      <c r="A4249" t="s">
        <v>6217</v>
      </c>
    </row>
    <row r="4250" spans="1:1">
      <c r="A4250" t="s">
        <v>6218</v>
      </c>
    </row>
    <row r="4251" spans="1:1">
      <c r="A4251" t="s">
        <v>6219</v>
      </c>
    </row>
    <row r="4252" spans="1:1">
      <c r="A4252" t="s">
        <v>6220</v>
      </c>
    </row>
    <row r="4253" spans="1:1">
      <c r="A4253" t="s">
        <v>6221</v>
      </c>
    </row>
    <row r="4254" spans="1:1">
      <c r="A4254" t="s">
        <v>6222</v>
      </c>
    </row>
    <row r="4255" spans="1:1">
      <c r="A4255" t="s">
        <v>6223</v>
      </c>
    </row>
    <row r="4256" spans="1:1">
      <c r="A4256" t="s">
        <v>6224</v>
      </c>
    </row>
    <row r="4257" spans="1:1">
      <c r="A4257" t="s">
        <v>6225</v>
      </c>
    </row>
    <row r="4258" spans="1:1">
      <c r="A4258" t="s">
        <v>6226</v>
      </c>
    </row>
    <row r="4259" spans="1:1">
      <c r="A4259" t="s">
        <v>6227</v>
      </c>
    </row>
    <row r="4260" spans="1:1">
      <c r="A4260" t="s">
        <v>6228</v>
      </c>
    </row>
    <row r="4261" spans="1:1">
      <c r="A4261" t="s">
        <v>6229</v>
      </c>
    </row>
    <row r="4262" spans="1:1">
      <c r="A4262" t="s">
        <v>6230</v>
      </c>
    </row>
    <row r="4263" spans="1:1">
      <c r="A4263" t="s">
        <v>6231</v>
      </c>
    </row>
    <row r="4264" spans="1:1">
      <c r="A4264" t="s">
        <v>6232</v>
      </c>
    </row>
    <row r="4265" spans="1:1">
      <c r="A4265" t="s">
        <v>6233</v>
      </c>
    </row>
    <row r="4266" spans="1:1">
      <c r="A4266" t="s">
        <v>6234</v>
      </c>
    </row>
    <row r="4267" spans="1:1">
      <c r="A4267" t="s">
        <v>6235</v>
      </c>
    </row>
    <row r="4268" spans="1:1">
      <c r="A4268" t="s">
        <v>6236</v>
      </c>
    </row>
    <row r="4269" spans="1:1">
      <c r="A4269" t="s">
        <v>6237</v>
      </c>
    </row>
    <row r="4270" spans="1:1">
      <c r="A4270" t="s">
        <v>6238</v>
      </c>
    </row>
    <row r="4271" spans="1:1">
      <c r="A4271" t="s">
        <v>6239</v>
      </c>
    </row>
    <row r="4272" spans="1:1">
      <c r="A4272" t="s">
        <v>6240</v>
      </c>
    </row>
    <row r="4273" spans="1:1">
      <c r="A4273" t="s">
        <v>6241</v>
      </c>
    </row>
    <row r="4274" spans="1:1">
      <c r="A4274" t="s">
        <v>6242</v>
      </c>
    </row>
    <row r="4275" spans="1:1">
      <c r="A4275" t="s">
        <v>6243</v>
      </c>
    </row>
    <row r="4276" spans="1:1">
      <c r="A4276" t="s">
        <v>6244</v>
      </c>
    </row>
    <row r="4277" spans="1:1">
      <c r="A4277" t="s">
        <v>6245</v>
      </c>
    </row>
    <row r="4278" spans="1:1">
      <c r="A4278" t="s">
        <v>6246</v>
      </c>
    </row>
    <row r="4279" spans="1:1">
      <c r="A4279" t="s">
        <v>6247</v>
      </c>
    </row>
    <row r="4280" spans="1:1">
      <c r="A4280" t="s">
        <v>6248</v>
      </c>
    </row>
    <row r="4281" spans="1:1">
      <c r="A4281" t="s">
        <v>6249</v>
      </c>
    </row>
    <row r="4282" spans="1:1">
      <c r="A4282" t="s">
        <v>6250</v>
      </c>
    </row>
    <row r="4283" spans="1:1">
      <c r="A4283" t="s">
        <v>6251</v>
      </c>
    </row>
    <row r="4284" spans="1:1">
      <c r="A4284" t="s">
        <v>6252</v>
      </c>
    </row>
    <row r="4285" spans="1:1">
      <c r="A4285" t="s">
        <v>6253</v>
      </c>
    </row>
    <row r="4286" spans="1:1">
      <c r="A4286" t="s">
        <v>6254</v>
      </c>
    </row>
    <row r="4287" spans="1:1">
      <c r="A4287" t="s">
        <v>6255</v>
      </c>
    </row>
    <row r="4288" spans="1:1">
      <c r="A4288" t="s">
        <v>6256</v>
      </c>
    </row>
    <row r="4289" spans="1:1">
      <c r="A4289" t="s">
        <v>6257</v>
      </c>
    </row>
    <row r="4290" spans="1:1">
      <c r="A4290" t="s">
        <v>6258</v>
      </c>
    </row>
    <row r="4291" spans="1:1">
      <c r="A4291" t="s">
        <v>6259</v>
      </c>
    </row>
    <row r="4292" spans="1:1">
      <c r="A4292" t="s">
        <v>6260</v>
      </c>
    </row>
    <row r="4293" spans="1:1">
      <c r="A4293" t="s">
        <v>6261</v>
      </c>
    </row>
    <row r="4294" spans="1:1">
      <c r="A4294" t="s">
        <v>6262</v>
      </c>
    </row>
    <row r="4295" spans="1:1">
      <c r="A4295" t="s">
        <v>6263</v>
      </c>
    </row>
    <row r="4296" spans="1:1">
      <c r="A4296" t="s">
        <v>6264</v>
      </c>
    </row>
    <row r="4297" spans="1:1">
      <c r="A4297" t="s">
        <v>6265</v>
      </c>
    </row>
    <row r="4298" spans="1:1">
      <c r="A4298" t="s">
        <v>6266</v>
      </c>
    </row>
    <row r="4299" spans="1:1">
      <c r="A4299" t="s">
        <v>6267</v>
      </c>
    </row>
    <row r="4300" spans="1:1">
      <c r="A4300" t="s">
        <v>6268</v>
      </c>
    </row>
    <row r="4301" spans="1:1">
      <c r="A4301" t="s">
        <v>6269</v>
      </c>
    </row>
    <row r="4302" spans="1:1">
      <c r="A4302" t="s">
        <v>6270</v>
      </c>
    </row>
    <row r="4303" spans="1:1">
      <c r="A4303" t="s">
        <v>6271</v>
      </c>
    </row>
    <row r="4304" spans="1:1">
      <c r="A4304" t="s">
        <v>6272</v>
      </c>
    </row>
    <row r="4305" spans="1:1">
      <c r="A4305" t="s">
        <v>6273</v>
      </c>
    </row>
    <row r="4306" spans="1:1">
      <c r="A4306" t="s">
        <v>6274</v>
      </c>
    </row>
    <row r="4307" spans="1:1">
      <c r="A4307" t="s">
        <v>6275</v>
      </c>
    </row>
    <row r="4308" spans="1:1">
      <c r="A4308" t="s">
        <v>6276</v>
      </c>
    </row>
    <row r="4309" spans="1:1">
      <c r="A4309" t="s">
        <v>6277</v>
      </c>
    </row>
    <row r="4310" spans="1:1">
      <c r="A4310" t="s">
        <v>6278</v>
      </c>
    </row>
    <row r="4311" spans="1:1">
      <c r="A4311" t="s">
        <v>6279</v>
      </c>
    </row>
    <row r="4312" spans="1:1">
      <c r="A4312" t="s">
        <v>6280</v>
      </c>
    </row>
    <row r="4313" spans="1:1">
      <c r="A4313" t="s">
        <v>6281</v>
      </c>
    </row>
    <row r="4314" spans="1:1">
      <c r="A4314" t="s">
        <v>6282</v>
      </c>
    </row>
    <row r="4315" spans="1:1">
      <c r="A4315" t="s">
        <v>6283</v>
      </c>
    </row>
    <row r="4316" spans="1:1">
      <c r="A4316" t="s">
        <v>6284</v>
      </c>
    </row>
    <row r="4317" spans="1:1">
      <c r="A4317" t="s">
        <v>6285</v>
      </c>
    </row>
    <row r="4318" spans="1:1">
      <c r="A4318" t="s">
        <v>6286</v>
      </c>
    </row>
    <row r="4319" spans="1:1">
      <c r="A4319" t="s">
        <v>6287</v>
      </c>
    </row>
    <row r="4320" spans="1:1">
      <c r="A4320" t="s">
        <v>6288</v>
      </c>
    </row>
    <row r="4321" spans="1:1">
      <c r="A4321" t="s">
        <v>6289</v>
      </c>
    </row>
    <row r="4322" spans="1:1">
      <c r="A4322" t="s">
        <v>6290</v>
      </c>
    </row>
    <row r="4323" spans="1:1">
      <c r="A4323" t="s">
        <v>6291</v>
      </c>
    </row>
    <row r="4324" spans="1:1">
      <c r="A4324" t="s">
        <v>6292</v>
      </c>
    </row>
    <row r="4325" spans="1:1">
      <c r="A4325" t="s">
        <v>6293</v>
      </c>
    </row>
    <row r="4326" spans="1:1">
      <c r="A4326" t="s">
        <v>6294</v>
      </c>
    </row>
    <row r="4327" spans="1:1">
      <c r="A4327" t="s">
        <v>6295</v>
      </c>
    </row>
    <row r="4328" spans="1:1">
      <c r="A4328" t="s">
        <v>6296</v>
      </c>
    </row>
    <row r="4329" spans="1:1">
      <c r="A4329" t="s">
        <v>6297</v>
      </c>
    </row>
    <row r="4330" spans="1:1">
      <c r="A4330" t="s">
        <v>6298</v>
      </c>
    </row>
    <row r="4331" spans="1:1">
      <c r="A4331" t="s">
        <v>6299</v>
      </c>
    </row>
    <row r="4332" spans="1:1">
      <c r="A4332" t="s">
        <v>6300</v>
      </c>
    </row>
    <row r="4333" spans="1:1">
      <c r="A4333" t="s">
        <v>6301</v>
      </c>
    </row>
    <row r="4334" spans="1:1">
      <c r="A4334" t="s">
        <v>6302</v>
      </c>
    </row>
    <row r="4335" spans="1:1">
      <c r="A4335" t="s">
        <v>6303</v>
      </c>
    </row>
    <row r="4336" spans="1:1">
      <c r="A4336" t="s">
        <v>6304</v>
      </c>
    </row>
    <row r="4337" spans="1:1">
      <c r="A4337" t="s">
        <v>6305</v>
      </c>
    </row>
    <row r="4338" spans="1:1">
      <c r="A4338" t="s">
        <v>6306</v>
      </c>
    </row>
    <row r="4339" spans="1:1">
      <c r="A4339" t="s">
        <v>6307</v>
      </c>
    </row>
    <row r="4340" spans="1:1">
      <c r="A4340" t="s">
        <v>6308</v>
      </c>
    </row>
    <row r="4341" spans="1:1">
      <c r="A4341" t="s">
        <v>6309</v>
      </c>
    </row>
    <row r="4342" spans="1:1">
      <c r="A4342" t="s">
        <v>6310</v>
      </c>
    </row>
    <row r="4343" spans="1:1">
      <c r="A4343" t="s">
        <v>6311</v>
      </c>
    </row>
    <row r="4344" spans="1:1">
      <c r="A4344" t="s">
        <v>6312</v>
      </c>
    </row>
    <row r="4345" spans="1:1">
      <c r="A4345" t="s">
        <v>6313</v>
      </c>
    </row>
    <row r="4346" spans="1:1">
      <c r="A4346" t="s">
        <v>6314</v>
      </c>
    </row>
    <row r="4347" spans="1:1">
      <c r="A4347" t="s">
        <v>6315</v>
      </c>
    </row>
    <row r="4348" spans="1:1">
      <c r="A4348" t="s">
        <v>6316</v>
      </c>
    </row>
    <row r="4349" spans="1:1">
      <c r="A4349" t="s">
        <v>6317</v>
      </c>
    </row>
    <row r="4350" spans="1:1">
      <c r="A4350" t="s">
        <v>6318</v>
      </c>
    </row>
    <row r="4351" spans="1:1">
      <c r="A4351" t="s">
        <v>6319</v>
      </c>
    </row>
    <row r="4352" spans="1:1">
      <c r="A4352" t="s">
        <v>6320</v>
      </c>
    </row>
    <row r="4353" spans="1:1">
      <c r="A4353" t="s">
        <v>6321</v>
      </c>
    </row>
    <row r="4354" spans="1:1">
      <c r="A4354" t="s">
        <v>6322</v>
      </c>
    </row>
    <row r="4355" spans="1:1">
      <c r="A4355" t="s">
        <v>6323</v>
      </c>
    </row>
    <row r="4356" spans="1:1">
      <c r="A4356" t="s">
        <v>6324</v>
      </c>
    </row>
    <row r="4357" spans="1:1">
      <c r="A4357" t="s">
        <v>6325</v>
      </c>
    </row>
    <row r="4358" spans="1:1">
      <c r="A4358" t="s">
        <v>6326</v>
      </c>
    </row>
    <row r="4359" spans="1:1">
      <c r="A4359" t="s">
        <v>6327</v>
      </c>
    </row>
    <row r="4360" spans="1:1">
      <c r="A4360" t="s">
        <v>6328</v>
      </c>
    </row>
    <row r="4361" spans="1:1">
      <c r="A4361" t="s">
        <v>6329</v>
      </c>
    </row>
    <row r="4362" spans="1:1">
      <c r="A4362" t="s">
        <v>6330</v>
      </c>
    </row>
    <row r="4363" spans="1:1">
      <c r="A4363" t="s">
        <v>6331</v>
      </c>
    </row>
    <row r="4364" spans="1:1">
      <c r="A4364" t="s">
        <v>6332</v>
      </c>
    </row>
    <row r="4365" spans="1:1">
      <c r="A4365" t="s">
        <v>6333</v>
      </c>
    </row>
    <row r="4366" spans="1:1">
      <c r="A4366" t="s">
        <v>6334</v>
      </c>
    </row>
    <row r="4367" spans="1:1">
      <c r="A4367" t="s">
        <v>6335</v>
      </c>
    </row>
    <row r="4368" spans="1:1">
      <c r="A4368" t="s">
        <v>6336</v>
      </c>
    </row>
    <row r="4369" spans="1:1">
      <c r="A4369" t="s">
        <v>6337</v>
      </c>
    </row>
    <row r="4370" spans="1:1">
      <c r="A4370" t="s">
        <v>6338</v>
      </c>
    </row>
    <row r="4371" spans="1:1">
      <c r="A4371" t="s">
        <v>6339</v>
      </c>
    </row>
    <row r="4372" spans="1:1">
      <c r="A4372" t="s">
        <v>6340</v>
      </c>
    </row>
    <row r="4373" spans="1:1">
      <c r="A4373" t="s">
        <v>6341</v>
      </c>
    </row>
    <row r="4374" spans="1:1">
      <c r="A4374" t="s">
        <v>6342</v>
      </c>
    </row>
    <row r="4375" spans="1:1">
      <c r="A4375" t="s">
        <v>6343</v>
      </c>
    </row>
    <row r="4376" spans="1:1">
      <c r="A4376" t="s">
        <v>6344</v>
      </c>
    </row>
    <row r="4377" spans="1:1">
      <c r="A4377" t="s">
        <v>6345</v>
      </c>
    </row>
    <row r="4378" spans="1:1">
      <c r="A4378" t="s">
        <v>6346</v>
      </c>
    </row>
    <row r="4379" spans="1:1">
      <c r="A4379" t="s">
        <v>6347</v>
      </c>
    </row>
    <row r="4380" spans="1:1">
      <c r="A4380" t="s">
        <v>6348</v>
      </c>
    </row>
    <row r="4381" spans="1:1">
      <c r="A4381" t="s">
        <v>6349</v>
      </c>
    </row>
    <row r="4382" spans="1:1">
      <c r="A4382" t="s">
        <v>6350</v>
      </c>
    </row>
    <row r="4383" spans="1:1">
      <c r="A4383" t="s">
        <v>6351</v>
      </c>
    </row>
    <row r="4384" spans="1:1">
      <c r="A4384" t="s">
        <v>6352</v>
      </c>
    </row>
    <row r="4385" spans="1:1">
      <c r="A4385" t="s">
        <v>6353</v>
      </c>
    </row>
    <row r="4386" spans="1:1">
      <c r="A4386" t="s">
        <v>6354</v>
      </c>
    </row>
    <row r="4387" spans="1:1">
      <c r="A4387" t="s">
        <v>6355</v>
      </c>
    </row>
    <row r="4388" spans="1:1">
      <c r="A4388" t="s">
        <v>6356</v>
      </c>
    </row>
    <row r="4389" spans="1:1">
      <c r="A4389" t="s">
        <v>6357</v>
      </c>
    </row>
    <row r="4390" spans="1:1">
      <c r="A4390" t="s">
        <v>6358</v>
      </c>
    </row>
    <row r="4391" spans="1:1">
      <c r="A4391" t="s">
        <v>6359</v>
      </c>
    </row>
    <row r="4392" spans="1:1">
      <c r="A4392" t="s">
        <v>6360</v>
      </c>
    </row>
    <row r="4393" spans="1:1">
      <c r="A4393" t="s">
        <v>6361</v>
      </c>
    </row>
    <row r="4394" spans="1:1">
      <c r="A4394" t="s">
        <v>6362</v>
      </c>
    </row>
    <row r="4395" spans="1:1">
      <c r="A4395" t="s">
        <v>6363</v>
      </c>
    </row>
    <row r="4396" spans="1:1">
      <c r="A4396" t="s">
        <v>6364</v>
      </c>
    </row>
    <row r="4397" spans="1:1">
      <c r="A4397" t="s">
        <v>6365</v>
      </c>
    </row>
    <row r="4398" spans="1:1">
      <c r="A4398" t="s">
        <v>6366</v>
      </c>
    </row>
    <row r="4399" spans="1:1">
      <c r="A4399" t="s">
        <v>6367</v>
      </c>
    </row>
    <row r="4400" spans="1:1">
      <c r="A4400" t="s">
        <v>6368</v>
      </c>
    </row>
    <row r="4401" spans="1:1">
      <c r="A4401" t="s">
        <v>6369</v>
      </c>
    </row>
    <row r="4402" spans="1:1">
      <c r="A4402" t="s">
        <v>6370</v>
      </c>
    </row>
    <row r="4403" spans="1:1">
      <c r="A4403" t="s">
        <v>6371</v>
      </c>
    </row>
    <row r="4404" spans="1:1">
      <c r="A4404" t="s">
        <v>6372</v>
      </c>
    </row>
    <row r="4405" spans="1:1">
      <c r="A4405" t="s">
        <v>6373</v>
      </c>
    </row>
    <row r="4406" spans="1:1">
      <c r="A4406" t="s">
        <v>6374</v>
      </c>
    </row>
    <row r="4407" spans="1:1">
      <c r="A4407" t="s">
        <v>6375</v>
      </c>
    </row>
    <row r="4408" spans="1:1">
      <c r="A4408" t="s">
        <v>6376</v>
      </c>
    </row>
    <row r="4409" spans="1:1">
      <c r="A4409" t="s">
        <v>6377</v>
      </c>
    </row>
    <row r="4410" spans="1:1">
      <c r="A4410" t="s">
        <v>6378</v>
      </c>
    </row>
    <row r="4411" spans="1:1">
      <c r="A4411" t="s">
        <v>6379</v>
      </c>
    </row>
    <row r="4412" spans="1:1">
      <c r="A4412" t="s">
        <v>6380</v>
      </c>
    </row>
    <row r="4413" spans="1:1">
      <c r="A4413" t="s">
        <v>6381</v>
      </c>
    </row>
    <row r="4414" spans="1:1">
      <c r="A4414" t="s">
        <v>6382</v>
      </c>
    </row>
    <row r="4415" spans="1:1">
      <c r="A4415" t="s">
        <v>6383</v>
      </c>
    </row>
    <row r="4416" spans="1:1">
      <c r="A4416" t="s">
        <v>6384</v>
      </c>
    </row>
    <row r="4417" spans="1:1">
      <c r="A4417" t="s">
        <v>6385</v>
      </c>
    </row>
    <row r="4418" spans="1:1">
      <c r="A4418" t="s">
        <v>6386</v>
      </c>
    </row>
    <row r="4419" spans="1:1">
      <c r="A4419" t="s">
        <v>6387</v>
      </c>
    </row>
    <row r="4420" spans="1:1">
      <c r="A4420" t="s">
        <v>6388</v>
      </c>
    </row>
    <row r="4421" spans="1:1">
      <c r="A4421" t="s">
        <v>6389</v>
      </c>
    </row>
    <row r="4422" spans="1:1">
      <c r="A4422" t="s">
        <v>6390</v>
      </c>
    </row>
    <row r="4423" spans="1:1">
      <c r="A4423" t="s">
        <v>6391</v>
      </c>
    </row>
    <row r="4424" spans="1:1">
      <c r="A4424" t="s">
        <v>6392</v>
      </c>
    </row>
    <row r="4425" spans="1:1">
      <c r="A4425" t="s">
        <v>6393</v>
      </c>
    </row>
    <row r="4426" spans="1:1">
      <c r="A4426" t="s">
        <v>6394</v>
      </c>
    </row>
    <row r="4427" spans="1:1">
      <c r="A4427" t="s">
        <v>6395</v>
      </c>
    </row>
    <row r="4428" spans="1:1">
      <c r="A4428" t="s">
        <v>6396</v>
      </c>
    </row>
    <row r="4429" spans="1:1">
      <c r="A4429" t="s">
        <v>6397</v>
      </c>
    </row>
    <row r="4430" spans="1:1">
      <c r="A4430" t="s">
        <v>6398</v>
      </c>
    </row>
    <row r="4431" spans="1:1">
      <c r="A4431" t="s">
        <v>6399</v>
      </c>
    </row>
    <row r="4432" spans="1:1">
      <c r="A4432" t="s">
        <v>6400</v>
      </c>
    </row>
    <row r="4433" spans="1:1">
      <c r="A4433" t="s">
        <v>6401</v>
      </c>
    </row>
    <row r="4434" spans="1:1">
      <c r="A4434" t="s">
        <v>6402</v>
      </c>
    </row>
    <row r="4435" spans="1:1">
      <c r="A4435" t="s">
        <v>6403</v>
      </c>
    </row>
    <row r="4436" spans="1:1">
      <c r="A4436" t="s">
        <v>6404</v>
      </c>
    </row>
    <row r="4437" spans="1:1">
      <c r="A4437" t="s">
        <v>6405</v>
      </c>
    </row>
    <row r="4438" spans="1:1">
      <c r="A4438" t="s">
        <v>6406</v>
      </c>
    </row>
    <row r="4439" spans="1:1">
      <c r="A4439" t="s">
        <v>6407</v>
      </c>
    </row>
    <row r="4440" spans="1:1">
      <c r="A4440" t="s">
        <v>6408</v>
      </c>
    </row>
    <row r="4441" spans="1:1">
      <c r="A4441" t="s">
        <v>6409</v>
      </c>
    </row>
    <row r="4442" spans="1:1">
      <c r="A4442" t="s">
        <v>6410</v>
      </c>
    </row>
    <row r="4443" spans="1:1">
      <c r="A4443" t="s">
        <v>6411</v>
      </c>
    </row>
    <row r="4444" spans="1:1">
      <c r="A4444" t="s">
        <v>6412</v>
      </c>
    </row>
    <row r="4445" spans="1:1">
      <c r="A4445" t="s">
        <v>6413</v>
      </c>
    </row>
    <row r="4446" spans="1:1">
      <c r="A4446" t="s">
        <v>6414</v>
      </c>
    </row>
    <row r="4447" spans="1:1">
      <c r="A4447" t="s">
        <v>6415</v>
      </c>
    </row>
    <row r="4448" spans="1:1">
      <c r="A4448" t="s">
        <v>6416</v>
      </c>
    </row>
    <row r="4449" spans="1:1">
      <c r="A4449" t="s">
        <v>6417</v>
      </c>
    </row>
    <row r="4450" spans="1:1">
      <c r="A4450" t="s">
        <v>6418</v>
      </c>
    </row>
    <row r="4451" spans="1:1">
      <c r="A4451" t="s">
        <v>6419</v>
      </c>
    </row>
    <row r="4452" spans="1:1">
      <c r="A4452" t="s">
        <v>6420</v>
      </c>
    </row>
    <row r="4453" spans="1:1">
      <c r="A4453" t="s">
        <v>6421</v>
      </c>
    </row>
    <row r="4454" spans="1:1">
      <c r="A4454" t="s">
        <v>6422</v>
      </c>
    </row>
    <row r="4455" spans="1:1">
      <c r="A4455" t="s">
        <v>6423</v>
      </c>
    </row>
    <row r="4456" spans="1:1">
      <c r="A4456" t="s">
        <v>6424</v>
      </c>
    </row>
    <row r="4457" spans="1:1">
      <c r="A4457" t="s">
        <v>6425</v>
      </c>
    </row>
    <row r="4458" spans="1:1">
      <c r="A4458" t="s">
        <v>6426</v>
      </c>
    </row>
    <row r="4459" spans="1:1">
      <c r="A4459" t="s">
        <v>6427</v>
      </c>
    </row>
    <row r="4460" spans="1:1">
      <c r="A4460" t="s">
        <v>6428</v>
      </c>
    </row>
    <row r="4461" spans="1:1">
      <c r="A4461" t="s">
        <v>6429</v>
      </c>
    </row>
    <row r="4462" spans="1:1">
      <c r="A4462" t="s">
        <v>6430</v>
      </c>
    </row>
    <row r="4463" spans="1:1">
      <c r="A4463" t="s">
        <v>6431</v>
      </c>
    </row>
    <row r="4464" spans="1:1">
      <c r="A4464" t="s">
        <v>6432</v>
      </c>
    </row>
    <row r="4465" spans="1:1">
      <c r="A4465" t="s">
        <v>6433</v>
      </c>
    </row>
    <row r="4466" spans="1:1">
      <c r="A4466" t="s">
        <v>6434</v>
      </c>
    </row>
    <row r="4467" spans="1:1">
      <c r="A4467" t="s">
        <v>6435</v>
      </c>
    </row>
    <row r="4468" spans="1:1">
      <c r="A4468" t="s">
        <v>6436</v>
      </c>
    </row>
    <row r="4469" spans="1:1">
      <c r="A4469" t="s">
        <v>6437</v>
      </c>
    </row>
    <row r="4470" spans="1:1">
      <c r="A4470" t="s">
        <v>6438</v>
      </c>
    </row>
    <row r="4471" spans="1:1">
      <c r="A4471" t="s">
        <v>6439</v>
      </c>
    </row>
    <row r="4472" spans="1:1">
      <c r="A4472" t="s">
        <v>6440</v>
      </c>
    </row>
    <row r="4473" spans="1:1">
      <c r="A4473" t="s">
        <v>6441</v>
      </c>
    </row>
    <row r="4474" spans="1:1">
      <c r="A4474" t="s">
        <v>6442</v>
      </c>
    </row>
    <row r="4475" spans="1:1">
      <c r="A4475" t="s">
        <v>6443</v>
      </c>
    </row>
    <row r="4476" spans="1:1">
      <c r="A4476" t="s">
        <v>6444</v>
      </c>
    </row>
    <row r="4477" spans="1:1">
      <c r="A4477" t="s">
        <v>6445</v>
      </c>
    </row>
    <row r="4478" spans="1:1">
      <c r="A4478" t="s">
        <v>6446</v>
      </c>
    </row>
    <row r="4479" spans="1:1">
      <c r="A4479" t="s">
        <v>6447</v>
      </c>
    </row>
    <row r="4480" spans="1:1">
      <c r="A4480" t="s">
        <v>6448</v>
      </c>
    </row>
    <row r="4481" spans="1:1">
      <c r="A4481" t="s">
        <v>6449</v>
      </c>
    </row>
    <row r="4482" spans="1:1">
      <c r="A4482" t="s">
        <v>6450</v>
      </c>
    </row>
    <row r="4483" spans="1:1">
      <c r="A4483" t="s">
        <v>6451</v>
      </c>
    </row>
    <row r="4484" spans="1:1">
      <c r="A4484" t="s">
        <v>6452</v>
      </c>
    </row>
    <row r="4485" spans="1:1">
      <c r="A4485" t="s">
        <v>6453</v>
      </c>
    </row>
    <row r="4486" spans="1:1">
      <c r="A4486" t="s">
        <v>6454</v>
      </c>
    </row>
    <row r="4487" spans="1:1">
      <c r="A4487" t="s">
        <v>6455</v>
      </c>
    </row>
    <row r="4488" spans="1:1">
      <c r="A4488" t="s">
        <v>6456</v>
      </c>
    </row>
    <row r="4489" spans="1:1">
      <c r="A4489" t="s">
        <v>6457</v>
      </c>
    </row>
    <row r="4490" spans="1:1">
      <c r="A4490" t="s">
        <v>6458</v>
      </c>
    </row>
    <row r="4491" spans="1:1">
      <c r="A4491" t="s">
        <v>6459</v>
      </c>
    </row>
    <row r="4492" spans="1:1">
      <c r="A4492" t="s">
        <v>6460</v>
      </c>
    </row>
    <row r="4493" spans="1:1">
      <c r="A4493" t="s">
        <v>6461</v>
      </c>
    </row>
    <row r="4494" spans="1:1">
      <c r="A4494" t="s">
        <v>6462</v>
      </c>
    </row>
    <row r="4495" spans="1:1">
      <c r="A4495" t="s">
        <v>6463</v>
      </c>
    </row>
    <row r="4496" spans="1:1">
      <c r="A4496" t="s">
        <v>6464</v>
      </c>
    </row>
    <row r="4497" spans="1:1">
      <c r="A4497" t="s">
        <v>6465</v>
      </c>
    </row>
    <row r="4498" spans="1:1">
      <c r="A4498" t="s">
        <v>6466</v>
      </c>
    </row>
    <row r="4499" spans="1:1">
      <c r="A4499" t="s">
        <v>6467</v>
      </c>
    </row>
    <row r="4500" spans="1:1">
      <c r="A4500" t="s">
        <v>6468</v>
      </c>
    </row>
    <row r="4501" spans="1:1">
      <c r="A4501" t="s">
        <v>6469</v>
      </c>
    </row>
    <row r="4502" spans="1:1">
      <c r="A4502" t="s">
        <v>6470</v>
      </c>
    </row>
    <row r="4503" spans="1:1">
      <c r="A4503" t="s">
        <v>6471</v>
      </c>
    </row>
    <row r="4504" spans="1:1">
      <c r="A4504" t="s">
        <v>6472</v>
      </c>
    </row>
    <row r="4505" spans="1:1">
      <c r="A4505" t="s">
        <v>6473</v>
      </c>
    </row>
    <row r="4506" spans="1:1">
      <c r="A4506" t="s">
        <v>6474</v>
      </c>
    </row>
    <row r="4507" spans="1:1">
      <c r="A4507" t="s">
        <v>6475</v>
      </c>
    </row>
    <row r="4508" spans="1:1">
      <c r="A4508" t="s">
        <v>6476</v>
      </c>
    </row>
    <row r="4509" spans="1:1">
      <c r="A4509" t="s">
        <v>6477</v>
      </c>
    </row>
    <row r="4510" spans="1:1">
      <c r="A4510" t="s">
        <v>6478</v>
      </c>
    </row>
    <row r="4511" spans="1:1">
      <c r="A4511" t="s">
        <v>6479</v>
      </c>
    </row>
    <row r="4512" spans="1:1">
      <c r="A4512" t="s">
        <v>6480</v>
      </c>
    </row>
    <row r="4513" spans="1:1">
      <c r="A4513" t="s">
        <v>6481</v>
      </c>
    </row>
    <row r="4514" spans="1:1">
      <c r="A4514" t="s">
        <v>6482</v>
      </c>
    </row>
    <row r="4515" spans="1:1">
      <c r="A4515" t="s">
        <v>6483</v>
      </c>
    </row>
    <row r="4516" spans="1:1">
      <c r="A4516" t="s">
        <v>6484</v>
      </c>
    </row>
    <row r="4517" spans="1:1">
      <c r="A4517" t="s">
        <v>6485</v>
      </c>
    </row>
    <row r="4518" spans="1:1">
      <c r="A4518" t="s">
        <v>6486</v>
      </c>
    </row>
    <row r="4519" spans="1:1">
      <c r="A4519" t="s">
        <v>6487</v>
      </c>
    </row>
    <row r="4520" spans="1:1">
      <c r="A4520" t="s">
        <v>6488</v>
      </c>
    </row>
    <row r="4521" spans="1:1">
      <c r="A4521" t="s">
        <v>6489</v>
      </c>
    </row>
    <row r="4522" spans="1:1">
      <c r="A4522" t="s">
        <v>6490</v>
      </c>
    </row>
    <row r="4523" spans="1:1">
      <c r="A4523" t="s">
        <v>6491</v>
      </c>
    </row>
    <row r="4524" spans="1:1">
      <c r="A4524" t="s">
        <v>6492</v>
      </c>
    </row>
    <row r="4525" spans="1:1">
      <c r="A4525" t="s">
        <v>6493</v>
      </c>
    </row>
    <row r="4526" spans="1:1">
      <c r="A4526" t="s">
        <v>6494</v>
      </c>
    </row>
    <row r="4527" spans="1:1">
      <c r="A4527" t="s">
        <v>6495</v>
      </c>
    </row>
    <row r="4528" spans="1:1">
      <c r="A4528" t="s">
        <v>6496</v>
      </c>
    </row>
    <row r="4529" spans="1:1">
      <c r="A4529" t="s">
        <v>6497</v>
      </c>
    </row>
    <row r="4530" spans="1:1">
      <c r="A4530" t="s">
        <v>6498</v>
      </c>
    </row>
    <row r="4531" spans="1:1">
      <c r="A4531" t="s">
        <v>6499</v>
      </c>
    </row>
    <row r="4532" spans="1:1">
      <c r="A4532" t="s">
        <v>6500</v>
      </c>
    </row>
    <row r="4533" spans="1:1">
      <c r="A4533" t="s">
        <v>6501</v>
      </c>
    </row>
    <row r="4534" spans="1:1">
      <c r="A4534" t="s">
        <v>6502</v>
      </c>
    </row>
    <row r="4535" spans="1:1">
      <c r="A4535" t="s">
        <v>6503</v>
      </c>
    </row>
    <row r="4536" spans="1:1">
      <c r="A4536" t="s">
        <v>6504</v>
      </c>
    </row>
    <row r="4537" spans="1:1">
      <c r="A4537" t="s">
        <v>6505</v>
      </c>
    </row>
    <row r="4538" spans="1:1">
      <c r="A4538" t="s">
        <v>6506</v>
      </c>
    </row>
    <row r="4539" spans="1:1">
      <c r="A4539" t="s">
        <v>6507</v>
      </c>
    </row>
    <row r="4540" spans="1:1">
      <c r="A4540" t="s">
        <v>6508</v>
      </c>
    </row>
    <row r="4541" spans="1:1">
      <c r="A4541" t="s">
        <v>6509</v>
      </c>
    </row>
    <row r="4542" spans="1:1">
      <c r="A4542" t="s">
        <v>6510</v>
      </c>
    </row>
    <row r="4543" spans="1:1">
      <c r="A4543" t="s">
        <v>6511</v>
      </c>
    </row>
    <row r="4544" spans="1:1">
      <c r="A4544" t="s">
        <v>6512</v>
      </c>
    </row>
    <row r="4545" spans="1:1">
      <c r="A4545" t="s">
        <v>6513</v>
      </c>
    </row>
    <row r="4546" spans="1:1">
      <c r="A4546" t="s">
        <v>6514</v>
      </c>
    </row>
    <row r="4547" spans="1:1">
      <c r="A4547" t="s">
        <v>6515</v>
      </c>
    </row>
    <row r="4548" spans="1:1">
      <c r="A4548" t="s">
        <v>6516</v>
      </c>
    </row>
    <row r="4549" spans="1:1">
      <c r="A4549" t="s">
        <v>6517</v>
      </c>
    </row>
    <row r="4550" spans="1:1">
      <c r="A4550" t="s">
        <v>6518</v>
      </c>
    </row>
    <row r="4551" spans="1:1">
      <c r="A4551" t="s">
        <v>6519</v>
      </c>
    </row>
    <row r="4552" spans="1:1">
      <c r="A4552" t="s">
        <v>6520</v>
      </c>
    </row>
    <row r="4553" spans="1:1">
      <c r="A4553" t="s">
        <v>6521</v>
      </c>
    </row>
    <row r="4554" spans="1:1">
      <c r="A4554" t="s">
        <v>6522</v>
      </c>
    </row>
    <row r="4555" spans="1:1">
      <c r="A4555" t="s">
        <v>6523</v>
      </c>
    </row>
    <row r="4556" spans="1:1">
      <c r="A4556" t="s">
        <v>6524</v>
      </c>
    </row>
    <row r="4557" spans="1:1">
      <c r="A4557" t="s">
        <v>6525</v>
      </c>
    </row>
    <row r="4558" spans="1:1">
      <c r="A4558" t="s">
        <v>6526</v>
      </c>
    </row>
    <row r="4559" spans="1:1">
      <c r="A4559" t="s">
        <v>6527</v>
      </c>
    </row>
    <row r="4560" spans="1:1">
      <c r="A4560" t="s">
        <v>6528</v>
      </c>
    </row>
    <row r="4561" spans="1:1">
      <c r="A4561" t="s">
        <v>6529</v>
      </c>
    </row>
    <row r="4562" spans="1:1">
      <c r="A4562" t="s">
        <v>6530</v>
      </c>
    </row>
    <row r="4563" spans="1:1">
      <c r="A4563" t="s">
        <v>6531</v>
      </c>
    </row>
    <row r="4564" spans="1:1">
      <c r="A4564" t="s">
        <v>6532</v>
      </c>
    </row>
    <row r="4565" spans="1:1">
      <c r="A4565" t="s">
        <v>6533</v>
      </c>
    </row>
    <row r="4566" spans="1:1">
      <c r="A4566" t="s">
        <v>6534</v>
      </c>
    </row>
    <row r="4567" spans="1:1">
      <c r="A4567" t="s">
        <v>6535</v>
      </c>
    </row>
    <row r="4568" spans="1:1">
      <c r="A4568" t="s">
        <v>6536</v>
      </c>
    </row>
    <row r="4569" spans="1:1">
      <c r="A4569" t="s">
        <v>6537</v>
      </c>
    </row>
    <row r="4570" spans="1:1">
      <c r="A4570" t="s">
        <v>6538</v>
      </c>
    </row>
    <row r="4571" spans="1:1">
      <c r="A4571" t="s">
        <v>6539</v>
      </c>
    </row>
    <row r="4572" spans="1:1">
      <c r="A4572" t="s">
        <v>6540</v>
      </c>
    </row>
    <row r="4573" spans="1:1">
      <c r="A4573" t="s">
        <v>6541</v>
      </c>
    </row>
    <row r="4574" spans="1:1">
      <c r="A4574" t="s">
        <v>6542</v>
      </c>
    </row>
    <row r="4575" spans="1:1">
      <c r="A4575" t="s">
        <v>6543</v>
      </c>
    </row>
    <row r="4576" spans="1:1">
      <c r="A4576" t="s">
        <v>6544</v>
      </c>
    </row>
    <row r="4577" spans="1:1">
      <c r="A4577" t="s">
        <v>6545</v>
      </c>
    </row>
    <row r="4578" spans="1:1">
      <c r="A4578" t="s">
        <v>6546</v>
      </c>
    </row>
    <row r="4579" spans="1:1">
      <c r="A4579" t="s">
        <v>6547</v>
      </c>
    </row>
    <row r="4580" spans="1:1">
      <c r="A4580" t="s">
        <v>6548</v>
      </c>
    </row>
    <row r="4581" spans="1:1">
      <c r="A4581" t="s">
        <v>6549</v>
      </c>
    </row>
    <row r="4582" spans="1:1">
      <c r="A4582" t="s">
        <v>6550</v>
      </c>
    </row>
    <row r="4583" spans="1:1">
      <c r="A4583" t="s">
        <v>6551</v>
      </c>
    </row>
    <row r="4584" spans="1:1">
      <c r="A4584" t="s">
        <v>6552</v>
      </c>
    </row>
    <row r="4585" spans="1:1">
      <c r="A4585" t="s">
        <v>6553</v>
      </c>
    </row>
    <row r="4586" spans="1:1">
      <c r="A4586" t="s">
        <v>6554</v>
      </c>
    </row>
    <row r="4587" spans="1:1">
      <c r="A4587" t="s">
        <v>6555</v>
      </c>
    </row>
    <row r="4588" spans="1:1">
      <c r="A4588" t="s">
        <v>6556</v>
      </c>
    </row>
    <row r="4589" spans="1:1">
      <c r="A4589" t="s">
        <v>6557</v>
      </c>
    </row>
    <row r="4590" spans="1:1">
      <c r="A4590" t="s">
        <v>6558</v>
      </c>
    </row>
    <row r="4591" spans="1:1">
      <c r="A4591" t="s">
        <v>6559</v>
      </c>
    </row>
    <row r="4592" spans="1:1">
      <c r="A4592" t="s">
        <v>6560</v>
      </c>
    </row>
    <row r="4593" spans="1:1">
      <c r="A4593" t="s">
        <v>6561</v>
      </c>
    </row>
    <row r="4594" spans="1:1">
      <c r="A4594" t="s">
        <v>6562</v>
      </c>
    </row>
    <row r="4595" spans="1:1">
      <c r="A4595" t="s">
        <v>6563</v>
      </c>
    </row>
    <row r="4596" spans="1:1">
      <c r="A4596" t="s">
        <v>6564</v>
      </c>
    </row>
    <row r="4597" spans="1:1">
      <c r="A4597" t="s">
        <v>6565</v>
      </c>
    </row>
    <row r="4598" spans="1:1">
      <c r="A4598" t="s">
        <v>6566</v>
      </c>
    </row>
    <row r="4599" spans="1:1">
      <c r="A4599" t="s">
        <v>6567</v>
      </c>
    </row>
    <row r="4600" spans="1:1">
      <c r="A4600" t="s">
        <v>6568</v>
      </c>
    </row>
    <row r="4601" spans="1:1">
      <c r="A4601" t="s">
        <v>6569</v>
      </c>
    </row>
    <row r="4602" spans="1:1">
      <c r="A4602" t="s">
        <v>6570</v>
      </c>
    </row>
    <row r="4603" spans="1:1">
      <c r="A4603" t="s">
        <v>6571</v>
      </c>
    </row>
    <row r="4604" spans="1:1">
      <c r="A4604" t="s">
        <v>6572</v>
      </c>
    </row>
    <row r="4605" spans="1:1">
      <c r="A4605" t="s">
        <v>6573</v>
      </c>
    </row>
    <row r="4606" spans="1:1">
      <c r="A4606" t="s">
        <v>6574</v>
      </c>
    </row>
    <row r="4607" spans="1:1">
      <c r="A4607" t="s">
        <v>6575</v>
      </c>
    </row>
    <row r="4608" spans="1:1">
      <c r="A4608" t="s">
        <v>6576</v>
      </c>
    </row>
    <row r="4609" spans="1:1">
      <c r="A4609" t="s">
        <v>6577</v>
      </c>
    </row>
    <row r="4610" spans="1:1">
      <c r="A4610" t="s">
        <v>6578</v>
      </c>
    </row>
    <row r="4611" spans="1:1">
      <c r="A4611" t="s">
        <v>6579</v>
      </c>
    </row>
    <row r="4612" spans="1:1">
      <c r="A4612" t="s">
        <v>6580</v>
      </c>
    </row>
    <row r="4613" spans="1:1">
      <c r="A4613" t="s">
        <v>6581</v>
      </c>
    </row>
    <row r="4614" spans="1:1">
      <c r="A4614" t="s">
        <v>6582</v>
      </c>
    </row>
    <row r="4615" spans="1:1">
      <c r="A4615" t="s">
        <v>6583</v>
      </c>
    </row>
    <row r="4616" spans="1:1">
      <c r="A4616" t="s">
        <v>6584</v>
      </c>
    </row>
    <row r="4617" spans="1:1">
      <c r="A4617" t="s">
        <v>6585</v>
      </c>
    </row>
    <row r="4618" spans="1:1">
      <c r="A4618" t="s">
        <v>6586</v>
      </c>
    </row>
    <row r="4619" spans="1:1">
      <c r="A4619" t="s">
        <v>6587</v>
      </c>
    </row>
    <row r="4620" spans="1:1">
      <c r="A4620" t="s">
        <v>6588</v>
      </c>
    </row>
    <row r="4621" spans="1:1">
      <c r="A4621" t="s">
        <v>6589</v>
      </c>
    </row>
    <row r="4622" spans="1:1">
      <c r="A4622" t="s">
        <v>6590</v>
      </c>
    </row>
    <row r="4623" spans="1:1">
      <c r="A4623" t="s">
        <v>6591</v>
      </c>
    </row>
    <row r="4624" spans="1:1">
      <c r="A4624" t="s">
        <v>6592</v>
      </c>
    </row>
    <row r="4625" spans="1:1">
      <c r="A4625" t="s">
        <v>6593</v>
      </c>
    </row>
    <row r="4626" spans="1:1">
      <c r="A4626" t="s">
        <v>6594</v>
      </c>
    </row>
    <row r="4627" spans="1:1">
      <c r="A4627" t="s">
        <v>6595</v>
      </c>
    </row>
    <row r="4628" spans="1:1">
      <c r="A4628" t="s">
        <v>6596</v>
      </c>
    </row>
    <row r="4629" spans="1:1">
      <c r="A4629" t="s">
        <v>6597</v>
      </c>
    </row>
    <row r="4630" spans="1:1">
      <c r="A4630" t="s">
        <v>6598</v>
      </c>
    </row>
    <row r="4631" spans="1:1">
      <c r="A4631" t="s">
        <v>6599</v>
      </c>
    </row>
    <row r="4632" spans="1:1">
      <c r="A4632" t="s">
        <v>6600</v>
      </c>
    </row>
    <row r="4633" spans="1:1">
      <c r="A4633" t="s">
        <v>6601</v>
      </c>
    </row>
    <row r="4634" spans="1:1">
      <c r="A4634" t="s">
        <v>6602</v>
      </c>
    </row>
    <row r="4635" spans="1:1">
      <c r="A4635" t="s">
        <v>6603</v>
      </c>
    </row>
    <row r="4636" spans="1:1">
      <c r="A4636" t="s">
        <v>6604</v>
      </c>
    </row>
    <row r="4637" spans="1:1">
      <c r="A4637" t="s">
        <v>6605</v>
      </c>
    </row>
    <row r="4638" spans="1:1">
      <c r="A4638" t="s">
        <v>6606</v>
      </c>
    </row>
    <row r="4639" spans="1:1">
      <c r="A4639" t="s">
        <v>6607</v>
      </c>
    </row>
    <row r="4640" spans="1:1">
      <c r="A4640" t="s">
        <v>6608</v>
      </c>
    </row>
    <row r="4641" spans="1:1">
      <c r="A4641" t="s">
        <v>6609</v>
      </c>
    </row>
    <row r="4642" spans="1:1">
      <c r="A4642" t="s">
        <v>6610</v>
      </c>
    </row>
    <row r="4643" spans="1:1">
      <c r="A4643" t="s">
        <v>6611</v>
      </c>
    </row>
    <row r="4644" spans="1:1">
      <c r="A4644" t="s">
        <v>6612</v>
      </c>
    </row>
    <row r="4645" spans="1:1">
      <c r="A4645" t="s">
        <v>6613</v>
      </c>
    </row>
    <row r="4646" spans="1:1">
      <c r="A4646" t="s">
        <v>6614</v>
      </c>
    </row>
    <row r="4647" spans="1:1">
      <c r="A4647" t="s">
        <v>6615</v>
      </c>
    </row>
    <row r="4648" spans="1:1">
      <c r="A4648" t="s">
        <v>6616</v>
      </c>
    </row>
    <row r="4649" spans="1:1">
      <c r="A4649" t="s">
        <v>6617</v>
      </c>
    </row>
    <row r="4650" spans="1:1">
      <c r="A4650" t="s">
        <v>6618</v>
      </c>
    </row>
    <row r="4651" spans="1:1">
      <c r="A4651" t="s">
        <v>6619</v>
      </c>
    </row>
    <row r="4652" spans="1:1">
      <c r="A4652" t="s">
        <v>6620</v>
      </c>
    </row>
    <row r="4653" spans="1:1">
      <c r="A4653" t="s">
        <v>6621</v>
      </c>
    </row>
    <row r="4654" spans="1:1">
      <c r="A4654" t="s">
        <v>6622</v>
      </c>
    </row>
    <row r="4655" spans="1:1">
      <c r="A4655" t="s">
        <v>6623</v>
      </c>
    </row>
    <row r="4656" spans="1:1">
      <c r="A4656" t="s">
        <v>6624</v>
      </c>
    </row>
    <row r="4657" spans="1:1">
      <c r="A4657" t="s">
        <v>6625</v>
      </c>
    </row>
    <row r="4658" spans="1:1">
      <c r="A4658" t="s">
        <v>6626</v>
      </c>
    </row>
    <row r="4659" spans="1:1">
      <c r="A4659" t="s">
        <v>6627</v>
      </c>
    </row>
    <row r="4660" spans="1:1">
      <c r="A4660" t="s">
        <v>6628</v>
      </c>
    </row>
    <row r="4661" spans="1:1">
      <c r="A4661" t="s">
        <v>6629</v>
      </c>
    </row>
    <row r="4662" spans="1:1">
      <c r="A4662" t="s">
        <v>6630</v>
      </c>
    </row>
    <row r="4663" spans="1:1">
      <c r="A4663" t="s">
        <v>6631</v>
      </c>
    </row>
    <row r="4664" spans="1:1">
      <c r="A4664" t="s">
        <v>6632</v>
      </c>
    </row>
    <row r="4665" spans="1:1">
      <c r="A4665" t="s">
        <v>6633</v>
      </c>
    </row>
    <row r="4666" spans="1:1">
      <c r="A4666" t="s">
        <v>6634</v>
      </c>
    </row>
    <row r="4667" spans="1:1">
      <c r="A4667" t="s">
        <v>6635</v>
      </c>
    </row>
    <row r="4668" spans="1:1">
      <c r="A4668" t="s">
        <v>6636</v>
      </c>
    </row>
    <row r="4669" spans="1:1">
      <c r="A4669" t="s">
        <v>6637</v>
      </c>
    </row>
    <row r="4670" spans="1:1">
      <c r="A4670" t="s">
        <v>6638</v>
      </c>
    </row>
    <row r="4671" spans="1:1">
      <c r="A4671" t="s">
        <v>6639</v>
      </c>
    </row>
    <row r="4672" spans="1:1">
      <c r="A4672" t="s">
        <v>6640</v>
      </c>
    </row>
    <row r="4673" spans="1:1">
      <c r="A4673" t="s">
        <v>6641</v>
      </c>
    </row>
    <row r="4674" spans="1:1">
      <c r="A4674" t="s">
        <v>6642</v>
      </c>
    </row>
    <row r="4675" spans="1:1">
      <c r="A4675" t="s">
        <v>6643</v>
      </c>
    </row>
    <row r="4676" spans="1:1">
      <c r="A4676" t="s">
        <v>6644</v>
      </c>
    </row>
    <row r="4677" spans="1:1">
      <c r="A4677" t="s">
        <v>6645</v>
      </c>
    </row>
    <row r="4678" spans="1:1">
      <c r="A4678" t="s">
        <v>6646</v>
      </c>
    </row>
    <row r="4679" spans="1:1">
      <c r="A4679" t="s">
        <v>6647</v>
      </c>
    </row>
    <row r="4680" spans="1:1">
      <c r="A4680" t="s">
        <v>6648</v>
      </c>
    </row>
    <row r="4681" spans="1:1">
      <c r="A4681" t="s">
        <v>6649</v>
      </c>
    </row>
    <row r="4682" spans="1:1">
      <c r="A4682" t="s">
        <v>6650</v>
      </c>
    </row>
    <row r="4683" spans="1:1">
      <c r="A4683" t="s">
        <v>6651</v>
      </c>
    </row>
    <row r="4684" spans="1:1">
      <c r="A4684" t="s">
        <v>6652</v>
      </c>
    </row>
    <row r="4685" spans="1:1">
      <c r="A4685" t="s">
        <v>6653</v>
      </c>
    </row>
    <row r="4686" spans="1:1">
      <c r="A4686" t="s">
        <v>6654</v>
      </c>
    </row>
    <row r="4687" spans="1:1">
      <c r="A4687" t="s">
        <v>6655</v>
      </c>
    </row>
    <row r="4688" spans="1:1">
      <c r="A4688" t="s">
        <v>6656</v>
      </c>
    </row>
    <row r="4689" spans="1:1">
      <c r="A4689" t="s">
        <v>6657</v>
      </c>
    </row>
    <row r="4690" spans="1:1">
      <c r="A4690" t="s">
        <v>6658</v>
      </c>
    </row>
    <row r="4691" spans="1:1">
      <c r="A4691" t="s">
        <v>6659</v>
      </c>
    </row>
    <row r="4692" spans="1:1">
      <c r="A4692" t="s">
        <v>6660</v>
      </c>
    </row>
    <row r="4693" spans="1:1">
      <c r="A4693" t="s">
        <v>6661</v>
      </c>
    </row>
    <row r="4694" spans="1:1">
      <c r="A4694" t="s">
        <v>6662</v>
      </c>
    </row>
    <row r="4695" spans="1:1">
      <c r="A4695" t="s">
        <v>6663</v>
      </c>
    </row>
    <row r="4696" spans="1:1">
      <c r="A4696" t="s">
        <v>6664</v>
      </c>
    </row>
    <row r="4697" spans="1:1">
      <c r="A4697" t="s">
        <v>6665</v>
      </c>
    </row>
    <row r="4698" spans="1:1">
      <c r="A4698" t="s">
        <v>6666</v>
      </c>
    </row>
    <row r="4699" spans="1:1">
      <c r="A4699" t="s">
        <v>6667</v>
      </c>
    </row>
    <row r="4700" spans="1:1">
      <c r="A4700" t="s">
        <v>6668</v>
      </c>
    </row>
    <row r="4701" spans="1:1">
      <c r="A4701" t="s">
        <v>6669</v>
      </c>
    </row>
    <row r="4702" spans="1:1">
      <c r="A4702" t="s">
        <v>6670</v>
      </c>
    </row>
    <row r="4703" spans="1:1">
      <c r="A4703" t="s">
        <v>6671</v>
      </c>
    </row>
    <row r="4704" spans="1:1">
      <c r="A4704" t="s">
        <v>6672</v>
      </c>
    </row>
    <row r="4705" spans="1:1">
      <c r="A4705" t="s">
        <v>6673</v>
      </c>
    </row>
    <row r="4706" spans="1:1">
      <c r="A4706" t="s">
        <v>6674</v>
      </c>
    </row>
    <row r="4707" spans="1:1">
      <c r="A4707" t="s">
        <v>6675</v>
      </c>
    </row>
    <row r="4708" spans="1:1">
      <c r="A4708" t="s">
        <v>6676</v>
      </c>
    </row>
    <row r="4709" spans="1:1">
      <c r="A4709" t="s">
        <v>6677</v>
      </c>
    </row>
    <row r="4710" spans="1:1">
      <c r="A4710" t="s">
        <v>6678</v>
      </c>
    </row>
    <row r="4711" spans="1:1">
      <c r="A4711" t="s">
        <v>6679</v>
      </c>
    </row>
    <row r="4712" spans="1:1">
      <c r="A4712" t="s">
        <v>6680</v>
      </c>
    </row>
    <row r="4713" spans="1:1">
      <c r="A4713" t="s">
        <v>6681</v>
      </c>
    </row>
    <row r="4714" spans="1:1">
      <c r="A4714" t="s">
        <v>6682</v>
      </c>
    </row>
    <row r="4715" spans="1:1">
      <c r="A4715" t="s">
        <v>6683</v>
      </c>
    </row>
    <row r="4716" spans="1:1">
      <c r="A4716" t="s">
        <v>6684</v>
      </c>
    </row>
    <row r="4717" spans="1:1">
      <c r="A4717" t="s">
        <v>6685</v>
      </c>
    </row>
    <row r="4718" spans="1:1">
      <c r="A4718" t="s">
        <v>6686</v>
      </c>
    </row>
    <row r="4719" spans="1:1">
      <c r="A4719" t="s">
        <v>6687</v>
      </c>
    </row>
    <row r="4720" spans="1:1">
      <c r="A4720" t="s">
        <v>6688</v>
      </c>
    </row>
    <row r="4721" spans="1:1">
      <c r="A4721" t="s">
        <v>6689</v>
      </c>
    </row>
    <row r="4722" spans="1:1">
      <c r="A4722" t="s">
        <v>6690</v>
      </c>
    </row>
    <row r="4723" spans="1:1">
      <c r="A4723" t="s">
        <v>6691</v>
      </c>
    </row>
    <row r="4724" spans="1:1">
      <c r="A4724" t="s">
        <v>6692</v>
      </c>
    </row>
    <row r="4725" spans="1:1">
      <c r="A4725" t="s">
        <v>6693</v>
      </c>
    </row>
    <row r="4726" spans="1:1">
      <c r="A4726" t="s">
        <v>6694</v>
      </c>
    </row>
    <row r="4727" spans="1:1">
      <c r="A4727" t="s">
        <v>6695</v>
      </c>
    </row>
    <row r="4728" spans="1:1">
      <c r="A4728" t="s">
        <v>6696</v>
      </c>
    </row>
    <row r="4729" spans="1:1">
      <c r="A4729" t="s">
        <v>6697</v>
      </c>
    </row>
    <row r="4730" spans="1:1">
      <c r="A4730" t="s">
        <v>6698</v>
      </c>
    </row>
    <row r="4731" spans="1:1">
      <c r="A4731" t="s">
        <v>6699</v>
      </c>
    </row>
    <row r="4732" spans="1:1">
      <c r="A4732" t="s">
        <v>6700</v>
      </c>
    </row>
    <row r="4733" spans="1:1">
      <c r="A4733" t="s">
        <v>6701</v>
      </c>
    </row>
    <row r="4734" spans="1:1">
      <c r="A4734" t="s">
        <v>6702</v>
      </c>
    </row>
    <row r="4735" spans="1:1">
      <c r="A4735" t="s">
        <v>6703</v>
      </c>
    </row>
    <row r="4736" spans="1:1">
      <c r="A4736" t="s">
        <v>6704</v>
      </c>
    </row>
    <row r="4737" spans="1:1">
      <c r="A4737" t="s">
        <v>6705</v>
      </c>
    </row>
    <row r="4738" spans="1:1">
      <c r="A4738" t="s">
        <v>6706</v>
      </c>
    </row>
    <row r="4739" spans="1:1">
      <c r="A4739" t="s">
        <v>6707</v>
      </c>
    </row>
    <row r="4740" spans="1:1">
      <c r="A4740" t="s">
        <v>6708</v>
      </c>
    </row>
    <row r="4741" spans="1:1">
      <c r="A4741" t="s">
        <v>6709</v>
      </c>
    </row>
    <row r="4742" spans="1:1">
      <c r="A4742" t="s">
        <v>6710</v>
      </c>
    </row>
    <row r="4743" spans="1:1">
      <c r="A4743" t="s">
        <v>6711</v>
      </c>
    </row>
    <row r="4744" spans="1:1">
      <c r="A4744" t="s">
        <v>6712</v>
      </c>
    </row>
    <row r="4745" spans="1:1">
      <c r="A4745" t="s">
        <v>6713</v>
      </c>
    </row>
    <row r="4746" spans="1:1">
      <c r="A4746" t="s">
        <v>6714</v>
      </c>
    </row>
    <row r="4747" spans="1:1">
      <c r="A4747" t="s">
        <v>6715</v>
      </c>
    </row>
    <row r="4748" spans="1:1">
      <c r="A4748" t="s">
        <v>6716</v>
      </c>
    </row>
    <row r="4749" spans="1:1">
      <c r="A4749" t="s">
        <v>6717</v>
      </c>
    </row>
    <row r="4750" spans="1:1">
      <c r="A4750" t="s">
        <v>6718</v>
      </c>
    </row>
    <row r="4751" spans="1:1">
      <c r="A4751" t="s">
        <v>6719</v>
      </c>
    </row>
    <row r="4752" spans="1:1">
      <c r="A4752" t="s">
        <v>6720</v>
      </c>
    </row>
    <row r="4753" spans="1:1">
      <c r="A4753" t="s">
        <v>6721</v>
      </c>
    </row>
    <row r="4754" spans="1:1">
      <c r="A4754" t="s">
        <v>6722</v>
      </c>
    </row>
    <row r="4755" spans="1:1">
      <c r="A4755" t="s">
        <v>6723</v>
      </c>
    </row>
    <row r="4756" spans="1:1">
      <c r="A4756" t="s">
        <v>6724</v>
      </c>
    </row>
    <row r="4757" spans="1:1">
      <c r="A4757" t="s">
        <v>6725</v>
      </c>
    </row>
    <row r="4758" spans="1:1">
      <c r="A4758" t="s">
        <v>6726</v>
      </c>
    </row>
    <row r="4759" spans="1:1">
      <c r="A4759" t="s">
        <v>6727</v>
      </c>
    </row>
    <row r="4760" spans="1:1">
      <c r="A4760" t="s">
        <v>6728</v>
      </c>
    </row>
    <row r="4761" spans="1:1">
      <c r="A4761" t="s">
        <v>6729</v>
      </c>
    </row>
    <row r="4762" spans="1:1">
      <c r="A4762" t="s">
        <v>6730</v>
      </c>
    </row>
    <row r="4763" spans="1:1">
      <c r="A4763" t="s">
        <v>6731</v>
      </c>
    </row>
    <row r="4764" spans="1:1">
      <c r="A4764" t="s">
        <v>6732</v>
      </c>
    </row>
    <row r="4765" spans="1:1">
      <c r="A4765" t="s">
        <v>6733</v>
      </c>
    </row>
    <row r="4766" spans="1:1">
      <c r="A4766" t="s">
        <v>6734</v>
      </c>
    </row>
    <row r="4767" spans="1:1">
      <c r="A4767" t="s">
        <v>6735</v>
      </c>
    </row>
    <row r="4768" spans="1:1">
      <c r="A4768" t="s">
        <v>6736</v>
      </c>
    </row>
    <row r="4769" spans="1:1">
      <c r="A4769" t="s">
        <v>6737</v>
      </c>
    </row>
    <row r="4770" spans="1:1">
      <c r="A4770" t="s">
        <v>6738</v>
      </c>
    </row>
    <row r="4771" spans="1:1">
      <c r="A4771" t="s">
        <v>6739</v>
      </c>
    </row>
    <row r="4772" spans="1:1">
      <c r="A4772" t="s">
        <v>6740</v>
      </c>
    </row>
    <row r="4773" spans="1:1">
      <c r="A4773" t="s">
        <v>6741</v>
      </c>
    </row>
    <row r="4774" spans="1:1">
      <c r="A4774" t="s">
        <v>6742</v>
      </c>
    </row>
    <row r="4775" spans="1:1">
      <c r="A4775" t="s">
        <v>6743</v>
      </c>
    </row>
    <row r="4776" spans="1:1">
      <c r="A4776" t="s">
        <v>6744</v>
      </c>
    </row>
    <row r="4777" spans="1:1">
      <c r="A4777" t="s">
        <v>6745</v>
      </c>
    </row>
    <row r="4778" spans="1:1">
      <c r="A4778" t="s">
        <v>6746</v>
      </c>
    </row>
    <row r="4779" spans="1:1">
      <c r="A4779" t="s">
        <v>6747</v>
      </c>
    </row>
    <row r="4780" spans="1:1">
      <c r="A4780" t="s">
        <v>6748</v>
      </c>
    </row>
    <row r="4781" spans="1:1">
      <c r="A4781" t="s">
        <v>6749</v>
      </c>
    </row>
    <row r="4782" spans="1:1">
      <c r="A4782" t="s">
        <v>6750</v>
      </c>
    </row>
    <row r="4783" spans="1:1">
      <c r="A4783" t="s">
        <v>6751</v>
      </c>
    </row>
    <row r="4784" spans="1:1">
      <c r="A4784" t="s">
        <v>6752</v>
      </c>
    </row>
    <row r="4785" spans="1:1">
      <c r="A4785" t="s">
        <v>6753</v>
      </c>
    </row>
    <row r="4786" spans="1:1">
      <c r="A4786" t="s">
        <v>6754</v>
      </c>
    </row>
    <row r="4787" spans="1:1">
      <c r="A4787" t="s">
        <v>6755</v>
      </c>
    </row>
    <row r="4788" spans="1:1">
      <c r="A4788" t="s">
        <v>6756</v>
      </c>
    </row>
    <row r="4789" spans="1:1">
      <c r="A4789" t="s">
        <v>6757</v>
      </c>
    </row>
    <row r="4790" spans="1:1">
      <c r="A4790" t="s">
        <v>6758</v>
      </c>
    </row>
    <row r="4791" spans="1:1">
      <c r="A4791" t="s">
        <v>6759</v>
      </c>
    </row>
    <row r="4792" spans="1:1">
      <c r="A4792" t="s">
        <v>6760</v>
      </c>
    </row>
    <row r="4793" spans="1:1">
      <c r="A4793" t="s">
        <v>6761</v>
      </c>
    </row>
    <row r="4794" spans="1:1">
      <c r="A4794" t="s">
        <v>6762</v>
      </c>
    </row>
    <row r="4795" spans="1:1">
      <c r="A4795" t="s">
        <v>6763</v>
      </c>
    </row>
    <row r="4796" spans="1:1">
      <c r="A4796" t="s">
        <v>6764</v>
      </c>
    </row>
    <row r="4797" spans="1:1">
      <c r="A4797" t="s">
        <v>6765</v>
      </c>
    </row>
    <row r="4798" spans="1:1">
      <c r="A4798" t="s">
        <v>6766</v>
      </c>
    </row>
    <row r="4799" spans="1:1">
      <c r="A4799" t="s">
        <v>6767</v>
      </c>
    </row>
    <row r="4800" spans="1:1">
      <c r="A4800" t="s">
        <v>6768</v>
      </c>
    </row>
    <row r="4801" spans="1:1">
      <c r="A4801" t="s">
        <v>6769</v>
      </c>
    </row>
    <row r="4802" spans="1:1">
      <c r="A4802" t="s">
        <v>6770</v>
      </c>
    </row>
    <row r="4803" spans="1:1">
      <c r="A4803" t="s">
        <v>6771</v>
      </c>
    </row>
    <row r="4804" spans="1:1">
      <c r="A4804" t="s">
        <v>6772</v>
      </c>
    </row>
    <row r="4805" spans="1:1">
      <c r="A4805" t="s">
        <v>6773</v>
      </c>
    </row>
    <row r="4806" spans="1:1">
      <c r="A4806" t="s">
        <v>6774</v>
      </c>
    </row>
    <row r="4807" spans="1:1">
      <c r="A4807" t="s">
        <v>6775</v>
      </c>
    </row>
    <row r="4808" spans="1:1">
      <c r="A4808" t="s">
        <v>6776</v>
      </c>
    </row>
    <row r="4809" spans="1:1">
      <c r="A4809" t="s">
        <v>6777</v>
      </c>
    </row>
    <row r="4810" spans="1:1">
      <c r="A4810" t="s">
        <v>6778</v>
      </c>
    </row>
    <row r="4811" spans="1:1">
      <c r="A4811" t="s">
        <v>6779</v>
      </c>
    </row>
    <row r="4812" spans="1:1">
      <c r="A4812" t="s">
        <v>6780</v>
      </c>
    </row>
    <row r="4813" spans="1:1">
      <c r="A4813" t="s">
        <v>6781</v>
      </c>
    </row>
    <row r="4814" spans="1:1">
      <c r="A4814" t="s">
        <v>6782</v>
      </c>
    </row>
    <row r="4815" spans="1:1">
      <c r="A4815" t="s">
        <v>6783</v>
      </c>
    </row>
    <row r="4816" spans="1:1">
      <c r="A4816" t="s">
        <v>6784</v>
      </c>
    </row>
    <row r="4817" spans="1:1">
      <c r="A4817" t="s">
        <v>6785</v>
      </c>
    </row>
    <row r="4818" spans="1:1">
      <c r="A4818" t="s">
        <v>6786</v>
      </c>
    </row>
    <row r="4819" spans="1:1">
      <c r="A4819" t="s">
        <v>6787</v>
      </c>
    </row>
    <row r="4820" spans="1:1">
      <c r="A4820" t="s">
        <v>6788</v>
      </c>
    </row>
    <row r="4821" spans="1:1">
      <c r="A4821" t="s">
        <v>6789</v>
      </c>
    </row>
    <row r="4822" spans="1:1">
      <c r="A4822" t="s">
        <v>6790</v>
      </c>
    </row>
    <row r="4823" spans="1:1">
      <c r="A4823" t="s">
        <v>6791</v>
      </c>
    </row>
    <row r="4824" spans="1:1">
      <c r="A4824" t="s">
        <v>6792</v>
      </c>
    </row>
    <row r="4825" spans="1:1">
      <c r="A4825" t="s">
        <v>6793</v>
      </c>
    </row>
    <row r="4826" spans="1:1">
      <c r="A4826" t="s">
        <v>6794</v>
      </c>
    </row>
    <row r="4827" spans="1:1">
      <c r="A4827" t="s">
        <v>6795</v>
      </c>
    </row>
    <row r="4828" spans="1:1">
      <c r="A4828" t="s">
        <v>6796</v>
      </c>
    </row>
    <row r="4829" spans="1:1">
      <c r="A4829" t="s">
        <v>6797</v>
      </c>
    </row>
    <row r="4830" spans="1:1">
      <c r="A4830" t="s">
        <v>6798</v>
      </c>
    </row>
    <row r="4831" spans="1:1">
      <c r="A4831" t="s">
        <v>6799</v>
      </c>
    </row>
    <row r="4832" spans="1:1">
      <c r="A4832" t="s">
        <v>6800</v>
      </c>
    </row>
    <row r="4833" spans="1:1">
      <c r="A4833" t="s">
        <v>6801</v>
      </c>
    </row>
    <row r="4834" spans="1:1">
      <c r="A4834" t="s">
        <v>6802</v>
      </c>
    </row>
    <row r="4835" spans="1:1">
      <c r="A4835" t="s">
        <v>6803</v>
      </c>
    </row>
    <row r="4836" spans="1:1">
      <c r="A4836" t="s">
        <v>6804</v>
      </c>
    </row>
    <row r="4837" spans="1:1">
      <c r="A4837" t="s">
        <v>6805</v>
      </c>
    </row>
    <row r="4838" spans="1:1">
      <c r="A4838" t="s">
        <v>6806</v>
      </c>
    </row>
    <row r="4839" spans="1:1">
      <c r="A4839" t="s">
        <v>6807</v>
      </c>
    </row>
    <row r="4840" spans="1:1">
      <c r="A4840" t="s">
        <v>6808</v>
      </c>
    </row>
    <row r="4841" spans="1:1">
      <c r="A4841" t="s">
        <v>6809</v>
      </c>
    </row>
    <row r="4842" spans="1:1">
      <c r="A4842" t="s">
        <v>6810</v>
      </c>
    </row>
    <row r="4843" spans="1:1">
      <c r="A4843" t="s">
        <v>6811</v>
      </c>
    </row>
    <row r="4844" spans="1:1">
      <c r="A4844" t="s">
        <v>6812</v>
      </c>
    </row>
    <row r="4845" spans="1:1">
      <c r="A4845" t="s">
        <v>6813</v>
      </c>
    </row>
    <row r="4846" spans="1:1">
      <c r="A4846" t="s">
        <v>6814</v>
      </c>
    </row>
    <row r="4847" spans="1:1">
      <c r="A4847" t="s">
        <v>6815</v>
      </c>
    </row>
    <row r="4848" spans="1:1">
      <c r="A4848" t="s">
        <v>6816</v>
      </c>
    </row>
    <row r="4849" spans="1:1">
      <c r="A4849" t="s">
        <v>6817</v>
      </c>
    </row>
    <row r="4850" spans="1:1">
      <c r="A4850" t="s">
        <v>6818</v>
      </c>
    </row>
    <row r="4851" spans="1:1">
      <c r="A4851" t="s">
        <v>6819</v>
      </c>
    </row>
    <row r="4852" spans="1:1">
      <c r="A4852" t="s">
        <v>6820</v>
      </c>
    </row>
    <row r="4853" spans="1:1">
      <c r="A4853" t="s">
        <v>6821</v>
      </c>
    </row>
    <row r="4854" spans="1:1">
      <c r="A4854" t="s">
        <v>6822</v>
      </c>
    </row>
    <row r="4855" spans="1:1">
      <c r="A4855" t="s">
        <v>6823</v>
      </c>
    </row>
    <row r="4856" spans="1:1">
      <c r="A4856" t="s">
        <v>6824</v>
      </c>
    </row>
    <row r="4857" spans="1:1">
      <c r="A4857" t="s">
        <v>6825</v>
      </c>
    </row>
    <row r="4858" spans="1:1">
      <c r="A4858" t="s">
        <v>6826</v>
      </c>
    </row>
    <row r="4859" spans="1:1">
      <c r="A4859" t="s">
        <v>6827</v>
      </c>
    </row>
    <row r="4860" spans="1:1">
      <c r="A4860" t="s">
        <v>6828</v>
      </c>
    </row>
    <row r="4861" spans="1:1">
      <c r="A4861" t="s">
        <v>6829</v>
      </c>
    </row>
    <row r="4862" spans="1:1">
      <c r="A4862" t="s">
        <v>6830</v>
      </c>
    </row>
    <row r="4863" spans="1:1">
      <c r="A4863" t="s">
        <v>6831</v>
      </c>
    </row>
    <row r="4864" spans="1:1">
      <c r="A4864" t="s">
        <v>6832</v>
      </c>
    </row>
    <row r="4865" spans="1:1">
      <c r="A4865" t="s">
        <v>6833</v>
      </c>
    </row>
    <row r="4866" spans="1:1">
      <c r="A4866" t="s">
        <v>6834</v>
      </c>
    </row>
    <row r="4867" spans="1:1">
      <c r="A4867" t="s">
        <v>6835</v>
      </c>
    </row>
    <row r="4868" spans="1:1">
      <c r="A4868" t="s">
        <v>6836</v>
      </c>
    </row>
    <row r="4869" spans="1:1">
      <c r="A4869" t="s">
        <v>6837</v>
      </c>
    </row>
    <row r="4870" spans="1:1">
      <c r="A4870" t="s">
        <v>6838</v>
      </c>
    </row>
    <row r="4871" spans="1:1">
      <c r="A4871" t="s">
        <v>6839</v>
      </c>
    </row>
    <row r="4872" spans="1:1">
      <c r="A4872" t="s">
        <v>6840</v>
      </c>
    </row>
    <row r="4873" spans="1:1">
      <c r="A4873" t="s">
        <v>6841</v>
      </c>
    </row>
    <row r="4874" spans="1:1">
      <c r="A4874" t="s">
        <v>6842</v>
      </c>
    </row>
    <row r="4875" spans="1:1">
      <c r="A4875" t="s">
        <v>6843</v>
      </c>
    </row>
    <row r="4876" spans="1:1">
      <c r="A4876" t="s">
        <v>6844</v>
      </c>
    </row>
    <row r="4877" spans="1:1">
      <c r="A4877" t="s">
        <v>6845</v>
      </c>
    </row>
    <row r="4878" spans="1:1">
      <c r="A4878" t="s">
        <v>6846</v>
      </c>
    </row>
    <row r="4879" spans="1:1">
      <c r="A4879" t="s">
        <v>6847</v>
      </c>
    </row>
    <row r="4880" spans="1:1">
      <c r="A4880" t="s">
        <v>6848</v>
      </c>
    </row>
    <row r="4881" spans="1:1">
      <c r="A4881" t="s">
        <v>6849</v>
      </c>
    </row>
    <row r="4882" spans="1:1">
      <c r="A4882" t="s">
        <v>6850</v>
      </c>
    </row>
    <row r="4883" spans="1:1">
      <c r="A4883" t="s">
        <v>6851</v>
      </c>
    </row>
    <row r="4884" spans="1:1">
      <c r="A4884" t="s">
        <v>6852</v>
      </c>
    </row>
    <row r="4885" spans="1:1">
      <c r="A4885" t="s">
        <v>6853</v>
      </c>
    </row>
    <row r="4886" spans="1:1">
      <c r="A4886" t="s">
        <v>6854</v>
      </c>
    </row>
    <row r="4887" spans="1:1">
      <c r="A4887" t="s">
        <v>6855</v>
      </c>
    </row>
    <row r="4888" spans="1:1">
      <c r="A4888" t="s">
        <v>6856</v>
      </c>
    </row>
    <row r="4889" spans="1:1">
      <c r="A4889" t="s">
        <v>6857</v>
      </c>
    </row>
    <row r="4890" spans="1:1">
      <c r="A4890" t="s">
        <v>6858</v>
      </c>
    </row>
    <row r="4891" spans="1:1">
      <c r="A4891" t="s">
        <v>6859</v>
      </c>
    </row>
    <row r="4892" spans="1:1">
      <c r="A4892" t="s">
        <v>6860</v>
      </c>
    </row>
    <row r="4893" spans="1:1">
      <c r="A4893" t="s">
        <v>6861</v>
      </c>
    </row>
    <row r="4894" spans="1:1">
      <c r="A4894" t="s">
        <v>6862</v>
      </c>
    </row>
    <row r="4895" spans="1:1">
      <c r="A4895" t="s">
        <v>6863</v>
      </c>
    </row>
    <row r="4896" spans="1:1">
      <c r="A4896" t="s">
        <v>6864</v>
      </c>
    </row>
    <row r="4897" spans="1:1">
      <c r="A4897" t="s">
        <v>6865</v>
      </c>
    </row>
    <row r="4898" spans="1:1">
      <c r="A4898" t="s">
        <v>6866</v>
      </c>
    </row>
    <row r="4899" spans="1:1">
      <c r="A4899" t="s">
        <v>6867</v>
      </c>
    </row>
    <row r="4900" spans="1:1">
      <c r="A4900" t="s">
        <v>6868</v>
      </c>
    </row>
    <row r="4901" spans="1:1">
      <c r="A4901" t="s">
        <v>6869</v>
      </c>
    </row>
    <row r="4902" spans="1:1">
      <c r="A4902" t="s">
        <v>6870</v>
      </c>
    </row>
    <row r="4903" spans="1:1">
      <c r="A4903" t="s">
        <v>6871</v>
      </c>
    </row>
    <row r="4904" spans="1:1">
      <c r="A4904" t="s">
        <v>6872</v>
      </c>
    </row>
    <row r="4905" spans="1:1">
      <c r="A4905" t="s">
        <v>6873</v>
      </c>
    </row>
    <row r="4906" spans="1:1">
      <c r="A4906" t="s">
        <v>6874</v>
      </c>
    </row>
    <row r="4907" spans="1:1">
      <c r="A4907" t="s">
        <v>6875</v>
      </c>
    </row>
    <row r="4908" spans="1:1">
      <c r="A4908" t="s">
        <v>6876</v>
      </c>
    </row>
    <row r="4909" spans="1:1">
      <c r="A4909" t="s">
        <v>6877</v>
      </c>
    </row>
    <row r="4910" spans="1:1">
      <c r="A4910" t="s">
        <v>6878</v>
      </c>
    </row>
    <row r="4911" spans="1:1">
      <c r="A4911" t="s">
        <v>6879</v>
      </c>
    </row>
    <row r="4912" spans="1:1">
      <c r="A4912" t="s">
        <v>6880</v>
      </c>
    </row>
    <row r="4913" spans="1:1">
      <c r="A4913" t="s">
        <v>6881</v>
      </c>
    </row>
    <row r="4914" spans="1:1">
      <c r="A4914" t="s">
        <v>6882</v>
      </c>
    </row>
    <row r="4915" spans="1:1">
      <c r="A4915" t="s">
        <v>6883</v>
      </c>
    </row>
    <row r="4916" spans="1:1">
      <c r="A4916" t="s">
        <v>6884</v>
      </c>
    </row>
    <row r="4917" spans="1:1">
      <c r="A4917" t="s">
        <v>6885</v>
      </c>
    </row>
    <row r="4918" spans="1:1">
      <c r="A4918" t="s">
        <v>6886</v>
      </c>
    </row>
    <row r="4919" spans="1:1">
      <c r="A4919" t="s">
        <v>6887</v>
      </c>
    </row>
    <row r="4920" spans="1:1">
      <c r="A4920" t="s">
        <v>6888</v>
      </c>
    </row>
    <row r="4921" spans="1:1">
      <c r="A4921" t="s">
        <v>6889</v>
      </c>
    </row>
    <row r="4922" spans="1:1">
      <c r="A4922" t="s">
        <v>6890</v>
      </c>
    </row>
    <row r="4923" spans="1:1">
      <c r="A4923" t="s">
        <v>6891</v>
      </c>
    </row>
    <row r="4924" spans="1:1">
      <c r="A4924" t="s">
        <v>6892</v>
      </c>
    </row>
    <row r="4925" spans="1:1">
      <c r="A4925" t="s">
        <v>6893</v>
      </c>
    </row>
    <row r="4926" spans="1:1">
      <c r="A4926" t="s">
        <v>6894</v>
      </c>
    </row>
    <row r="4927" spans="1:1">
      <c r="A4927" t="s">
        <v>6895</v>
      </c>
    </row>
    <row r="4928" spans="1:1">
      <c r="A4928" t="s">
        <v>6896</v>
      </c>
    </row>
    <row r="4929" spans="1:1">
      <c r="A4929" t="s">
        <v>6897</v>
      </c>
    </row>
    <row r="4930" spans="1:1">
      <c r="A4930" t="s">
        <v>6898</v>
      </c>
    </row>
    <row r="4931" spans="1:1">
      <c r="A4931" t="s">
        <v>6899</v>
      </c>
    </row>
    <row r="4932" spans="1:1">
      <c r="A4932" t="s">
        <v>6900</v>
      </c>
    </row>
    <row r="4933" spans="1:1">
      <c r="A4933" t="s">
        <v>6901</v>
      </c>
    </row>
    <row r="4934" spans="1:1">
      <c r="A4934" t="s">
        <v>6902</v>
      </c>
    </row>
    <row r="4935" spans="1:1">
      <c r="A4935" t="s">
        <v>6903</v>
      </c>
    </row>
    <row r="4936" spans="1:1">
      <c r="A4936" t="s">
        <v>6904</v>
      </c>
    </row>
    <row r="4937" spans="1:1">
      <c r="A4937" t="s">
        <v>6905</v>
      </c>
    </row>
    <row r="4938" spans="1:1">
      <c r="A4938" t="s">
        <v>6906</v>
      </c>
    </row>
    <row r="4939" spans="1:1">
      <c r="A4939" t="s">
        <v>6907</v>
      </c>
    </row>
    <row r="4940" spans="1:1">
      <c r="A4940" t="s">
        <v>6908</v>
      </c>
    </row>
    <row r="4941" spans="1:1">
      <c r="A4941" t="s">
        <v>6909</v>
      </c>
    </row>
    <row r="4942" spans="1:1">
      <c r="A4942" t="s">
        <v>6910</v>
      </c>
    </row>
    <row r="4943" spans="1:1">
      <c r="A4943" t="s">
        <v>6911</v>
      </c>
    </row>
    <row r="4944" spans="1:1">
      <c r="A4944" t="s">
        <v>6912</v>
      </c>
    </row>
    <row r="4945" spans="1:1">
      <c r="A4945" t="s">
        <v>6913</v>
      </c>
    </row>
    <row r="4946" spans="1:1">
      <c r="A4946" t="s">
        <v>6914</v>
      </c>
    </row>
    <row r="4947" spans="1:1">
      <c r="A4947" t="s">
        <v>6915</v>
      </c>
    </row>
    <row r="4948" spans="1:1">
      <c r="A4948" t="s">
        <v>6916</v>
      </c>
    </row>
    <row r="4949" spans="1:1">
      <c r="A4949" t="s">
        <v>6917</v>
      </c>
    </row>
    <row r="4950" spans="1:1">
      <c r="A4950" t="s">
        <v>6918</v>
      </c>
    </row>
    <row r="4951" spans="1:1">
      <c r="A4951" t="s">
        <v>6919</v>
      </c>
    </row>
    <row r="4952" spans="1:1">
      <c r="A4952" t="s">
        <v>6920</v>
      </c>
    </row>
    <row r="4953" spans="1:1">
      <c r="A4953" t="s">
        <v>6921</v>
      </c>
    </row>
    <row r="4954" spans="1:1">
      <c r="A4954" t="s">
        <v>6922</v>
      </c>
    </row>
    <row r="4955" spans="1:1">
      <c r="A4955" t="s">
        <v>6923</v>
      </c>
    </row>
    <row r="4956" spans="1:1">
      <c r="A4956" t="s">
        <v>6924</v>
      </c>
    </row>
    <row r="4957" spans="1:1">
      <c r="A4957" t="s">
        <v>6925</v>
      </c>
    </row>
    <row r="4958" spans="1:1">
      <c r="A4958" t="s">
        <v>6926</v>
      </c>
    </row>
    <row r="4959" spans="1:1">
      <c r="A4959" t="s">
        <v>6927</v>
      </c>
    </row>
    <row r="4960" spans="1:1">
      <c r="A4960" t="s">
        <v>6928</v>
      </c>
    </row>
    <row r="4961" spans="1:1">
      <c r="A4961" t="s">
        <v>6929</v>
      </c>
    </row>
    <row r="4962" spans="1:1">
      <c r="A4962" t="s">
        <v>6930</v>
      </c>
    </row>
    <row r="4963" spans="1:1">
      <c r="A4963" t="s">
        <v>6931</v>
      </c>
    </row>
    <row r="4964" spans="1:1">
      <c r="A4964" t="s">
        <v>6932</v>
      </c>
    </row>
    <row r="4965" spans="1:1">
      <c r="A4965" t="s">
        <v>6933</v>
      </c>
    </row>
    <row r="4966" spans="1:1">
      <c r="A4966" t="s">
        <v>6934</v>
      </c>
    </row>
    <row r="4967" spans="1:1">
      <c r="A4967" t="s">
        <v>6935</v>
      </c>
    </row>
    <row r="4968" spans="1:1">
      <c r="A4968" t="s">
        <v>6936</v>
      </c>
    </row>
    <row r="4969" spans="1:1">
      <c r="A4969" t="s">
        <v>6937</v>
      </c>
    </row>
    <row r="4970" spans="1:1">
      <c r="A4970" t="s">
        <v>6938</v>
      </c>
    </row>
    <row r="4971" spans="1:1">
      <c r="A4971" t="s">
        <v>6939</v>
      </c>
    </row>
    <row r="4972" spans="1:1">
      <c r="A4972" t="s">
        <v>6940</v>
      </c>
    </row>
    <row r="4973" spans="1:1">
      <c r="A4973" t="s">
        <v>6941</v>
      </c>
    </row>
    <row r="4974" spans="1:1">
      <c r="A4974" t="s">
        <v>6942</v>
      </c>
    </row>
    <row r="4975" spans="1:1">
      <c r="A4975" t="s">
        <v>6943</v>
      </c>
    </row>
    <row r="4976" spans="1:1">
      <c r="A4976" t="s">
        <v>6944</v>
      </c>
    </row>
    <row r="4977" spans="1:1">
      <c r="A4977" t="s">
        <v>6945</v>
      </c>
    </row>
    <row r="4978" spans="1:1">
      <c r="A4978" t="s">
        <v>6946</v>
      </c>
    </row>
    <row r="4979" spans="1:1">
      <c r="A4979" t="s">
        <v>6947</v>
      </c>
    </row>
    <row r="4980" spans="1:1">
      <c r="A4980" t="s">
        <v>6948</v>
      </c>
    </row>
    <row r="4981" spans="1:1">
      <c r="A4981" t="s">
        <v>6949</v>
      </c>
    </row>
    <row r="4982" spans="1:1">
      <c r="A4982" t="s">
        <v>6950</v>
      </c>
    </row>
    <row r="4983" spans="1:1">
      <c r="A4983" t="s">
        <v>6951</v>
      </c>
    </row>
    <row r="4984" spans="1:1">
      <c r="A4984" t="s">
        <v>6952</v>
      </c>
    </row>
    <row r="4985" spans="1:1">
      <c r="A4985" t="s">
        <v>6953</v>
      </c>
    </row>
    <row r="4986" spans="1:1">
      <c r="A4986" t="s">
        <v>6954</v>
      </c>
    </row>
    <row r="4987" spans="1:1">
      <c r="A4987" t="s">
        <v>6955</v>
      </c>
    </row>
    <row r="4988" spans="1:1">
      <c r="A4988" t="s">
        <v>6956</v>
      </c>
    </row>
    <row r="4989" spans="1:1">
      <c r="A4989" t="s">
        <v>6957</v>
      </c>
    </row>
    <row r="4990" spans="1:1">
      <c r="A4990" t="s">
        <v>6958</v>
      </c>
    </row>
    <row r="4991" spans="1:1">
      <c r="A4991" t="s">
        <v>6959</v>
      </c>
    </row>
    <row r="4992" spans="1:1">
      <c r="A4992" t="s">
        <v>6960</v>
      </c>
    </row>
    <row r="4993" spans="1:1">
      <c r="A4993" t="s">
        <v>6961</v>
      </c>
    </row>
    <row r="4994" spans="1:1">
      <c r="A4994" t="s">
        <v>6962</v>
      </c>
    </row>
    <row r="4995" spans="1:1">
      <c r="A4995" t="s">
        <v>6963</v>
      </c>
    </row>
    <row r="4996" spans="1:1">
      <c r="A4996" t="s">
        <v>6964</v>
      </c>
    </row>
    <row r="4997" spans="1:1">
      <c r="A4997" t="s">
        <v>6965</v>
      </c>
    </row>
    <row r="4998" spans="1:1">
      <c r="A4998" t="s">
        <v>6966</v>
      </c>
    </row>
    <row r="4999" spans="1:1">
      <c r="A4999" t="s">
        <v>6967</v>
      </c>
    </row>
    <row r="5000" spans="1:1">
      <c r="A5000" t="s">
        <v>6968</v>
      </c>
    </row>
    <row r="5001" spans="1:1">
      <c r="A5001" t="s">
        <v>6969</v>
      </c>
    </row>
    <row r="5002" spans="1:1">
      <c r="A5002" t="s">
        <v>6970</v>
      </c>
    </row>
    <row r="5003" spans="1:1">
      <c r="A5003" t="s">
        <v>6971</v>
      </c>
    </row>
    <row r="5004" spans="1:1">
      <c r="A5004" t="s">
        <v>6972</v>
      </c>
    </row>
    <row r="5005" spans="1:1">
      <c r="A5005" t="s">
        <v>6973</v>
      </c>
    </row>
    <row r="5006" spans="1:1">
      <c r="A5006" t="s">
        <v>6974</v>
      </c>
    </row>
    <row r="5007" spans="1:1">
      <c r="A5007" t="s">
        <v>6975</v>
      </c>
    </row>
    <row r="5008" spans="1:1">
      <c r="A5008" t="s">
        <v>6976</v>
      </c>
    </row>
    <row r="5009" spans="1:1">
      <c r="A5009" t="s">
        <v>6977</v>
      </c>
    </row>
    <row r="5010" spans="1:1">
      <c r="A5010" t="s">
        <v>6978</v>
      </c>
    </row>
    <row r="5011" spans="1:1">
      <c r="A5011" t="s">
        <v>6979</v>
      </c>
    </row>
    <row r="5012" spans="1:1">
      <c r="A5012" t="s">
        <v>6980</v>
      </c>
    </row>
    <row r="5013" spans="1:1">
      <c r="A5013" t="s">
        <v>6981</v>
      </c>
    </row>
    <row r="5014" spans="1:1">
      <c r="A5014" t="s">
        <v>6982</v>
      </c>
    </row>
    <row r="5015" spans="1:1">
      <c r="A5015" t="s">
        <v>6983</v>
      </c>
    </row>
    <row r="5016" spans="1:1">
      <c r="A5016" t="s">
        <v>6984</v>
      </c>
    </row>
    <row r="5017" spans="1:1">
      <c r="A5017" t="s">
        <v>6985</v>
      </c>
    </row>
    <row r="5018" spans="1:1">
      <c r="A5018" t="s">
        <v>6986</v>
      </c>
    </row>
    <row r="5019" spans="1:1">
      <c r="A5019" t="s">
        <v>6987</v>
      </c>
    </row>
    <row r="5020" spans="1:1">
      <c r="A5020" t="s">
        <v>6988</v>
      </c>
    </row>
    <row r="5021" spans="1:1">
      <c r="A5021" t="s">
        <v>6989</v>
      </c>
    </row>
    <row r="5022" spans="1:1">
      <c r="A5022" t="s">
        <v>6990</v>
      </c>
    </row>
    <row r="5023" spans="1:1">
      <c r="A5023" t="s">
        <v>6991</v>
      </c>
    </row>
    <row r="5024" spans="1:1">
      <c r="A5024" t="s">
        <v>6992</v>
      </c>
    </row>
    <row r="5025" spans="1:1">
      <c r="A5025" t="s">
        <v>6993</v>
      </c>
    </row>
    <row r="5026" spans="1:1">
      <c r="A5026" t="s">
        <v>6994</v>
      </c>
    </row>
    <row r="5027" spans="1:1">
      <c r="A5027" t="s">
        <v>6995</v>
      </c>
    </row>
    <row r="5028" spans="1:1">
      <c r="A5028" t="s">
        <v>6996</v>
      </c>
    </row>
    <row r="5029" spans="1:1">
      <c r="A5029" t="s">
        <v>6997</v>
      </c>
    </row>
    <row r="5030" spans="1:1">
      <c r="A5030" t="s">
        <v>6998</v>
      </c>
    </row>
    <row r="5031" spans="1:1">
      <c r="A5031" t="s">
        <v>6999</v>
      </c>
    </row>
    <row r="5032" spans="1:1">
      <c r="A5032" t="s">
        <v>7000</v>
      </c>
    </row>
    <row r="5033" spans="1:1">
      <c r="A5033" t="s">
        <v>7001</v>
      </c>
    </row>
    <row r="5034" spans="1:1">
      <c r="A5034" t="s">
        <v>7002</v>
      </c>
    </row>
    <row r="5035" spans="1:1">
      <c r="A5035" t="s">
        <v>7003</v>
      </c>
    </row>
    <row r="5036" spans="1:1">
      <c r="A5036" t="s">
        <v>7004</v>
      </c>
    </row>
    <row r="5037" spans="1:1">
      <c r="A5037" t="s">
        <v>7005</v>
      </c>
    </row>
    <row r="5038" spans="1:1">
      <c r="A5038" t="s">
        <v>7006</v>
      </c>
    </row>
    <row r="5039" spans="1:1">
      <c r="A5039" t="s">
        <v>7007</v>
      </c>
    </row>
    <row r="5040" spans="1:1">
      <c r="A5040" t="s">
        <v>7008</v>
      </c>
    </row>
    <row r="5041" spans="1:1">
      <c r="A5041" t="s">
        <v>7009</v>
      </c>
    </row>
    <row r="5042" spans="1:1">
      <c r="A5042" t="s">
        <v>7010</v>
      </c>
    </row>
    <row r="5043" spans="1:1">
      <c r="A5043" t="s">
        <v>7011</v>
      </c>
    </row>
    <row r="5044" spans="1:1">
      <c r="A5044" t="s">
        <v>7012</v>
      </c>
    </row>
    <row r="5045" spans="1:1">
      <c r="A5045" t="s">
        <v>7013</v>
      </c>
    </row>
    <row r="5046" spans="1:1">
      <c r="A5046" t="s">
        <v>7014</v>
      </c>
    </row>
    <row r="5047" spans="1:1">
      <c r="A5047" t="s">
        <v>7015</v>
      </c>
    </row>
    <row r="5048" spans="1:1">
      <c r="A5048" t="s">
        <v>7016</v>
      </c>
    </row>
    <row r="5049" spans="1:1">
      <c r="A5049" t="s">
        <v>7017</v>
      </c>
    </row>
    <row r="5050" spans="1:1">
      <c r="A5050" t="s">
        <v>7018</v>
      </c>
    </row>
    <row r="5051" spans="1:1">
      <c r="A5051" t="s">
        <v>7019</v>
      </c>
    </row>
    <row r="5052" spans="1:1">
      <c r="A5052" t="s">
        <v>7020</v>
      </c>
    </row>
    <row r="5053" spans="1:1">
      <c r="A5053" t="s">
        <v>7021</v>
      </c>
    </row>
    <row r="5054" spans="1:1">
      <c r="A5054" t="s">
        <v>7022</v>
      </c>
    </row>
    <row r="5055" spans="1:1">
      <c r="A5055" t="s">
        <v>7023</v>
      </c>
    </row>
    <row r="5056" spans="1:1">
      <c r="A5056" t="s">
        <v>7024</v>
      </c>
    </row>
    <row r="5057" spans="1:1">
      <c r="A5057" t="s">
        <v>7025</v>
      </c>
    </row>
    <row r="5058" spans="1:1">
      <c r="A5058" t="s">
        <v>7026</v>
      </c>
    </row>
    <row r="5059" spans="1:1">
      <c r="A5059" t="s">
        <v>7027</v>
      </c>
    </row>
    <row r="5060" spans="1:1">
      <c r="A5060" t="s">
        <v>7028</v>
      </c>
    </row>
    <row r="5061" spans="1:1">
      <c r="A5061" t="s">
        <v>7029</v>
      </c>
    </row>
    <row r="5062" spans="1:1">
      <c r="A5062" t="s">
        <v>7030</v>
      </c>
    </row>
    <row r="5063" spans="1:1">
      <c r="A5063" t="s">
        <v>7031</v>
      </c>
    </row>
    <row r="5064" spans="1:1">
      <c r="A5064" t="s">
        <v>7032</v>
      </c>
    </row>
    <row r="5065" spans="1:1">
      <c r="A5065" t="s">
        <v>7033</v>
      </c>
    </row>
    <row r="5066" spans="1:1">
      <c r="A5066" t="s">
        <v>7034</v>
      </c>
    </row>
    <row r="5067" spans="1:1">
      <c r="A5067" t="s">
        <v>7035</v>
      </c>
    </row>
    <row r="5068" spans="1:1">
      <c r="A5068" t="s">
        <v>7036</v>
      </c>
    </row>
    <row r="5069" spans="1:1">
      <c r="A5069" t="s">
        <v>7037</v>
      </c>
    </row>
    <row r="5070" spans="1:1">
      <c r="A5070" t="s">
        <v>7038</v>
      </c>
    </row>
    <row r="5071" spans="1:1">
      <c r="A5071" t="s">
        <v>7039</v>
      </c>
    </row>
    <row r="5072" spans="1:1">
      <c r="A5072" t="s">
        <v>7040</v>
      </c>
    </row>
    <row r="5073" spans="1:1">
      <c r="A5073" t="s">
        <v>7041</v>
      </c>
    </row>
    <row r="5074" spans="1:1">
      <c r="A5074" t="s">
        <v>7042</v>
      </c>
    </row>
    <row r="5075" spans="1:1">
      <c r="A5075" t="s">
        <v>7043</v>
      </c>
    </row>
    <row r="5076" spans="1:1">
      <c r="A5076" t="s">
        <v>7044</v>
      </c>
    </row>
    <row r="5077" spans="1:1">
      <c r="A5077" t="s">
        <v>7045</v>
      </c>
    </row>
    <row r="5078" spans="1:1">
      <c r="A5078" t="s">
        <v>7046</v>
      </c>
    </row>
    <row r="5079" spans="1:1">
      <c r="A5079" t="s">
        <v>7047</v>
      </c>
    </row>
    <row r="5080" spans="1:1">
      <c r="A5080" t="s">
        <v>7048</v>
      </c>
    </row>
    <row r="5081" spans="1:1">
      <c r="A5081" t="s">
        <v>7049</v>
      </c>
    </row>
    <row r="5082" spans="1:1">
      <c r="A5082" t="s">
        <v>7050</v>
      </c>
    </row>
    <row r="5083" spans="1:1">
      <c r="A5083" t="s">
        <v>7051</v>
      </c>
    </row>
    <row r="5084" spans="1:1">
      <c r="A5084" t="s">
        <v>7052</v>
      </c>
    </row>
    <row r="5085" spans="1:1">
      <c r="A5085" t="s">
        <v>7053</v>
      </c>
    </row>
    <row r="5086" spans="1:1">
      <c r="A5086" t="s">
        <v>7054</v>
      </c>
    </row>
    <row r="5087" spans="1:1">
      <c r="A5087" t="s">
        <v>7055</v>
      </c>
    </row>
    <row r="5088" spans="1:1">
      <c r="A5088" t="s">
        <v>7056</v>
      </c>
    </row>
    <row r="5089" spans="1:1">
      <c r="A5089" t="s">
        <v>7057</v>
      </c>
    </row>
    <row r="5090" spans="1:1">
      <c r="A5090" t="s">
        <v>7058</v>
      </c>
    </row>
    <row r="5091" spans="1:1">
      <c r="A5091" t="s">
        <v>7059</v>
      </c>
    </row>
    <row r="5092" spans="1:1">
      <c r="A5092" t="s">
        <v>7060</v>
      </c>
    </row>
    <row r="5093" spans="1:1">
      <c r="A5093" t="s">
        <v>7061</v>
      </c>
    </row>
    <row r="5094" spans="1:1">
      <c r="A5094" t="s">
        <v>7062</v>
      </c>
    </row>
    <row r="5095" spans="1:1">
      <c r="A5095" t="s">
        <v>7063</v>
      </c>
    </row>
    <row r="5096" spans="1:1">
      <c r="A5096" t="s">
        <v>7064</v>
      </c>
    </row>
    <row r="5097" spans="1:1">
      <c r="A5097" t="s">
        <v>7065</v>
      </c>
    </row>
    <row r="5098" spans="1:1">
      <c r="A5098" t="s">
        <v>7066</v>
      </c>
    </row>
    <row r="5099" spans="1:1">
      <c r="A5099" t="s">
        <v>7067</v>
      </c>
    </row>
    <row r="5100" spans="1:1">
      <c r="A5100" t="s">
        <v>7068</v>
      </c>
    </row>
    <row r="5101" spans="1:1">
      <c r="A5101" t="s">
        <v>7069</v>
      </c>
    </row>
    <row r="5102" spans="1:1">
      <c r="A5102" t="s">
        <v>7070</v>
      </c>
    </row>
    <row r="5103" spans="1:1">
      <c r="A5103" t="s">
        <v>7071</v>
      </c>
    </row>
    <row r="5104" spans="1:1">
      <c r="A5104" t="s">
        <v>7072</v>
      </c>
    </row>
    <row r="5105" spans="1:1">
      <c r="A5105" t="s">
        <v>7073</v>
      </c>
    </row>
    <row r="5106" spans="1:1">
      <c r="A5106" t="s">
        <v>7074</v>
      </c>
    </row>
    <row r="5107" spans="1:1">
      <c r="A5107" t="s">
        <v>7075</v>
      </c>
    </row>
    <row r="5108" spans="1:1">
      <c r="A5108" t="s">
        <v>7076</v>
      </c>
    </row>
    <row r="5109" spans="1:1">
      <c r="A5109" t="s">
        <v>7077</v>
      </c>
    </row>
    <row r="5110" spans="1:1">
      <c r="A5110" t="s">
        <v>7078</v>
      </c>
    </row>
    <row r="5111" spans="1:1">
      <c r="A5111" t="s">
        <v>7079</v>
      </c>
    </row>
    <row r="5112" spans="1:1">
      <c r="A5112" t="s">
        <v>7080</v>
      </c>
    </row>
    <row r="5113" spans="1:1">
      <c r="A5113" t="s">
        <v>7081</v>
      </c>
    </row>
    <row r="5114" spans="1:1">
      <c r="A5114" t="s">
        <v>7082</v>
      </c>
    </row>
    <row r="5115" spans="1:1">
      <c r="A5115" t="s">
        <v>7083</v>
      </c>
    </row>
    <row r="5116" spans="1:1">
      <c r="A5116" t="s">
        <v>7084</v>
      </c>
    </row>
    <row r="5117" spans="1:1">
      <c r="A5117" t="s">
        <v>7085</v>
      </c>
    </row>
    <row r="5118" spans="1:1">
      <c r="A5118" t="s">
        <v>7086</v>
      </c>
    </row>
    <row r="5119" spans="1:1">
      <c r="A5119" t="s">
        <v>7087</v>
      </c>
    </row>
    <row r="5120" spans="1:1">
      <c r="A5120" t="s">
        <v>7088</v>
      </c>
    </row>
    <row r="5121" spans="1:1">
      <c r="A5121" t="s">
        <v>7089</v>
      </c>
    </row>
    <row r="5122" spans="1:1">
      <c r="A5122" t="s">
        <v>7090</v>
      </c>
    </row>
    <row r="5123" spans="1:1">
      <c r="A5123" t="s">
        <v>7091</v>
      </c>
    </row>
    <row r="5124" spans="1:1">
      <c r="A5124" t="s">
        <v>7092</v>
      </c>
    </row>
    <row r="5125" spans="1:1">
      <c r="A5125" t="s">
        <v>7093</v>
      </c>
    </row>
    <row r="5126" spans="1:1">
      <c r="A5126" t="s">
        <v>7094</v>
      </c>
    </row>
    <row r="5127" spans="1:1">
      <c r="A5127" t="s">
        <v>7095</v>
      </c>
    </row>
    <row r="5128" spans="1:1">
      <c r="A5128" t="s">
        <v>7096</v>
      </c>
    </row>
    <row r="5129" spans="1:1">
      <c r="A5129" t="s">
        <v>7097</v>
      </c>
    </row>
    <row r="5130" spans="1:1">
      <c r="A5130" t="s">
        <v>7098</v>
      </c>
    </row>
    <row r="5131" spans="1:1">
      <c r="A5131" t="s">
        <v>7099</v>
      </c>
    </row>
    <row r="5132" spans="1:1">
      <c r="A5132" t="s">
        <v>7100</v>
      </c>
    </row>
    <row r="5133" spans="1:1">
      <c r="A5133" t="s">
        <v>7101</v>
      </c>
    </row>
    <row r="5134" spans="1:1">
      <c r="A5134" t="s">
        <v>7102</v>
      </c>
    </row>
    <row r="5135" spans="1:1">
      <c r="A5135" t="s">
        <v>7103</v>
      </c>
    </row>
    <row r="5136" spans="1:1">
      <c r="A5136" t="s">
        <v>7104</v>
      </c>
    </row>
    <row r="5137" spans="1:1">
      <c r="A5137" t="s">
        <v>7105</v>
      </c>
    </row>
    <row r="5138" spans="1:1">
      <c r="A5138" t="s">
        <v>7106</v>
      </c>
    </row>
    <row r="5139" spans="1:1">
      <c r="A5139" t="s">
        <v>7107</v>
      </c>
    </row>
    <row r="5140" spans="1:1">
      <c r="A5140" t="s">
        <v>7108</v>
      </c>
    </row>
    <row r="5141" spans="1:1">
      <c r="A5141" t="s">
        <v>7109</v>
      </c>
    </row>
    <row r="5142" spans="1:1">
      <c r="A5142" t="s">
        <v>7110</v>
      </c>
    </row>
    <row r="5143" spans="1:1">
      <c r="A5143" t="s">
        <v>7111</v>
      </c>
    </row>
    <row r="5144" spans="1:1">
      <c r="A5144" t="s">
        <v>7112</v>
      </c>
    </row>
    <row r="5145" spans="1:1">
      <c r="A5145" t="s">
        <v>7113</v>
      </c>
    </row>
    <row r="5146" spans="1:1">
      <c r="A5146" t="s">
        <v>7114</v>
      </c>
    </row>
    <row r="5147" spans="1:1">
      <c r="A5147" t="s">
        <v>7115</v>
      </c>
    </row>
    <row r="5148" spans="1:1">
      <c r="A5148" t="s">
        <v>7116</v>
      </c>
    </row>
    <row r="5149" spans="1:1">
      <c r="A5149" t="s">
        <v>7117</v>
      </c>
    </row>
    <row r="5150" spans="1:1">
      <c r="A5150" t="s">
        <v>7118</v>
      </c>
    </row>
    <row r="5151" spans="1:1">
      <c r="A5151" t="s">
        <v>7119</v>
      </c>
    </row>
    <row r="5152" spans="1:1">
      <c r="A5152" t="s">
        <v>7120</v>
      </c>
    </row>
    <row r="5153" spans="1:1">
      <c r="A5153" t="s">
        <v>7121</v>
      </c>
    </row>
    <row r="5154" spans="1:1">
      <c r="A5154" t="s">
        <v>7122</v>
      </c>
    </row>
    <row r="5155" spans="1:1">
      <c r="A5155" t="s">
        <v>7123</v>
      </c>
    </row>
    <row r="5156" spans="1:1">
      <c r="A5156" t="s">
        <v>7124</v>
      </c>
    </row>
    <row r="5157" spans="1:1">
      <c r="A5157" t="s">
        <v>7125</v>
      </c>
    </row>
    <row r="5158" spans="1:1">
      <c r="A5158" t="s">
        <v>7126</v>
      </c>
    </row>
    <row r="5159" spans="1:1">
      <c r="A5159" t="s">
        <v>7127</v>
      </c>
    </row>
    <row r="5160" spans="1:1">
      <c r="A5160" t="s">
        <v>7128</v>
      </c>
    </row>
    <row r="5161" spans="1:1">
      <c r="A5161" t="s">
        <v>7129</v>
      </c>
    </row>
    <row r="5162" spans="1:1">
      <c r="A5162" t="s">
        <v>7130</v>
      </c>
    </row>
    <row r="5163" spans="1:1">
      <c r="A5163" t="s">
        <v>7131</v>
      </c>
    </row>
    <row r="5164" spans="1:1">
      <c r="A5164" t="s">
        <v>7132</v>
      </c>
    </row>
    <row r="5165" spans="1:1">
      <c r="A5165" t="s">
        <v>7133</v>
      </c>
    </row>
    <row r="5166" spans="1:1">
      <c r="A5166" t="s">
        <v>7134</v>
      </c>
    </row>
    <row r="5167" spans="1:1">
      <c r="A5167" t="s">
        <v>7135</v>
      </c>
    </row>
    <row r="5168" spans="1:1">
      <c r="A5168" t="s">
        <v>7136</v>
      </c>
    </row>
    <row r="5169" spans="1:1">
      <c r="A5169" t="s">
        <v>7137</v>
      </c>
    </row>
    <row r="5170" spans="1:1">
      <c r="A5170" t="s">
        <v>7138</v>
      </c>
    </row>
    <row r="5171" spans="1:1">
      <c r="A5171" t="s">
        <v>7139</v>
      </c>
    </row>
    <row r="5172" spans="1:1">
      <c r="A5172" t="s">
        <v>7140</v>
      </c>
    </row>
    <row r="5173" spans="1:1">
      <c r="A5173" t="s">
        <v>7141</v>
      </c>
    </row>
    <row r="5174" spans="1:1">
      <c r="A5174" t="s">
        <v>7142</v>
      </c>
    </row>
    <row r="5175" spans="1:1">
      <c r="A5175" t="s">
        <v>7143</v>
      </c>
    </row>
    <row r="5176" spans="1:1">
      <c r="A5176" t="s">
        <v>7144</v>
      </c>
    </row>
    <row r="5177" spans="1:1">
      <c r="A5177" t="s">
        <v>7145</v>
      </c>
    </row>
    <row r="5178" spans="1:1">
      <c r="A5178" t="s">
        <v>7146</v>
      </c>
    </row>
    <row r="5179" spans="1:1">
      <c r="A5179" t="s">
        <v>7147</v>
      </c>
    </row>
    <row r="5180" spans="1:1">
      <c r="A5180" t="s">
        <v>7148</v>
      </c>
    </row>
    <row r="5181" spans="1:1">
      <c r="A5181" t="s">
        <v>7149</v>
      </c>
    </row>
    <row r="5182" spans="1:1">
      <c r="A5182" t="s">
        <v>7150</v>
      </c>
    </row>
    <row r="5183" spans="1:1">
      <c r="A5183" t="s">
        <v>7151</v>
      </c>
    </row>
    <row r="5184" spans="1:1">
      <c r="A5184" t="s">
        <v>7152</v>
      </c>
    </row>
    <row r="5185" spans="1:1">
      <c r="A5185" t="s">
        <v>7153</v>
      </c>
    </row>
    <row r="5186" spans="1:1">
      <c r="A5186" t="s">
        <v>7154</v>
      </c>
    </row>
    <row r="5187" spans="1:1">
      <c r="A5187" t="s">
        <v>7155</v>
      </c>
    </row>
    <row r="5188" spans="1:1">
      <c r="A5188" t="s">
        <v>7156</v>
      </c>
    </row>
    <row r="5189" spans="1:1">
      <c r="A5189" t="s">
        <v>7157</v>
      </c>
    </row>
    <row r="5190" spans="1:1">
      <c r="A5190" t="s">
        <v>7158</v>
      </c>
    </row>
    <row r="5191" spans="1:1">
      <c r="A5191" t="s">
        <v>7159</v>
      </c>
    </row>
    <row r="5192" spans="1:1">
      <c r="A5192" t="s">
        <v>7160</v>
      </c>
    </row>
    <row r="5193" spans="1:1">
      <c r="A5193" t="s">
        <v>7161</v>
      </c>
    </row>
    <row r="5194" spans="1:1">
      <c r="A5194" t="s">
        <v>7162</v>
      </c>
    </row>
    <row r="5195" spans="1:1">
      <c r="A5195" t="s">
        <v>7163</v>
      </c>
    </row>
    <row r="5196" spans="1:1">
      <c r="A5196" t="s">
        <v>7164</v>
      </c>
    </row>
    <row r="5197" spans="1:1">
      <c r="A5197" t="s">
        <v>7165</v>
      </c>
    </row>
    <row r="5198" spans="1:1">
      <c r="A5198" t="s">
        <v>7166</v>
      </c>
    </row>
    <row r="5199" spans="1:1">
      <c r="A5199" t="s">
        <v>7167</v>
      </c>
    </row>
    <row r="5200" spans="1:1">
      <c r="A5200" t="s">
        <v>7168</v>
      </c>
    </row>
    <row r="5201" spans="1:1">
      <c r="A5201" t="s">
        <v>7169</v>
      </c>
    </row>
    <row r="5202" spans="1:1">
      <c r="A5202" t="s">
        <v>7170</v>
      </c>
    </row>
    <row r="5203" spans="1:1">
      <c r="A5203" t="s">
        <v>7171</v>
      </c>
    </row>
    <row r="5204" spans="1:1">
      <c r="A5204" t="s">
        <v>7172</v>
      </c>
    </row>
    <row r="5205" spans="1:1">
      <c r="A5205" t="s">
        <v>7173</v>
      </c>
    </row>
    <row r="5206" spans="1:1">
      <c r="A5206" t="s">
        <v>7174</v>
      </c>
    </row>
    <row r="5207" spans="1:1">
      <c r="A5207" t="s">
        <v>7175</v>
      </c>
    </row>
    <row r="5208" spans="1:1">
      <c r="A5208" t="s">
        <v>7176</v>
      </c>
    </row>
    <row r="5209" spans="1:1">
      <c r="A5209" t="s">
        <v>7177</v>
      </c>
    </row>
    <row r="5210" spans="1:1">
      <c r="A5210" t="s">
        <v>7178</v>
      </c>
    </row>
    <row r="5211" spans="1:1">
      <c r="A5211" t="s">
        <v>7179</v>
      </c>
    </row>
    <row r="5212" spans="1:1">
      <c r="A5212" t="s">
        <v>7180</v>
      </c>
    </row>
    <row r="5213" spans="1:1">
      <c r="A5213" t="s">
        <v>7181</v>
      </c>
    </row>
    <row r="5214" spans="1:1">
      <c r="A5214" t="s">
        <v>7182</v>
      </c>
    </row>
    <row r="5215" spans="1:1">
      <c r="A5215" t="s">
        <v>7183</v>
      </c>
    </row>
    <row r="5216" spans="1:1">
      <c r="A5216" t="s">
        <v>7184</v>
      </c>
    </row>
    <row r="5217" spans="1:1">
      <c r="A5217" t="s">
        <v>7185</v>
      </c>
    </row>
    <row r="5218" spans="1:1">
      <c r="A5218" t="s">
        <v>7186</v>
      </c>
    </row>
    <row r="5219" spans="1:1">
      <c r="A5219" t="s">
        <v>7187</v>
      </c>
    </row>
    <row r="5220" spans="1:1">
      <c r="A5220" t="s">
        <v>7188</v>
      </c>
    </row>
    <row r="5221" spans="1:1">
      <c r="A5221" t="s">
        <v>7189</v>
      </c>
    </row>
    <row r="5222" spans="1:1">
      <c r="A5222" t="s">
        <v>7190</v>
      </c>
    </row>
    <row r="5223" spans="1:1">
      <c r="A5223" t="s">
        <v>7191</v>
      </c>
    </row>
    <row r="5224" spans="1:1">
      <c r="A5224" t="s">
        <v>7192</v>
      </c>
    </row>
    <row r="5225" spans="1:1">
      <c r="A5225" t="s">
        <v>7193</v>
      </c>
    </row>
    <row r="5226" spans="1:1">
      <c r="A5226" t="s">
        <v>7194</v>
      </c>
    </row>
    <row r="5227" spans="1:1">
      <c r="A5227" t="s">
        <v>7195</v>
      </c>
    </row>
    <row r="5228" spans="1:1">
      <c r="A5228" t="s">
        <v>7196</v>
      </c>
    </row>
    <row r="5229" spans="1:1">
      <c r="A5229" t="s">
        <v>7197</v>
      </c>
    </row>
    <row r="5230" spans="1:1">
      <c r="A5230" t="s">
        <v>7198</v>
      </c>
    </row>
    <row r="5231" spans="1:1">
      <c r="A5231" t="s">
        <v>7199</v>
      </c>
    </row>
    <row r="5232" spans="1:1">
      <c r="A5232" t="s">
        <v>7200</v>
      </c>
    </row>
    <row r="5233" spans="1:1">
      <c r="A5233" t="s">
        <v>7201</v>
      </c>
    </row>
    <row r="5234" spans="1:1">
      <c r="A5234" t="s">
        <v>7202</v>
      </c>
    </row>
    <row r="5235" spans="1:1">
      <c r="A5235" t="s">
        <v>7203</v>
      </c>
    </row>
    <row r="5236" spans="1:1">
      <c r="A5236" t="s">
        <v>7204</v>
      </c>
    </row>
    <row r="5237" spans="1:1">
      <c r="A5237" t="s">
        <v>7205</v>
      </c>
    </row>
    <row r="5238" spans="1:1">
      <c r="A5238" t="s">
        <v>7206</v>
      </c>
    </row>
    <row r="5239" spans="1:1">
      <c r="A5239" t="s">
        <v>7207</v>
      </c>
    </row>
    <row r="5240" spans="1:1">
      <c r="A5240" t="s">
        <v>7208</v>
      </c>
    </row>
    <row r="5241" spans="1:1">
      <c r="A5241" t="s">
        <v>7209</v>
      </c>
    </row>
    <row r="5242" spans="1:1">
      <c r="A5242" t="s">
        <v>7210</v>
      </c>
    </row>
    <row r="5243" spans="1:1">
      <c r="A5243" t="s">
        <v>7211</v>
      </c>
    </row>
    <row r="5244" spans="1:1">
      <c r="A5244" t="s">
        <v>7212</v>
      </c>
    </row>
    <row r="5245" spans="1:1">
      <c r="A5245" t="s">
        <v>7213</v>
      </c>
    </row>
    <row r="5246" spans="1:1">
      <c r="A5246" t="s">
        <v>7214</v>
      </c>
    </row>
    <row r="5247" spans="1:1">
      <c r="A5247" t="s">
        <v>7215</v>
      </c>
    </row>
    <row r="5248" spans="1:1">
      <c r="A5248" t="s">
        <v>7216</v>
      </c>
    </row>
    <row r="5249" spans="1:1">
      <c r="A5249" t="s">
        <v>7217</v>
      </c>
    </row>
    <row r="5250" spans="1:1">
      <c r="A5250" t="s">
        <v>7218</v>
      </c>
    </row>
    <row r="5251" spans="1:1">
      <c r="A5251" t="s">
        <v>7219</v>
      </c>
    </row>
    <row r="5252" spans="1:1">
      <c r="A5252" t="s">
        <v>7220</v>
      </c>
    </row>
    <row r="5253" spans="1:1">
      <c r="A5253" t="s">
        <v>7221</v>
      </c>
    </row>
    <row r="5254" spans="1:1">
      <c r="A5254" t="s">
        <v>7222</v>
      </c>
    </row>
    <row r="5255" spans="1:1">
      <c r="A5255" t="s">
        <v>7223</v>
      </c>
    </row>
    <row r="5256" spans="1:1">
      <c r="A5256" t="s">
        <v>7224</v>
      </c>
    </row>
    <row r="5257" spans="1:1">
      <c r="A5257" t="s">
        <v>7225</v>
      </c>
    </row>
    <row r="5258" spans="1:1">
      <c r="A5258" t="s">
        <v>7226</v>
      </c>
    </row>
    <row r="5259" spans="1:1">
      <c r="A5259" t="s">
        <v>7227</v>
      </c>
    </row>
    <row r="5260" spans="1:1">
      <c r="A5260" t="s">
        <v>7228</v>
      </c>
    </row>
    <row r="5261" spans="1:1">
      <c r="A5261" t="s">
        <v>7229</v>
      </c>
    </row>
    <row r="5262" spans="1:1">
      <c r="A5262" t="s">
        <v>7230</v>
      </c>
    </row>
    <row r="5263" spans="1:1">
      <c r="A5263" t="s">
        <v>7231</v>
      </c>
    </row>
    <row r="5264" spans="1:1">
      <c r="A5264" t="s">
        <v>7232</v>
      </c>
    </row>
    <row r="5265" spans="1:1">
      <c r="A5265" t="s">
        <v>7233</v>
      </c>
    </row>
    <row r="5266" spans="1:1">
      <c r="A5266" t="s">
        <v>7234</v>
      </c>
    </row>
    <row r="5267" spans="1:1">
      <c r="A5267" t="s">
        <v>7235</v>
      </c>
    </row>
    <row r="5268" spans="1:1">
      <c r="A5268" t="s">
        <v>7236</v>
      </c>
    </row>
    <row r="5269" spans="1:1">
      <c r="A5269" t="s">
        <v>7237</v>
      </c>
    </row>
    <row r="5270" spans="1:1">
      <c r="A5270" t="s">
        <v>7238</v>
      </c>
    </row>
    <row r="5271" spans="1:1">
      <c r="A5271" t="s">
        <v>7239</v>
      </c>
    </row>
    <row r="5272" spans="1:1">
      <c r="A5272" t="s">
        <v>7240</v>
      </c>
    </row>
    <row r="5273" spans="1:1">
      <c r="A5273" t="s">
        <v>7241</v>
      </c>
    </row>
    <row r="5274" spans="1:1">
      <c r="A5274" t="s">
        <v>7242</v>
      </c>
    </row>
    <row r="5275" spans="1:1">
      <c r="A5275" t="s">
        <v>7243</v>
      </c>
    </row>
    <row r="5276" spans="1:1">
      <c r="A5276" t="s">
        <v>7244</v>
      </c>
    </row>
    <row r="5277" spans="1:1">
      <c r="A5277" t="s">
        <v>7245</v>
      </c>
    </row>
    <row r="5278" spans="1:1">
      <c r="A5278" t="s">
        <v>7246</v>
      </c>
    </row>
    <row r="5279" spans="1:1">
      <c r="A5279" t="s">
        <v>7247</v>
      </c>
    </row>
    <row r="5280" spans="1:1">
      <c r="A5280" t="s">
        <v>7248</v>
      </c>
    </row>
    <row r="5281" spans="1:1">
      <c r="A5281" t="s">
        <v>7249</v>
      </c>
    </row>
    <row r="5282" spans="1:1">
      <c r="A5282" t="s">
        <v>7250</v>
      </c>
    </row>
    <row r="5283" spans="1:1">
      <c r="A5283" t="s">
        <v>7251</v>
      </c>
    </row>
    <row r="5284" spans="1:1">
      <c r="A5284" t="s">
        <v>7252</v>
      </c>
    </row>
    <row r="5285" spans="1:1">
      <c r="A5285" t="s">
        <v>7253</v>
      </c>
    </row>
    <row r="5286" spans="1:1">
      <c r="A5286" t="s">
        <v>7254</v>
      </c>
    </row>
    <row r="5287" spans="1:1">
      <c r="A5287" t="s">
        <v>7255</v>
      </c>
    </row>
    <row r="5288" spans="1:1">
      <c r="A5288" t="s">
        <v>7256</v>
      </c>
    </row>
    <row r="5289" spans="1:1">
      <c r="A5289" t="s">
        <v>7257</v>
      </c>
    </row>
    <row r="5290" spans="1:1">
      <c r="A5290" t="s">
        <v>7258</v>
      </c>
    </row>
    <row r="5291" spans="1:1">
      <c r="A5291" t="s">
        <v>7259</v>
      </c>
    </row>
    <row r="5292" spans="1:1">
      <c r="A5292" t="s">
        <v>7260</v>
      </c>
    </row>
    <row r="5293" spans="1:1">
      <c r="A5293" t="s">
        <v>7261</v>
      </c>
    </row>
    <row r="5294" spans="1:1">
      <c r="A5294" t="s">
        <v>7262</v>
      </c>
    </row>
    <row r="5295" spans="1:1">
      <c r="A5295" t="s">
        <v>7263</v>
      </c>
    </row>
    <row r="5296" spans="1:1">
      <c r="A5296" t="s">
        <v>7264</v>
      </c>
    </row>
    <row r="5297" spans="1:1">
      <c r="A5297" t="s">
        <v>7265</v>
      </c>
    </row>
    <row r="5298" spans="1:1">
      <c r="A5298" t="s">
        <v>7266</v>
      </c>
    </row>
    <row r="5299" spans="1:1">
      <c r="A5299" t="s">
        <v>7267</v>
      </c>
    </row>
    <row r="5300" spans="1:1">
      <c r="A5300" t="s">
        <v>7268</v>
      </c>
    </row>
    <row r="5301" spans="1:1">
      <c r="A5301" t="s">
        <v>7269</v>
      </c>
    </row>
    <row r="5302" spans="1:1">
      <c r="A5302" t="s">
        <v>7270</v>
      </c>
    </row>
    <row r="5303" spans="1:1">
      <c r="A5303" t="s">
        <v>7271</v>
      </c>
    </row>
    <row r="5304" spans="1:1">
      <c r="A5304" t="s">
        <v>7272</v>
      </c>
    </row>
    <row r="5305" spans="1:1">
      <c r="A5305" t="s">
        <v>7273</v>
      </c>
    </row>
    <row r="5306" spans="1:1">
      <c r="A5306" t="s">
        <v>7274</v>
      </c>
    </row>
    <row r="5307" spans="1:1">
      <c r="A5307" t="s">
        <v>7275</v>
      </c>
    </row>
    <row r="5308" spans="1:1">
      <c r="A5308" t="s">
        <v>7276</v>
      </c>
    </row>
    <row r="5309" spans="1:1">
      <c r="A5309" t="s">
        <v>7277</v>
      </c>
    </row>
    <row r="5310" spans="1:1">
      <c r="A5310" t="s">
        <v>7278</v>
      </c>
    </row>
    <row r="5311" spans="1:1">
      <c r="A5311" t="s">
        <v>7279</v>
      </c>
    </row>
    <row r="5312" spans="1:1">
      <c r="A5312" t="s">
        <v>7280</v>
      </c>
    </row>
    <row r="5313" spans="1:1">
      <c r="A5313" t="s">
        <v>7281</v>
      </c>
    </row>
    <row r="5314" spans="1:1">
      <c r="A5314" t="s">
        <v>7282</v>
      </c>
    </row>
    <row r="5315" spans="1:1">
      <c r="A5315" t="s">
        <v>7283</v>
      </c>
    </row>
    <row r="5316" spans="1:1">
      <c r="A5316" t="s">
        <v>7284</v>
      </c>
    </row>
    <row r="5317" spans="1:1">
      <c r="A5317" t="s">
        <v>7285</v>
      </c>
    </row>
    <row r="5318" spans="1:1">
      <c r="A5318" t="s">
        <v>7286</v>
      </c>
    </row>
    <row r="5319" spans="1:1">
      <c r="A5319" t="s">
        <v>7287</v>
      </c>
    </row>
    <row r="5320" spans="1:1">
      <c r="A5320" t="s">
        <v>7288</v>
      </c>
    </row>
    <row r="5321" spans="1:1">
      <c r="A5321" t="s">
        <v>7289</v>
      </c>
    </row>
    <row r="5322" spans="1:1">
      <c r="A5322" t="s">
        <v>7290</v>
      </c>
    </row>
    <row r="5323" spans="1:1">
      <c r="A5323" t="s">
        <v>7291</v>
      </c>
    </row>
    <row r="5324" spans="1:1">
      <c r="A5324" t="s">
        <v>7292</v>
      </c>
    </row>
    <row r="5325" spans="1:1">
      <c r="A5325" t="s">
        <v>7293</v>
      </c>
    </row>
    <row r="5326" spans="1:1">
      <c r="A5326" t="s">
        <v>7294</v>
      </c>
    </row>
    <row r="5327" spans="1:1">
      <c r="A5327" t="s">
        <v>7295</v>
      </c>
    </row>
    <row r="5328" spans="1:1">
      <c r="A5328" t="s">
        <v>7296</v>
      </c>
    </row>
    <row r="5329" spans="1:1">
      <c r="A5329" t="s">
        <v>7297</v>
      </c>
    </row>
    <row r="5330" spans="1:1">
      <c r="A5330" t="s">
        <v>7298</v>
      </c>
    </row>
    <row r="5331" spans="1:1">
      <c r="A5331" t="s">
        <v>7299</v>
      </c>
    </row>
    <row r="5332" spans="1:1">
      <c r="A5332" t="s">
        <v>7300</v>
      </c>
    </row>
    <row r="5333" spans="1:1">
      <c r="A5333" t="s">
        <v>7301</v>
      </c>
    </row>
    <row r="5334" spans="1:1">
      <c r="A5334" t="s">
        <v>7302</v>
      </c>
    </row>
    <row r="5335" spans="1:1">
      <c r="A5335" t="s">
        <v>7303</v>
      </c>
    </row>
    <row r="5336" spans="1:1">
      <c r="A5336" t="s">
        <v>7304</v>
      </c>
    </row>
    <row r="5337" spans="1:1">
      <c r="A5337" t="s">
        <v>7305</v>
      </c>
    </row>
    <row r="5338" spans="1:1">
      <c r="A5338" t="s">
        <v>7306</v>
      </c>
    </row>
    <row r="5339" spans="1:1">
      <c r="A5339" t="s">
        <v>7307</v>
      </c>
    </row>
    <row r="5340" spans="1:1">
      <c r="A5340" t="s">
        <v>7308</v>
      </c>
    </row>
    <row r="5341" spans="1:1">
      <c r="A5341" t="s">
        <v>7309</v>
      </c>
    </row>
    <row r="5342" spans="1:1">
      <c r="A5342" t="s">
        <v>7310</v>
      </c>
    </row>
    <row r="5343" spans="1:1">
      <c r="A5343" t="s">
        <v>7311</v>
      </c>
    </row>
    <row r="5344" spans="1:1">
      <c r="A5344" t="s">
        <v>7312</v>
      </c>
    </row>
    <row r="5345" spans="1:1">
      <c r="A5345" t="s">
        <v>7313</v>
      </c>
    </row>
    <row r="5346" spans="1:1">
      <c r="A5346" t="s">
        <v>7314</v>
      </c>
    </row>
    <row r="5347" spans="1:1">
      <c r="A5347" t="s">
        <v>7315</v>
      </c>
    </row>
    <row r="5348" spans="1:1">
      <c r="A5348" t="s">
        <v>7316</v>
      </c>
    </row>
    <row r="5349" spans="1:1">
      <c r="A5349" t="s">
        <v>7317</v>
      </c>
    </row>
    <row r="5350" spans="1:1">
      <c r="A5350" t="s">
        <v>7318</v>
      </c>
    </row>
    <row r="5351" spans="1:1">
      <c r="A5351" t="s">
        <v>7319</v>
      </c>
    </row>
    <row r="5352" spans="1:1">
      <c r="A5352" t="s">
        <v>7320</v>
      </c>
    </row>
    <row r="5353" spans="1:1">
      <c r="A5353" t="s">
        <v>7321</v>
      </c>
    </row>
    <row r="5354" spans="1:1">
      <c r="A5354" t="s">
        <v>7322</v>
      </c>
    </row>
    <row r="5355" spans="1:1">
      <c r="A5355" t="s">
        <v>7323</v>
      </c>
    </row>
    <row r="5356" spans="1:1">
      <c r="A5356" t="s">
        <v>7324</v>
      </c>
    </row>
    <row r="5357" spans="1:1">
      <c r="A5357" t="s">
        <v>7325</v>
      </c>
    </row>
    <row r="5358" spans="1:1">
      <c r="A5358" t="s">
        <v>7326</v>
      </c>
    </row>
    <row r="5359" spans="1:1">
      <c r="A5359" t="s">
        <v>7327</v>
      </c>
    </row>
    <row r="5360" spans="1:1">
      <c r="A5360" t="s">
        <v>7328</v>
      </c>
    </row>
    <row r="5361" spans="1:1">
      <c r="A5361" t="s">
        <v>7329</v>
      </c>
    </row>
    <row r="5362" spans="1:1">
      <c r="A5362" t="s">
        <v>7330</v>
      </c>
    </row>
    <row r="5363" spans="1:1">
      <c r="A5363" t="s">
        <v>7331</v>
      </c>
    </row>
    <row r="5364" spans="1:1">
      <c r="A5364" t="s">
        <v>7332</v>
      </c>
    </row>
    <row r="5365" spans="1:1">
      <c r="A5365" t="s">
        <v>7333</v>
      </c>
    </row>
    <row r="5366" spans="1:1">
      <c r="A5366" t="s">
        <v>7334</v>
      </c>
    </row>
    <row r="5367" spans="1:1">
      <c r="A5367" t="s">
        <v>7335</v>
      </c>
    </row>
    <row r="5368" spans="1:1">
      <c r="A5368" t="s">
        <v>7336</v>
      </c>
    </row>
    <row r="5369" spans="1:1">
      <c r="A5369" t="s">
        <v>7337</v>
      </c>
    </row>
    <row r="5370" spans="1:1">
      <c r="A5370" t="s">
        <v>7338</v>
      </c>
    </row>
    <row r="5371" spans="1:1">
      <c r="A5371" t="s">
        <v>7339</v>
      </c>
    </row>
    <row r="5372" spans="1:1">
      <c r="A5372" t="s">
        <v>7340</v>
      </c>
    </row>
    <row r="5373" spans="1:1">
      <c r="A5373" t="s">
        <v>7341</v>
      </c>
    </row>
    <row r="5374" spans="1:1">
      <c r="A5374" t="s">
        <v>7342</v>
      </c>
    </row>
    <row r="5375" spans="1:1">
      <c r="A5375" t="s">
        <v>7343</v>
      </c>
    </row>
    <row r="5376" spans="1:1">
      <c r="A5376" t="s">
        <v>7344</v>
      </c>
    </row>
    <row r="5377" spans="1:1">
      <c r="A5377" t="s">
        <v>7345</v>
      </c>
    </row>
    <row r="5378" spans="1:1">
      <c r="A5378" t="s">
        <v>7346</v>
      </c>
    </row>
    <row r="5379" spans="1:1">
      <c r="A5379" t="s">
        <v>7347</v>
      </c>
    </row>
    <row r="5380" spans="1:1">
      <c r="A5380" t="s">
        <v>7348</v>
      </c>
    </row>
    <row r="5381" spans="1:1">
      <c r="A5381" t="s">
        <v>7349</v>
      </c>
    </row>
    <row r="5382" spans="1:1">
      <c r="A5382" t="s">
        <v>7350</v>
      </c>
    </row>
    <row r="5383" spans="1:1">
      <c r="A5383" t="s">
        <v>7351</v>
      </c>
    </row>
    <row r="5384" spans="1:1">
      <c r="A5384" t="s">
        <v>7352</v>
      </c>
    </row>
    <row r="5385" spans="1:1">
      <c r="A5385" t="s">
        <v>7353</v>
      </c>
    </row>
    <row r="5386" spans="1:1">
      <c r="A5386" t="s">
        <v>7354</v>
      </c>
    </row>
    <row r="5387" spans="1:1">
      <c r="A5387" t="s">
        <v>7355</v>
      </c>
    </row>
    <row r="5388" spans="1:1">
      <c r="A5388" t="s">
        <v>7356</v>
      </c>
    </row>
    <row r="5389" spans="1:1">
      <c r="A5389" t="s">
        <v>7357</v>
      </c>
    </row>
    <row r="5390" spans="1:1">
      <c r="A5390" t="s">
        <v>7358</v>
      </c>
    </row>
    <row r="5391" spans="1:1">
      <c r="A5391" t="s">
        <v>7359</v>
      </c>
    </row>
    <row r="5392" spans="1:1">
      <c r="A5392" t="s">
        <v>7360</v>
      </c>
    </row>
    <row r="5393" spans="1:1">
      <c r="A5393" t="s">
        <v>7361</v>
      </c>
    </row>
    <row r="5394" spans="1:1">
      <c r="A5394" t="s">
        <v>7362</v>
      </c>
    </row>
    <row r="5395" spans="1:1">
      <c r="A5395" t="s">
        <v>7363</v>
      </c>
    </row>
    <row r="5396" spans="1:1">
      <c r="A5396" t="s">
        <v>7364</v>
      </c>
    </row>
    <row r="5397" spans="1:1">
      <c r="A5397" t="s">
        <v>7365</v>
      </c>
    </row>
    <row r="5398" spans="1:1">
      <c r="A5398" t="s">
        <v>7366</v>
      </c>
    </row>
    <row r="5399" spans="1:1">
      <c r="A5399" t="s">
        <v>7367</v>
      </c>
    </row>
    <row r="5400" spans="1:1">
      <c r="A5400" t="s">
        <v>7368</v>
      </c>
    </row>
    <row r="5401" spans="1:1">
      <c r="A5401" t="s">
        <v>7369</v>
      </c>
    </row>
    <row r="5402" spans="1:1">
      <c r="A5402" t="s">
        <v>7370</v>
      </c>
    </row>
    <row r="5403" spans="1:1">
      <c r="A5403" t="s">
        <v>7371</v>
      </c>
    </row>
    <row r="5404" spans="1:1">
      <c r="A5404" t="s">
        <v>7372</v>
      </c>
    </row>
    <row r="5405" spans="1:1">
      <c r="A5405" t="s">
        <v>7373</v>
      </c>
    </row>
    <row r="5406" spans="1:1">
      <c r="A5406" t="s">
        <v>7374</v>
      </c>
    </row>
    <row r="5407" spans="1:1">
      <c r="A5407" t="s">
        <v>7375</v>
      </c>
    </row>
    <row r="5408" spans="1:1">
      <c r="A5408" t="s">
        <v>7376</v>
      </c>
    </row>
    <row r="5409" spans="1:1">
      <c r="A5409" t="s">
        <v>7377</v>
      </c>
    </row>
    <row r="5410" spans="1:1">
      <c r="A5410" t="s">
        <v>7378</v>
      </c>
    </row>
    <row r="5411" spans="1:1">
      <c r="A5411" t="s">
        <v>7379</v>
      </c>
    </row>
    <row r="5412" spans="1:1">
      <c r="A5412" t="s">
        <v>7380</v>
      </c>
    </row>
    <row r="5413" spans="1:1">
      <c r="A5413" t="s">
        <v>7381</v>
      </c>
    </row>
    <row r="5414" spans="1:1">
      <c r="A5414" t="s">
        <v>7382</v>
      </c>
    </row>
    <row r="5415" spans="1:1">
      <c r="A5415" t="s">
        <v>7383</v>
      </c>
    </row>
    <row r="5416" spans="1:1">
      <c r="A5416" t="s">
        <v>7384</v>
      </c>
    </row>
    <row r="5417" spans="1:1">
      <c r="A5417" t="s">
        <v>7385</v>
      </c>
    </row>
    <row r="5418" spans="1:1">
      <c r="A5418" t="s">
        <v>7386</v>
      </c>
    </row>
    <row r="5419" spans="1:1">
      <c r="A5419" t="s">
        <v>7387</v>
      </c>
    </row>
    <row r="5420" spans="1:1">
      <c r="A5420" t="s">
        <v>7388</v>
      </c>
    </row>
    <row r="5421" spans="1:1">
      <c r="A5421" t="s">
        <v>7389</v>
      </c>
    </row>
    <row r="5422" spans="1:1">
      <c r="A5422" t="s">
        <v>7390</v>
      </c>
    </row>
    <row r="5423" spans="1:1">
      <c r="A5423" t="s">
        <v>7391</v>
      </c>
    </row>
    <row r="5424" spans="1:1">
      <c r="A5424" t="s">
        <v>7392</v>
      </c>
    </row>
    <row r="5425" spans="1:1">
      <c r="A5425" t="s">
        <v>7393</v>
      </c>
    </row>
    <row r="5426" spans="1:1">
      <c r="A5426" t="s">
        <v>7394</v>
      </c>
    </row>
    <row r="5427" spans="1:1">
      <c r="A5427" t="s">
        <v>7395</v>
      </c>
    </row>
    <row r="5428" spans="1:1">
      <c r="A5428" t="s">
        <v>7396</v>
      </c>
    </row>
    <row r="5429" spans="1:1">
      <c r="A5429" t="s">
        <v>7397</v>
      </c>
    </row>
    <row r="5430" spans="1:1">
      <c r="A5430" t="s">
        <v>7398</v>
      </c>
    </row>
    <row r="5431" spans="1:1">
      <c r="A5431" t="s">
        <v>7399</v>
      </c>
    </row>
    <row r="5432" spans="1:1">
      <c r="A5432" t="s">
        <v>7400</v>
      </c>
    </row>
    <row r="5433" spans="1:1">
      <c r="A5433" t="s">
        <v>7401</v>
      </c>
    </row>
    <row r="5434" spans="1:1">
      <c r="A5434" t="s">
        <v>7402</v>
      </c>
    </row>
    <row r="5435" spans="1:1">
      <c r="A5435" t="s">
        <v>7403</v>
      </c>
    </row>
    <row r="5436" spans="1:1">
      <c r="A5436" t="s">
        <v>7404</v>
      </c>
    </row>
    <row r="5437" spans="1:1">
      <c r="A5437" t="s">
        <v>7405</v>
      </c>
    </row>
    <row r="5438" spans="1:1">
      <c r="A5438" t="s">
        <v>7406</v>
      </c>
    </row>
    <row r="5439" spans="1:1">
      <c r="A5439" t="s">
        <v>7407</v>
      </c>
    </row>
    <row r="5440" spans="1:1">
      <c r="A5440" t="s">
        <v>7408</v>
      </c>
    </row>
    <row r="5441" spans="1:1">
      <c r="A5441" t="s">
        <v>7409</v>
      </c>
    </row>
    <row r="5442" spans="1:1">
      <c r="A5442" t="s">
        <v>7410</v>
      </c>
    </row>
    <row r="5443" spans="1:1">
      <c r="A5443" t="s">
        <v>7411</v>
      </c>
    </row>
    <row r="5444" spans="1:1">
      <c r="A5444" t="s">
        <v>7412</v>
      </c>
    </row>
    <row r="5445" spans="1:1">
      <c r="A5445" t="s">
        <v>7413</v>
      </c>
    </row>
    <row r="5446" spans="1:1">
      <c r="A5446" t="s">
        <v>7414</v>
      </c>
    </row>
    <row r="5447" spans="1:1">
      <c r="A5447" t="s">
        <v>7415</v>
      </c>
    </row>
    <row r="5448" spans="1:1">
      <c r="A5448" t="s">
        <v>7416</v>
      </c>
    </row>
    <row r="5449" spans="1:1">
      <c r="A5449" t="s">
        <v>7417</v>
      </c>
    </row>
    <row r="5450" spans="1:1">
      <c r="A5450" t="s">
        <v>7418</v>
      </c>
    </row>
    <row r="5451" spans="1:1">
      <c r="A5451" t="s">
        <v>7419</v>
      </c>
    </row>
    <row r="5452" spans="1:1">
      <c r="A5452" t="s">
        <v>7420</v>
      </c>
    </row>
    <row r="5453" spans="1:1">
      <c r="A5453" t="s">
        <v>7421</v>
      </c>
    </row>
    <row r="5454" spans="1:1">
      <c r="A5454" t="s">
        <v>7422</v>
      </c>
    </row>
    <row r="5455" spans="1:1">
      <c r="A5455" t="s">
        <v>7423</v>
      </c>
    </row>
    <row r="5456" spans="1:1">
      <c r="A5456" t="s">
        <v>7424</v>
      </c>
    </row>
    <row r="5457" spans="1:1">
      <c r="A5457" t="s">
        <v>7425</v>
      </c>
    </row>
    <row r="5458" spans="1:1">
      <c r="A5458" t="s">
        <v>7426</v>
      </c>
    </row>
    <row r="5459" spans="1:1">
      <c r="A5459" t="s">
        <v>7427</v>
      </c>
    </row>
    <row r="5460" spans="1:1">
      <c r="A5460" t="s">
        <v>7428</v>
      </c>
    </row>
    <row r="5461" spans="1:1">
      <c r="A5461" t="s">
        <v>7429</v>
      </c>
    </row>
    <row r="5462" spans="1:1">
      <c r="A5462" t="s">
        <v>7430</v>
      </c>
    </row>
    <row r="5463" spans="1:1">
      <c r="A5463" t="s">
        <v>7431</v>
      </c>
    </row>
    <row r="5464" spans="1:1">
      <c r="A5464" t="s">
        <v>7432</v>
      </c>
    </row>
    <row r="5465" spans="1:1">
      <c r="A5465" t="s">
        <v>7433</v>
      </c>
    </row>
    <row r="5466" spans="1:1">
      <c r="A5466" t="s">
        <v>7434</v>
      </c>
    </row>
    <row r="5467" spans="1:1">
      <c r="A5467" t="s">
        <v>7435</v>
      </c>
    </row>
    <row r="5468" spans="1:1">
      <c r="A5468" t="s">
        <v>7436</v>
      </c>
    </row>
    <row r="5469" spans="1:1">
      <c r="A5469" t="s">
        <v>7437</v>
      </c>
    </row>
    <row r="5470" spans="1:1">
      <c r="A5470" t="s">
        <v>7438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91"/>
  <sheetViews>
    <sheetView zoomScale="121" zoomScaleNormal="121" workbookViewId="0">
      <selection activeCell="V21" sqref="V21"/>
    </sheetView>
  </sheetViews>
  <sheetFormatPr baseColWidth="10" defaultColWidth="11.3984375" defaultRowHeight="12.5"/>
  <cols>
    <col min="1" max="1" width="17.69921875" style="247" bestFit="1" customWidth="1"/>
    <col min="2" max="2" width="19.3984375" style="247" customWidth="1"/>
    <col min="3" max="255" width="9.09765625" style="247" customWidth="1"/>
    <col min="256" max="16384" width="11.3984375" style="247"/>
  </cols>
  <sheetData>
    <row r="1" spans="1:10">
      <c r="A1" s="247" t="s">
        <v>7674</v>
      </c>
      <c r="B1" s="247" t="s">
        <v>7884</v>
      </c>
    </row>
    <row r="2" spans="1:10">
      <c r="A2" s="247" t="s">
        <v>7675</v>
      </c>
      <c r="B2" s="247" t="s">
        <v>7676</v>
      </c>
    </row>
    <row r="3" spans="1:10">
      <c r="A3" s="247" t="s">
        <v>7677</v>
      </c>
      <c r="B3" s="247" t="s">
        <v>7885</v>
      </c>
    </row>
    <row r="4" spans="1:10">
      <c r="A4" s="247" t="s">
        <v>7678</v>
      </c>
      <c r="B4" s="247" t="s">
        <v>7886</v>
      </c>
    </row>
    <row r="7" spans="1:10">
      <c r="A7" s="247" t="s">
        <v>7887</v>
      </c>
      <c r="B7" s="247" t="s">
        <v>7888</v>
      </c>
    </row>
    <row r="8" spans="1:10">
      <c r="A8" s="247" t="s">
        <v>7889</v>
      </c>
      <c r="B8" s="247" t="s">
        <v>7890</v>
      </c>
    </row>
    <row r="9" spans="1:10">
      <c r="A9" s="247" t="s">
        <v>7891</v>
      </c>
      <c r="B9" s="247" t="s">
        <v>7892</v>
      </c>
    </row>
    <row r="10" spans="1:10">
      <c r="A10" s="247" t="s">
        <v>7893</v>
      </c>
      <c r="B10" s="247" t="s">
        <v>7894</v>
      </c>
    </row>
    <row r="11" spans="1:10">
      <c r="A11" s="247" t="s">
        <v>7895</v>
      </c>
      <c r="B11" s="247" t="s">
        <v>7896</v>
      </c>
    </row>
    <row r="12" spans="1:10">
      <c r="A12" s="247" t="s">
        <v>7897</v>
      </c>
      <c r="B12" s="247" t="s">
        <v>7898</v>
      </c>
    </row>
    <row r="13" spans="1:10">
      <c r="A13" s="247" t="s">
        <v>7899</v>
      </c>
      <c r="B13" s="247" t="s">
        <v>7900</v>
      </c>
    </row>
    <row r="15" spans="1:10">
      <c r="A15" s="247" t="s">
        <v>7901</v>
      </c>
      <c r="B15" s="247" t="s">
        <v>7902</v>
      </c>
      <c r="C15" s="247" t="s">
        <v>7903</v>
      </c>
      <c r="D15" s="247" t="s">
        <v>7887</v>
      </c>
      <c r="E15" s="247" t="s">
        <v>7889</v>
      </c>
      <c r="F15" s="247" t="s">
        <v>7891</v>
      </c>
      <c r="G15" s="247" t="s">
        <v>7893</v>
      </c>
      <c r="H15" s="247" t="s">
        <v>7895</v>
      </c>
      <c r="I15" s="247" t="s">
        <v>7897</v>
      </c>
      <c r="J15" s="247" t="s">
        <v>7899</v>
      </c>
    </row>
    <row r="16" spans="1:10">
      <c r="A16" s="247">
        <v>2012</v>
      </c>
      <c r="B16" s="247">
        <v>8</v>
      </c>
      <c r="C16" s="247">
        <v>1</v>
      </c>
      <c r="D16" s="247">
        <v>2333</v>
      </c>
      <c r="E16" s="247">
        <v>7.5</v>
      </c>
      <c r="F16" s="247">
        <v>21.7</v>
      </c>
      <c r="G16" s="247">
        <v>21.6</v>
      </c>
      <c r="H16" s="247">
        <v>12.5</v>
      </c>
      <c r="I16" s="247">
        <v>30.8</v>
      </c>
      <c r="J16" s="247">
        <v>977</v>
      </c>
    </row>
    <row r="17" spans="1:10">
      <c r="A17" s="247">
        <v>2012</v>
      </c>
      <c r="B17" s="247">
        <v>8</v>
      </c>
      <c r="C17" s="247">
        <v>2</v>
      </c>
      <c r="D17" s="247">
        <v>1890</v>
      </c>
      <c r="E17" s="247">
        <v>0</v>
      </c>
      <c r="F17" s="247">
        <v>20.7</v>
      </c>
      <c r="G17" s="247">
        <v>21</v>
      </c>
      <c r="H17" s="247">
        <v>16.399999999999999</v>
      </c>
      <c r="I17" s="247">
        <v>25.6</v>
      </c>
      <c r="J17" s="247">
        <v>812</v>
      </c>
    </row>
    <row r="18" spans="1:10">
      <c r="A18" s="247">
        <v>2012</v>
      </c>
      <c r="B18" s="247">
        <v>8</v>
      </c>
      <c r="C18" s="247">
        <v>3</v>
      </c>
      <c r="D18" s="247">
        <v>2343</v>
      </c>
      <c r="E18" s="247">
        <v>0</v>
      </c>
      <c r="F18" s="247">
        <v>20.2</v>
      </c>
      <c r="G18" s="247">
        <v>20.5</v>
      </c>
      <c r="H18" s="247">
        <v>14.5</v>
      </c>
      <c r="I18" s="247">
        <v>26.4</v>
      </c>
      <c r="J18" s="247">
        <v>976</v>
      </c>
    </row>
    <row r="19" spans="1:10">
      <c r="A19" s="247">
        <v>2012</v>
      </c>
      <c r="B19" s="247">
        <v>8</v>
      </c>
      <c r="C19" s="247">
        <v>4</v>
      </c>
      <c r="D19" s="247">
        <v>2298</v>
      </c>
      <c r="E19" s="247">
        <v>0</v>
      </c>
      <c r="F19" s="247">
        <v>21</v>
      </c>
      <c r="G19" s="247">
        <v>20.7</v>
      </c>
      <c r="H19" s="247">
        <v>14.4</v>
      </c>
      <c r="I19" s="247">
        <v>27</v>
      </c>
      <c r="J19" s="247">
        <v>972</v>
      </c>
    </row>
    <row r="20" spans="1:10">
      <c r="A20" s="247">
        <v>2012</v>
      </c>
      <c r="B20" s="247">
        <v>8</v>
      </c>
      <c r="C20" s="247">
        <v>5</v>
      </c>
      <c r="D20" s="247">
        <v>1841</v>
      </c>
      <c r="E20" s="247">
        <v>5</v>
      </c>
      <c r="F20" s="247">
        <v>20</v>
      </c>
      <c r="G20" s="247">
        <v>21.2</v>
      </c>
      <c r="H20" s="247">
        <v>16.399999999999999</v>
      </c>
      <c r="I20" s="247">
        <v>26</v>
      </c>
      <c r="J20" s="247">
        <v>786</v>
      </c>
    </row>
    <row r="21" spans="1:10">
      <c r="A21" s="247">
        <v>2012</v>
      </c>
      <c r="B21" s="247">
        <v>8</v>
      </c>
      <c r="C21" s="247">
        <v>6</v>
      </c>
      <c r="D21" s="247">
        <v>1546</v>
      </c>
      <c r="E21" s="247">
        <v>1</v>
      </c>
      <c r="F21" s="247">
        <v>17.5</v>
      </c>
      <c r="G21" s="247">
        <v>18.600000000000001</v>
      </c>
      <c r="H21" s="247">
        <v>15.2</v>
      </c>
      <c r="I21" s="247">
        <v>22</v>
      </c>
      <c r="J21" s="247">
        <v>683</v>
      </c>
    </row>
    <row r="22" spans="1:10">
      <c r="A22" s="247">
        <v>2012</v>
      </c>
      <c r="B22" s="247">
        <v>8</v>
      </c>
      <c r="C22" s="247">
        <v>7</v>
      </c>
      <c r="D22" s="247">
        <v>1979</v>
      </c>
      <c r="E22" s="247">
        <v>0.5</v>
      </c>
      <c r="F22" s="247">
        <v>17.5</v>
      </c>
      <c r="G22" s="247">
        <v>17.399999999999999</v>
      </c>
      <c r="H22" s="247">
        <v>10.8</v>
      </c>
      <c r="I22" s="247">
        <v>23.9</v>
      </c>
      <c r="J22" s="247">
        <v>837</v>
      </c>
    </row>
    <row r="23" spans="1:10">
      <c r="A23" s="247">
        <v>2012</v>
      </c>
      <c r="B23" s="247">
        <v>8</v>
      </c>
      <c r="C23" s="247">
        <v>8</v>
      </c>
      <c r="D23" s="247">
        <v>2604</v>
      </c>
      <c r="E23" s="247">
        <v>0</v>
      </c>
      <c r="F23" s="247">
        <v>19.100000000000001</v>
      </c>
      <c r="G23" s="247">
        <v>18.5</v>
      </c>
      <c r="H23" s="247">
        <v>11.1</v>
      </c>
      <c r="I23" s="247">
        <v>25.9</v>
      </c>
      <c r="J23" s="247">
        <v>1088</v>
      </c>
    </row>
    <row r="24" spans="1:10">
      <c r="A24" s="247">
        <v>2012</v>
      </c>
      <c r="B24" s="247">
        <v>8</v>
      </c>
      <c r="C24" s="247">
        <v>9</v>
      </c>
      <c r="D24" s="247">
        <v>2489</v>
      </c>
      <c r="E24" s="247">
        <v>0</v>
      </c>
      <c r="F24" s="247">
        <v>21.2</v>
      </c>
      <c r="G24" s="247">
        <v>20.8</v>
      </c>
      <c r="H24" s="247">
        <v>14.1</v>
      </c>
      <c r="I24" s="247">
        <v>27.4</v>
      </c>
      <c r="J24" s="247">
        <v>1044</v>
      </c>
    </row>
    <row r="25" spans="1:10">
      <c r="A25" s="247">
        <v>2012</v>
      </c>
      <c r="B25" s="247">
        <v>8</v>
      </c>
      <c r="C25" s="247">
        <v>10</v>
      </c>
      <c r="D25" s="247">
        <v>2636</v>
      </c>
      <c r="E25" s="247">
        <v>0</v>
      </c>
      <c r="F25" s="247">
        <v>21</v>
      </c>
      <c r="G25" s="247">
        <v>21.2</v>
      </c>
      <c r="H25" s="247">
        <v>15.1</v>
      </c>
      <c r="I25" s="247">
        <v>27.3</v>
      </c>
      <c r="J25" s="247">
        <v>1092</v>
      </c>
    </row>
    <row r="26" spans="1:10">
      <c r="A26" s="247">
        <v>2012</v>
      </c>
      <c r="B26" s="247">
        <v>8</v>
      </c>
      <c r="C26" s="247">
        <v>11</v>
      </c>
      <c r="D26" s="247">
        <v>2669</v>
      </c>
      <c r="E26" s="247">
        <v>0</v>
      </c>
      <c r="F26" s="247">
        <v>20.8</v>
      </c>
      <c r="G26" s="247">
        <v>20.8</v>
      </c>
      <c r="H26" s="247">
        <v>13.7</v>
      </c>
      <c r="I26" s="247">
        <v>27.9</v>
      </c>
      <c r="J26" s="247">
        <v>1099</v>
      </c>
    </row>
    <row r="27" spans="1:10">
      <c r="A27" s="247">
        <v>2012</v>
      </c>
      <c r="B27" s="247">
        <v>8</v>
      </c>
      <c r="C27" s="247">
        <v>12</v>
      </c>
      <c r="D27" s="247">
        <v>1619</v>
      </c>
      <c r="E27" s="247">
        <v>0</v>
      </c>
      <c r="F27" s="247">
        <v>18.7</v>
      </c>
      <c r="G27" s="247">
        <v>18.3</v>
      </c>
      <c r="H27" s="247">
        <v>11.8</v>
      </c>
      <c r="I27" s="247">
        <v>24.8</v>
      </c>
      <c r="J27" s="247">
        <v>687</v>
      </c>
    </row>
    <row r="28" spans="1:10">
      <c r="A28" s="247">
        <v>2012</v>
      </c>
      <c r="B28" s="247">
        <v>8</v>
      </c>
      <c r="C28" s="247">
        <v>13</v>
      </c>
      <c r="D28" s="247">
        <v>1954</v>
      </c>
      <c r="E28" s="247">
        <v>0</v>
      </c>
      <c r="F28" s="247">
        <v>20.399999999999999</v>
      </c>
      <c r="G28" s="247">
        <v>19.2</v>
      </c>
      <c r="H28" s="247">
        <v>11.3</v>
      </c>
      <c r="I28" s="247">
        <v>27.2</v>
      </c>
      <c r="J28" s="247">
        <v>831</v>
      </c>
    </row>
    <row r="29" spans="1:10">
      <c r="A29" s="247">
        <v>2012</v>
      </c>
      <c r="B29" s="247">
        <v>8</v>
      </c>
      <c r="C29" s="247">
        <v>14</v>
      </c>
      <c r="D29" s="247">
        <v>1908</v>
      </c>
      <c r="E29" s="247">
        <v>0</v>
      </c>
      <c r="F29" s="247">
        <v>21.9</v>
      </c>
      <c r="G29" s="247">
        <v>21.2</v>
      </c>
      <c r="H29" s="247">
        <v>13.5</v>
      </c>
      <c r="I29" s="247">
        <v>28.9</v>
      </c>
      <c r="J29" s="247">
        <v>809</v>
      </c>
    </row>
    <row r="30" spans="1:10">
      <c r="A30" s="247">
        <v>2012</v>
      </c>
      <c r="B30" s="247">
        <v>8</v>
      </c>
      <c r="C30" s="247">
        <v>15</v>
      </c>
      <c r="D30" s="247">
        <v>1920</v>
      </c>
      <c r="E30" s="247">
        <v>27</v>
      </c>
      <c r="F30" s="247">
        <v>22.1</v>
      </c>
      <c r="G30" s="247">
        <v>23.2</v>
      </c>
      <c r="H30" s="247">
        <v>14.7</v>
      </c>
      <c r="I30" s="247">
        <v>31.7</v>
      </c>
      <c r="J30" s="247">
        <v>810</v>
      </c>
    </row>
    <row r="31" spans="1:10">
      <c r="A31" s="247">
        <v>2012</v>
      </c>
      <c r="B31" s="247">
        <v>8</v>
      </c>
      <c r="C31" s="247">
        <v>16</v>
      </c>
      <c r="D31" s="247">
        <v>2367</v>
      </c>
      <c r="E31" s="247">
        <v>0</v>
      </c>
      <c r="F31" s="247">
        <v>19.100000000000001</v>
      </c>
      <c r="G31" s="247">
        <v>19.2</v>
      </c>
      <c r="H31" s="247">
        <v>14</v>
      </c>
      <c r="I31" s="247">
        <v>24.4</v>
      </c>
      <c r="J31" s="247">
        <v>969</v>
      </c>
    </row>
    <row r="32" spans="1:10">
      <c r="A32" s="247">
        <v>2012</v>
      </c>
      <c r="B32" s="247">
        <v>8</v>
      </c>
      <c r="C32" s="247">
        <v>17</v>
      </c>
      <c r="D32" s="247">
        <v>2519</v>
      </c>
      <c r="E32" s="247">
        <v>0</v>
      </c>
      <c r="F32" s="247">
        <v>20.9</v>
      </c>
      <c r="G32" s="247">
        <v>20.7</v>
      </c>
      <c r="H32" s="247">
        <v>12.3</v>
      </c>
      <c r="I32" s="247">
        <v>29.1</v>
      </c>
      <c r="J32" s="247">
        <v>1053</v>
      </c>
    </row>
    <row r="33" spans="1:10">
      <c r="A33" s="247">
        <v>2012</v>
      </c>
      <c r="B33" s="247">
        <v>8</v>
      </c>
      <c r="C33" s="247">
        <v>18</v>
      </c>
      <c r="D33" s="247">
        <v>2465</v>
      </c>
      <c r="E33" s="247">
        <v>0</v>
      </c>
      <c r="F33" s="247">
        <v>23.8</v>
      </c>
      <c r="G33" s="247">
        <v>23.7</v>
      </c>
      <c r="H33" s="247">
        <v>14.9</v>
      </c>
      <c r="I33" s="247">
        <v>32.4</v>
      </c>
      <c r="J33" s="247">
        <v>1026</v>
      </c>
    </row>
    <row r="34" spans="1:10">
      <c r="A34" s="247">
        <v>2012</v>
      </c>
      <c r="B34" s="247">
        <v>8</v>
      </c>
      <c r="C34" s="247">
        <v>19</v>
      </c>
      <c r="D34" s="247">
        <v>2327</v>
      </c>
      <c r="E34" s="247">
        <v>0</v>
      </c>
      <c r="F34" s="247">
        <v>25.3</v>
      </c>
      <c r="G34" s="247">
        <v>25</v>
      </c>
      <c r="H34" s="247">
        <v>16</v>
      </c>
      <c r="I34" s="247">
        <v>34.1</v>
      </c>
      <c r="J34" s="247">
        <v>963</v>
      </c>
    </row>
    <row r="35" spans="1:10">
      <c r="A35" s="247">
        <v>2012</v>
      </c>
      <c r="B35" s="247">
        <v>8</v>
      </c>
      <c r="C35" s="247">
        <v>20</v>
      </c>
      <c r="D35" s="247">
        <v>869</v>
      </c>
      <c r="E35" s="247">
        <v>0.5</v>
      </c>
      <c r="F35" s="247">
        <v>23.1</v>
      </c>
      <c r="G35" s="247">
        <v>24.3</v>
      </c>
      <c r="H35" s="247">
        <v>18.8</v>
      </c>
      <c r="I35" s="247">
        <v>29.8</v>
      </c>
      <c r="J35" s="247">
        <v>371</v>
      </c>
    </row>
    <row r="36" spans="1:10">
      <c r="A36" s="247">
        <v>2012</v>
      </c>
      <c r="B36" s="247">
        <v>8</v>
      </c>
      <c r="C36" s="247">
        <v>21</v>
      </c>
      <c r="D36" s="247">
        <v>2003</v>
      </c>
      <c r="E36" s="247">
        <v>0</v>
      </c>
      <c r="F36" s="247">
        <v>24.5</v>
      </c>
      <c r="G36" s="247">
        <v>24.5</v>
      </c>
      <c r="H36" s="247">
        <v>16.5</v>
      </c>
      <c r="I36" s="247">
        <v>32.6</v>
      </c>
      <c r="J36" s="247">
        <v>829</v>
      </c>
    </row>
    <row r="37" spans="1:10">
      <c r="A37" s="247">
        <v>2012</v>
      </c>
      <c r="B37" s="247">
        <v>8</v>
      </c>
      <c r="C37" s="247">
        <v>22</v>
      </c>
      <c r="D37" s="247">
        <v>2207</v>
      </c>
      <c r="E37" s="247">
        <v>0</v>
      </c>
      <c r="F37" s="247">
        <v>22.8</v>
      </c>
      <c r="G37" s="247">
        <v>23.8</v>
      </c>
      <c r="H37" s="247">
        <v>18.899999999999999</v>
      </c>
      <c r="I37" s="247">
        <v>28.7</v>
      </c>
      <c r="J37" s="247">
        <v>916</v>
      </c>
    </row>
    <row r="38" spans="1:10">
      <c r="A38" s="247">
        <v>2012</v>
      </c>
      <c r="B38" s="247">
        <v>8</v>
      </c>
      <c r="C38" s="247">
        <v>23</v>
      </c>
      <c r="D38" s="247">
        <v>1949</v>
      </c>
      <c r="E38" s="247">
        <v>1.5</v>
      </c>
      <c r="F38" s="247">
        <v>22.4</v>
      </c>
      <c r="G38" s="247">
        <v>22.8</v>
      </c>
      <c r="H38" s="247">
        <v>17.100000000000001</v>
      </c>
      <c r="I38" s="247">
        <v>28.4</v>
      </c>
      <c r="J38" s="247">
        <v>813</v>
      </c>
    </row>
    <row r="39" spans="1:10">
      <c r="A39" s="247">
        <v>2012</v>
      </c>
      <c r="B39" s="247">
        <v>8</v>
      </c>
      <c r="C39" s="247">
        <v>24</v>
      </c>
      <c r="D39" s="247">
        <v>524</v>
      </c>
      <c r="E39" s="247">
        <v>12</v>
      </c>
      <c r="F39" s="247">
        <v>19.2</v>
      </c>
      <c r="G39" s="247">
        <v>20</v>
      </c>
      <c r="H39" s="247">
        <v>18.5</v>
      </c>
      <c r="I39" s="247">
        <v>21.5</v>
      </c>
      <c r="J39" s="247">
        <v>237</v>
      </c>
    </row>
    <row r="40" spans="1:10">
      <c r="A40" s="247">
        <v>2012</v>
      </c>
      <c r="B40" s="247">
        <v>8</v>
      </c>
      <c r="C40" s="247">
        <v>25</v>
      </c>
      <c r="D40" s="247">
        <v>705</v>
      </c>
      <c r="E40" s="247">
        <v>0.5</v>
      </c>
      <c r="F40" s="247">
        <v>17.3</v>
      </c>
      <c r="G40" s="247">
        <v>18</v>
      </c>
      <c r="H40" s="247">
        <v>15.4</v>
      </c>
      <c r="I40" s="247">
        <v>20.7</v>
      </c>
      <c r="J40" s="247">
        <v>312</v>
      </c>
    </row>
    <row r="41" spans="1:10">
      <c r="A41" s="247">
        <v>2012</v>
      </c>
      <c r="B41" s="247">
        <v>8</v>
      </c>
      <c r="C41" s="247">
        <v>26</v>
      </c>
      <c r="D41" s="247">
        <v>1263</v>
      </c>
      <c r="E41" s="247">
        <v>0.5</v>
      </c>
      <c r="F41" s="247">
        <v>15.7</v>
      </c>
      <c r="G41" s="247">
        <v>16.899999999999999</v>
      </c>
      <c r="H41" s="247">
        <v>12.5</v>
      </c>
      <c r="I41" s="247">
        <v>21.2</v>
      </c>
      <c r="J41" s="247">
        <v>527</v>
      </c>
    </row>
    <row r="42" spans="1:10">
      <c r="A42" s="247">
        <v>2012</v>
      </c>
      <c r="B42" s="247">
        <v>8</v>
      </c>
      <c r="C42" s="247">
        <v>27</v>
      </c>
      <c r="D42" s="247">
        <v>2329</v>
      </c>
      <c r="E42" s="247">
        <v>0</v>
      </c>
      <c r="F42" s="247">
        <v>17.5</v>
      </c>
      <c r="G42" s="247">
        <v>17.5</v>
      </c>
      <c r="H42" s="247">
        <v>9.8000000000000007</v>
      </c>
      <c r="I42" s="247">
        <v>25.1</v>
      </c>
      <c r="J42" s="247">
        <v>946</v>
      </c>
    </row>
    <row r="43" spans="1:10">
      <c r="A43" s="247">
        <v>2012</v>
      </c>
      <c r="B43" s="247">
        <v>8</v>
      </c>
      <c r="C43" s="247">
        <v>28</v>
      </c>
      <c r="D43" s="247">
        <v>1299</v>
      </c>
      <c r="E43" s="247">
        <v>2.5</v>
      </c>
      <c r="F43" s="247">
        <v>17.2</v>
      </c>
      <c r="G43" s="247">
        <v>17</v>
      </c>
      <c r="H43" s="247">
        <v>10.9</v>
      </c>
      <c r="I43" s="247">
        <v>23.1</v>
      </c>
      <c r="J43" s="247">
        <v>541</v>
      </c>
    </row>
    <row r="44" spans="1:10">
      <c r="A44" s="247">
        <v>2012</v>
      </c>
      <c r="B44" s="247">
        <v>8</v>
      </c>
      <c r="C44" s="247">
        <v>29</v>
      </c>
      <c r="D44" s="247">
        <v>1840</v>
      </c>
      <c r="E44" s="247">
        <v>5.5</v>
      </c>
      <c r="F44" s="247">
        <v>20</v>
      </c>
      <c r="G44" s="247">
        <v>20.5</v>
      </c>
      <c r="H44" s="247">
        <v>13.5</v>
      </c>
      <c r="I44" s="247">
        <v>27.4</v>
      </c>
      <c r="J44" s="247">
        <v>751</v>
      </c>
    </row>
    <row r="45" spans="1:10">
      <c r="A45" s="247">
        <v>2012</v>
      </c>
      <c r="B45" s="247">
        <v>8</v>
      </c>
      <c r="C45" s="247">
        <v>30</v>
      </c>
      <c r="D45" s="247">
        <v>1449</v>
      </c>
      <c r="E45" s="247">
        <v>0</v>
      </c>
      <c r="F45" s="247">
        <v>18.3</v>
      </c>
      <c r="G45" s="247">
        <v>19.600000000000001</v>
      </c>
      <c r="H45" s="247">
        <v>16.899999999999999</v>
      </c>
      <c r="I45" s="247">
        <v>22.4</v>
      </c>
      <c r="J45" s="247">
        <v>597</v>
      </c>
    </row>
    <row r="46" spans="1:10">
      <c r="A46" s="247">
        <v>2012</v>
      </c>
      <c r="B46" s="247">
        <v>8</v>
      </c>
      <c r="C46" s="247">
        <v>31</v>
      </c>
      <c r="D46" s="247">
        <v>1406</v>
      </c>
      <c r="E46" s="247">
        <v>0.5</v>
      </c>
      <c r="F46" s="247">
        <v>14.6</v>
      </c>
      <c r="G46" s="247">
        <v>14.6</v>
      </c>
      <c r="H46" s="247">
        <v>12.5</v>
      </c>
      <c r="I46" s="247">
        <v>16.8</v>
      </c>
      <c r="J46" s="247">
        <v>578</v>
      </c>
    </row>
    <row r="47" spans="1:10">
      <c r="A47" s="247">
        <v>2012</v>
      </c>
      <c r="B47" s="247">
        <v>9</v>
      </c>
      <c r="C47" s="247">
        <v>1</v>
      </c>
      <c r="D47" s="247">
        <v>992</v>
      </c>
      <c r="E47" s="247">
        <v>0</v>
      </c>
      <c r="F47" s="247">
        <v>13.8</v>
      </c>
      <c r="G47" s="247">
        <v>13.7</v>
      </c>
      <c r="H47" s="247">
        <v>9.1</v>
      </c>
      <c r="I47" s="247">
        <v>18.3</v>
      </c>
      <c r="J47" s="247">
        <v>418</v>
      </c>
    </row>
    <row r="48" spans="1:10">
      <c r="A48" s="247">
        <v>2012</v>
      </c>
      <c r="B48" s="247">
        <v>9</v>
      </c>
      <c r="C48" s="247">
        <v>2</v>
      </c>
      <c r="D48" s="247">
        <v>1358</v>
      </c>
      <c r="E48" s="247">
        <v>0</v>
      </c>
      <c r="F48" s="247">
        <v>17.8</v>
      </c>
      <c r="G48" s="247">
        <v>18</v>
      </c>
      <c r="H48" s="247">
        <v>13.2</v>
      </c>
      <c r="I48" s="247">
        <v>22.7</v>
      </c>
      <c r="J48" s="247">
        <v>560</v>
      </c>
    </row>
    <row r="49" spans="1:10">
      <c r="A49" s="247">
        <v>2012</v>
      </c>
      <c r="B49" s="247">
        <v>9</v>
      </c>
      <c r="C49" s="247">
        <v>3</v>
      </c>
      <c r="D49" s="247">
        <v>1712</v>
      </c>
      <c r="E49" s="247">
        <v>0</v>
      </c>
      <c r="F49" s="247">
        <v>20.100000000000001</v>
      </c>
      <c r="G49" s="247">
        <v>19.5</v>
      </c>
      <c r="H49" s="247">
        <v>13.8</v>
      </c>
      <c r="I49" s="247">
        <v>25.1</v>
      </c>
      <c r="J49" s="247">
        <v>694</v>
      </c>
    </row>
    <row r="50" spans="1:10">
      <c r="A50" s="247">
        <v>2012</v>
      </c>
      <c r="B50" s="247">
        <v>9</v>
      </c>
      <c r="C50" s="247">
        <v>4</v>
      </c>
      <c r="D50" s="247">
        <v>1669</v>
      </c>
      <c r="E50" s="247">
        <v>0</v>
      </c>
      <c r="F50" s="247">
        <v>21</v>
      </c>
      <c r="G50" s="247">
        <v>21</v>
      </c>
      <c r="H50" s="247">
        <v>15.4</v>
      </c>
      <c r="I50" s="247">
        <v>26.6</v>
      </c>
      <c r="J50" s="247">
        <v>664</v>
      </c>
    </row>
    <row r="51" spans="1:10">
      <c r="A51" s="247">
        <v>2012</v>
      </c>
      <c r="B51" s="247">
        <v>9</v>
      </c>
      <c r="C51" s="247">
        <v>5</v>
      </c>
      <c r="D51" s="247">
        <v>1852</v>
      </c>
      <c r="E51" s="247">
        <v>0</v>
      </c>
      <c r="F51" s="247">
        <v>20.399999999999999</v>
      </c>
      <c r="G51" s="247">
        <v>20.6</v>
      </c>
      <c r="H51" s="247">
        <v>14.5</v>
      </c>
      <c r="I51" s="247">
        <v>26.7</v>
      </c>
      <c r="J51" s="247">
        <v>743</v>
      </c>
    </row>
    <row r="52" spans="1:10">
      <c r="A52" s="247">
        <v>2012</v>
      </c>
      <c r="B52" s="247">
        <v>9</v>
      </c>
      <c r="C52" s="247">
        <v>6</v>
      </c>
      <c r="D52" s="247">
        <v>2157</v>
      </c>
      <c r="E52" s="247">
        <v>0</v>
      </c>
      <c r="F52" s="247">
        <v>18.5</v>
      </c>
      <c r="G52" s="247">
        <v>19.3</v>
      </c>
      <c r="H52" s="247">
        <v>13.4</v>
      </c>
      <c r="I52" s="247">
        <v>25.2</v>
      </c>
      <c r="J52" s="247">
        <v>855</v>
      </c>
    </row>
    <row r="53" spans="1:10">
      <c r="A53" s="247">
        <v>2012</v>
      </c>
      <c r="B53" s="247">
        <v>9</v>
      </c>
      <c r="C53" s="247">
        <v>7</v>
      </c>
      <c r="D53" s="247">
        <v>2176</v>
      </c>
      <c r="E53" s="247">
        <v>0</v>
      </c>
      <c r="F53" s="247">
        <v>17.7</v>
      </c>
      <c r="G53" s="247">
        <v>18.100000000000001</v>
      </c>
      <c r="H53" s="247">
        <v>9.6</v>
      </c>
      <c r="I53" s="247">
        <v>26.6</v>
      </c>
      <c r="J53" s="247">
        <v>855</v>
      </c>
    </row>
    <row r="54" spans="1:10">
      <c r="A54" s="247">
        <v>2012</v>
      </c>
      <c r="B54" s="247">
        <v>9</v>
      </c>
      <c r="C54" s="247">
        <v>8</v>
      </c>
      <c r="D54" s="247">
        <v>2145</v>
      </c>
      <c r="E54" s="247">
        <v>0</v>
      </c>
      <c r="F54" s="247">
        <v>18.2</v>
      </c>
      <c r="G54" s="247">
        <v>18.5</v>
      </c>
      <c r="H54" s="247">
        <v>9.6</v>
      </c>
      <c r="I54" s="247">
        <v>27.4</v>
      </c>
      <c r="J54" s="247">
        <v>836</v>
      </c>
    </row>
    <row r="55" spans="1:10">
      <c r="A55" s="247">
        <v>2012</v>
      </c>
      <c r="B55" s="247">
        <v>9</v>
      </c>
      <c r="C55" s="247">
        <v>9</v>
      </c>
      <c r="D55" s="247">
        <v>1971</v>
      </c>
      <c r="E55" s="247">
        <v>0</v>
      </c>
      <c r="F55" s="247">
        <v>20.2</v>
      </c>
      <c r="G55" s="247">
        <v>21</v>
      </c>
      <c r="H55" s="247">
        <v>12</v>
      </c>
      <c r="I55" s="247">
        <v>30</v>
      </c>
      <c r="J55" s="247">
        <v>788</v>
      </c>
    </row>
    <row r="56" spans="1:10">
      <c r="A56" s="247">
        <v>2012</v>
      </c>
      <c r="B56" s="247">
        <v>9</v>
      </c>
      <c r="C56" s="247">
        <v>10</v>
      </c>
      <c r="D56" s="247">
        <v>1786</v>
      </c>
      <c r="E56" s="247">
        <v>0</v>
      </c>
      <c r="F56" s="247">
        <v>20.3</v>
      </c>
      <c r="G56" s="247">
        <v>20</v>
      </c>
      <c r="H56" s="247">
        <v>11.1</v>
      </c>
      <c r="I56" s="247">
        <v>29</v>
      </c>
      <c r="J56" s="247">
        <v>721</v>
      </c>
    </row>
    <row r="57" spans="1:10">
      <c r="A57" s="247">
        <v>2012</v>
      </c>
      <c r="B57" s="247">
        <v>9</v>
      </c>
      <c r="C57" s="247">
        <v>11</v>
      </c>
      <c r="D57" s="247">
        <v>1109</v>
      </c>
      <c r="E57" s="247">
        <v>0</v>
      </c>
      <c r="F57" s="247">
        <v>20.3</v>
      </c>
      <c r="G57" s="247">
        <v>21.5</v>
      </c>
      <c r="H57" s="247">
        <v>16.600000000000001</v>
      </c>
      <c r="I57" s="247">
        <v>26.4</v>
      </c>
      <c r="J57" s="247">
        <v>465</v>
      </c>
    </row>
    <row r="58" spans="1:10">
      <c r="A58" s="247">
        <v>2012</v>
      </c>
      <c r="B58" s="247">
        <v>9</v>
      </c>
      <c r="C58" s="247">
        <v>12</v>
      </c>
      <c r="D58" s="247">
        <v>805</v>
      </c>
      <c r="E58" s="247">
        <v>2.5</v>
      </c>
      <c r="F58" s="247">
        <v>13.3</v>
      </c>
      <c r="G58" s="247">
        <v>14.8</v>
      </c>
      <c r="H58" s="247">
        <v>12.6</v>
      </c>
      <c r="I58" s="247">
        <v>16.899999999999999</v>
      </c>
      <c r="J58" s="247">
        <v>344</v>
      </c>
    </row>
    <row r="59" spans="1:10">
      <c r="A59" s="247">
        <v>2012</v>
      </c>
      <c r="B59" s="247">
        <v>9</v>
      </c>
      <c r="C59" s="247">
        <v>13</v>
      </c>
      <c r="D59" s="247">
        <v>974</v>
      </c>
      <c r="E59" s="247">
        <v>0.5</v>
      </c>
      <c r="F59" s="247">
        <v>12.7</v>
      </c>
      <c r="G59" s="247">
        <v>12.8</v>
      </c>
      <c r="H59" s="247">
        <v>8.3000000000000007</v>
      </c>
      <c r="I59" s="247">
        <v>17.3</v>
      </c>
      <c r="J59" s="247">
        <v>432</v>
      </c>
    </row>
    <row r="60" spans="1:10">
      <c r="A60" s="247">
        <v>2012</v>
      </c>
      <c r="B60" s="247">
        <v>9</v>
      </c>
      <c r="C60" s="247">
        <v>14</v>
      </c>
      <c r="D60" s="247">
        <v>1975</v>
      </c>
      <c r="E60" s="247">
        <v>0.5</v>
      </c>
      <c r="F60" s="247">
        <v>15.1</v>
      </c>
      <c r="G60" s="247">
        <v>15.5</v>
      </c>
      <c r="H60" s="247">
        <v>8.9</v>
      </c>
      <c r="I60" s="247">
        <v>22.1</v>
      </c>
      <c r="J60" s="247">
        <v>789</v>
      </c>
    </row>
    <row r="61" spans="1:10">
      <c r="A61" s="247">
        <v>2012</v>
      </c>
      <c r="B61" s="247">
        <v>9</v>
      </c>
      <c r="C61" s="247">
        <v>15</v>
      </c>
      <c r="D61" s="247">
        <v>1144</v>
      </c>
      <c r="E61" s="247">
        <v>0</v>
      </c>
      <c r="F61" s="247">
        <v>14.7</v>
      </c>
      <c r="G61" s="247">
        <v>15.2</v>
      </c>
      <c r="H61" s="247">
        <v>9.1</v>
      </c>
      <c r="I61" s="247">
        <v>21.3</v>
      </c>
      <c r="J61" s="247">
        <v>472</v>
      </c>
    </row>
    <row r="62" spans="1:10">
      <c r="A62" s="247">
        <v>2012</v>
      </c>
      <c r="B62" s="247">
        <v>9</v>
      </c>
      <c r="C62" s="247">
        <v>16</v>
      </c>
      <c r="D62" s="247">
        <v>1950</v>
      </c>
      <c r="E62" s="247">
        <v>0</v>
      </c>
      <c r="F62" s="247">
        <v>15.1</v>
      </c>
      <c r="G62" s="247">
        <v>15.7</v>
      </c>
      <c r="H62" s="247">
        <v>8</v>
      </c>
      <c r="I62" s="247">
        <v>23.4</v>
      </c>
      <c r="J62" s="247">
        <v>775</v>
      </c>
    </row>
    <row r="63" spans="1:10">
      <c r="A63" s="247">
        <v>2012</v>
      </c>
      <c r="B63" s="247">
        <v>9</v>
      </c>
      <c r="C63" s="247">
        <v>17</v>
      </c>
      <c r="D63" s="247">
        <v>1652</v>
      </c>
      <c r="E63" s="247">
        <v>0</v>
      </c>
      <c r="F63" s="247">
        <v>16.8</v>
      </c>
      <c r="G63" s="247">
        <v>17.2</v>
      </c>
      <c r="H63" s="247">
        <v>9.8000000000000007</v>
      </c>
      <c r="I63" s="247">
        <v>24.7</v>
      </c>
      <c r="J63" s="247">
        <v>656</v>
      </c>
    </row>
    <row r="64" spans="1:10">
      <c r="A64" s="247">
        <v>2012</v>
      </c>
      <c r="B64" s="247">
        <v>9</v>
      </c>
      <c r="C64" s="247">
        <v>18</v>
      </c>
      <c r="D64" s="247">
        <v>826</v>
      </c>
      <c r="E64" s="247">
        <v>0.5</v>
      </c>
      <c r="F64" s="247">
        <v>16</v>
      </c>
      <c r="G64" s="247">
        <v>15.9</v>
      </c>
      <c r="H64" s="247">
        <v>8.5</v>
      </c>
      <c r="I64" s="247">
        <v>23.4</v>
      </c>
      <c r="J64" s="247">
        <v>352</v>
      </c>
    </row>
    <row r="65" spans="1:10">
      <c r="A65" s="247">
        <v>2012</v>
      </c>
      <c r="B65" s="247">
        <v>9</v>
      </c>
      <c r="C65" s="247">
        <v>19</v>
      </c>
      <c r="D65" s="247">
        <v>1570</v>
      </c>
      <c r="E65" s="247">
        <v>0</v>
      </c>
      <c r="F65" s="247">
        <v>13.5</v>
      </c>
      <c r="G65" s="247">
        <v>14.4</v>
      </c>
      <c r="H65" s="247">
        <v>10</v>
      </c>
      <c r="I65" s="247">
        <v>18.7</v>
      </c>
      <c r="J65" s="247">
        <v>615</v>
      </c>
    </row>
    <row r="66" spans="1:10">
      <c r="A66" s="247">
        <v>2012</v>
      </c>
      <c r="B66" s="247">
        <v>9</v>
      </c>
      <c r="C66" s="247">
        <v>20</v>
      </c>
      <c r="D66" s="247">
        <v>1739</v>
      </c>
      <c r="E66" s="247">
        <v>0</v>
      </c>
      <c r="F66" s="247">
        <v>11</v>
      </c>
      <c r="G66" s="247">
        <v>10.9</v>
      </c>
      <c r="H66" s="247">
        <v>3</v>
      </c>
      <c r="I66" s="247">
        <v>18.899999999999999</v>
      </c>
      <c r="J66" s="247">
        <v>678</v>
      </c>
    </row>
    <row r="67" spans="1:10">
      <c r="A67" s="247">
        <v>2012</v>
      </c>
      <c r="B67" s="247">
        <v>9</v>
      </c>
      <c r="C67" s="247">
        <v>21</v>
      </c>
      <c r="D67" s="247">
        <v>1396</v>
      </c>
      <c r="E67" s="247">
        <v>20</v>
      </c>
      <c r="F67" s="247">
        <v>14.3</v>
      </c>
      <c r="G67" s="247">
        <v>14.1</v>
      </c>
      <c r="H67" s="247">
        <v>3.7</v>
      </c>
      <c r="I67" s="247">
        <v>24.4</v>
      </c>
      <c r="J67" s="247">
        <v>558</v>
      </c>
    </row>
    <row r="68" spans="1:10">
      <c r="A68" s="247">
        <v>2012</v>
      </c>
      <c r="B68" s="247">
        <v>9</v>
      </c>
      <c r="C68" s="247">
        <v>22</v>
      </c>
      <c r="D68" s="247">
        <v>250</v>
      </c>
      <c r="E68" s="247">
        <v>1</v>
      </c>
      <c r="F68" s="247">
        <v>13.5</v>
      </c>
      <c r="G68" s="247">
        <v>13.8</v>
      </c>
      <c r="H68" s="247">
        <v>12.4</v>
      </c>
      <c r="I68" s="247">
        <v>15.1</v>
      </c>
      <c r="J68" s="247">
        <v>122</v>
      </c>
    </row>
    <row r="69" spans="1:10">
      <c r="A69" s="247">
        <v>2012</v>
      </c>
      <c r="B69" s="247">
        <v>9</v>
      </c>
      <c r="C69" s="247">
        <v>23</v>
      </c>
      <c r="D69" s="247">
        <v>819</v>
      </c>
      <c r="E69" s="247">
        <v>9</v>
      </c>
      <c r="F69" s="247">
        <v>15.7</v>
      </c>
      <c r="G69" s="247">
        <v>17</v>
      </c>
      <c r="H69" s="247">
        <v>10.3</v>
      </c>
      <c r="I69" s="247">
        <v>23.6</v>
      </c>
      <c r="J69" s="247">
        <v>337</v>
      </c>
    </row>
    <row r="70" spans="1:10">
      <c r="A70" s="247">
        <v>2012</v>
      </c>
      <c r="B70" s="247">
        <v>9</v>
      </c>
      <c r="C70" s="247">
        <v>24</v>
      </c>
      <c r="D70" s="247">
        <v>1052</v>
      </c>
      <c r="E70" s="247">
        <v>2</v>
      </c>
      <c r="F70" s="247">
        <v>16.8</v>
      </c>
      <c r="G70" s="247">
        <v>17</v>
      </c>
      <c r="H70" s="247">
        <v>14</v>
      </c>
      <c r="I70" s="247">
        <v>20</v>
      </c>
      <c r="J70" s="247">
        <v>429</v>
      </c>
    </row>
    <row r="71" spans="1:10">
      <c r="A71" s="247">
        <v>2012</v>
      </c>
      <c r="B71" s="247">
        <v>9</v>
      </c>
      <c r="C71" s="247">
        <v>25</v>
      </c>
      <c r="D71" s="247">
        <v>498</v>
      </c>
      <c r="E71" s="247">
        <v>25</v>
      </c>
      <c r="F71" s="247">
        <v>14</v>
      </c>
      <c r="G71" s="247">
        <v>14.7</v>
      </c>
      <c r="H71" s="247">
        <v>13</v>
      </c>
      <c r="I71" s="247">
        <v>16.399999999999999</v>
      </c>
      <c r="J71" s="247">
        <v>220</v>
      </c>
    </row>
    <row r="72" spans="1:10">
      <c r="A72" s="247">
        <v>2012</v>
      </c>
      <c r="B72" s="247">
        <v>9</v>
      </c>
      <c r="C72" s="247">
        <v>26</v>
      </c>
      <c r="D72" s="247">
        <v>185</v>
      </c>
      <c r="E72" s="247">
        <v>19.5</v>
      </c>
      <c r="F72" s="247">
        <v>11.3</v>
      </c>
      <c r="G72" s="247">
        <v>11.4</v>
      </c>
      <c r="H72" s="247">
        <v>10.9</v>
      </c>
      <c r="I72" s="247">
        <v>11.9</v>
      </c>
      <c r="J72" s="247">
        <v>93</v>
      </c>
    </row>
    <row r="73" spans="1:10">
      <c r="A73" s="247">
        <v>2012</v>
      </c>
      <c r="B73" s="247">
        <v>9</v>
      </c>
      <c r="C73" s="247">
        <v>27</v>
      </c>
      <c r="D73" s="247">
        <v>1279</v>
      </c>
      <c r="E73" s="247">
        <v>4</v>
      </c>
      <c r="F73" s="247">
        <v>12.6</v>
      </c>
      <c r="G73" s="247">
        <v>13.8</v>
      </c>
      <c r="H73" s="247">
        <v>9.4</v>
      </c>
      <c r="I73" s="247">
        <v>18.3</v>
      </c>
      <c r="J73" s="247">
        <v>515</v>
      </c>
    </row>
    <row r="74" spans="1:10">
      <c r="A74" s="247">
        <v>2012</v>
      </c>
      <c r="B74" s="247">
        <v>9</v>
      </c>
      <c r="C74" s="247">
        <v>28</v>
      </c>
      <c r="D74" s="247">
        <v>1638</v>
      </c>
      <c r="E74" s="247">
        <v>0</v>
      </c>
      <c r="F74" s="247">
        <v>12.4</v>
      </c>
      <c r="G74" s="247">
        <v>12.8</v>
      </c>
      <c r="H74" s="247">
        <v>5.9</v>
      </c>
      <c r="I74" s="247">
        <v>19.7</v>
      </c>
      <c r="J74" s="247">
        <v>643</v>
      </c>
    </row>
    <row r="75" spans="1:10">
      <c r="A75" s="247">
        <v>2012</v>
      </c>
      <c r="B75" s="247">
        <v>9</v>
      </c>
      <c r="C75" s="247">
        <v>29</v>
      </c>
      <c r="D75" s="247">
        <v>1256</v>
      </c>
      <c r="E75" s="247">
        <v>0</v>
      </c>
      <c r="F75" s="247">
        <v>12.6</v>
      </c>
      <c r="G75" s="247">
        <v>12.6</v>
      </c>
      <c r="H75" s="247">
        <v>7.1</v>
      </c>
      <c r="I75" s="247">
        <v>18.100000000000001</v>
      </c>
      <c r="J75" s="247">
        <v>502</v>
      </c>
    </row>
    <row r="76" spans="1:10">
      <c r="A76" s="247">
        <v>2012</v>
      </c>
      <c r="B76" s="247">
        <v>9</v>
      </c>
      <c r="C76" s="247">
        <v>30</v>
      </c>
      <c r="D76" s="247">
        <v>1270</v>
      </c>
      <c r="E76" s="247">
        <v>0</v>
      </c>
      <c r="F76" s="247">
        <v>12.5</v>
      </c>
      <c r="G76" s="247">
        <v>13.3</v>
      </c>
      <c r="H76" s="247">
        <v>8.3000000000000007</v>
      </c>
      <c r="I76" s="247">
        <v>18.3</v>
      </c>
      <c r="J76" s="247">
        <v>501</v>
      </c>
    </row>
    <row r="77" spans="1:10">
      <c r="A77" s="247">
        <v>2012</v>
      </c>
      <c r="B77" s="247">
        <v>10</v>
      </c>
      <c r="C77" s="247">
        <v>1</v>
      </c>
      <c r="D77" s="247">
        <v>1460</v>
      </c>
      <c r="E77" s="247">
        <v>0</v>
      </c>
      <c r="F77" s="247">
        <v>12.3</v>
      </c>
      <c r="G77" s="247">
        <v>13</v>
      </c>
      <c r="H77" s="247">
        <v>6.7</v>
      </c>
      <c r="I77" s="247">
        <v>19.3</v>
      </c>
      <c r="J77" s="247">
        <v>561</v>
      </c>
    </row>
    <row r="78" spans="1:10">
      <c r="A78" s="247">
        <v>2012</v>
      </c>
      <c r="B78" s="247">
        <v>10</v>
      </c>
      <c r="C78" s="247">
        <v>2</v>
      </c>
      <c r="D78" s="247">
        <v>1523</v>
      </c>
      <c r="E78" s="247">
        <v>1</v>
      </c>
      <c r="F78" s="247">
        <v>12.9</v>
      </c>
      <c r="G78" s="247">
        <v>13.1</v>
      </c>
      <c r="H78" s="247">
        <v>6.1</v>
      </c>
      <c r="I78" s="247">
        <v>20</v>
      </c>
      <c r="J78" s="247">
        <v>598</v>
      </c>
    </row>
    <row r="79" spans="1:10">
      <c r="A79" s="247">
        <v>2012</v>
      </c>
      <c r="B79" s="247">
        <v>10</v>
      </c>
      <c r="C79" s="247">
        <v>3</v>
      </c>
      <c r="D79" s="247">
        <v>1047</v>
      </c>
      <c r="E79" s="247">
        <v>0</v>
      </c>
      <c r="F79" s="247">
        <v>15.5</v>
      </c>
      <c r="G79" s="247">
        <v>15.1</v>
      </c>
      <c r="H79" s="247">
        <v>11</v>
      </c>
      <c r="I79" s="247">
        <v>19.3</v>
      </c>
      <c r="J79" s="247">
        <v>433</v>
      </c>
    </row>
    <row r="80" spans="1:10">
      <c r="A80" s="247">
        <v>2012</v>
      </c>
      <c r="B80" s="247">
        <v>10</v>
      </c>
      <c r="C80" s="247">
        <v>4</v>
      </c>
      <c r="D80" s="247">
        <v>484</v>
      </c>
      <c r="E80" s="247">
        <v>0.5</v>
      </c>
      <c r="F80" s="247">
        <v>14.9</v>
      </c>
      <c r="G80" s="247">
        <v>15.6</v>
      </c>
      <c r="H80" s="247">
        <v>13.5</v>
      </c>
      <c r="I80" s="247">
        <v>17.8</v>
      </c>
      <c r="J80" s="247">
        <v>210</v>
      </c>
    </row>
    <row r="81" spans="1:10">
      <c r="A81" s="247">
        <v>2012</v>
      </c>
      <c r="B81" s="247">
        <v>10</v>
      </c>
      <c r="C81" s="247">
        <v>5</v>
      </c>
      <c r="D81" s="247">
        <v>1533</v>
      </c>
      <c r="E81" s="247">
        <v>0</v>
      </c>
      <c r="F81" s="247">
        <v>15.8</v>
      </c>
      <c r="G81" s="247">
        <v>16.7</v>
      </c>
      <c r="H81" s="247">
        <v>10.3</v>
      </c>
      <c r="I81" s="247">
        <v>23.1</v>
      </c>
      <c r="J81" s="247">
        <v>604</v>
      </c>
    </row>
    <row r="82" spans="1:10">
      <c r="A82" s="247">
        <v>2012</v>
      </c>
      <c r="B82" s="247">
        <v>10</v>
      </c>
      <c r="C82" s="247">
        <v>6</v>
      </c>
      <c r="D82" s="247">
        <v>1121</v>
      </c>
      <c r="E82" s="247">
        <v>4</v>
      </c>
      <c r="F82" s="247">
        <v>16.600000000000001</v>
      </c>
      <c r="G82" s="247">
        <v>16</v>
      </c>
      <c r="H82" s="247">
        <v>8.5</v>
      </c>
      <c r="I82" s="247">
        <v>23.5</v>
      </c>
      <c r="J82" s="247">
        <v>447</v>
      </c>
    </row>
    <row r="83" spans="1:10">
      <c r="A83" s="247">
        <v>2012</v>
      </c>
      <c r="B83" s="247">
        <v>10</v>
      </c>
      <c r="C83" s="247">
        <v>7</v>
      </c>
      <c r="D83" s="247">
        <v>655</v>
      </c>
      <c r="E83" s="247">
        <v>1</v>
      </c>
      <c r="F83" s="247">
        <v>15.1</v>
      </c>
      <c r="G83" s="247">
        <v>16.600000000000001</v>
      </c>
      <c r="H83" s="247">
        <v>14.7</v>
      </c>
      <c r="I83" s="247">
        <v>18.600000000000001</v>
      </c>
      <c r="J83" s="247">
        <v>281</v>
      </c>
    </row>
    <row r="84" spans="1:10">
      <c r="A84" s="247">
        <v>2012</v>
      </c>
      <c r="B84" s="247">
        <v>10</v>
      </c>
      <c r="C84" s="247">
        <v>8</v>
      </c>
      <c r="D84" s="247">
        <v>387</v>
      </c>
      <c r="E84" s="247">
        <v>22.5</v>
      </c>
      <c r="F84" s="247">
        <v>12</v>
      </c>
      <c r="G84" s="247">
        <v>12.4</v>
      </c>
      <c r="H84" s="247">
        <v>8.6</v>
      </c>
      <c r="I84" s="247">
        <v>16.3</v>
      </c>
      <c r="J84" s="247">
        <v>178</v>
      </c>
    </row>
    <row r="85" spans="1:10">
      <c r="A85" s="247">
        <v>2012</v>
      </c>
      <c r="B85" s="247">
        <v>10</v>
      </c>
      <c r="C85" s="247">
        <v>9</v>
      </c>
      <c r="D85" s="247">
        <v>691</v>
      </c>
      <c r="E85" s="247">
        <v>1.5</v>
      </c>
      <c r="F85" s="247">
        <v>16.8</v>
      </c>
      <c r="G85" s="247">
        <v>16.5</v>
      </c>
      <c r="H85" s="247">
        <v>13.4</v>
      </c>
      <c r="I85" s="247">
        <v>19.600000000000001</v>
      </c>
      <c r="J85" s="247">
        <v>295</v>
      </c>
    </row>
    <row r="86" spans="1:10">
      <c r="A86" s="247">
        <v>2012</v>
      </c>
      <c r="B86" s="247">
        <v>10</v>
      </c>
      <c r="C86" s="247">
        <v>10</v>
      </c>
      <c r="D86" s="247">
        <v>912</v>
      </c>
      <c r="E86" s="247">
        <v>17</v>
      </c>
      <c r="F86" s="247">
        <v>16.600000000000001</v>
      </c>
      <c r="G86" s="247">
        <v>17.5</v>
      </c>
      <c r="H86" s="247">
        <v>14.5</v>
      </c>
      <c r="I86" s="247">
        <v>20.5</v>
      </c>
      <c r="J86" s="247">
        <v>380</v>
      </c>
    </row>
    <row r="87" spans="1:10">
      <c r="A87" s="247">
        <v>2012</v>
      </c>
      <c r="B87" s="247">
        <v>10</v>
      </c>
      <c r="C87" s="247">
        <v>11</v>
      </c>
      <c r="D87" s="247">
        <v>532</v>
      </c>
      <c r="E87" s="247">
        <v>4.5</v>
      </c>
      <c r="F87" s="247">
        <v>15.1</v>
      </c>
      <c r="G87" s="247">
        <v>16</v>
      </c>
      <c r="H87" s="247">
        <v>13.3</v>
      </c>
      <c r="I87" s="247">
        <v>18.7</v>
      </c>
      <c r="J87" s="247">
        <v>229</v>
      </c>
    </row>
    <row r="88" spans="1:10">
      <c r="A88" s="247">
        <v>2012</v>
      </c>
      <c r="B88" s="247">
        <v>10</v>
      </c>
      <c r="C88" s="247">
        <v>12</v>
      </c>
      <c r="D88" s="247">
        <v>782</v>
      </c>
      <c r="E88" s="247">
        <v>0.5</v>
      </c>
      <c r="F88" s="247">
        <v>12.7</v>
      </c>
      <c r="G88" s="247">
        <v>13.3</v>
      </c>
      <c r="H88" s="247">
        <v>10.6</v>
      </c>
      <c r="I88" s="247">
        <v>16</v>
      </c>
      <c r="J88" s="247">
        <v>312</v>
      </c>
    </row>
    <row r="89" spans="1:10">
      <c r="A89" s="247">
        <v>2012</v>
      </c>
      <c r="B89" s="247">
        <v>10</v>
      </c>
      <c r="C89" s="247">
        <v>13</v>
      </c>
      <c r="D89" s="247">
        <v>980</v>
      </c>
      <c r="E89" s="247">
        <v>2.5</v>
      </c>
      <c r="F89" s="247">
        <v>9.1</v>
      </c>
      <c r="G89" s="247">
        <v>9.1999999999999993</v>
      </c>
      <c r="H89" s="247">
        <v>3.3</v>
      </c>
      <c r="I89" s="247">
        <v>15.1</v>
      </c>
      <c r="J89" s="247">
        <v>385</v>
      </c>
    </row>
    <row r="90" spans="1:10">
      <c r="A90" s="247">
        <v>2012</v>
      </c>
      <c r="B90" s="247">
        <v>10</v>
      </c>
      <c r="C90" s="247">
        <v>14</v>
      </c>
      <c r="D90" s="247">
        <v>311</v>
      </c>
      <c r="E90" s="247">
        <v>5</v>
      </c>
      <c r="F90" s="247">
        <v>10.199999999999999</v>
      </c>
      <c r="G90" s="247">
        <v>10.8</v>
      </c>
      <c r="H90" s="247">
        <v>9.4</v>
      </c>
      <c r="I90" s="247">
        <v>12.2</v>
      </c>
      <c r="J90" s="247">
        <v>140</v>
      </c>
    </row>
    <row r="91" spans="1:10">
      <c r="A91" s="247">
        <v>2012</v>
      </c>
      <c r="B91" s="247">
        <v>10</v>
      </c>
      <c r="C91" s="247">
        <v>15</v>
      </c>
      <c r="D91" s="247">
        <v>1090</v>
      </c>
      <c r="E91" s="247">
        <v>0.5</v>
      </c>
      <c r="F91" s="247">
        <v>7.4</v>
      </c>
      <c r="G91" s="247">
        <v>8.6</v>
      </c>
      <c r="H91" s="247">
        <v>4</v>
      </c>
      <c r="I91" s="247">
        <v>13.3</v>
      </c>
      <c r="J91" s="247">
        <v>418</v>
      </c>
    </row>
    <row r="92" spans="1:10">
      <c r="A92" s="247">
        <v>2012</v>
      </c>
      <c r="B92" s="247">
        <v>10</v>
      </c>
      <c r="C92" s="247">
        <v>16</v>
      </c>
      <c r="D92" s="247">
        <v>467</v>
      </c>
      <c r="E92" s="247">
        <v>1</v>
      </c>
      <c r="F92" s="247">
        <v>6.2</v>
      </c>
      <c r="G92" s="247">
        <v>5.8</v>
      </c>
      <c r="H92" s="247">
        <v>0.3</v>
      </c>
      <c r="I92" s="247">
        <v>11.2</v>
      </c>
      <c r="J92" s="247">
        <v>204</v>
      </c>
    </row>
    <row r="93" spans="1:10">
      <c r="A93" s="247">
        <v>2012</v>
      </c>
      <c r="B93" s="247">
        <v>10</v>
      </c>
      <c r="C93" s="247">
        <v>17</v>
      </c>
      <c r="D93" s="247">
        <v>773</v>
      </c>
      <c r="E93" s="247">
        <v>0.5</v>
      </c>
      <c r="F93" s="247">
        <v>13.8</v>
      </c>
      <c r="G93" s="247">
        <v>12.6</v>
      </c>
      <c r="H93" s="247">
        <v>6</v>
      </c>
      <c r="I93" s="247">
        <v>19.3</v>
      </c>
      <c r="J93" s="247">
        <v>314</v>
      </c>
    </row>
    <row r="94" spans="1:10">
      <c r="A94" s="247">
        <v>2012</v>
      </c>
      <c r="B94" s="247">
        <v>10</v>
      </c>
      <c r="C94" s="247">
        <v>18</v>
      </c>
      <c r="D94" s="247">
        <v>970</v>
      </c>
      <c r="E94" s="247">
        <v>0</v>
      </c>
      <c r="F94" s="247">
        <v>17.899999999999999</v>
      </c>
      <c r="G94" s="247">
        <v>19.100000000000001</v>
      </c>
      <c r="H94" s="247">
        <v>16.3</v>
      </c>
      <c r="I94" s="247">
        <v>21.9</v>
      </c>
      <c r="J94" s="247">
        <v>382</v>
      </c>
    </row>
    <row r="95" spans="1:10">
      <c r="A95" s="247">
        <v>2012</v>
      </c>
      <c r="B95" s="247">
        <v>10</v>
      </c>
      <c r="C95" s="247">
        <v>19</v>
      </c>
      <c r="D95" s="247">
        <v>891</v>
      </c>
      <c r="E95" s="247">
        <v>0</v>
      </c>
      <c r="F95" s="247">
        <v>17.2</v>
      </c>
      <c r="G95" s="247">
        <v>18.899999999999999</v>
      </c>
      <c r="H95" s="247">
        <v>14.3</v>
      </c>
      <c r="I95" s="247">
        <v>23.4</v>
      </c>
      <c r="J95" s="247">
        <v>355</v>
      </c>
    </row>
    <row r="96" spans="1:10">
      <c r="A96" s="247">
        <v>2012</v>
      </c>
      <c r="B96" s="247">
        <v>10</v>
      </c>
      <c r="C96" s="247">
        <v>20</v>
      </c>
      <c r="D96" s="247">
        <v>643</v>
      </c>
      <c r="E96" s="247">
        <v>0</v>
      </c>
      <c r="F96" s="247">
        <v>15.6</v>
      </c>
      <c r="G96" s="247">
        <v>16</v>
      </c>
      <c r="H96" s="247">
        <v>10.6</v>
      </c>
      <c r="I96" s="247">
        <v>21.5</v>
      </c>
      <c r="J96" s="247">
        <v>266</v>
      </c>
    </row>
    <row r="97" spans="1:10">
      <c r="A97" s="247">
        <v>2012</v>
      </c>
      <c r="B97" s="247">
        <v>10</v>
      </c>
      <c r="C97" s="247">
        <v>21</v>
      </c>
      <c r="D97" s="247">
        <v>908</v>
      </c>
      <c r="E97" s="247">
        <v>0</v>
      </c>
      <c r="F97" s="247">
        <v>16.100000000000001</v>
      </c>
      <c r="G97" s="247">
        <v>17.399999999999999</v>
      </c>
      <c r="H97" s="247">
        <v>11.7</v>
      </c>
      <c r="I97" s="247">
        <v>23.1</v>
      </c>
      <c r="J97" s="247">
        <v>364</v>
      </c>
    </row>
    <row r="98" spans="1:10">
      <c r="A98" s="247">
        <v>2012</v>
      </c>
      <c r="B98" s="247">
        <v>10</v>
      </c>
      <c r="C98" s="247">
        <v>22</v>
      </c>
      <c r="D98" s="247">
        <v>1072</v>
      </c>
      <c r="E98" s="247">
        <v>0</v>
      </c>
      <c r="F98" s="247">
        <v>16</v>
      </c>
      <c r="G98" s="247">
        <v>17.2</v>
      </c>
      <c r="H98" s="247">
        <v>10.6</v>
      </c>
      <c r="I98" s="247">
        <v>23.8</v>
      </c>
      <c r="J98" s="247">
        <v>429</v>
      </c>
    </row>
    <row r="99" spans="1:10">
      <c r="A99" s="247">
        <v>2012</v>
      </c>
      <c r="B99" s="247">
        <v>10</v>
      </c>
      <c r="C99" s="247">
        <v>23</v>
      </c>
      <c r="D99" s="247">
        <v>235</v>
      </c>
      <c r="E99" s="247">
        <v>0</v>
      </c>
      <c r="F99" s="247">
        <v>11.2</v>
      </c>
      <c r="G99" s="247">
        <v>10.9</v>
      </c>
      <c r="H99" s="247">
        <v>10.4</v>
      </c>
      <c r="I99" s="247">
        <v>11.5</v>
      </c>
      <c r="J99" s="247">
        <v>106</v>
      </c>
    </row>
    <row r="100" spans="1:10">
      <c r="A100" s="247">
        <v>2012</v>
      </c>
      <c r="B100" s="247">
        <v>10</v>
      </c>
      <c r="C100" s="247">
        <v>24</v>
      </c>
      <c r="D100" s="247">
        <v>287</v>
      </c>
      <c r="E100" s="247">
        <v>0</v>
      </c>
      <c r="F100" s="247">
        <v>10.5</v>
      </c>
      <c r="G100" s="247">
        <v>11.1</v>
      </c>
      <c r="H100" s="247">
        <v>9.4</v>
      </c>
      <c r="I100" s="247">
        <v>12.9</v>
      </c>
      <c r="J100" s="247">
        <v>124</v>
      </c>
    </row>
    <row r="101" spans="1:10">
      <c r="A101" s="247">
        <v>2012</v>
      </c>
      <c r="B101" s="247">
        <v>10</v>
      </c>
      <c r="C101" s="247">
        <v>25</v>
      </c>
      <c r="D101" s="247">
        <v>506</v>
      </c>
      <c r="E101" s="247">
        <v>0.5</v>
      </c>
      <c r="F101" s="247">
        <v>10.5</v>
      </c>
      <c r="G101" s="247">
        <v>11.6</v>
      </c>
      <c r="H101" s="247">
        <v>8.4</v>
      </c>
      <c r="I101" s="247">
        <v>14.9</v>
      </c>
      <c r="J101" s="247">
        <v>206</v>
      </c>
    </row>
    <row r="102" spans="1:10">
      <c r="A102" s="247">
        <v>2012</v>
      </c>
      <c r="B102" s="247">
        <v>10</v>
      </c>
      <c r="C102" s="247">
        <v>26</v>
      </c>
      <c r="D102" s="247">
        <v>307</v>
      </c>
      <c r="E102" s="247">
        <v>18</v>
      </c>
      <c r="F102" s="247">
        <v>9.6</v>
      </c>
      <c r="G102" s="247">
        <v>9.8000000000000007</v>
      </c>
      <c r="H102" s="247">
        <v>8</v>
      </c>
      <c r="I102" s="247">
        <v>11.5</v>
      </c>
      <c r="J102" s="247">
        <v>136</v>
      </c>
    </row>
    <row r="103" spans="1:10">
      <c r="A103" s="247">
        <v>2012</v>
      </c>
      <c r="B103" s="247">
        <v>10</v>
      </c>
      <c r="C103" s="247">
        <v>27</v>
      </c>
      <c r="D103" s="247">
        <v>302</v>
      </c>
      <c r="E103" s="247">
        <v>0</v>
      </c>
      <c r="F103" s="247">
        <v>4.4000000000000004</v>
      </c>
      <c r="G103" s="247">
        <v>4.0999999999999996</v>
      </c>
      <c r="H103" s="247">
        <v>2.8</v>
      </c>
      <c r="I103" s="247">
        <v>5.4</v>
      </c>
      <c r="J103" s="247">
        <v>123</v>
      </c>
    </row>
    <row r="104" spans="1:10">
      <c r="A104" s="247">
        <v>2012</v>
      </c>
      <c r="B104" s="247">
        <v>10</v>
      </c>
      <c r="C104" s="247">
        <v>28</v>
      </c>
      <c r="D104" s="247">
        <v>1052</v>
      </c>
      <c r="E104" s="247">
        <v>0</v>
      </c>
      <c r="F104" s="247">
        <v>2.1</v>
      </c>
      <c r="G104" s="247">
        <v>3.2</v>
      </c>
      <c r="H104" s="247">
        <v>-0.2</v>
      </c>
      <c r="I104" s="247">
        <v>6.5</v>
      </c>
      <c r="J104" s="247">
        <v>390</v>
      </c>
    </row>
    <row r="105" spans="1:10">
      <c r="A105" s="247">
        <v>2012</v>
      </c>
      <c r="B105" s="247">
        <v>10</v>
      </c>
      <c r="C105" s="247">
        <v>29</v>
      </c>
      <c r="D105" s="247">
        <v>1010</v>
      </c>
      <c r="E105" s="247">
        <v>0</v>
      </c>
      <c r="F105" s="247">
        <v>1.5</v>
      </c>
      <c r="G105" s="247">
        <v>1.9</v>
      </c>
      <c r="H105" s="247">
        <v>-4.2</v>
      </c>
      <c r="I105" s="247">
        <v>8</v>
      </c>
      <c r="J105" s="247">
        <v>358</v>
      </c>
    </row>
    <row r="106" spans="1:10">
      <c r="A106" s="247">
        <v>2012</v>
      </c>
      <c r="B106" s="247">
        <v>10</v>
      </c>
      <c r="C106" s="247">
        <v>30</v>
      </c>
      <c r="D106" s="247">
        <v>1118</v>
      </c>
      <c r="E106" s="247">
        <v>0.5</v>
      </c>
      <c r="F106" s="247">
        <v>2.8</v>
      </c>
      <c r="G106" s="247">
        <v>4.0999999999999996</v>
      </c>
      <c r="H106" s="247">
        <v>-2</v>
      </c>
      <c r="I106" s="247">
        <v>10.199999999999999</v>
      </c>
      <c r="J106" s="247">
        <v>409</v>
      </c>
    </row>
    <row r="107" spans="1:10">
      <c r="A107" s="247">
        <v>2012</v>
      </c>
      <c r="B107" s="247">
        <v>10</v>
      </c>
      <c r="C107" s="247">
        <v>31</v>
      </c>
      <c r="D107" s="247">
        <v>729</v>
      </c>
      <c r="E107" s="247">
        <v>0</v>
      </c>
      <c r="F107" s="247">
        <v>3</v>
      </c>
      <c r="G107" s="247">
        <v>2.8</v>
      </c>
      <c r="H107" s="247">
        <v>-2.9</v>
      </c>
      <c r="I107" s="247">
        <v>8.5</v>
      </c>
      <c r="J107" s="247">
        <v>266</v>
      </c>
    </row>
    <row r="108" spans="1:10">
      <c r="A108" s="247">
        <v>2012</v>
      </c>
      <c r="B108" s="247">
        <v>11</v>
      </c>
      <c r="C108" s="247">
        <v>1</v>
      </c>
      <c r="D108" s="247">
        <v>459</v>
      </c>
      <c r="E108" s="247">
        <v>2</v>
      </c>
      <c r="F108" s="247">
        <v>6</v>
      </c>
      <c r="G108" s="247">
        <v>5.9</v>
      </c>
      <c r="H108" s="247">
        <v>0.3</v>
      </c>
      <c r="I108" s="247">
        <v>11.5</v>
      </c>
      <c r="J108" s="247">
        <v>188</v>
      </c>
    </row>
    <row r="109" spans="1:10">
      <c r="A109" s="247">
        <v>2012</v>
      </c>
      <c r="B109" s="247">
        <v>11</v>
      </c>
      <c r="C109" s="247">
        <v>2</v>
      </c>
      <c r="D109" s="247">
        <v>533</v>
      </c>
      <c r="E109" s="247">
        <v>10</v>
      </c>
      <c r="F109" s="247">
        <v>9.3000000000000007</v>
      </c>
      <c r="G109" s="247">
        <v>9.5</v>
      </c>
      <c r="H109" s="247">
        <v>5.8</v>
      </c>
      <c r="I109" s="247">
        <v>13.2</v>
      </c>
      <c r="J109" s="247">
        <v>210</v>
      </c>
    </row>
    <row r="110" spans="1:10">
      <c r="A110" s="247">
        <v>2012</v>
      </c>
      <c r="B110" s="247">
        <v>11</v>
      </c>
      <c r="C110" s="247">
        <v>3</v>
      </c>
      <c r="D110" s="247">
        <v>758</v>
      </c>
      <c r="E110" s="247">
        <v>6</v>
      </c>
      <c r="F110" s="247">
        <v>12.8</v>
      </c>
      <c r="G110" s="247">
        <v>13.5</v>
      </c>
      <c r="H110" s="247">
        <v>9.9</v>
      </c>
      <c r="I110" s="247">
        <v>17.100000000000001</v>
      </c>
      <c r="J110" s="247">
        <v>293</v>
      </c>
    </row>
    <row r="111" spans="1:10">
      <c r="A111" s="247">
        <v>2012</v>
      </c>
      <c r="B111" s="247">
        <v>11</v>
      </c>
      <c r="C111" s="247">
        <v>4</v>
      </c>
      <c r="D111" s="247">
        <v>275</v>
      </c>
      <c r="E111" s="247">
        <v>9</v>
      </c>
      <c r="F111" s="247">
        <v>10.1</v>
      </c>
      <c r="G111" s="247">
        <v>11.1</v>
      </c>
      <c r="H111" s="247">
        <v>8.5</v>
      </c>
      <c r="I111" s="247">
        <v>13.8</v>
      </c>
      <c r="J111" s="247">
        <v>121</v>
      </c>
    </row>
    <row r="112" spans="1:10">
      <c r="A112" s="247">
        <v>2012</v>
      </c>
      <c r="B112" s="247">
        <v>11</v>
      </c>
      <c r="C112" s="247">
        <v>5</v>
      </c>
      <c r="D112" s="247">
        <v>484</v>
      </c>
      <c r="E112" s="247">
        <v>1.5</v>
      </c>
      <c r="F112" s="247">
        <v>7.8</v>
      </c>
      <c r="G112" s="247">
        <v>8.1999999999999993</v>
      </c>
      <c r="H112" s="247">
        <v>4.5999999999999996</v>
      </c>
      <c r="I112" s="247">
        <v>11.8</v>
      </c>
      <c r="J112" s="247">
        <v>198</v>
      </c>
    </row>
    <row r="113" spans="1:10">
      <c r="A113" s="247">
        <v>2012</v>
      </c>
      <c r="B113" s="247">
        <v>11</v>
      </c>
      <c r="C113" s="247">
        <v>6</v>
      </c>
      <c r="D113" s="247">
        <v>547</v>
      </c>
      <c r="E113" s="247">
        <v>1</v>
      </c>
      <c r="F113" s="247">
        <v>5.7</v>
      </c>
      <c r="G113" s="247">
        <v>7.2</v>
      </c>
      <c r="H113" s="247">
        <v>4.4000000000000004</v>
      </c>
      <c r="I113" s="247">
        <v>10.1</v>
      </c>
      <c r="J113" s="247">
        <v>220</v>
      </c>
    </row>
    <row r="114" spans="1:10">
      <c r="A114" s="247">
        <v>2012</v>
      </c>
      <c r="B114" s="247">
        <v>11</v>
      </c>
      <c r="C114" s="247">
        <v>7</v>
      </c>
      <c r="D114" s="247">
        <v>484</v>
      </c>
      <c r="E114" s="247">
        <v>0</v>
      </c>
      <c r="F114" s="247">
        <v>5.4</v>
      </c>
      <c r="G114" s="247">
        <v>5.7</v>
      </c>
      <c r="H114" s="247">
        <v>0.3</v>
      </c>
      <c r="I114" s="247">
        <v>11</v>
      </c>
      <c r="J114" s="247">
        <v>199</v>
      </c>
    </row>
    <row r="115" spans="1:10">
      <c r="A115" s="247">
        <v>2012</v>
      </c>
      <c r="B115" s="247">
        <v>11</v>
      </c>
      <c r="C115" s="247">
        <v>8</v>
      </c>
      <c r="D115" s="247">
        <v>481</v>
      </c>
      <c r="E115" s="247">
        <v>0</v>
      </c>
      <c r="F115" s="247">
        <v>4</v>
      </c>
      <c r="G115" s="247">
        <v>4.7</v>
      </c>
      <c r="H115" s="247">
        <v>1.6</v>
      </c>
      <c r="I115" s="247">
        <v>7.7</v>
      </c>
      <c r="J115" s="247">
        <v>196</v>
      </c>
    </row>
    <row r="116" spans="1:10">
      <c r="A116" s="247">
        <v>2012</v>
      </c>
      <c r="B116" s="247">
        <v>11</v>
      </c>
      <c r="C116" s="247">
        <v>9</v>
      </c>
      <c r="D116" s="247">
        <v>432</v>
      </c>
      <c r="E116" s="247">
        <v>4.5</v>
      </c>
      <c r="F116" s="247">
        <v>4.4000000000000004</v>
      </c>
      <c r="G116" s="247">
        <v>5.2</v>
      </c>
      <c r="H116" s="247">
        <v>0.1</v>
      </c>
      <c r="I116" s="247">
        <v>10.3</v>
      </c>
      <c r="J116" s="247">
        <v>183</v>
      </c>
    </row>
    <row r="117" spans="1:10">
      <c r="A117" s="247">
        <v>2012</v>
      </c>
      <c r="B117" s="247">
        <v>11</v>
      </c>
      <c r="C117" s="247">
        <v>10</v>
      </c>
      <c r="D117" s="247">
        <v>130</v>
      </c>
      <c r="E117" s="247">
        <v>10.5</v>
      </c>
      <c r="F117" s="247">
        <v>10.8</v>
      </c>
      <c r="G117" s="247">
        <v>9.5</v>
      </c>
      <c r="H117" s="247">
        <v>6.7</v>
      </c>
      <c r="I117" s="247">
        <v>12.4</v>
      </c>
      <c r="J117" s="247">
        <v>58</v>
      </c>
    </row>
    <row r="118" spans="1:10">
      <c r="A118" s="247">
        <v>2012</v>
      </c>
      <c r="B118" s="247">
        <v>11</v>
      </c>
      <c r="C118" s="247">
        <v>11</v>
      </c>
      <c r="D118" s="247">
        <v>461</v>
      </c>
      <c r="E118" s="247">
        <v>0</v>
      </c>
      <c r="F118" s="247">
        <v>8.1</v>
      </c>
      <c r="G118" s="247">
        <v>9</v>
      </c>
      <c r="H118" s="247">
        <v>6.6</v>
      </c>
      <c r="I118" s="247">
        <v>11.4</v>
      </c>
      <c r="J118" s="247">
        <v>186</v>
      </c>
    </row>
    <row r="119" spans="1:10">
      <c r="A119" s="247">
        <v>2012</v>
      </c>
      <c r="B119" s="247">
        <v>11</v>
      </c>
      <c r="C119" s="247">
        <v>12</v>
      </c>
      <c r="D119" s="247">
        <v>418</v>
      </c>
      <c r="E119" s="247">
        <v>0</v>
      </c>
      <c r="F119" s="247">
        <v>4.8</v>
      </c>
      <c r="G119" s="247">
        <v>4.3</v>
      </c>
      <c r="H119" s="247">
        <v>1.5</v>
      </c>
      <c r="I119" s="247">
        <v>7.2</v>
      </c>
      <c r="J119" s="247">
        <v>165</v>
      </c>
    </row>
    <row r="120" spans="1:10">
      <c r="A120" s="247">
        <v>2012</v>
      </c>
      <c r="B120" s="247">
        <v>11</v>
      </c>
      <c r="C120" s="247">
        <v>13</v>
      </c>
      <c r="D120" s="247">
        <v>840</v>
      </c>
      <c r="E120" s="247">
        <v>0.5</v>
      </c>
      <c r="F120" s="247">
        <v>5.0999999999999996</v>
      </c>
      <c r="G120" s="247">
        <v>5.8</v>
      </c>
      <c r="H120" s="247">
        <v>1.5</v>
      </c>
      <c r="I120" s="247">
        <v>10.199999999999999</v>
      </c>
      <c r="J120" s="247">
        <v>313</v>
      </c>
    </row>
    <row r="121" spans="1:10">
      <c r="A121" s="247">
        <v>2012</v>
      </c>
      <c r="B121" s="247">
        <v>11</v>
      </c>
      <c r="C121" s="247">
        <v>14</v>
      </c>
      <c r="D121" s="247">
        <v>140</v>
      </c>
      <c r="E121" s="247">
        <v>0</v>
      </c>
      <c r="F121" s="247">
        <v>4.2</v>
      </c>
      <c r="G121" s="247">
        <v>4</v>
      </c>
      <c r="H121" s="247">
        <v>3.1</v>
      </c>
      <c r="I121" s="247">
        <v>4.9000000000000004</v>
      </c>
      <c r="J121" s="247">
        <v>61</v>
      </c>
    </row>
    <row r="122" spans="1:10">
      <c r="A122" s="247">
        <v>2012</v>
      </c>
      <c r="B122" s="247">
        <v>11</v>
      </c>
      <c r="C122" s="247">
        <v>15</v>
      </c>
      <c r="D122" s="247">
        <v>320</v>
      </c>
      <c r="E122" s="247">
        <v>0</v>
      </c>
      <c r="F122" s="247">
        <v>3.8</v>
      </c>
      <c r="G122" s="247">
        <v>4.0999999999999996</v>
      </c>
      <c r="H122" s="247">
        <v>2.5</v>
      </c>
      <c r="I122" s="247">
        <v>5.6</v>
      </c>
      <c r="J122" s="247">
        <v>132</v>
      </c>
    </row>
    <row r="123" spans="1:10">
      <c r="A123" s="247">
        <v>2012</v>
      </c>
      <c r="B123" s="247">
        <v>11</v>
      </c>
      <c r="C123" s="247">
        <v>16</v>
      </c>
      <c r="D123" s="247">
        <v>190</v>
      </c>
      <c r="E123" s="247">
        <v>0.5</v>
      </c>
      <c r="F123" s="247">
        <v>4.5</v>
      </c>
      <c r="G123" s="247">
        <v>4.8</v>
      </c>
      <c r="H123" s="247">
        <v>2.7</v>
      </c>
      <c r="I123" s="247">
        <v>6.8</v>
      </c>
      <c r="J123" s="247">
        <v>83</v>
      </c>
    </row>
    <row r="124" spans="1:10">
      <c r="A124" s="247">
        <v>2012</v>
      </c>
      <c r="B124" s="247">
        <v>11</v>
      </c>
      <c r="C124" s="247">
        <v>17</v>
      </c>
      <c r="D124" s="247">
        <v>327</v>
      </c>
      <c r="E124" s="247">
        <v>0</v>
      </c>
      <c r="F124" s="247">
        <v>7</v>
      </c>
      <c r="G124" s="247">
        <v>8</v>
      </c>
      <c r="H124" s="247">
        <v>5.3</v>
      </c>
      <c r="I124" s="247">
        <v>10.7</v>
      </c>
      <c r="J124" s="247">
        <v>135</v>
      </c>
    </row>
    <row r="125" spans="1:10">
      <c r="A125" s="247">
        <v>2012</v>
      </c>
      <c r="B125" s="247">
        <v>11</v>
      </c>
      <c r="C125" s="247">
        <v>18</v>
      </c>
      <c r="D125" s="247">
        <v>542</v>
      </c>
      <c r="E125" s="247">
        <v>0.5</v>
      </c>
      <c r="F125" s="247">
        <v>7</v>
      </c>
      <c r="G125" s="247">
        <v>8.4</v>
      </c>
      <c r="H125" s="247">
        <v>4</v>
      </c>
      <c r="I125" s="247">
        <v>12.7</v>
      </c>
      <c r="J125" s="247">
        <v>214</v>
      </c>
    </row>
    <row r="126" spans="1:10">
      <c r="A126" s="247">
        <v>2012</v>
      </c>
      <c r="B126" s="247">
        <v>11</v>
      </c>
      <c r="C126" s="247">
        <v>19</v>
      </c>
      <c r="D126" s="247">
        <v>748</v>
      </c>
      <c r="E126" s="247">
        <v>0</v>
      </c>
      <c r="F126" s="247">
        <v>5.3</v>
      </c>
      <c r="G126" s="247">
        <v>6.4</v>
      </c>
      <c r="H126" s="247">
        <v>1.5</v>
      </c>
      <c r="I126" s="247">
        <v>11.3</v>
      </c>
      <c r="J126" s="247">
        <v>278</v>
      </c>
    </row>
    <row r="127" spans="1:10">
      <c r="A127" s="247">
        <v>2012</v>
      </c>
      <c r="B127" s="247">
        <v>11</v>
      </c>
      <c r="C127" s="247">
        <v>20</v>
      </c>
      <c r="D127" s="247">
        <v>155</v>
      </c>
      <c r="E127" s="247">
        <v>0.5</v>
      </c>
      <c r="F127" s="247">
        <v>2.8</v>
      </c>
      <c r="G127" s="247">
        <v>2.8</v>
      </c>
      <c r="H127" s="247">
        <v>2.2999999999999998</v>
      </c>
      <c r="I127" s="247">
        <v>3.2</v>
      </c>
      <c r="J127" s="247">
        <v>68</v>
      </c>
    </row>
    <row r="128" spans="1:10">
      <c r="A128" s="247">
        <v>2012</v>
      </c>
      <c r="B128" s="247">
        <v>11</v>
      </c>
      <c r="C128" s="247">
        <v>21</v>
      </c>
      <c r="D128" s="247">
        <v>211</v>
      </c>
      <c r="E128" s="247">
        <v>1.5</v>
      </c>
      <c r="F128" s="247">
        <v>4.5</v>
      </c>
      <c r="G128" s="247">
        <v>4.5</v>
      </c>
      <c r="H128" s="247">
        <v>1.7</v>
      </c>
      <c r="I128" s="247">
        <v>7.3</v>
      </c>
      <c r="J128" s="247">
        <v>90</v>
      </c>
    </row>
    <row r="129" spans="1:10">
      <c r="A129" s="247">
        <v>2012</v>
      </c>
      <c r="B129" s="247">
        <v>11</v>
      </c>
      <c r="C129" s="247">
        <v>22</v>
      </c>
      <c r="D129" s="247">
        <v>219</v>
      </c>
      <c r="E129" s="247">
        <v>0.5</v>
      </c>
      <c r="F129" s="247">
        <v>5.3</v>
      </c>
      <c r="G129" s="247">
        <v>5.0999999999999996</v>
      </c>
      <c r="H129" s="247">
        <v>3</v>
      </c>
      <c r="I129" s="247">
        <v>7.1</v>
      </c>
      <c r="J129" s="247">
        <v>93</v>
      </c>
    </row>
    <row r="130" spans="1:10">
      <c r="A130" s="247">
        <v>2012</v>
      </c>
      <c r="B130" s="247">
        <v>11</v>
      </c>
      <c r="C130" s="247">
        <v>23</v>
      </c>
      <c r="D130" s="247">
        <v>419</v>
      </c>
      <c r="E130" s="247">
        <v>0</v>
      </c>
      <c r="F130" s="247">
        <v>7.3</v>
      </c>
      <c r="G130" s="247">
        <v>8.1</v>
      </c>
      <c r="H130" s="247">
        <v>6</v>
      </c>
      <c r="I130" s="247">
        <v>10.3</v>
      </c>
      <c r="J130" s="247">
        <v>162</v>
      </c>
    </row>
    <row r="131" spans="1:10">
      <c r="A131" s="247">
        <v>2012</v>
      </c>
      <c r="B131" s="247">
        <v>11</v>
      </c>
      <c r="C131" s="247">
        <v>24</v>
      </c>
      <c r="D131" s="247">
        <v>301</v>
      </c>
      <c r="E131" s="247">
        <v>0</v>
      </c>
      <c r="F131" s="247">
        <v>8.8000000000000007</v>
      </c>
      <c r="G131" s="247">
        <v>8.5</v>
      </c>
      <c r="H131" s="247">
        <v>3</v>
      </c>
      <c r="I131" s="247">
        <v>14</v>
      </c>
      <c r="J131" s="247">
        <v>125</v>
      </c>
    </row>
    <row r="132" spans="1:10">
      <c r="A132" s="247">
        <v>2012</v>
      </c>
      <c r="B132" s="247">
        <v>11</v>
      </c>
      <c r="C132" s="247">
        <v>25</v>
      </c>
      <c r="D132" s="247">
        <v>382</v>
      </c>
      <c r="E132" s="247">
        <v>5</v>
      </c>
      <c r="F132" s="247">
        <v>11.2</v>
      </c>
      <c r="G132" s="247">
        <v>11.1</v>
      </c>
      <c r="H132" s="247">
        <v>8.6</v>
      </c>
      <c r="I132" s="247">
        <v>13.5</v>
      </c>
      <c r="J132" s="247">
        <v>148</v>
      </c>
    </row>
    <row r="133" spans="1:10">
      <c r="A133" s="247">
        <v>2012</v>
      </c>
      <c r="B133" s="247">
        <v>11</v>
      </c>
      <c r="C133" s="247">
        <v>26</v>
      </c>
      <c r="D133" s="247">
        <v>91</v>
      </c>
      <c r="E133" s="247">
        <v>16.5</v>
      </c>
      <c r="F133" s="247">
        <v>9.1</v>
      </c>
      <c r="G133" s="247">
        <v>9.8000000000000007</v>
      </c>
      <c r="H133" s="247">
        <v>8.1</v>
      </c>
      <c r="I133" s="247">
        <v>11.5</v>
      </c>
      <c r="J133" s="247">
        <v>43</v>
      </c>
    </row>
    <row r="134" spans="1:10">
      <c r="A134" s="247">
        <v>2012</v>
      </c>
      <c r="B134" s="247">
        <v>11</v>
      </c>
      <c r="C134" s="247">
        <v>27</v>
      </c>
      <c r="D134" s="247">
        <v>255</v>
      </c>
      <c r="E134" s="247">
        <v>0</v>
      </c>
      <c r="F134" s="247">
        <v>6.4</v>
      </c>
      <c r="G134" s="247">
        <v>6.9</v>
      </c>
      <c r="H134" s="247">
        <v>6.1</v>
      </c>
      <c r="I134" s="247">
        <v>7.7</v>
      </c>
      <c r="J134" s="247">
        <v>103</v>
      </c>
    </row>
    <row r="135" spans="1:10">
      <c r="A135" s="247">
        <v>2012</v>
      </c>
      <c r="B135" s="247">
        <v>11</v>
      </c>
      <c r="C135" s="247">
        <v>28</v>
      </c>
      <c r="D135" s="247">
        <v>166</v>
      </c>
      <c r="E135" s="247">
        <v>0</v>
      </c>
      <c r="F135" s="247">
        <v>5.8</v>
      </c>
      <c r="G135" s="247">
        <v>5.9</v>
      </c>
      <c r="H135" s="247">
        <v>4.5</v>
      </c>
      <c r="I135" s="247">
        <v>7.3</v>
      </c>
      <c r="J135" s="247">
        <v>71</v>
      </c>
    </row>
    <row r="136" spans="1:10">
      <c r="A136" s="247">
        <v>2012</v>
      </c>
      <c r="B136" s="247">
        <v>11</v>
      </c>
      <c r="C136" s="247">
        <v>29</v>
      </c>
      <c r="D136" s="247">
        <v>206</v>
      </c>
      <c r="E136" s="247">
        <v>0</v>
      </c>
      <c r="F136" s="247">
        <v>4.5</v>
      </c>
      <c r="G136" s="247">
        <v>4.9000000000000004</v>
      </c>
      <c r="H136" s="247">
        <v>3.9</v>
      </c>
      <c r="I136" s="247">
        <v>5.8</v>
      </c>
      <c r="J136" s="247">
        <v>84</v>
      </c>
    </row>
    <row r="137" spans="1:10">
      <c r="A137" s="247">
        <v>2012</v>
      </c>
      <c r="B137" s="247">
        <v>11</v>
      </c>
      <c r="C137" s="247">
        <v>30</v>
      </c>
      <c r="D137" s="247">
        <v>619</v>
      </c>
      <c r="E137" s="247">
        <v>0</v>
      </c>
      <c r="F137" s="247">
        <v>1.6</v>
      </c>
      <c r="G137" s="247">
        <v>2.5</v>
      </c>
      <c r="H137" s="247">
        <v>-0.1</v>
      </c>
      <c r="I137" s="247">
        <v>5.0999999999999996</v>
      </c>
      <c r="J137" s="247">
        <v>225</v>
      </c>
    </row>
    <row r="138" spans="1:10">
      <c r="A138" s="247">
        <v>2012</v>
      </c>
      <c r="B138" s="247">
        <v>12</v>
      </c>
      <c r="C138" s="247">
        <v>1</v>
      </c>
      <c r="D138" s="247">
        <v>682</v>
      </c>
      <c r="E138" s="247">
        <v>0</v>
      </c>
      <c r="F138" s="247">
        <v>-0.3</v>
      </c>
      <c r="G138" s="247">
        <v>0.9</v>
      </c>
      <c r="H138" s="247">
        <v>-2.7</v>
      </c>
      <c r="I138" s="247">
        <v>4.5</v>
      </c>
      <c r="J138" s="247">
        <v>243</v>
      </c>
    </row>
    <row r="139" spans="1:10">
      <c r="A139" s="247">
        <v>2012</v>
      </c>
      <c r="B139" s="247">
        <v>12</v>
      </c>
      <c r="C139" s="247">
        <v>2</v>
      </c>
      <c r="D139" s="247">
        <v>482</v>
      </c>
      <c r="E139" s="247">
        <v>0.5</v>
      </c>
      <c r="F139" s="247">
        <v>0</v>
      </c>
      <c r="G139" s="247">
        <v>0.8</v>
      </c>
      <c r="H139" s="247">
        <v>-3</v>
      </c>
      <c r="I139" s="247">
        <v>4.7</v>
      </c>
      <c r="J139" s="247">
        <v>179</v>
      </c>
    </row>
    <row r="140" spans="1:10">
      <c r="A140" s="247">
        <v>2012</v>
      </c>
      <c r="B140" s="247">
        <v>12</v>
      </c>
      <c r="C140" s="247">
        <v>3</v>
      </c>
      <c r="D140" s="247">
        <v>107</v>
      </c>
      <c r="E140" s="247">
        <v>1.5</v>
      </c>
      <c r="F140" s="247">
        <v>-0.1</v>
      </c>
      <c r="G140" s="247">
        <v>2.4</v>
      </c>
      <c r="H140" s="247">
        <v>-3</v>
      </c>
      <c r="I140" s="247">
        <v>7.8</v>
      </c>
      <c r="J140" s="247">
        <v>53</v>
      </c>
    </row>
    <row r="141" spans="1:10">
      <c r="A141" s="247">
        <v>2012</v>
      </c>
      <c r="B141" s="247">
        <v>12</v>
      </c>
      <c r="C141" s="247">
        <v>4</v>
      </c>
      <c r="D141" s="247">
        <v>247</v>
      </c>
      <c r="E141" s="247">
        <v>0</v>
      </c>
      <c r="F141" s="247">
        <v>5</v>
      </c>
      <c r="G141" s="247">
        <v>3.9</v>
      </c>
      <c r="H141" s="247">
        <v>1.6</v>
      </c>
      <c r="I141" s="247">
        <v>6.2</v>
      </c>
      <c r="J141" s="247">
        <v>100</v>
      </c>
    </row>
    <row r="142" spans="1:10">
      <c r="A142" s="247">
        <v>2012</v>
      </c>
      <c r="B142" s="247">
        <v>12</v>
      </c>
      <c r="C142" s="247">
        <v>5</v>
      </c>
      <c r="D142" s="247">
        <v>211</v>
      </c>
      <c r="E142" s="247">
        <v>0.5</v>
      </c>
      <c r="F142" s="247">
        <v>3</v>
      </c>
      <c r="G142" s="247">
        <v>3.3</v>
      </c>
      <c r="H142" s="247">
        <v>1.9</v>
      </c>
      <c r="I142" s="247">
        <v>4.7</v>
      </c>
      <c r="J142" s="247">
        <v>89</v>
      </c>
    </row>
    <row r="143" spans="1:10">
      <c r="A143" s="247">
        <v>2012</v>
      </c>
      <c r="B143" s="247">
        <v>12</v>
      </c>
      <c r="C143" s="247">
        <v>6</v>
      </c>
      <c r="D143" s="247">
        <v>536</v>
      </c>
      <c r="E143" s="247">
        <v>0</v>
      </c>
      <c r="F143" s="247">
        <v>0.6</v>
      </c>
      <c r="G143" s="247">
        <v>1</v>
      </c>
      <c r="H143" s="247">
        <v>-1.3</v>
      </c>
      <c r="I143" s="247">
        <v>3.3</v>
      </c>
      <c r="J143" s="247">
        <v>197</v>
      </c>
    </row>
    <row r="144" spans="1:10">
      <c r="A144" s="247">
        <v>2012</v>
      </c>
      <c r="B144" s="247">
        <v>12</v>
      </c>
      <c r="C144" s="247">
        <v>7</v>
      </c>
      <c r="D144" s="247">
        <v>252</v>
      </c>
      <c r="E144" s="247">
        <v>2</v>
      </c>
      <c r="F144" s="247">
        <v>0.6</v>
      </c>
      <c r="G144" s="247">
        <v>0.6</v>
      </c>
      <c r="H144" s="247">
        <v>-2.2999999999999998</v>
      </c>
      <c r="I144" s="247">
        <v>3.6</v>
      </c>
      <c r="J144" s="247">
        <v>107</v>
      </c>
    </row>
    <row r="145" spans="1:10">
      <c r="A145" s="247">
        <v>2012</v>
      </c>
      <c r="B145" s="247">
        <v>12</v>
      </c>
      <c r="C145" s="247">
        <v>8</v>
      </c>
      <c r="D145" s="247">
        <v>114</v>
      </c>
      <c r="E145" s="247">
        <v>0</v>
      </c>
      <c r="F145" s="247">
        <v>1.2</v>
      </c>
      <c r="G145" s="247">
        <v>1.4</v>
      </c>
      <c r="H145" s="247">
        <v>0.7</v>
      </c>
      <c r="I145" s="247">
        <v>2</v>
      </c>
      <c r="J145" s="247">
        <v>48</v>
      </c>
    </row>
    <row r="146" spans="1:10">
      <c r="A146" s="247">
        <v>2012</v>
      </c>
      <c r="B146" s="247">
        <v>12</v>
      </c>
      <c r="C146" s="247">
        <v>9</v>
      </c>
      <c r="D146" s="247">
        <v>506</v>
      </c>
      <c r="E146" s="247">
        <v>1</v>
      </c>
      <c r="F146" s="247">
        <v>1.4</v>
      </c>
      <c r="G146" s="247">
        <v>1</v>
      </c>
      <c r="H146" s="247">
        <v>-1.5</v>
      </c>
      <c r="I146" s="247">
        <v>3.4</v>
      </c>
      <c r="J146" s="247">
        <v>183</v>
      </c>
    </row>
    <row r="147" spans="1:10">
      <c r="A147" s="247">
        <v>2012</v>
      </c>
      <c r="B147" s="247">
        <v>12</v>
      </c>
      <c r="C147" s="247">
        <v>10</v>
      </c>
      <c r="D147" s="247">
        <v>394</v>
      </c>
      <c r="E147" s="247">
        <v>0</v>
      </c>
      <c r="F147" s="247">
        <v>3.2</v>
      </c>
      <c r="G147" s="247">
        <v>3.7</v>
      </c>
      <c r="H147" s="247">
        <v>1.4</v>
      </c>
      <c r="I147" s="247">
        <v>5.9</v>
      </c>
      <c r="J147" s="247">
        <v>152</v>
      </c>
    </row>
    <row r="148" spans="1:10">
      <c r="A148" s="247">
        <v>2012</v>
      </c>
      <c r="B148" s="247">
        <v>12</v>
      </c>
      <c r="C148" s="247">
        <v>11</v>
      </c>
      <c r="D148" s="247">
        <v>594</v>
      </c>
      <c r="E148" s="247">
        <v>0</v>
      </c>
      <c r="F148" s="247">
        <v>0.1</v>
      </c>
      <c r="G148" s="247">
        <v>0.2</v>
      </c>
      <c r="H148" s="247">
        <v>-1.3</v>
      </c>
      <c r="I148" s="247">
        <v>1.6</v>
      </c>
      <c r="J148" s="247">
        <v>211</v>
      </c>
    </row>
    <row r="149" spans="1:10">
      <c r="A149" s="247">
        <v>2012</v>
      </c>
      <c r="B149" s="247">
        <v>12</v>
      </c>
      <c r="C149" s="247">
        <v>12</v>
      </c>
      <c r="D149" s="247">
        <v>618</v>
      </c>
      <c r="E149" s="247">
        <v>0</v>
      </c>
      <c r="F149" s="247">
        <v>-3.6</v>
      </c>
      <c r="G149" s="247">
        <v>-3</v>
      </c>
      <c r="H149" s="247">
        <v>-5.7</v>
      </c>
      <c r="I149" s="247">
        <v>-0.3</v>
      </c>
      <c r="J149" s="247">
        <v>175</v>
      </c>
    </row>
    <row r="150" spans="1:10">
      <c r="A150" s="247">
        <v>2012</v>
      </c>
      <c r="B150" s="247">
        <v>12</v>
      </c>
      <c r="C150" s="247">
        <v>13</v>
      </c>
      <c r="D150" s="247">
        <v>248</v>
      </c>
      <c r="E150" s="247">
        <v>2.5</v>
      </c>
      <c r="F150" s="247">
        <v>-1.4</v>
      </c>
      <c r="G150" s="247">
        <v>-1.8</v>
      </c>
      <c r="H150" s="247">
        <v>-6.5</v>
      </c>
      <c r="I150" s="247">
        <v>2.9</v>
      </c>
      <c r="J150" s="247">
        <v>109</v>
      </c>
    </row>
    <row r="151" spans="1:10">
      <c r="A151" s="247">
        <v>2012</v>
      </c>
      <c r="B151" s="247">
        <v>12</v>
      </c>
      <c r="C151" s="247">
        <v>14</v>
      </c>
      <c r="D151" s="247">
        <v>145</v>
      </c>
      <c r="E151" s="247">
        <v>17</v>
      </c>
      <c r="F151" s="247">
        <v>6.7</v>
      </c>
      <c r="G151" s="247">
        <v>5.6</v>
      </c>
      <c r="H151" s="247">
        <v>1.4</v>
      </c>
      <c r="I151" s="247">
        <v>9.9</v>
      </c>
      <c r="J151" s="247">
        <v>62</v>
      </c>
    </row>
    <row r="152" spans="1:10">
      <c r="A152" s="247">
        <v>2012</v>
      </c>
      <c r="B152" s="247">
        <v>12</v>
      </c>
      <c r="C152" s="247">
        <v>15</v>
      </c>
      <c r="D152" s="247">
        <v>281</v>
      </c>
      <c r="E152" s="247">
        <v>1.5</v>
      </c>
      <c r="F152" s="247">
        <v>9.3000000000000007</v>
      </c>
      <c r="G152" s="247">
        <v>9.8000000000000007</v>
      </c>
      <c r="H152" s="247">
        <v>8.3000000000000007</v>
      </c>
      <c r="I152" s="247">
        <v>11.3</v>
      </c>
      <c r="J152" s="247">
        <v>113</v>
      </c>
    </row>
    <row r="153" spans="1:10">
      <c r="A153" s="247">
        <v>2012</v>
      </c>
      <c r="B153" s="247">
        <v>12</v>
      </c>
      <c r="C153" s="247">
        <v>16</v>
      </c>
      <c r="D153" s="247">
        <v>303</v>
      </c>
      <c r="E153" s="247">
        <v>3.5</v>
      </c>
      <c r="F153" s="247">
        <v>8.4</v>
      </c>
      <c r="G153" s="247">
        <v>8.4</v>
      </c>
      <c r="H153" s="247">
        <v>6.8</v>
      </c>
      <c r="I153" s="247">
        <v>10</v>
      </c>
      <c r="J153" s="247">
        <v>119</v>
      </c>
    </row>
    <row r="154" spans="1:10">
      <c r="A154" s="247">
        <v>2012</v>
      </c>
      <c r="B154" s="247">
        <v>12</v>
      </c>
      <c r="C154" s="247">
        <v>17</v>
      </c>
      <c r="D154" s="247">
        <v>239</v>
      </c>
      <c r="E154" s="247">
        <v>1.5</v>
      </c>
      <c r="F154" s="247">
        <v>6.8</v>
      </c>
      <c r="G154" s="247">
        <v>7.5</v>
      </c>
      <c r="H154" s="247">
        <v>5.9</v>
      </c>
      <c r="I154" s="247">
        <v>9.1</v>
      </c>
      <c r="J154" s="247">
        <v>97</v>
      </c>
    </row>
    <row r="155" spans="1:10">
      <c r="A155" s="247">
        <v>2012</v>
      </c>
      <c r="B155" s="247">
        <v>12</v>
      </c>
      <c r="C155" s="247">
        <v>18</v>
      </c>
      <c r="D155" s="247">
        <v>95</v>
      </c>
      <c r="E155" s="247">
        <v>1.5</v>
      </c>
      <c r="F155" s="247">
        <v>6</v>
      </c>
      <c r="G155" s="247">
        <v>6.5</v>
      </c>
      <c r="H155" s="247">
        <v>4.8</v>
      </c>
      <c r="I155" s="247">
        <v>8.1</v>
      </c>
      <c r="J155" s="247">
        <v>42</v>
      </c>
    </row>
    <row r="156" spans="1:10">
      <c r="A156" s="247">
        <v>2012</v>
      </c>
      <c r="B156" s="247">
        <v>12</v>
      </c>
      <c r="C156" s="247">
        <v>19</v>
      </c>
      <c r="D156" s="247">
        <v>238</v>
      </c>
      <c r="E156" s="247">
        <v>1.5</v>
      </c>
      <c r="F156" s="247">
        <v>3.4</v>
      </c>
      <c r="G156" s="247">
        <v>2.6</v>
      </c>
      <c r="H156" s="247">
        <v>1.2</v>
      </c>
      <c r="I156" s="247">
        <v>4</v>
      </c>
      <c r="J156" s="247">
        <v>94</v>
      </c>
    </row>
    <row r="157" spans="1:10">
      <c r="A157" s="247">
        <v>2012</v>
      </c>
      <c r="B157" s="247">
        <v>12</v>
      </c>
      <c r="C157" s="247">
        <v>20</v>
      </c>
      <c r="D157" s="247">
        <v>91</v>
      </c>
      <c r="E157" s="247">
        <v>8</v>
      </c>
      <c r="F157" s="247">
        <v>4.7</v>
      </c>
      <c r="G157" s="247">
        <v>5.2</v>
      </c>
      <c r="H157" s="247">
        <v>3</v>
      </c>
      <c r="I157" s="247">
        <v>7.5</v>
      </c>
      <c r="J157" s="247">
        <v>45</v>
      </c>
    </row>
    <row r="158" spans="1:10">
      <c r="A158" s="247">
        <v>2012</v>
      </c>
      <c r="B158" s="247">
        <v>12</v>
      </c>
      <c r="C158" s="247">
        <v>21</v>
      </c>
      <c r="D158" s="247">
        <v>215</v>
      </c>
      <c r="E158" s="247">
        <v>1.5</v>
      </c>
      <c r="F158" s="247">
        <v>6.1</v>
      </c>
      <c r="G158" s="247">
        <v>6.4</v>
      </c>
      <c r="H158" s="247">
        <v>4.8</v>
      </c>
      <c r="I158" s="247">
        <v>7.9</v>
      </c>
      <c r="J158" s="247">
        <v>92</v>
      </c>
    </row>
    <row r="159" spans="1:10">
      <c r="A159" s="247">
        <v>2012</v>
      </c>
      <c r="B159" s="247">
        <v>12</v>
      </c>
      <c r="C159" s="247">
        <v>22</v>
      </c>
      <c r="D159" s="247">
        <v>95</v>
      </c>
      <c r="E159" s="247">
        <v>6</v>
      </c>
      <c r="F159" s="247">
        <v>5.8</v>
      </c>
      <c r="G159" s="247">
        <v>6.7</v>
      </c>
      <c r="H159" s="247">
        <v>2.7</v>
      </c>
      <c r="I159" s="247">
        <v>10.6</v>
      </c>
      <c r="J159" s="247">
        <v>45</v>
      </c>
    </row>
    <row r="160" spans="1:10">
      <c r="A160" s="247">
        <v>2012</v>
      </c>
      <c r="B160" s="247">
        <v>12</v>
      </c>
      <c r="C160" s="247">
        <v>23</v>
      </c>
      <c r="D160" s="247">
        <v>394</v>
      </c>
      <c r="E160" s="247">
        <v>0</v>
      </c>
      <c r="F160" s="247">
        <v>10.6</v>
      </c>
      <c r="G160" s="247">
        <v>10.6</v>
      </c>
      <c r="H160" s="247">
        <v>6.6</v>
      </c>
      <c r="I160" s="247">
        <v>14.6</v>
      </c>
      <c r="J160" s="247">
        <v>162</v>
      </c>
    </row>
    <row r="161" spans="1:10">
      <c r="A161" s="247">
        <v>2012</v>
      </c>
      <c r="B161" s="247">
        <v>12</v>
      </c>
      <c r="C161" s="247">
        <v>24</v>
      </c>
      <c r="D161" s="247">
        <v>335</v>
      </c>
      <c r="E161" s="247">
        <v>0</v>
      </c>
      <c r="F161" s="247">
        <v>7.6</v>
      </c>
      <c r="G161" s="247">
        <v>6.8</v>
      </c>
      <c r="H161" s="247">
        <v>0.2</v>
      </c>
      <c r="I161" s="247">
        <v>13.3</v>
      </c>
      <c r="J161" s="247">
        <v>138</v>
      </c>
    </row>
    <row r="162" spans="1:10">
      <c r="A162" s="247">
        <v>2012</v>
      </c>
      <c r="B162" s="247">
        <v>12</v>
      </c>
      <c r="C162" s="247">
        <v>25</v>
      </c>
      <c r="D162" s="247">
        <v>97</v>
      </c>
      <c r="E162" s="247">
        <v>0</v>
      </c>
      <c r="F162" s="247">
        <v>10.7</v>
      </c>
      <c r="G162" s="247">
        <v>11.1</v>
      </c>
      <c r="H162" s="247">
        <v>9.3000000000000007</v>
      </c>
      <c r="I162" s="247">
        <v>12.8</v>
      </c>
      <c r="J162" s="247">
        <v>45</v>
      </c>
    </row>
    <row r="163" spans="1:10">
      <c r="A163" s="247">
        <v>2012</v>
      </c>
      <c r="B163" s="247">
        <v>12</v>
      </c>
      <c r="C163" s="247">
        <v>26</v>
      </c>
      <c r="D163" s="247">
        <v>432</v>
      </c>
      <c r="E163" s="247">
        <v>1</v>
      </c>
      <c r="F163" s="247">
        <v>7.8</v>
      </c>
      <c r="G163" s="247">
        <v>8</v>
      </c>
      <c r="H163" s="247">
        <v>5.9</v>
      </c>
      <c r="I163" s="247">
        <v>10.1</v>
      </c>
      <c r="J163" s="247">
        <v>175</v>
      </c>
    </row>
    <row r="164" spans="1:10">
      <c r="A164" s="247">
        <v>2012</v>
      </c>
      <c r="B164" s="247">
        <v>12</v>
      </c>
      <c r="C164" s="247">
        <v>27</v>
      </c>
      <c r="D164" s="247">
        <v>144</v>
      </c>
      <c r="E164" s="247">
        <v>5</v>
      </c>
      <c r="F164" s="247">
        <v>8.4</v>
      </c>
      <c r="G164" s="247">
        <v>8.8000000000000007</v>
      </c>
      <c r="H164" s="247">
        <v>6.5</v>
      </c>
      <c r="I164" s="247">
        <v>11.1</v>
      </c>
      <c r="J164" s="247">
        <v>62</v>
      </c>
    </row>
    <row r="165" spans="1:10">
      <c r="A165" s="247">
        <v>2012</v>
      </c>
      <c r="B165" s="247">
        <v>12</v>
      </c>
      <c r="C165" s="247">
        <v>28</v>
      </c>
      <c r="D165" s="247">
        <v>165</v>
      </c>
      <c r="E165" s="247">
        <v>0.5</v>
      </c>
      <c r="F165" s="247">
        <v>6.8</v>
      </c>
      <c r="G165" s="247">
        <v>6.2</v>
      </c>
      <c r="H165" s="247">
        <v>4.7</v>
      </c>
      <c r="I165" s="247">
        <v>7.8</v>
      </c>
      <c r="J165" s="247">
        <v>73</v>
      </c>
    </row>
    <row r="166" spans="1:10">
      <c r="A166" s="247">
        <v>2012</v>
      </c>
      <c r="B166" s="247">
        <v>12</v>
      </c>
      <c r="C166" s="247">
        <v>29</v>
      </c>
      <c r="D166" s="247">
        <v>487</v>
      </c>
      <c r="E166" s="247">
        <v>0</v>
      </c>
      <c r="F166" s="247">
        <v>7.7</v>
      </c>
      <c r="G166" s="247">
        <v>6.8</v>
      </c>
      <c r="H166" s="247">
        <v>1.3</v>
      </c>
      <c r="I166" s="247">
        <v>12.4</v>
      </c>
      <c r="J166" s="247">
        <v>195</v>
      </c>
    </row>
    <row r="167" spans="1:10">
      <c r="A167" s="247">
        <v>2012</v>
      </c>
      <c r="B167" s="247">
        <v>12</v>
      </c>
      <c r="C167" s="247">
        <v>30</v>
      </c>
      <c r="D167" s="247">
        <v>513</v>
      </c>
      <c r="E167" s="247">
        <v>0</v>
      </c>
      <c r="F167" s="247">
        <v>7.1</v>
      </c>
      <c r="G167" s="247">
        <v>8</v>
      </c>
      <c r="H167" s="247">
        <v>5.3</v>
      </c>
      <c r="I167" s="247">
        <v>10.6</v>
      </c>
      <c r="J167" s="247">
        <v>204</v>
      </c>
    </row>
    <row r="168" spans="1:10">
      <c r="A168" s="247">
        <v>2012</v>
      </c>
      <c r="B168" s="247">
        <v>12</v>
      </c>
      <c r="C168" s="247">
        <v>31</v>
      </c>
      <c r="D168" s="247">
        <v>426</v>
      </c>
      <c r="E168" s="247">
        <v>1</v>
      </c>
      <c r="F168" s="247">
        <v>5.4</v>
      </c>
      <c r="G168" s="247">
        <v>6.4</v>
      </c>
      <c r="H168" s="247">
        <v>2.9</v>
      </c>
      <c r="I168" s="247">
        <v>9.9</v>
      </c>
      <c r="J168" s="247">
        <v>169</v>
      </c>
    </row>
    <row r="169" spans="1:10">
      <c r="A169" s="247">
        <v>2013</v>
      </c>
      <c r="B169" s="247">
        <v>1</v>
      </c>
      <c r="C169" s="247">
        <v>1</v>
      </c>
      <c r="D169" s="247">
        <v>101</v>
      </c>
      <c r="E169" s="247">
        <v>8</v>
      </c>
      <c r="F169" s="247">
        <v>5.5</v>
      </c>
      <c r="G169" s="247">
        <v>4.9000000000000004</v>
      </c>
      <c r="H169" s="247">
        <v>2.1</v>
      </c>
      <c r="I169" s="247">
        <v>7.7</v>
      </c>
      <c r="J169" s="247">
        <v>46</v>
      </c>
    </row>
    <row r="170" spans="1:10">
      <c r="A170" s="247">
        <v>2013</v>
      </c>
      <c r="B170" s="247">
        <v>1</v>
      </c>
      <c r="C170" s="247">
        <v>2</v>
      </c>
      <c r="D170" s="247">
        <v>302</v>
      </c>
      <c r="E170" s="247">
        <v>0</v>
      </c>
      <c r="F170" s="247">
        <v>1.7</v>
      </c>
      <c r="G170" s="247">
        <v>3.2</v>
      </c>
      <c r="H170" s="247">
        <v>-0.2</v>
      </c>
      <c r="I170" s="247">
        <v>6.7</v>
      </c>
      <c r="J170" s="247">
        <v>123</v>
      </c>
    </row>
    <row r="171" spans="1:10">
      <c r="A171" s="247">
        <v>2013</v>
      </c>
      <c r="B171" s="247">
        <v>1</v>
      </c>
      <c r="C171" s="247">
        <v>3</v>
      </c>
      <c r="D171" s="247">
        <v>205</v>
      </c>
      <c r="E171" s="247">
        <v>0</v>
      </c>
      <c r="F171" s="247">
        <v>2.9</v>
      </c>
      <c r="G171" s="247">
        <v>2.2000000000000002</v>
      </c>
      <c r="H171" s="247">
        <v>-1.2</v>
      </c>
      <c r="I171" s="247">
        <v>5.7</v>
      </c>
      <c r="J171" s="247">
        <v>91</v>
      </c>
    </row>
    <row r="172" spans="1:10">
      <c r="A172" s="247">
        <v>2013</v>
      </c>
      <c r="B172" s="247">
        <v>1</v>
      </c>
      <c r="C172" s="247">
        <v>4</v>
      </c>
      <c r="D172" s="247">
        <v>168</v>
      </c>
      <c r="E172" s="247">
        <v>0</v>
      </c>
      <c r="F172" s="247">
        <v>6.4</v>
      </c>
      <c r="G172" s="247">
        <v>6.4</v>
      </c>
      <c r="H172" s="247">
        <v>4.5999999999999996</v>
      </c>
      <c r="I172" s="247">
        <v>8.1</v>
      </c>
      <c r="J172" s="247">
        <v>74</v>
      </c>
    </row>
    <row r="173" spans="1:10">
      <c r="A173" s="247">
        <v>2013</v>
      </c>
      <c r="B173" s="247">
        <v>1</v>
      </c>
      <c r="C173" s="247">
        <v>5</v>
      </c>
      <c r="D173" s="247">
        <v>122</v>
      </c>
      <c r="E173" s="247">
        <v>0</v>
      </c>
      <c r="F173" s="247">
        <v>6.7</v>
      </c>
      <c r="G173" s="247">
        <v>6.8</v>
      </c>
      <c r="H173" s="247">
        <v>6.1</v>
      </c>
      <c r="I173" s="247">
        <v>7.6</v>
      </c>
      <c r="J173" s="247">
        <v>55</v>
      </c>
    </row>
    <row r="174" spans="1:10">
      <c r="A174" s="247">
        <v>2013</v>
      </c>
      <c r="B174" s="247">
        <v>1</v>
      </c>
      <c r="C174" s="247">
        <v>6</v>
      </c>
      <c r="D174" s="247">
        <v>106</v>
      </c>
      <c r="E174" s="247">
        <v>0</v>
      </c>
      <c r="F174" s="247">
        <v>6.3</v>
      </c>
      <c r="G174" s="247">
        <v>6.3</v>
      </c>
      <c r="H174" s="247">
        <v>5.6</v>
      </c>
      <c r="I174" s="247">
        <v>7.1</v>
      </c>
      <c r="J174" s="247">
        <v>48</v>
      </c>
    </row>
    <row r="175" spans="1:10">
      <c r="A175" s="247">
        <v>2013</v>
      </c>
      <c r="B175" s="247">
        <v>1</v>
      </c>
      <c r="C175" s="247">
        <v>7</v>
      </c>
      <c r="D175" s="247">
        <v>172</v>
      </c>
      <c r="E175" s="247">
        <v>0</v>
      </c>
      <c r="F175" s="247">
        <v>4.5999999999999996</v>
      </c>
      <c r="G175" s="247">
        <v>4.5999999999999996</v>
      </c>
      <c r="H175" s="247">
        <v>3.5</v>
      </c>
      <c r="I175" s="247">
        <v>5.7</v>
      </c>
      <c r="J175" s="247">
        <v>73</v>
      </c>
    </row>
    <row r="176" spans="1:10">
      <c r="A176" s="247">
        <v>2013</v>
      </c>
      <c r="B176" s="247">
        <v>1</v>
      </c>
      <c r="C176" s="247">
        <v>8</v>
      </c>
      <c r="D176" s="247">
        <v>119</v>
      </c>
      <c r="E176" s="247">
        <v>0</v>
      </c>
      <c r="F176" s="247">
        <v>2.7</v>
      </c>
      <c r="G176" s="247">
        <v>2.7</v>
      </c>
      <c r="H176" s="247">
        <v>2.2000000000000002</v>
      </c>
      <c r="I176" s="247">
        <v>3.1</v>
      </c>
      <c r="J176" s="247">
        <v>53</v>
      </c>
    </row>
    <row r="177" spans="1:10">
      <c r="A177" s="247">
        <v>2013</v>
      </c>
      <c r="B177" s="247">
        <v>1</v>
      </c>
      <c r="C177" s="247">
        <v>9</v>
      </c>
      <c r="D177" s="247">
        <v>140</v>
      </c>
      <c r="E177" s="247">
        <v>2.5</v>
      </c>
      <c r="F177" s="247">
        <v>0.7</v>
      </c>
      <c r="G177" s="247">
        <v>0.5</v>
      </c>
      <c r="H177" s="247">
        <v>-0.2</v>
      </c>
      <c r="I177" s="247">
        <v>1.1000000000000001</v>
      </c>
      <c r="J177" s="247">
        <v>63</v>
      </c>
    </row>
    <row r="178" spans="1:10">
      <c r="A178" s="247">
        <v>2013</v>
      </c>
      <c r="B178" s="247">
        <v>1</v>
      </c>
      <c r="C178" s="247">
        <v>10</v>
      </c>
      <c r="D178" s="247">
        <v>122</v>
      </c>
      <c r="E178" s="247">
        <v>7</v>
      </c>
      <c r="F178" s="247">
        <v>2.2999999999999998</v>
      </c>
      <c r="G178" s="247">
        <v>3.5</v>
      </c>
      <c r="H178" s="247">
        <v>0.5</v>
      </c>
      <c r="I178" s="247">
        <v>6.5</v>
      </c>
      <c r="J178" s="247">
        <v>55</v>
      </c>
    </row>
    <row r="179" spans="1:10">
      <c r="A179" s="247">
        <v>2013</v>
      </c>
      <c r="B179" s="247">
        <v>1</v>
      </c>
      <c r="C179" s="247">
        <v>11</v>
      </c>
      <c r="D179" s="247">
        <v>240</v>
      </c>
      <c r="E179" s="247">
        <v>0.5</v>
      </c>
      <c r="F179" s="247">
        <v>4.2</v>
      </c>
      <c r="G179" s="247">
        <v>4.5999999999999996</v>
      </c>
      <c r="H179" s="247">
        <v>3.1</v>
      </c>
      <c r="I179" s="247">
        <v>6.1</v>
      </c>
      <c r="J179" s="247">
        <v>98</v>
      </c>
    </row>
    <row r="180" spans="1:10">
      <c r="A180" s="247">
        <v>2013</v>
      </c>
      <c r="B180" s="247">
        <v>1</v>
      </c>
      <c r="C180" s="247">
        <v>12</v>
      </c>
      <c r="D180" s="247">
        <v>192</v>
      </c>
      <c r="E180" s="247">
        <v>1</v>
      </c>
      <c r="F180" s="247">
        <v>1.5</v>
      </c>
      <c r="G180" s="247">
        <v>1</v>
      </c>
      <c r="H180" s="247">
        <v>-0.6</v>
      </c>
      <c r="I180" s="247">
        <v>2.6</v>
      </c>
      <c r="J180" s="247">
        <v>81</v>
      </c>
    </row>
    <row r="181" spans="1:10">
      <c r="A181" s="247">
        <v>2013</v>
      </c>
      <c r="B181" s="247">
        <v>1</v>
      </c>
      <c r="C181" s="247">
        <v>13</v>
      </c>
      <c r="D181" s="247">
        <v>280</v>
      </c>
      <c r="E181" s="247">
        <v>0</v>
      </c>
      <c r="F181" s="247">
        <v>2.9</v>
      </c>
      <c r="G181" s="247">
        <v>3.1</v>
      </c>
      <c r="H181" s="247">
        <v>1.7</v>
      </c>
      <c r="I181" s="247">
        <v>4.4000000000000004</v>
      </c>
      <c r="J181" s="247">
        <v>117</v>
      </c>
    </row>
    <row r="182" spans="1:10">
      <c r="A182" s="247">
        <v>2013</v>
      </c>
      <c r="B182" s="247">
        <v>1</v>
      </c>
      <c r="C182" s="247">
        <v>14</v>
      </c>
      <c r="D182" s="247">
        <v>119</v>
      </c>
      <c r="E182" s="247">
        <v>0</v>
      </c>
      <c r="F182" s="247">
        <v>-0.3</v>
      </c>
      <c r="G182" s="247">
        <v>-0.6</v>
      </c>
      <c r="H182" s="247">
        <v>-2.5</v>
      </c>
      <c r="I182" s="247">
        <v>1.4</v>
      </c>
      <c r="J182" s="247">
        <v>51</v>
      </c>
    </row>
    <row r="183" spans="1:10">
      <c r="A183" s="247">
        <v>2013</v>
      </c>
      <c r="B183" s="247">
        <v>1</v>
      </c>
      <c r="C183" s="247">
        <v>15</v>
      </c>
      <c r="D183" s="247">
        <v>429</v>
      </c>
      <c r="E183" s="247">
        <v>0.5</v>
      </c>
      <c r="F183" s="247">
        <v>-0.8</v>
      </c>
      <c r="G183" s="247">
        <v>-0.9</v>
      </c>
      <c r="H183" s="247">
        <v>-3.5</v>
      </c>
      <c r="I183" s="247">
        <v>1.8</v>
      </c>
      <c r="J183" s="247">
        <v>179</v>
      </c>
    </row>
    <row r="184" spans="1:10">
      <c r="A184" s="247">
        <v>2013</v>
      </c>
      <c r="B184" s="247">
        <v>1</v>
      </c>
      <c r="C184" s="247">
        <v>16</v>
      </c>
      <c r="D184" s="247">
        <v>360</v>
      </c>
      <c r="E184" s="247">
        <v>0</v>
      </c>
      <c r="F184" s="247">
        <v>-2.7</v>
      </c>
      <c r="G184" s="247">
        <v>-1</v>
      </c>
      <c r="H184" s="247">
        <v>-3.2</v>
      </c>
      <c r="I184" s="247">
        <v>1.2</v>
      </c>
      <c r="J184" s="247">
        <v>147</v>
      </c>
    </row>
    <row r="185" spans="1:10">
      <c r="A185" s="247">
        <v>2013</v>
      </c>
      <c r="B185" s="247">
        <v>1</v>
      </c>
      <c r="C185" s="247">
        <v>17</v>
      </c>
      <c r="D185" s="247">
        <v>339</v>
      </c>
      <c r="E185" s="247">
        <v>0</v>
      </c>
      <c r="F185" s="247">
        <v>-3.8</v>
      </c>
      <c r="G185" s="247">
        <v>-4.3</v>
      </c>
      <c r="H185" s="247">
        <v>-6.7</v>
      </c>
      <c r="I185" s="247">
        <v>-2</v>
      </c>
      <c r="J185" s="247">
        <v>146</v>
      </c>
    </row>
    <row r="186" spans="1:10">
      <c r="A186" s="247">
        <v>2013</v>
      </c>
      <c r="B186" s="247">
        <v>1</v>
      </c>
      <c r="C186" s="247">
        <v>18</v>
      </c>
      <c r="D186" s="247">
        <v>473</v>
      </c>
      <c r="E186" s="247">
        <v>0.5</v>
      </c>
      <c r="F186" s="247">
        <v>-4.2</v>
      </c>
      <c r="G186" s="247">
        <v>-4.7</v>
      </c>
      <c r="H186" s="247">
        <v>-7.6</v>
      </c>
      <c r="I186" s="247">
        <v>-1.8</v>
      </c>
      <c r="J186" s="247">
        <v>194</v>
      </c>
    </row>
    <row r="187" spans="1:10">
      <c r="A187" s="247">
        <v>2013</v>
      </c>
      <c r="B187" s="247">
        <v>1</v>
      </c>
      <c r="C187" s="247">
        <v>19</v>
      </c>
      <c r="D187" s="247">
        <v>267</v>
      </c>
      <c r="E187" s="247">
        <v>0</v>
      </c>
      <c r="F187" s="247">
        <v>-1</v>
      </c>
      <c r="G187" s="247">
        <v>-1.8</v>
      </c>
      <c r="H187" s="247">
        <v>-4.4000000000000004</v>
      </c>
      <c r="I187" s="247">
        <v>0.9</v>
      </c>
      <c r="J187" s="247">
        <v>124</v>
      </c>
    </row>
    <row r="188" spans="1:10">
      <c r="A188" s="247">
        <v>2013</v>
      </c>
      <c r="B188" s="247">
        <v>1</v>
      </c>
      <c r="C188" s="247">
        <v>20</v>
      </c>
      <c r="D188" s="247">
        <v>325</v>
      </c>
      <c r="E188" s="247">
        <v>0</v>
      </c>
      <c r="F188" s="247">
        <v>0.8</v>
      </c>
      <c r="G188" s="247">
        <v>1.5</v>
      </c>
      <c r="H188" s="247">
        <v>-0.5</v>
      </c>
      <c r="I188" s="247">
        <v>3.6</v>
      </c>
      <c r="J188" s="247">
        <v>137</v>
      </c>
    </row>
    <row r="189" spans="1:10">
      <c r="A189" s="247">
        <v>2013</v>
      </c>
      <c r="B189" s="247">
        <v>1</v>
      </c>
      <c r="C189" s="247">
        <v>21</v>
      </c>
      <c r="D189" s="247">
        <v>274</v>
      </c>
      <c r="E189" s="247">
        <v>1</v>
      </c>
      <c r="F189" s="247">
        <v>1.5</v>
      </c>
      <c r="G189" s="247">
        <v>1.6</v>
      </c>
      <c r="H189" s="247">
        <v>-1.4</v>
      </c>
      <c r="I189" s="247">
        <v>4.7</v>
      </c>
      <c r="J189" s="247">
        <v>115</v>
      </c>
    </row>
    <row r="190" spans="1:10">
      <c r="A190" s="247">
        <v>2013</v>
      </c>
      <c r="B190" s="247">
        <v>1</v>
      </c>
      <c r="C190" s="247">
        <v>22</v>
      </c>
      <c r="D190" s="247">
        <v>465</v>
      </c>
      <c r="E190" s="247">
        <v>0</v>
      </c>
      <c r="F190" s="247">
        <v>2.5</v>
      </c>
      <c r="G190" s="247">
        <v>3.8</v>
      </c>
      <c r="H190" s="247">
        <v>1.2</v>
      </c>
      <c r="I190" s="247">
        <v>6.5</v>
      </c>
      <c r="J190" s="247">
        <v>186</v>
      </c>
    </row>
    <row r="191" spans="1:10">
      <c r="A191" s="247">
        <v>2013</v>
      </c>
      <c r="B191" s="247">
        <v>1</v>
      </c>
      <c r="C191" s="247">
        <v>23</v>
      </c>
      <c r="D191" s="247">
        <v>567</v>
      </c>
      <c r="E191" s="247">
        <v>0</v>
      </c>
      <c r="F191" s="247">
        <v>1.1000000000000001</v>
      </c>
      <c r="G191" s="247">
        <v>1.8</v>
      </c>
      <c r="H191" s="247">
        <v>-2</v>
      </c>
      <c r="I191" s="247">
        <v>5.6</v>
      </c>
      <c r="J191" s="247">
        <v>219</v>
      </c>
    </row>
    <row r="192" spans="1:10">
      <c r="A192" s="247">
        <v>2013</v>
      </c>
      <c r="B192" s="247">
        <v>1</v>
      </c>
      <c r="C192" s="247">
        <v>24</v>
      </c>
      <c r="D192" s="247">
        <v>293</v>
      </c>
      <c r="E192" s="247">
        <v>0</v>
      </c>
      <c r="F192" s="247">
        <v>0.4</v>
      </c>
      <c r="G192" s="247">
        <v>0.9</v>
      </c>
      <c r="H192" s="247">
        <v>-0.8</v>
      </c>
      <c r="I192" s="247">
        <v>2.5</v>
      </c>
      <c r="J192" s="247">
        <v>121</v>
      </c>
    </row>
    <row r="193" spans="1:10">
      <c r="A193" s="247">
        <v>2013</v>
      </c>
      <c r="B193" s="247">
        <v>1</v>
      </c>
      <c r="C193" s="247">
        <v>25</v>
      </c>
      <c r="D193" s="247">
        <v>191</v>
      </c>
      <c r="E193" s="247">
        <v>0</v>
      </c>
      <c r="F193" s="247">
        <v>-3.1</v>
      </c>
      <c r="G193" s="247">
        <v>-3.3</v>
      </c>
      <c r="H193" s="247">
        <v>-4.5999999999999996</v>
      </c>
      <c r="I193" s="247">
        <v>-2.1</v>
      </c>
      <c r="J193" s="247">
        <v>83</v>
      </c>
    </row>
    <row r="194" spans="1:10">
      <c r="A194" s="247">
        <v>2013</v>
      </c>
      <c r="B194" s="247">
        <v>1</v>
      </c>
      <c r="C194" s="247">
        <v>26</v>
      </c>
      <c r="D194" s="247">
        <v>365</v>
      </c>
      <c r="E194" s="247">
        <v>0</v>
      </c>
      <c r="F194" s="247">
        <v>-2.4</v>
      </c>
      <c r="G194" s="247">
        <v>-3.2</v>
      </c>
      <c r="H194" s="247">
        <v>-6.7</v>
      </c>
      <c r="I194" s="247">
        <v>0.3</v>
      </c>
      <c r="J194" s="247">
        <v>153</v>
      </c>
    </row>
    <row r="195" spans="1:10">
      <c r="A195" s="247">
        <v>2013</v>
      </c>
      <c r="B195" s="247">
        <v>1</v>
      </c>
      <c r="C195" s="247">
        <v>27</v>
      </c>
      <c r="D195" s="247">
        <v>170</v>
      </c>
      <c r="E195" s="247">
        <v>8.5</v>
      </c>
      <c r="F195" s="247">
        <v>1.8</v>
      </c>
      <c r="G195" s="247">
        <v>1.2</v>
      </c>
      <c r="H195" s="247">
        <v>-0.5</v>
      </c>
      <c r="I195" s="247">
        <v>3</v>
      </c>
      <c r="J195" s="247">
        <v>76</v>
      </c>
    </row>
    <row r="196" spans="1:10">
      <c r="A196" s="247">
        <v>2013</v>
      </c>
      <c r="B196" s="247">
        <v>1</v>
      </c>
      <c r="C196" s="247">
        <v>28</v>
      </c>
      <c r="D196" s="247">
        <v>353</v>
      </c>
      <c r="E196" s="247">
        <v>0</v>
      </c>
      <c r="F196" s="247">
        <v>3</v>
      </c>
      <c r="G196" s="247">
        <v>3.2</v>
      </c>
      <c r="H196" s="247">
        <v>-0.8</v>
      </c>
      <c r="I196" s="247">
        <v>7.2</v>
      </c>
      <c r="J196" s="247">
        <v>146</v>
      </c>
    </row>
    <row r="197" spans="1:10">
      <c r="A197" s="247">
        <v>2013</v>
      </c>
      <c r="B197" s="247">
        <v>1</v>
      </c>
      <c r="C197" s="247">
        <v>29</v>
      </c>
      <c r="D197" s="247">
        <v>141</v>
      </c>
      <c r="E197" s="247">
        <v>2.5</v>
      </c>
      <c r="F197" s="247">
        <v>6.2</v>
      </c>
      <c r="G197" s="247">
        <v>5.4</v>
      </c>
      <c r="H197" s="247">
        <v>2.6</v>
      </c>
      <c r="I197" s="247">
        <v>8.3000000000000007</v>
      </c>
      <c r="J197" s="247">
        <v>66</v>
      </c>
    </row>
    <row r="198" spans="1:10">
      <c r="A198" s="247">
        <v>2013</v>
      </c>
      <c r="B198" s="247">
        <v>1</v>
      </c>
      <c r="C198" s="247">
        <v>30</v>
      </c>
      <c r="D198" s="247">
        <v>361</v>
      </c>
      <c r="E198" s="247">
        <v>1.5</v>
      </c>
      <c r="F198" s="247">
        <v>10.3</v>
      </c>
      <c r="G198" s="247">
        <v>10.6</v>
      </c>
      <c r="H198" s="247">
        <v>6.6</v>
      </c>
      <c r="I198" s="247">
        <v>14.5</v>
      </c>
      <c r="J198" s="247">
        <v>157</v>
      </c>
    </row>
    <row r="199" spans="1:10">
      <c r="A199" s="247">
        <v>2013</v>
      </c>
      <c r="B199" s="247">
        <v>1</v>
      </c>
      <c r="C199" s="247">
        <v>31</v>
      </c>
      <c r="D199" s="247">
        <v>503</v>
      </c>
      <c r="E199" s="247">
        <v>2.5</v>
      </c>
      <c r="F199" s="247">
        <v>7.6</v>
      </c>
      <c r="G199" s="247">
        <v>6.1</v>
      </c>
      <c r="H199" s="247">
        <v>1.6</v>
      </c>
      <c r="I199" s="247">
        <v>10.6</v>
      </c>
      <c r="J199" s="247">
        <v>205</v>
      </c>
    </row>
    <row r="200" spans="1:10">
      <c r="A200" s="247">
        <v>2013</v>
      </c>
      <c r="B200" s="247">
        <v>2</v>
      </c>
      <c r="C200" s="247">
        <v>1</v>
      </c>
      <c r="D200" s="247">
        <v>188</v>
      </c>
      <c r="E200" s="247">
        <v>17.5</v>
      </c>
      <c r="F200" s="247">
        <v>8.3000000000000007</v>
      </c>
      <c r="G200" s="247">
        <v>8.1</v>
      </c>
      <c r="H200" s="247">
        <v>5.3</v>
      </c>
      <c r="I200" s="247">
        <v>10.8</v>
      </c>
      <c r="J200" s="247">
        <v>85</v>
      </c>
    </row>
    <row r="201" spans="1:10">
      <c r="A201" s="247">
        <v>2013</v>
      </c>
      <c r="B201" s="247">
        <v>2</v>
      </c>
      <c r="C201" s="247">
        <v>2</v>
      </c>
      <c r="D201" s="247">
        <v>477</v>
      </c>
      <c r="E201" s="247">
        <v>0.5</v>
      </c>
      <c r="F201" s="247">
        <v>3.8</v>
      </c>
      <c r="G201" s="247">
        <v>4.5999999999999996</v>
      </c>
      <c r="H201" s="247">
        <v>2.9</v>
      </c>
      <c r="I201" s="247">
        <v>6.2</v>
      </c>
      <c r="J201" s="247">
        <v>191</v>
      </c>
    </row>
    <row r="202" spans="1:10">
      <c r="A202" s="247">
        <v>2013</v>
      </c>
      <c r="B202" s="247">
        <v>2</v>
      </c>
      <c r="C202" s="247">
        <v>3</v>
      </c>
      <c r="D202" s="247">
        <v>529</v>
      </c>
      <c r="E202" s="247">
        <v>1.5</v>
      </c>
      <c r="F202" s="247">
        <v>2.5</v>
      </c>
      <c r="G202" s="247">
        <v>2.6</v>
      </c>
      <c r="H202" s="247">
        <v>0.7</v>
      </c>
      <c r="I202" s="247">
        <v>4.5999999999999996</v>
      </c>
      <c r="J202" s="247">
        <v>214</v>
      </c>
    </row>
    <row r="203" spans="1:10">
      <c r="A203" s="247">
        <v>2013</v>
      </c>
      <c r="B203" s="247">
        <v>2</v>
      </c>
      <c r="C203" s="247">
        <v>4</v>
      </c>
      <c r="D203" s="247">
        <v>229</v>
      </c>
      <c r="E203" s="247">
        <v>1.5</v>
      </c>
      <c r="F203" s="247">
        <v>4.2</v>
      </c>
      <c r="G203" s="247">
        <v>4.2</v>
      </c>
      <c r="H203" s="247">
        <v>0.9</v>
      </c>
      <c r="I203" s="247">
        <v>7.4</v>
      </c>
      <c r="J203" s="247">
        <v>101</v>
      </c>
    </row>
    <row r="204" spans="1:10">
      <c r="A204" s="247">
        <v>2013</v>
      </c>
      <c r="B204" s="247">
        <v>2</v>
      </c>
      <c r="C204" s="247">
        <v>5</v>
      </c>
      <c r="D204" s="247">
        <v>434</v>
      </c>
      <c r="E204" s="247">
        <v>8</v>
      </c>
      <c r="F204" s="247">
        <v>4.5999999999999996</v>
      </c>
      <c r="G204" s="247">
        <v>4.5999999999999996</v>
      </c>
      <c r="H204" s="247">
        <v>0.6</v>
      </c>
      <c r="I204" s="247">
        <v>8.5</v>
      </c>
      <c r="J204" s="247">
        <v>180</v>
      </c>
    </row>
    <row r="205" spans="1:10">
      <c r="A205" s="247">
        <v>2013</v>
      </c>
      <c r="B205" s="247">
        <v>2</v>
      </c>
      <c r="C205" s="247">
        <v>6</v>
      </c>
      <c r="D205" s="247">
        <v>487</v>
      </c>
      <c r="E205" s="247">
        <v>2</v>
      </c>
      <c r="F205" s="247">
        <v>1.9</v>
      </c>
      <c r="G205" s="247">
        <v>2.6</v>
      </c>
      <c r="H205" s="247">
        <v>0.1</v>
      </c>
      <c r="I205" s="247">
        <v>5.2</v>
      </c>
      <c r="J205" s="247">
        <v>188</v>
      </c>
    </row>
    <row r="206" spans="1:10">
      <c r="A206" s="247">
        <v>2013</v>
      </c>
      <c r="B206" s="247">
        <v>2</v>
      </c>
      <c r="C206" s="247">
        <v>7</v>
      </c>
      <c r="D206" s="247">
        <v>478</v>
      </c>
      <c r="E206" s="247">
        <v>1</v>
      </c>
      <c r="F206" s="247">
        <v>1.1000000000000001</v>
      </c>
      <c r="G206" s="247">
        <v>1.9</v>
      </c>
      <c r="H206" s="247">
        <v>0</v>
      </c>
      <c r="I206" s="247">
        <v>3.7</v>
      </c>
      <c r="J206" s="247">
        <v>191</v>
      </c>
    </row>
    <row r="207" spans="1:10">
      <c r="A207" s="247">
        <v>2013</v>
      </c>
      <c r="B207" s="247">
        <v>2</v>
      </c>
      <c r="C207" s="247">
        <v>8</v>
      </c>
      <c r="D207" s="247">
        <v>782</v>
      </c>
      <c r="E207" s="247">
        <v>0.5</v>
      </c>
      <c r="F207" s="247">
        <v>-0.4</v>
      </c>
      <c r="G207" s="247">
        <v>0</v>
      </c>
      <c r="H207" s="247">
        <v>-3.4</v>
      </c>
      <c r="I207" s="247">
        <v>3.5</v>
      </c>
      <c r="J207" s="247">
        <v>314</v>
      </c>
    </row>
    <row r="208" spans="1:10">
      <c r="A208" s="247">
        <v>2013</v>
      </c>
      <c r="B208" s="247">
        <v>2</v>
      </c>
      <c r="C208" s="247">
        <v>9</v>
      </c>
      <c r="D208" s="247">
        <v>812</v>
      </c>
      <c r="E208" s="247">
        <v>0</v>
      </c>
      <c r="F208" s="247">
        <v>-0.8</v>
      </c>
      <c r="G208" s="247">
        <v>-0.7</v>
      </c>
      <c r="H208" s="247">
        <v>-4.4000000000000004</v>
      </c>
      <c r="I208" s="247">
        <v>3</v>
      </c>
      <c r="J208" s="247">
        <v>297</v>
      </c>
    </row>
    <row r="209" spans="1:10">
      <c r="A209" s="247">
        <v>2013</v>
      </c>
      <c r="B209" s="247">
        <v>2</v>
      </c>
      <c r="C209" s="247">
        <v>10</v>
      </c>
      <c r="D209" s="247">
        <v>421</v>
      </c>
      <c r="E209" s="247">
        <v>0.5</v>
      </c>
      <c r="F209" s="247">
        <v>-2.1</v>
      </c>
      <c r="G209" s="247">
        <v>-2.2999999999999998</v>
      </c>
      <c r="H209" s="247">
        <v>-5.6</v>
      </c>
      <c r="I209" s="247">
        <v>1</v>
      </c>
      <c r="J209" s="247">
        <v>187</v>
      </c>
    </row>
    <row r="210" spans="1:10">
      <c r="A210" s="247">
        <v>2013</v>
      </c>
      <c r="B210" s="247">
        <v>2</v>
      </c>
      <c r="C210" s="247">
        <v>11</v>
      </c>
      <c r="D210" s="247">
        <v>379</v>
      </c>
      <c r="E210" s="247">
        <v>1.5</v>
      </c>
      <c r="F210" s="247">
        <v>1.7</v>
      </c>
      <c r="G210" s="247">
        <v>1.5</v>
      </c>
      <c r="H210" s="247">
        <v>-0.2</v>
      </c>
      <c r="I210" s="247">
        <v>3.3</v>
      </c>
      <c r="J210" s="247">
        <v>152</v>
      </c>
    </row>
    <row r="211" spans="1:10">
      <c r="A211" s="247">
        <v>2013</v>
      </c>
      <c r="B211" s="247">
        <v>2</v>
      </c>
      <c r="C211" s="247">
        <v>12</v>
      </c>
      <c r="D211" s="247">
        <v>228</v>
      </c>
      <c r="E211" s="247">
        <v>1</v>
      </c>
      <c r="F211" s="247">
        <v>-0.2</v>
      </c>
      <c r="G211" s="247">
        <v>-0.1</v>
      </c>
      <c r="H211" s="247">
        <v>-0.8</v>
      </c>
      <c r="I211" s="247">
        <v>0.7</v>
      </c>
      <c r="J211" s="247">
        <v>110</v>
      </c>
    </row>
    <row r="212" spans="1:10">
      <c r="A212" s="247">
        <v>2013</v>
      </c>
      <c r="B212" s="247">
        <v>2</v>
      </c>
      <c r="C212" s="247">
        <v>13</v>
      </c>
      <c r="D212" s="247">
        <v>673</v>
      </c>
      <c r="E212" s="247">
        <v>0</v>
      </c>
      <c r="F212" s="247">
        <v>-1.5</v>
      </c>
      <c r="G212" s="247">
        <v>-0.8</v>
      </c>
      <c r="H212" s="247">
        <v>-2.2000000000000002</v>
      </c>
      <c r="I212" s="247">
        <v>0.6</v>
      </c>
      <c r="J212" s="247">
        <v>260</v>
      </c>
    </row>
    <row r="213" spans="1:10">
      <c r="A213" s="247">
        <v>2013</v>
      </c>
      <c r="B213" s="247">
        <v>2</v>
      </c>
      <c r="C213" s="247">
        <v>14</v>
      </c>
      <c r="D213" s="247">
        <v>398</v>
      </c>
      <c r="E213" s="247">
        <v>1.5</v>
      </c>
      <c r="F213" s="247">
        <v>-2.1</v>
      </c>
      <c r="G213" s="247">
        <v>-2.8</v>
      </c>
      <c r="H213" s="247">
        <v>-6</v>
      </c>
      <c r="I213" s="247">
        <v>0.5</v>
      </c>
      <c r="J213" s="247">
        <v>174</v>
      </c>
    </row>
    <row r="214" spans="1:10">
      <c r="A214" s="247">
        <v>2013</v>
      </c>
      <c r="B214" s="247">
        <v>2</v>
      </c>
      <c r="C214" s="247">
        <v>15</v>
      </c>
      <c r="D214" s="247">
        <v>489</v>
      </c>
      <c r="E214" s="247">
        <v>1</v>
      </c>
      <c r="F214" s="247">
        <v>2.6</v>
      </c>
      <c r="G214" s="247">
        <v>3.1</v>
      </c>
      <c r="H214" s="247">
        <v>-1</v>
      </c>
      <c r="I214" s="247">
        <v>7.2</v>
      </c>
      <c r="J214" s="247">
        <v>203</v>
      </c>
    </row>
    <row r="215" spans="1:10">
      <c r="A215" s="247">
        <v>2013</v>
      </c>
      <c r="B215" s="247">
        <v>2</v>
      </c>
      <c r="C215" s="247">
        <v>16</v>
      </c>
      <c r="D215" s="247">
        <v>1034</v>
      </c>
      <c r="E215" s="247">
        <v>0</v>
      </c>
      <c r="F215" s="247">
        <v>2.1</v>
      </c>
      <c r="G215" s="247">
        <v>3.2</v>
      </c>
      <c r="H215" s="247">
        <v>-1.7</v>
      </c>
      <c r="I215" s="247">
        <v>8.1</v>
      </c>
      <c r="J215" s="247">
        <v>399</v>
      </c>
    </row>
    <row r="216" spans="1:10">
      <c r="A216" s="247">
        <v>2013</v>
      </c>
      <c r="B216" s="247">
        <v>2</v>
      </c>
      <c r="C216" s="247">
        <v>17</v>
      </c>
      <c r="D216" s="247">
        <v>955</v>
      </c>
      <c r="E216" s="247">
        <v>0</v>
      </c>
      <c r="F216" s="247">
        <v>2.2000000000000002</v>
      </c>
      <c r="G216" s="247">
        <v>3.6</v>
      </c>
      <c r="H216" s="247">
        <v>-0.3</v>
      </c>
      <c r="I216" s="247">
        <v>7.6</v>
      </c>
      <c r="J216" s="247">
        <v>365</v>
      </c>
    </row>
    <row r="217" spans="1:10">
      <c r="A217" s="247">
        <v>2013</v>
      </c>
      <c r="B217" s="247">
        <v>2</v>
      </c>
      <c r="C217" s="247">
        <v>18</v>
      </c>
      <c r="D217" s="247">
        <v>1336</v>
      </c>
      <c r="E217" s="247">
        <v>0.5</v>
      </c>
      <c r="F217" s="247">
        <v>-0.2</v>
      </c>
      <c r="G217" s="247">
        <v>1</v>
      </c>
      <c r="H217" s="247">
        <v>-3.5</v>
      </c>
      <c r="I217" s="247">
        <v>5.4</v>
      </c>
      <c r="J217" s="247">
        <v>465</v>
      </c>
    </row>
    <row r="218" spans="1:10">
      <c r="A218" s="247">
        <v>2013</v>
      </c>
      <c r="B218" s="247">
        <v>2</v>
      </c>
      <c r="C218" s="247">
        <v>19</v>
      </c>
      <c r="D218" s="247">
        <v>397</v>
      </c>
      <c r="E218" s="247">
        <v>0</v>
      </c>
      <c r="F218" s="247">
        <v>-2.2000000000000002</v>
      </c>
      <c r="G218" s="247">
        <v>-2.1</v>
      </c>
      <c r="H218" s="247">
        <v>-4.5</v>
      </c>
      <c r="I218" s="247">
        <v>0.3</v>
      </c>
      <c r="J218" s="247">
        <v>188</v>
      </c>
    </row>
    <row r="219" spans="1:10">
      <c r="A219" s="247">
        <v>2013</v>
      </c>
      <c r="B219" s="247">
        <v>2</v>
      </c>
      <c r="C219" s="247">
        <v>20</v>
      </c>
      <c r="D219" s="247">
        <v>967</v>
      </c>
      <c r="E219" s="247">
        <v>0</v>
      </c>
      <c r="F219" s="247">
        <v>1.2</v>
      </c>
      <c r="G219" s="247">
        <v>1.7</v>
      </c>
      <c r="H219" s="247">
        <v>-3.4</v>
      </c>
      <c r="I219" s="247">
        <v>6.8</v>
      </c>
      <c r="J219" s="247">
        <v>362</v>
      </c>
    </row>
    <row r="220" spans="1:10">
      <c r="A220" s="247">
        <v>2013</v>
      </c>
      <c r="B220" s="247">
        <v>2</v>
      </c>
      <c r="C220" s="247">
        <v>21</v>
      </c>
      <c r="D220" s="247">
        <v>781</v>
      </c>
      <c r="E220" s="247">
        <v>0</v>
      </c>
      <c r="F220" s="247">
        <v>-0.9</v>
      </c>
      <c r="G220" s="247">
        <v>-0.6</v>
      </c>
      <c r="H220" s="247">
        <v>-3.1</v>
      </c>
      <c r="I220" s="247">
        <v>1.9</v>
      </c>
      <c r="J220" s="247">
        <v>302</v>
      </c>
    </row>
    <row r="221" spans="1:10">
      <c r="A221" s="247">
        <v>2013</v>
      </c>
      <c r="B221" s="247">
        <v>2</v>
      </c>
      <c r="C221" s="247">
        <v>22</v>
      </c>
      <c r="D221" s="247">
        <v>843</v>
      </c>
      <c r="E221" s="247">
        <v>0</v>
      </c>
      <c r="F221" s="247">
        <v>-2.7</v>
      </c>
      <c r="G221" s="247">
        <v>-2.2000000000000002</v>
      </c>
      <c r="H221" s="247">
        <v>-4.5999999999999996</v>
      </c>
      <c r="I221" s="247">
        <v>0.2</v>
      </c>
      <c r="J221" s="247">
        <v>317</v>
      </c>
    </row>
    <row r="222" spans="1:10">
      <c r="A222" s="247">
        <v>2013</v>
      </c>
      <c r="B222" s="247">
        <v>2</v>
      </c>
      <c r="C222" s="247">
        <v>23</v>
      </c>
      <c r="D222" s="247">
        <v>664</v>
      </c>
      <c r="E222" s="247">
        <v>0</v>
      </c>
      <c r="F222" s="247">
        <v>-3.2</v>
      </c>
      <c r="G222" s="247">
        <v>-3.2</v>
      </c>
      <c r="H222" s="247">
        <v>-5.8</v>
      </c>
      <c r="I222" s="247">
        <v>-0.6</v>
      </c>
      <c r="J222" s="247">
        <v>258</v>
      </c>
    </row>
    <row r="223" spans="1:10">
      <c r="A223" s="247">
        <v>2013</v>
      </c>
      <c r="B223" s="247">
        <v>2</v>
      </c>
      <c r="C223" s="247">
        <v>24</v>
      </c>
      <c r="D223" s="247">
        <v>442</v>
      </c>
      <c r="E223" s="247">
        <v>0</v>
      </c>
      <c r="F223" s="247">
        <v>-2.6</v>
      </c>
      <c r="G223" s="247">
        <v>-2.5</v>
      </c>
      <c r="H223" s="247">
        <v>-4</v>
      </c>
      <c r="I223" s="247">
        <v>-1</v>
      </c>
      <c r="J223" s="247">
        <v>183</v>
      </c>
    </row>
    <row r="224" spans="1:10">
      <c r="A224" s="247">
        <v>2013</v>
      </c>
      <c r="B224" s="247">
        <v>2</v>
      </c>
      <c r="C224" s="247">
        <v>25</v>
      </c>
      <c r="D224" s="247">
        <v>655</v>
      </c>
      <c r="E224" s="247">
        <v>0.5</v>
      </c>
      <c r="F224" s="247">
        <v>-2.9</v>
      </c>
      <c r="G224" s="247">
        <v>-2.8</v>
      </c>
      <c r="H224" s="247">
        <v>-7.2</v>
      </c>
      <c r="I224" s="247">
        <v>1.5</v>
      </c>
      <c r="J224" s="247">
        <v>277</v>
      </c>
    </row>
    <row r="225" spans="1:10">
      <c r="A225" s="247">
        <v>2013</v>
      </c>
      <c r="B225" s="247">
        <v>2</v>
      </c>
      <c r="C225" s="247">
        <v>26</v>
      </c>
      <c r="D225" s="247">
        <v>1361</v>
      </c>
      <c r="E225" s="247">
        <v>0.5</v>
      </c>
      <c r="F225" s="247">
        <v>-0.6</v>
      </c>
      <c r="G225" s="247">
        <v>-0.2</v>
      </c>
      <c r="H225" s="247">
        <v>-6</v>
      </c>
      <c r="I225" s="247">
        <v>5.6</v>
      </c>
      <c r="J225" s="247">
        <v>474</v>
      </c>
    </row>
    <row r="226" spans="1:10">
      <c r="A226" s="247">
        <v>2013</v>
      </c>
      <c r="B226" s="247">
        <v>2</v>
      </c>
      <c r="C226" s="247">
        <v>27</v>
      </c>
      <c r="D226" s="247">
        <v>226</v>
      </c>
      <c r="E226" s="247">
        <v>0</v>
      </c>
      <c r="F226" s="247">
        <v>2.6</v>
      </c>
      <c r="G226" s="247">
        <v>2</v>
      </c>
      <c r="H226" s="247">
        <v>-0.4</v>
      </c>
      <c r="I226" s="247">
        <v>4.4000000000000004</v>
      </c>
      <c r="J226" s="247">
        <v>100</v>
      </c>
    </row>
    <row r="227" spans="1:10">
      <c r="A227" s="247">
        <v>2013</v>
      </c>
      <c r="B227" s="247">
        <v>2</v>
      </c>
      <c r="C227" s="247">
        <v>28</v>
      </c>
      <c r="D227" s="247">
        <v>608</v>
      </c>
      <c r="E227" s="247">
        <v>0</v>
      </c>
      <c r="F227" s="247">
        <v>1.8</v>
      </c>
      <c r="G227" s="247">
        <v>2.8</v>
      </c>
      <c r="H227" s="247">
        <v>0.5</v>
      </c>
      <c r="I227" s="247">
        <v>5</v>
      </c>
      <c r="J227" s="247">
        <v>242</v>
      </c>
    </row>
    <row r="228" spans="1:10">
      <c r="A228" s="247">
        <v>2013</v>
      </c>
      <c r="B228" s="247">
        <v>3</v>
      </c>
      <c r="C228" s="247">
        <v>1</v>
      </c>
      <c r="D228" s="247">
        <v>718</v>
      </c>
      <c r="E228" s="247">
        <v>0</v>
      </c>
      <c r="F228" s="247">
        <v>1.1000000000000001</v>
      </c>
      <c r="G228" s="247">
        <v>0.6</v>
      </c>
      <c r="H228" s="247">
        <v>-2.2999999999999998</v>
      </c>
      <c r="I228" s="247">
        <v>3.5</v>
      </c>
      <c r="J228" s="247">
        <v>267</v>
      </c>
    </row>
    <row r="229" spans="1:10">
      <c r="A229" s="247">
        <v>2013</v>
      </c>
      <c r="B229" s="247">
        <v>3</v>
      </c>
      <c r="C229" s="247">
        <v>2</v>
      </c>
      <c r="D229" s="247">
        <v>298</v>
      </c>
      <c r="E229" s="247">
        <v>0</v>
      </c>
      <c r="F229" s="247">
        <v>2</v>
      </c>
      <c r="G229" s="247">
        <v>2.2999999999999998</v>
      </c>
      <c r="H229" s="247">
        <v>1.2</v>
      </c>
      <c r="I229" s="247">
        <v>3.5</v>
      </c>
      <c r="J229" s="247">
        <v>127</v>
      </c>
    </row>
    <row r="230" spans="1:10">
      <c r="A230" s="247">
        <v>2013</v>
      </c>
      <c r="B230" s="247">
        <v>3</v>
      </c>
      <c r="C230" s="247">
        <v>3</v>
      </c>
      <c r="D230" s="247">
        <v>1070</v>
      </c>
      <c r="E230" s="247">
        <v>0</v>
      </c>
      <c r="F230" s="247">
        <v>2.2999999999999998</v>
      </c>
      <c r="G230" s="247">
        <v>4.2</v>
      </c>
      <c r="H230" s="247">
        <v>0.6</v>
      </c>
      <c r="I230" s="247">
        <v>7.7</v>
      </c>
      <c r="J230" s="247">
        <v>410</v>
      </c>
    </row>
    <row r="231" spans="1:10">
      <c r="A231" s="247">
        <v>2013</v>
      </c>
      <c r="B231" s="247">
        <v>3</v>
      </c>
      <c r="C231" s="247">
        <v>4</v>
      </c>
      <c r="D231" s="247">
        <v>1468</v>
      </c>
      <c r="E231" s="247">
        <v>0</v>
      </c>
      <c r="F231" s="247">
        <v>4.5</v>
      </c>
      <c r="G231" s="247">
        <v>5.6</v>
      </c>
      <c r="H231" s="247">
        <v>-3</v>
      </c>
      <c r="I231" s="247">
        <v>14.2</v>
      </c>
      <c r="J231" s="247">
        <v>563</v>
      </c>
    </row>
    <row r="232" spans="1:10">
      <c r="A232" s="247">
        <v>2013</v>
      </c>
      <c r="B232" s="247">
        <v>3</v>
      </c>
      <c r="C232" s="247">
        <v>5</v>
      </c>
      <c r="D232" s="247">
        <v>627</v>
      </c>
      <c r="E232" s="247">
        <v>0.5</v>
      </c>
      <c r="F232" s="247">
        <v>5.2</v>
      </c>
      <c r="G232" s="247">
        <v>4.5</v>
      </c>
      <c r="H232" s="247">
        <v>-1.6</v>
      </c>
      <c r="I232" s="247">
        <v>10.7</v>
      </c>
      <c r="J232" s="247">
        <v>266</v>
      </c>
    </row>
    <row r="233" spans="1:10">
      <c r="A233" s="247">
        <v>2013</v>
      </c>
      <c r="B233" s="247">
        <v>3</v>
      </c>
      <c r="C233" s="247">
        <v>6</v>
      </c>
      <c r="D233" s="247">
        <v>584</v>
      </c>
      <c r="E233" s="247">
        <v>2.5</v>
      </c>
      <c r="F233" s="247">
        <v>9.1999999999999993</v>
      </c>
      <c r="G233" s="247">
        <v>9.6999999999999993</v>
      </c>
      <c r="H233" s="247">
        <v>6.1</v>
      </c>
      <c r="I233" s="247">
        <v>13.3</v>
      </c>
      <c r="J233" s="247">
        <v>255</v>
      </c>
    </row>
    <row r="234" spans="1:10">
      <c r="A234" s="247">
        <v>2013</v>
      </c>
      <c r="B234" s="247">
        <v>3</v>
      </c>
      <c r="C234" s="247">
        <v>7</v>
      </c>
      <c r="D234" s="247">
        <v>900</v>
      </c>
      <c r="E234" s="247">
        <v>0</v>
      </c>
      <c r="F234" s="247">
        <v>9.6999999999999993</v>
      </c>
      <c r="G234" s="247">
        <v>10.6</v>
      </c>
      <c r="H234" s="247">
        <v>5.2</v>
      </c>
      <c r="I234" s="247">
        <v>16.100000000000001</v>
      </c>
      <c r="J234" s="247">
        <v>373</v>
      </c>
    </row>
    <row r="235" spans="1:10">
      <c r="A235" s="247">
        <v>2013</v>
      </c>
      <c r="B235" s="247">
        <v>3</v>
      </c>
      <c r="C235" s="247">
        <v>8</v>
      </c>
      <c r="D235" s="247">
        <v>465</v>
      </c>
      <c r="E235" s="247">
        <v>0.5</v>
      </c>
      <c r="F235" s="247">
        <v>8.8000000000000007</v>
      </c>
      <c r="G235" s="247">
        <v>8.8000000000000007</v>
      </c>
      <c r="H235" s="247">
        <v>4.2</v>
      </c>
      <c r="I235" s="247">
        <v>13.4</v>
      </c>
      <c r="J235" s="247">
        <v>207</v>
      </c>
    </row>
    <row r="236" spans="1:10">
      <c r="A236" s="247">
        <v>2013</v>
      </c>
      <c r="B236" s="247">
        <v>3</v>
      </c>
      <c r="C236" s="247">
        <v>9</v>
      </c>
      <c r="D236" s="247">
        <v>1048</v>
      </c>
      <c r="E236" s="247">
        <v>4.5</v>
      </c>
      <c r="F236" s="247">
        <v>9.4</v>
      </c>
      <c r="G236" s="247">
        <v>9.6999999999999993</v>
      </c>
      <c r="H236" s="247">
        <v>4.2</v>
      </c>
      <c r="I236" s="247">
        <v>15.2</v>
      </c>
      <c r="J236" s="247">
        <v>432</v>
      </c>
    </row>
    <row r="237" spans="1:10">
      <c r="A237" s="247">
        <v>2013</v>
      </c>
      <c r="B237" s="247">
        <v>3</v>
      </c>
      <c r="C237" s="247">
        <v>10</v>
      </c>
      <c r="D237" s="247">
        <v>918</v>
      </c>
      <c r="E237" s="247">
        <v>3.5</v>
      </c>
      <c r="F237" s="247">
        <v>8.5</v>
      </c>
      <c r="G237" s="247">
        <v>8.4</v>
      </c>
      <c r="H237" s="247">
        <v>3.9</v>
      </c>
      <c r="I237" s="247">
        <v>12.9</v>
      </c>
      <c r="J237" s="247">
        <v>384</v>
      </c>
    </row>
    <row r="238" spans="1:10">
      <c r="A238" s="247">
        <v>2013</v>
      </c>
      <c r="B238" s="247">
        <v>3</v>
      </c>
      <c r="C238" s="247">
        <v>11</v>
      </c>
      <c r="D238" s="247">
        <v>1161</v>
      </c>
      <c r="E238" s="247">
        <v>3</v>
      </c>
      <c r="F238" s="247">
        <v>9.1</v>
      </c>
      <c r="G238" s="247">
        <v>10.3</v>
      </c>
      <c r="H238" s="247">
        <v>6.6</v>
      </c>
      <c r="I238" s="247">
        <v>14</v>
      </c>
      <c r="J238" s="247">
        <v>467</v>
      </c>
    </row>
    <row r="239" spans="1:10">
      <c r="A239" s="247">
        <v>2013</v>
      </c>
      <c r="B239" s="247">
        <v>3</v>
      </c>
      <c r="C239" s="247">
        <v>12</v>
      </c>
      <c r="D239" s="247">
        <v>586</v>
      </c>
      <c r="E239" s="247">
        <v>1</v>
      </c>
      <c r="F239" s="247">
        <v>5.2</v>
      </c>
      <c r="G239" s="247">
        <v>5.5</v>
      </c>
      <c r="H239" s="247">
        <v>2.5</v>
      </c>
      <c r="I239" s="247">
        <v>8.5</v>
      </c>
      <c r="J239" s="247">
        <v>245</v>
      </c>
    </row>
    <row r="240" spans="1:10">
      <c r="A240" s="247">
        <v>2013</v>
      </c>
      <c r="B240" s="247">
        <v>3</v>
      </c>
      <c r="C240" s="247">
        <v>13</v>
      </c>
      <c r="D240" s="247">
        <v>460</v>
      </c>
      <c r="E240" s="247">
        <v>0</v>
      </c>
      <c r="F240" s="247">
        <v>-0.2</v>
      </c>
      <c r="G240" s="247">
        <v>-0.1</v>
      </c>
      <c r="H240" s="247">
        <v>-0.6</v>
      </c>
      <c r="I240" s="247">
        <v>0.5</v>
      </c>
      <c r="J240" s="247">
        <v>188</v>
      </c>
    </row>
    <row r="241" spans="1:10">
      <c r="A241" s="247">
        <v>2013</v>
      </c>
      <c r="B241" s="247">
        <v>3</v>
      </c>
      <c r="C241" s="247">
        <v>14</v>
      </c>
      <c r="D241" s="247">
        <v>1111</v>
      </c>
      <c r="E241" s="247">
        <v>0</v>
      </c>
      <c r="F241" s="247">
        <v>-0.8</v>
      </c>
      <c r="G241" s="247">
        <v>-1</v>
      </c>
      <c r="H241" s="247">
        <v>-5.5</v>
      </c>
      <c r="I241" s="247">
        <v>3.6</v>
      </c>
      <c r="J241" s="247">
        <v>425</v>
      </c>
    </row>
    <row r="242" spans="1:10">
      <c r="A242" s="247">
        <v>2013</v>
      </c>
      <c r="B242" s="247">
        <v>3</v>
      </c>
      <c r="C242" s="247">
        <v>15</v>
      </c>
      <c r="D242" s="247">
        <v>1857</v>
      </c>
      <c r="E242" s="247">
        <v>0</v>
      </c>
      <c r="F242" s="247">
        <v>-0.2</v>
      </c>
      <c r="G242" s="247">
        <v>0.4</v>
      </c>
      <c r="H242" s="247">
        <v>-4.7</v>
      </c>
      <c r="I242" s="247">
        <v>5.4</v>
      </c>
      <c r="J242" s="247">
        <v>685</v>
      </c>
    </row>
    <row r="243" spans="1:10">
      <c r="A243" s="247">
        <v>2013</v>
      </c>
      <c r="B243" s="247">
        <v>3</v>
      </c>
      <c r="C243" s="247">
        <v>16</v>
      </c>
      <c r="D243" s="247">
        <v>1195</v>
      </c>
      <c r="E243" s="247">
        <v>1</v>
      </c>
      <c r="F243" s="247">
        <v>3.2</v>
      </c>
      <c r="G243" s="247">
        <v>1.6</v>
      </c>
      <c r="H243" s="247">
        <v>-7</v>
      </c>
      <c r="I243" s="247">
        <v>10.1</v>
      </c>
      <c r="J243" s="247">
        <v>441</v>
      </c>
    </row>
    <row r="244" spans="1:10">
      <c r="A244" s="247">
        <v>2013</v>
      </c>
      <c r="B244" s="247">
        <v>3</v>
      </c>
      <c r="C244" s="247">
        <v>17</v>
      </c>
      <c r="D244" s="247">
        <v>288</v>
      </c>
      <c r="E244" s="247">
        <v>12.5</v>
      </c>
      <c r="F244" s="247">
        <v>6.2</v>
      </c>
      <c r="G244" s="247">
        <v>6.9</v>
      </c>
      <c r="H244" s="247">
        <v>4.7</v>
      </c>
      <c r="I244" s="247">
        <v>9.1</v>
      </c>
      <c r="J244" s="247">
        <v>132</v>
      </c>
    </row>
    <row r="245" spans="1:10">
      <c r="A245" s="247">
        <v>2013</v>
      </c>
      <c r="B245" s="247">
        <v>3</v>
      </c>
      <c r="C245" s="247">
        <v>18</v>
      </c>
      <c r="D245" s="247">
        <v>1124</v>
      </c>
      <c r="E245" s="247">
        <v>4.5</v>
      </c>
      <c r="F245" s="247">
        <v>5.2</v>
      </c>
      <c r="G245" s="247">
        <v>6.2</v>
      </c>
      <c r="H245" s="247">
        <v>3</v>
      </c>
      <c r="I245" s="247">
        <v>9.3000000000000007</v>
      </c>
      <c r="J245" s="247">
        <v>448</v>
      </c>
    </row>
    <row r="246" spans="1:10">
      <c r="A246" s="247">
        <v>2013</v>
      </c>
      <c r="B246" s="247">
        <v>3</v>
      </c>
      <c r="C246" s="247">
        <v>19</v>
      </c>
      <c r="D246" s="247">
        <v>1320</v>
      </c>
      <c r="E246" s="247">
        <v>0.5</v>
      </c>
      <c r="F246" s="247">
        <v>5.9</v>
      </c>
      <c r="G246" s="247">
        <v>6.2</v>
      </c>
      <c r="H246" s="247">
        <v>1.7</v>
      </c>
      <c r="I246" s="247">
        <v>10.6</v>
      </c>
      <c r="J246" s="247">
        <v>527</v>
      </c>
    </row>
    <row r="247" spans="1:10">
      <c r="A247" s="247">
        <v>2013</v>
      </c>
      <c r="B247" s="247">
        <v>3</v>
      </c>
      <c r="C247" s="247">
        <v>20</v>
      </c>
      <c r="D247" s="247">
        <v>1121</v>
      </c>
      <c r="E247" s="247">
        <v>0.5</v>
      </c>
      <c r="F247" s="247">
        <v>6.2</v>
      </c>
      <c r="G247" s="247">
        <v>6.8</v>
      </c>
      <c r="H247" s="247">
        <v>3</v>
      </c>
      <c r="I247" s="247">
        <v>10.6</v>
      </c>
      <c r="J247" s="247">
        <v>449</v>
      </c>
    </row>
    <row r="248" spans="1:10">
      <c r="A248" s="247">
        <v>2013</v>
      </c>
      <c r="B248" s="247">
        <v>3</v>
      </c>
      <c r="C248" s="247">
        <v>21</v>
      </c>
      <c r="D248" s="247">
        <v>1496</v>
      </c>
      <c r="E248" s="247">
        <v>0</v>
      </c>
      <c r="F248" s="247">
        <v>6.6</v>
      </c>
      <c r="G248" s="247">
        <v>5.8</v>
      </c>
      <c r="H248" s="247">
        <v>-0.3</v>
      </c>
      <c r="I248" s="247">
        <v>11.9</v>
      </c>
      <c r="J248" s="247">
        <v>598</v>
      </c>
    </row>
    <row r="249" spans="1:10">
      <c r="A249" s="247">
        <v>2013</v>
      </c>
      <c r="B249" s="247">
        <v>3</v>
      </c>
      <c r="C249" s="247">
        <v>22</v>
      </c>
      <c r="D249" s="247">
        <v>1564</v>
      </c>
      <c r="E249" s="247">
        <v>0</v>
      </c>
      <c r="F249" s="247">
        <v>8.3000000000000007</v>
      </c>
      <c r="G249" s="247">
        <v>8.9</v>
      </c>
      <c r="H249" s="247">
        <v>3.2</v>
      </c>
      <c r="I249" s="247">
        <v>14.6</v>
      </c>
      <c r="J249" s="247">
        <v>626</v>
      </c>
    </row>
    <row r="250" spans="1:10">
      <c r="A250" s="247">
        <v>2013</v>
      </c>
      <c r="B250" s="247">
        <v>3</v>
      </c>
      <c r="C250" s="247">
        <v>23</v>
      </c>
      <c r="D250" s="247">
        <v>411</v>
      </c>
      <c r="E250" s="247">
        <v>1</v>
      </c>
      <c r="F250" s="247">
        <v>7.8</v>
      </c>
      <c r="G250" s="247">
        <v>7.8</v>
      </c>
      <c r="H250" s="247">
        <v>4</v>
      </c>
      <c r="I250" s="247">
        <v>11.6</v>
      </c>
      <c r="J250" s="247">
        <v>183</v>
      </c>
    </row>
    <row r="251" spans="1:10">
      <c r="A251" s="247">
        <v>2013</v>
      </c>
      <c r="B251" s="247">
        <v>3</v>
      </c>
      <c r="C251" s="247">
        <v>24</v>
      </c>
      <c r="D251" s="247">
        <v>613</v>
      </c>
      <c r="E251" s="247">
        <v>0</v>
      </c>
      <c r="F251" s="247">
        <v>5.3</v>
      </c>
      <c r="G251" s="247">
        <v>6.1</v>
      </c>
      <c r="H251" s="247">
        <v>4.0999999999999996</v>
      </c>
      <c r="I251" s="247">
        <v>8.1999999999999993</v>
      </c>
      <c r="J251" s="247">
        <v>260</v>
      </c>
    </row>
    <row r="252" spans="1:10">
      <c r="A252" s="247">
        <v>2013</v>
      </c>
      <c r="B252" s="247">
        <v>3</v>
      </c>
      <c r="C252" s="247">
        <v>25</v>
      </c>
      <c r="D252" s="247">
        <v>1427</v>
      </c>
      <c r="E252" s="247">
        <v>0</v>
      </c>
      <c r="F252" s="247">
        <v>3.6</v>
      </c>
      <c r="G252" s="247">
        <v>4.2</v>
      </c>
      <c r="H252" s="247">
        <v>0.2</v>
      </c>
      <c r="I252" s="247">
        <v>8.1</v>
      </c>
      <c r="J252" s="247">
        <v>556</v>
      </c>
    </row>
    <row r="253" spans="1:10">
      <c r="A253" s="247">
        <v>2013</v>
      </c>
      <c r="B253" s="247">
        <v>3</v>
      </c>
      <c r="C253" s="247">
        <v>26</v>
      </c>
      <c r="D253" s="247">
        <v>739</v>
      </c>
      <c r="E253" s="247">
        <v>0</v>
      </c>
      <c r="F253" s="247">
        <v>2.2999999999999998</v>
      </c>
      <c r="G253" s="247">
        <v>1.8</v>
      </c>
      <c r="H253" s="247">
        <v>-0.1</v>
      </c>
      <c r="I253" s="247">
        <v>3.6</v>
      </c>
      <c r="J253" s="247">
        <v>299</v>
      </c>
    </row>
    <row r="254" spans="1:10">
      <c r="A254" s="247">
        <v>2013</v>
      </c>
      <c r="B254" s="247">
        <v>3</v>
      </c>
      <c r="C254" s="247">
        <v>27</v>
      </c>
      <c r="D254" s="247">
        <v>757</v>
      </c>
      <c r="E254" s="247">
        <v>0</v>
      </c>
      <c r="F254" s="247">
        <v>2.4</v>
      </c>
      <c r="G254" s="247">
        <v>3.4</v>
      </c>
      <c r="H254" s="247">
        <v>0.9</v>
      </c>
      <c r="I254" s="247">
        <v>5.8</v>
      </c>
      <c r="J254" s="247">
        <v>307</v>
      </c>
    </row>
    <row r="255" spans="1:10">
      <c r="A255" s="247">
        <v>2013</v>
      </c>
      <c r="B255" s="247">
        <v>3</v>
      </c>
      <c r="C255" s="247">
        <v>28</v>
      </c>
      <c r="D255" s="247">
        <v>611</v>
      </c>
      <c r="E255" s="247">
        <v>0</v>
      </c>
      <c r="F255" s="247">
        <v>2.8</v>
      </c>
      <c r="G255" s="247">
        <v>2.2999999999999998</v>
      </c>
      <c r="H255" s="247">
        <v>-1.1000000000000001</v>
      </c>
      <c r="I255" s="247">
        <v>5.7</v>
      </c>
      <c r="J255" s="247">
        <v>257</v>
      </c>
    </row>
    <row r="256" spans="1:10">
      <c r="A256" s="247">
        <v>2013</v>
      </c>
      <c r="B256" s="247">
        <v>3</v>
      </c>
      <c r="C256" s="247">
        <v>29</v>
      </c>
      <c r="D256" s="247">
        <v>593</v>
      </c>
      <c r="E256" s="247">
        <v>1.5</v>
      </c>
      <c r="F256" s="247">
        <v>1.3</v>
      </c>
      <c r="G256" s="247">
        <v>0.7</v>
      </c>
      <c r="H256" s="247">
        <v>-4</v>
      </c>
      <c r="I256" s="247">
        <v>5.4</v>
      </c>
      <c r="J256" s="247">
        <v>262</v>
      </c>
    </row>
    <row r="257" spans="1:10">
      <c r="A257" s="247">
        <v>2013</v>
      </c>
      <c r="B257" s="247">
        <v>3</v>
      </c>
      <c r="C257" s="247">
        <v>30</v>
      </c>
      <c r="D257" s="247">
        <v>808</v>
      </c>
      <c r="E257" s="247">
        <v>4</v>
      </c>
      <c r="F257" s="247">
        <v>5</v>
      </c>
      <c r="G257" s="247">
        <v>6.2</v>
      </c>
      <c r="H257" s="247">
        <v>2.6</v>
      </c>
      <c r="I257" s="247">
        <v>9.8000000000000007</v>
      </c>
      <c r="J257" s="247">
        <v>344</v>
      </c>
    </row>
    <row r="258" spans="1:10">
      <c r="A258" s="247">
        <v>2013</v>
      </c>
      <c r="B258" s="247">
        <v>3</v>
      </c>
      <c r="C258" s="247">
        <v>31</v>
      </c>
      <c r="D258" s="247">
        <v>1867</v>
      </c>
      <c r="E258" s="247">
        <v>0</v>
      </c>
      <c r="F258" s="247">
        <v>3.1</v>
      </c>
      <c r="G258" s="247">
        <v>3.7</v>
      </c>
      <c r="H258" s="247">
        <v>-0.2</v>
      </c>
      <c r="I258" s="247">
        <v>7.6</v>
      </c>
      <c r="J258" s="247">
        <v>702</v>
      </c>
    </row>
    <row r="259" spans="1:10">
      <c r="A259" s="247">
        <v>2013</v>
      </c>
      <c r="B259" s="247">
        <v>4</v>
      </c>
      <c r="C259" s="247">
        <v>1</v>
      </c>
      <c r="D259" s="247">
        <v>2162</v>
      </c>
      <c r="E259" s="247">
        <v>0</v>
      </c>
      <c r="F259" s="247">
        <v>4.2</v>
      </c>
      <c r="G259" s="247">
        <v>4.2</v>
      </c>
      <c r="H259" s="247">
        <v>-2.7</v>
      </c>
      <c r="I259" s="247">
        <v>11</v>
      </c>
      <c r="J259" s="247">
        <v>819</v>
      </c>
    </row>
    <row r="260" spans="1:10">
      <c r="A260" s="247">
        <v>2013</v>
      </c>
      <c r="B260" s="247">
        <v>4</v>
      </c>
      <c r="C260" s="247">
        <v>2</v>
      </c>
      <c r="D260" s="247">
        <v>2112</v>
      </c>
      <c r="E260" s="247">
        <v>0</v>
      </c>
      <c r="F260" s="247">
        <v>5.4</v>
      </c>
      <c r="G260" s="247">
        <v>5.7</v>
      </c>
      <c r="H260" s="247">
        <v>-0.8</v>
      </c>
      <c r="I260" s="247">
        <v>12.1</v>
      </c>
      <c r="J260" s="247">
        <v>812</v>
      </c>
    </row>
    <row r="261" spans="1:10">
      <c r="A261" s="247">
        <v>2013</v>
      </c>
      <c r="B261" s="247">
        <v>4</v>
      </c>
      <c r="C261" s="247">
        <v>3</v>
      </c>
      <c r="D261" s="247">
        <v>1914</v>
      </c>
      <c r="E261" s="247">
        <v>0</v>
      </c>
      <c r="F261" s="247">
        <v>5.9</v>
      </c>
      <c r="G261" s="247">
        <v>6.6</v>
      </c>
      <c r="H261" s="247">
        <v>0.1</v>
      </c>
      <c r="I261" s="247">
        <v>13</v>
      </c>
      <c r="J261" s="247">
        <v>737</v>
      </c>
    </row>
    <row r="262" spans="1:10">
      <c r="A262" s="247">
        <v>2013</v>
      </c>
      <c r="B262" s="247">
        <v>4</v>
      </c>
      <c r="C262" s="247">
        <v>4</v>
      </c>
      <c r="D262" s="247">
        <v>1714</v>
      </c>
      <c r="E262" s="247">
        <v>0</v>
      </c>
      <c r="F262" s="247">
        <v>8.3000000000000007</v>
      </c>
      <c r="G262" s="247">
        <v>8.1999999999999993</v>
      </c>
      <c r="H262" s="247">
        <v>1.2</v>
      </c>
      <c r="I262" s="247">
        <v>15.2</v>
      </c>
      <c r="J262" s="247">
        <v>685</v>
      </c>
    </row>
    <row r="263" spans="1:10">
      <c r="A263" s="247">
        <v>2013</v>
      </c>
      <c r="B263" s="247">
        <v>4</v>
      </c>
      <c r="C263" s="247">
        <v>5</v>
      </c>
      <c r="D263" s="247">
        <v>827</v>
      </c>
      <c r="E263" s="247">
        <v>0</v>
      </c>
      <c r="F263" s="247">
        <v>6.9</v>
      </c>
      <c r="G263" s="247">
        <v>7.4</v>
      </c>
      <c r="H263" s="247">
        <v>4.4000000000000004</v>
      </c>
      <c r="I263" s="247">
        <v>10.4</v>
      </c>
      <c r="J263" s="247">
        <v>344</v>
      </c>
    </row>
    <row r="264" spans="1:10">
      <c r="A264" s="247">
        <v>2013</v>
      </c>
      <c r="B264" s="247">
        <v>4</v>
      </c>
      <c r="C264" s="247">
        <v>6</v>
      </c>
      <c r="D264" s="247">
        <v>1633</v>
      </c>
      <c r="E264" s="247">
        <v>0</v>
      </c>
      <c r="F264" s="247">
        <v>5.2</v>
      </c>
      <c r="G264" s="247">
        <v>5.3</v>
      </c>
      <c r="H264" s="247">
        <v>1</v>
      </c>
      <c r="I264" s="247">
        <v>9.6999999999999993</v>
      </c>
      <c r="J264" s="247">
        <v>638</v>
      </c>
    </row>
    <row r="265" spans="1:10">
      <c r="A265" s="247">
        <v>2013</v>
      </c>
      <c r="B265" s="247">
        <v>4</v>
      </c>
      <c r="C265" s="247">
        <v>7</v>
      </c>
      <c r="D265" s="247">
        <v>1319</v>
      </c>
      <c r="E265" s="247">
        <v>0</v>
      </c>
      <c r="F265" s="247">
        <v>5.7</v>
      </c>
      <c r="G265" s="247">
        <v>6.3</v>
      </c>
      <c r="H265" s="247">
        <v>3.2</v>
      </c>
      <c r="I265" s="247">
        <v>9.5</v>
      </c>
      <c r="J265" s="247">
        <v>526</v>
      </c>
    </row>
    <row r="266" spans="1:10">
      <c r="A266" s="247">
        <v>2013</v>
      </c>
      <c r="B266" s="247">
        <v>4</v>
      </c>
      <c r="C266" s="247">
        <v>8</v>
      </c>
      <c r="D266" s="247">
        <v>664</v>
      </c>
      <c r="E266" s="247">
        <v>5.5</v>
      </c>
      <c r="F266" s="247">
        <v>4.9000000000000004</v>
      </c>
      <c r="G266" s="247">
        <v>4.9000000000000004</v>
      </c>
      <c r="H266" s="247">
        <v>1</v>
      </c>
      <c r="I266" s="247">
        <v>8.8000000000000007</v>
      </c>
      <c r="J266" s="247">
        <v>284</v>
      </c>
    </row>
    <row r="267" spans="1:10">
      <c r="A267" s="247">
        <v>2013</v>
      </c>
      <c r="B267" s="247">
        <v>4</v>
      </c>
      <c r="C267" s="247">
        <v>9</v>
      </c>
      <c r="D267" s="247">
        <v>1094</v>
      </c>
      <c r="E267" s="247">
        <v>5.5</v>
      </c>
      <c r="F267" s="247">
        <v>7.4</v>
      </c>
      <c r="G267" s="247">
        <v>8</v>
      </c>
      <c r="H267" s="247">
        <v>2.5</v>
      </c>
      <c r="I267" s="247">
        <v>13.5</v>
      </c>
      <c r="J267" s="247">
        <v>453</v>
      </c>
    </row>
    <row r="268" spans="1:10">
      <c r="A268" s="247">
        <v>2013</v>
      </c>
      <c r="B268" s="247">
        <v>4</v>
      </c>
      <c r="C268" s="247">
        <v>10</v>
      </c>
      <c r="D268" s="247">
        <v>1312</v>
      </c>
      <c r="E268" s="247">
        <v>8</v>
      </c>
      <c r="F268" s="247">
        <v>10.1</v>
      </c>
      <c r="G268" s="247">
        <v>10.1</v>
      </c>
      <c r="H268" s="247">
        <v>6.7</v>
      </c>
      <c r="I268" s="247">
        <v>13.6</v>
      </c>
      <c r="J268" s="247">
        <v>548</v>
      </c>
    </row>
    <row r="269" spans="1:10">
      <c r="A269" s="247">
        <v>2013</v>
      </c>
      <c r="B269" s="247">
        <v>4</v>
      </c>
      <c r="C269" s="247">
        <v>11</v>
      </c>
      <c r="D269" s="247">
        <v>560</v>
      </c>
      <c r="E269" s="247">
        <v>8.5</v>
      </c>
      <c r="F269" s="247">
        <v>11.7</v>
      </c>
      <c r="G269" s="247">
        <v>11.2</v>
      </c>
      <c r="H269" s="247">
        <v>9.1999999999999993</v>
      </c>
      <c r="I269" s="247">
        <v>13.3</v>
      </c>
      <c r="J269" s="247">
        <v>252</v>
      </c>
    </row>
    <row r="270" spans="1:10">
      <c r="A270" s="247">
        <v>2013</v>
      </c>
      <c r="B270" s="247">
        <v>4</v>
      </c>
      <c r="C270" s="247">
        <v>12</v>
      </c>
      <c r="D270" s="247">
        <v>1351</v>
      </c>
      <c r="E270" s="247">
        <v>7</v>
      </c>
      <c r="F270" s="247">
        <v>9.8000000000000007</v>
      </c>
      <c r="G270" s="247">
        <v>10.4</v>
      </c>
      <c r="H270" s="247">
        <v>7.9</v>
      </c>
      <c r="I270" s="247">
        <v>12.9</v>
      </c>
      <c r="J270" s="247">
        <v>555</v>
      </c>
    </row>
    <row r="271" spans="1:10">
      <c r="A271" s="247">
        <v>2013</v>
      </c>
      <c r="B271" s="247">
        <v>4</v>
      </c>
      <c r="C271" s="247">
        <v>13</v>
      </c>
      <c r="D271" s="247">
        <v>2003</v>
      </c>
      <c r="E271" s="247">
        <v>0</v>
      </c>
      <c r="F271" s="247">
        <v>11.7</v>
      </c>
      <c r="G271" s="247">
        <v>11.2</v>
      </c>
      <c r="H271" s="247">
        <v>5.4</v>
      </c>
      <c r="I271" s="247">
        <v>17.100000000000001</v>
      </c>
      <c r="J271" s="247">
        <v>828</v>
      </c>
    </row>
    <row r="272" spans="1:10">
      <c r="A272" s="247">
        <v>2013</v>
      </c>
      <c r="B272" s="247">
        <v>4</v>
      </c>
      <c r="C272" s="247">
        <v>14</v>
      </c>
      <c r="D272" s="247">
        <v>2380</v>
      </c>
      <c r="E272" s="247">
        <v>0</v>
      </c>
      <c r="F272" s="247">
        <v>15.8</v>
      </c>
      <c r="G272" s="247">
        <v>14.9</v>
      </c>
      <c r="H272" s="247">
        <v>5.7</v>
      </c>
      <c r="I272" s="247">
        <v>24</v>
      </c>
      <c r="J272" s="247">
        <v>998</v>
      </c>
    </row>
    <row r="273" spans="1:10">
      <c r="A273" s="247">
        <v>2013</v>
      </c>
      <c r="B273" s="247">
        <v>4</v>
      </c>
      <c r="C273" s="247">
        <v>15</v>
      </c>
      <c r="D273" s="247">
        <v>1702</v>
      </c>
      <c r="E273" s="247">
        <v>0.5</v>
      </c>
      <c r="F273" s="247">
        <v>16.100000000000001</v>
      </c>
      <c r="G273" s="247">
        <v>15.6</v>
      </c>
      <c r="H273" s="247">
        <v>8.5</v>
      </c>
      <c r="I273" s="247">
        <v>22.6</v>
      </c>
      <c r="J273" s="247">
        <v>712</v>
      </c>
    </row>
    <row r="274" spans="1:10">
      <c r="A274" s="247">
        <v>2013</v>
      </c>
      <c r="B274" s="247">
        <v>4</v>
      </c>
      <c r="C274" s="247">
        <v>16</v>
      </c>
      <c r="D274" s="247">
        <v>1671</v>
      </c>
      <c r="E274" s="247">
        <v>0</v>
      </c>
      <c r="F274" s="247">
        <v>16.5</v>
      </c>
      <c r="G274" s="247">
        <v>16.8</v>
      </c>
      <c r="H274" s="247">
        <v>11.2</v>
      </c>
      <c r="I274" s="247">
        <v>22.3</v>
      </c>
      <c r="J274" s="247">
        <v>709</v>
      </c>
    </row>
    <row r="275" spans="1:10">
      <c r="A275" s="247">
        <v>2013</v>
      </c>
      <c r="B275" s="247">
        <v>4</v>
      </c>
      <c r="C275" s="247">
        <v>17</v>
      </c>
      <c r="D275" s="247">
        <v>2408</v>
      </c>
      <c r="E275" s="247">
        <v>0</v>
      </c>
      <c r="F275" s="247">
        <v>16.3</v>
      </c>
      <c r="G275" s="247">
        <v>16</v>
      </c>
      <c r="H275" s="247">
        <v>7</v>
      </c>
      <c r="I275" s="247">
        <v>25</v>
      </c>
      <c r="J275" s="247">
        <v>1012</v>
      </c>
    </row>
    <row r="276" spans="1:10">
      <c r="A276" s="247">
        <v>2013</v>
      </c>
      <c r="B276" s="247">
        <v>4</v>
      </c>
      <c r="C276" s="247">
        <v>18</v>
      </c>
      <c r="D276" s="247">
        <v>978</v>
      </c>
      <c r="E276" s="247">
        <v>0</v>
      </c>
      <c r="F276" s="247">
        <v>14.9</v>
      </c>
      <c r="G276" s="247">
        <v>14.5</v>
      </c>
      <c r="H276" s="247">
        <v>10.8</v>
      </c>
      <c r="I276" s="247">
        <v>18.2</v>
      </c>
      <c r="J276" s="247">
        <v>410</v>
      </c>
    </row>
    <row r="277" spans="1:10">
      <c r="A277" s="247">
        <v>2013</v>
      </c>
      <c r="B277" s="247">
        <v>4</v>
      </c>
      <c r="C277" s="247">
        <v>19</v>
      </c>
      <c r="D277" s="247">
        <v>1279</v>
      </c>
      <c r="E277" s="247">
        <v>0</v>
      </c>
      <c r="F277" s="247">
        <v>10.6</v>
      </c>
      <c r="G277" s="247">
        <v>10.9</v>
      </c>
      <c r="H277" s="247">
        <v>7.3</v>
      </c>
      <c r="I277" s="247">
        <v>14.5</v>
      </c>
      <c r="J277" s="247">
        <v>526</v>
      </c>
    </row>
    <row r="278" spans="1:10">
      <c r="A278" s="247">
        <v>2013</v>
      </c>
      <c r="B278" s="247">
        <v>4</v>
      </c>
      <c r="C278" s="247">
        <v>20</v>
      </c>
      <c r="D278" s="247">
        <v>584</v>
      </c>
      <c r="E278" s="247">
        <v>0</v>
      </c>
      <c r="F278" s="247">
        <v>8.5</v>
      </c>
      <c r="G278" s="247">
        <v>8.1999999999999993</v>
      </c>
      <c r="H278" s="247">
        <v>6.8</v>
      </c>
      <c r="I278" s="247">
        <v>9.6</v>
      </c>
      <c r="J278" s="247">
        <v>255</v>
      </c>
    </row>
    <row r="279" spans="1:10">
      <c r="A279" s="247">
        <v>2013</v>
      </c>
      <c r="B279" s="247">
        <v>4</v>
      </c>
      <c r="C279" s="247">
        <v>21</v>
      </c>
      <c r="D279" s="247">
        <v>928</v>
      </c>
      <c r="E279" s="247">
        <v>0</v>
      </c>
      <c r="F279" s="247">
        <v>9.8000000000000007</v>
      </c>
      <c r="G279" s="247">
        <v>10</v>
      </c>
      <c r="H279" s="247">
        <v>7.7</v>
      </c>
      <c r="I279" s="247">
        <v>12.3</v>
      </c>
      <c r="J279" s="247">
        <v>387</v>
      </c>
    </row>
    <row r="280" spans="1:10">
      <c r="A280" s="247">
        <v>2013</v>
      </c>
      <c r="B280" s="247">
        <v>4</v>
      </c>
      <c r="C280" s="247">
        <v>22</v>
      </c>
      <c r="D280" s="247">
        <v>1308</v>
      </c>
      <c r="E280" s="247">
        <v>0</v>
      </c>
      <c r="F280" s="247">
        <v>10.8</v>
      </c>
      <c r="G280" s="247">
        <v>11.6</v>
      </c>
      <c r="H280" s="247">
        <v>7.5</v>
      </c>
      <c r="I280" s="247">
        <v>15.7</v>
      </c>
      <c r="J280" s="247">
        <v>537</v>
      </c>
    </row>
    <row r="281" spans="1:10">
      <c r="A281" s="247">
        <v>2013</v>
      </c>
      <c r="B281" s="247">
        <v>4</v>
      </c>
      <c r="C281" s="247">
        <v>23</v>
      </c>
      <c r="D281" s="247">
        <v>2300</v>
      </c>
      <c r="E281" s="247">
        <v>0</v>
      </c>
      <c r="F281" s="247">
        <v>11.3</v>
      </c>
      <c r="G281" s="247">
        <v>10.8</v>
      </c>
      <c r="H281" s="247">
        <v>2.2000000000000002</v>
      </c>
      <c r="I281" s="247">
        <v>19.3</v>
      </c>
      <c r="J281" s="247">
        <v>954</v>
      </c>
    </row>
    <row r="282" spans="1:10">
      <c r="A282" s="247">
        <v>2013</v>
      </c>
      <c r="B282" s="247">
        <v>4</v>
      </c>
      <c r="C282" s="247">
        <v>24</v>
      </c>
      <c r="D282" s="247">
        <v>2513</v>
      </c>
      <c r="E282" s="247">
        <v>0</v>
      </c>
      <c r="F282" s="247">
        <v>13.7</v>
      </c>
      <c r="G282" s="247">
        <v>13.6</v>
      </c>
      <c r="H282" s="247">
        <v>4.9000000000000004</v>
      </c>
      <c r="I282" s="247">
        <v>22.2</v>
      </c>
      <c r="J282" s="247">
        <v>1054</v>
      </c>
    </row>
    <row r="283" spans="1:10">
      <c r="A283" s="247">
        <v>2013</v>
      </c>
      <c r="B283" s="247">
        <v>4</v>
      </c>
      <c r="C283" s="247">
        <v>25</v>
      </c>
      <c r="D283" s="247">
        <v>2558</v>
      </c>
      <c r="E283" s="247">
        <v>0</v>
      </c>
      <c r="F283" s="247">
        <v>15.8</v>
      </c>
      <c r="G283" s="247">
        <v>14.7</v>
      </c>
      <c r="H283" s="247">
        <v>4.4000000000000004</v>
      </c>
      <c r="I283" s="247">
        <v>25</v>
      </c>
      <c r="J283" s="247">
        <v>1069</v>
      </c>
    </row>
    <row r="284" spans="1:10">
      <c r="A284" s="247">
        <v>2013</v>
      </c>
      <c r="B284" s="247">
        <v>4</v>
      </c>
      <c r="C284" s="247">
        <v>26</v>
      </c>
      <c r="D284" s="247">
        <v>359</v>
      </c>
      <c r="E284" s="247">
        <v>33</v>
      </c>
      <c r="F284" s="247">
        <v>13.7</v>
      </c>
      <c r="G284" s="247">
        <v>14</v>
      </c>
      <c r="H284" s="247">
        <v>10.7</v>
      </c>
      <c r="I284" s="247">
        <v>17.2</v>
      </c>
      <c r="J284" s="247">
        <v>166</v>
      </c>
    </row>
    <row r="285" spans="1:10">
      <c r="A285" s="247">
        <v>2013</v>
      </c>
      <c r="B285" s="247">
        <v>4</v>
      </c>
      <c r="C285" s="247">
        <v>27</v>
      </c>
      <c r="D285" s="247">
        <v>380</v>
      </c>
      <c r="E285" s="247">
        <v>22</v>
      </c>
      <c r="F285" s="247">
        <v>5.4</v>
      </c>
      <c r="G285" s="247">
        <v>5.2</v>
      </c>
      <c r="H285" s="247">
        <v>4.7</v>
      </c>
      <c r="I285" s="247">
        <v>5.8</v>
      </c>
      <c r="J285" s="247">
        <v>176</v>
      </c>
    </row>
    <row r="286" spans="1:10">
      <c r="A286" s="247">
        <v>2013</v>
      </c>
      <c r="B286" s="247">
        <v>4</v>
      </c>
      <c r="C286" s="247">
        <v>28</v>
      </c>
      <c r="D286" s="247">
        <v>669</v>
      </c>
      <c r="E286" s="247">
        <v>3</v>
      </c>
      <c r="F286" s="247">
        <v>6.9</v>
      </c>
      <c r="G286" s="247">
        <v>6.8</v>
      </c>
      <c r="H286" s="247">
        <v>4.5</v>
      </c>
      <c r="I286" s="247">
        <v>9</v>
      </c>
      <c r="J286" s="247">
        <v>277</v>
      </c>
    </row>
    <row r="287" spans="1:10">
      <c r="A287" s="247">
        <v>2013</v>
      </c>
      <c r="B287" s="247">
        <v>4</v>
      </c>
      <c r="C287" s="247">
        <v>29</v>
      </c>
      <c r="D287" s="247">
        <v>1122</v>
      </c>
      <c r="E287" s="247">
        <v>4.5</v>
      </c>
      <c r="F287" s="247">
        <v>9.5</v>
      </c>
      <c r="G287" s="247">
        <v>9.3000000000000007</v>
      </c>
      <c r="H287" s="247">
        <v>6.1</v>
      </c>
      <c r="I287" s="247">
        <v>12.5</v>
      </c>
      <c r="J287" s="247">
        <v>438</v>
      </c>
    </row>
    <row r="288" spans="1:10">
      <c r="A288" s="247">
        <v>2013</v>
      </c>
      <c r="B288" s="247">
        <v>4</v>
      </c>
      <c r="C288" s="247">
        <v>30</v>
      </c>
      <c r="D288" s="247">
        <v>614</v>
      </c>
      <c r="E288" s="247">
        <v>12</v>
      </c>
      <c r="F288" s="247">
        <v>10.5</v>
      </c>
      <c r="G288" s="247">
        <v>10.6</v>
      </c>
      <c r="H288" s="247">
        <v>8.4</v>
      </c>
      <c r="I288" s="247">
        <v>12.8</v>
      </c>
      <c r="J288" s="247">
        <v>259</v>
      </c>
    </row>
    <row r="289" spans="1:10">
      <c r="A289" s="247">
        <v>2013</v>
      </c>
      <c r="B289" s="247">
        <v>5</v>
      </c>
      <c r="C289" s="247">
        <v>1</v>
      </c>
      <c r="D289" s="247">
        <v>1401</v>
      </c>
      <c r="E289" s="247">
        <v>0</v>
      </c>
      <c r="F289" s="247">
        <v>12.2</v>
      </c>
      <c r="G289" s="247">
        <v>13.3</v>
      </c>
      <c r="H289" s="247">
        <v>9.9</v>
      </c>
      <c r="I289" s="247">
        <v>16.8</v>
      </c>
      <c r="J289" s="247">
        <v>542</v>
      </c>
    </row>
    <row r="290" spans="1:10">
      <c r="A290" s="247">
        <v>2013</v>
      </c>
      <c r="B290" s="247">
        <v>5</v>
      </c>
      <c r="C290" s="247">
        <v>2</v>
      </c>
      <c r="D290" s="247">
        <v>1915</v>
      </c>
      <c r="E290" s="247">
        <v>28</v>
      </c>
      <c r="F290" s="247">
        <v>13</v>
      </c>
      <c r="G290" s="247">
        <v>13.3</v>
      </c>
      <c r="H290" s="247">
        <v>5.6</v>
      </c>
      <c r="I290" s="247">
        <v>21</v>
      </c>
      <c r="J290" s="247">
        <v>738</v>
      </c>
    </row>
    <row r="291" spans="1:10">
      <c r="A291" s="247">
        <v>2013</v>
      </c>
      <c r="B291" s="247">
        <v>5</v>
      </c>
      <c r="C291" s="247">
        <v>3</v>
      </c>
      <c r="D291" s="247">
        <v>332</v>
      </c>
      <c r="E291" s="247">
        <v>22.5</v>
      </c>
      <c r="F291" s="247">
        <v>11.4</v>
      </c>
      <c r="G291" s="247">
        <v>11.6</v>
      </c>
      <c r="H291" s="247">
        <v>11.1</v>
      </c>
      <c r="I291" s="247">
        <v>12.2</v>
      </c>
      <c r="J291" s="247">
        <v>146</v>
      </c>
    </row>
    <row r="292" spans="1:10">
      <c r="A292" s="247">
        <v>2013</v>
      </c>
      <c r="B292" s="247">
        <v>5</v>
      </c>
      <c r="C292" s="247">
        <v>4</v>
      </c>
      <c r="D292" s="247">
        <v>1801</v>
      </c>
      <c r="E292" s="247">
        <v>0</v>
      </c>
      <c r="F292" s="247">
        <v>12.6</v>
      </c>
      <c r="G292" s="247">
        <v>14.3</v>
      </c>
      <c r="H292" s="247">
        <v>10</v>
      </c>
      <c r="I292" s="247">
        <v>18.600000000000001</v>
      </c>
      <c r="J292" s="247">
        <v>695</v>
      </c>
    </row>
    <row r="293" spans="1:10">
      <c r="A293" s="247">
        <v>2013</v>
      </c>
      <c r="B293" s="247">
        <v>5</v>
      </c>
      <c r="C293" s="247">
        <v>5</v>
      </c>
      <c r="D293" s="247">
        <v>2776</v>
      </c>
      <c r="E293" s="247">
        <v>0</v>
      </c>
      <c r="F293" s="247">
        <v>14.8</v>
      </c>
      <c r="G293" s="247">
        <v>13.8</v>
      </c>
      <c r="H293" s="247">
        <v>6.9</v>
      </c>
      <c r="I293" s="247">
        <v>20.8</v>
      </c>
      <c r="J293" s="247">
        <v>1079</v>
      </c>
    </row>
    <row r="294" spans="1:10">
      <c r="A294" s="247">
        <v>2013</v>
      </c>
      <c r="B294" s="247">
        <v>5</v>
      </c>
      <c r="C294" s="247">
        <v>6</v>
      </c>
      <c r="D294" s="247">
        <v>1270</v>
      </c>
      <c r="E294" s="247">
        <v>0</v>
      </c>
      <c r="F294" s="247">
        <v>14.2</v>
      </c>
      <c r="G294" s="247">
        <v>15.8</v>
      </c>
      <c r="H294" s="247">
        <v>12.1</v>
      </c>
      <c r="I294" s="247">
        <v>19.399999999999999</v>
      </c>
      <c r="J294" s="247">
        <v>493</v>
      </c>
    </row>
    <row r="295" spans="1:10">
      <c r="A295" s="247">
        <v>2013</v>
      </c>
      <c r="B295" s="247">
        <v>5</v>
      </c>
      <c r="C295" s="247">
        <v>7</v>
      </c>
      <c r="D295" s="247">
        <v>2264</v>
      </c>
      <c r="E295" s="247">
        <v>0.5</v>
      </c>
      <c r="F295" s="247">
        <v>13.3</v>
      </c>
      <c r="G295" s="247">
        <v>13.8</v>
      </c>
      <c r="H295" s="247">
        <v>6.3</v>
      </c>
      <c r="I295" s="247">
        <v>21.2</v>
      </c>
      <c r="J295" s="247">
        <v>884</v>
      </c>
    </row>
    <row r="296" spans="1:10">
      <c r="A296" s="247">
        <v>2013</v>
      </c>
      <c r="B296" s="247">
        <v>5</v>
      </c>
      <c r="C296" s="247">
        <v>8</v>
      </c>
      <c r="D296" s="247">
        <v>1585</v>
      </c>
      <c r="E296" s="247">
        <v>0</v>
      </c>
      <c r="F296" s="247">
        <v>14.9</v>
      </c>
      <c r="G296" s="247">
        <v>13.7</v>
      </c>
      <c r="H296" s="247">
        <v>5.8</v>
      </c>
      <c r="I296" s="247">
        <v>21.6</v>
      </c>
      <c r="J296" s="247">
        <v>626</v>
      </c>
    </row>
    <row r="297" spans="1:10">
      <c r="A297" s="247">
        <v>2013</v>
      </c>
      <c r="B297" s="247">
        <v>5</v>
      </c>
      <c r="C297" s="247">
        <v>9</v>
      </c>
      <c r="D297" s="247">
        <v>1508</v>
      </c>
      <c r="E297" s="247">
        <v>7.5</v>
      </c>
      <c r="F297" s="247">
        <v>15.3</v>
      </c>
      <c r="G297" s="247">
        <v>15.8</v>
      </c>
      <c r="H297" s="247">
        <v>11.6</v>
      </c>
      <c r="I297" s="247">
        <v>19.899999999999999</v>
      </c>
      <c r="J297" s="247">
        <v>597</v>
      </c>
    </row>
    <row r="298" spans="1:10">
      <c r="A298" s="247">
        <v>2013</v>
      </c>
      <c r="B298" s="247">
        <v>5</v>
      </c>
      <c r="C298" s="247">
        <v>10</v>
      </c>
      <c r="D298" s="247">
        <v>1409</v>
      </c>
      <c r="E298" s="247">
        <v>0.5</v>
      </c>
      <c r="F298" s="247">
        <v>11.7</v>
      </c>
      <c r="G298" s="247">
        <v>10.8</v>
      </c>
      <c r="H298" s="247">
        <v>7.6</v>
      </c>
      <c r="I298" s="247">
        <v>13.9</v>
      </c>
      <c r="J298" s="247">
        <v>541</v>
      </c>
    </row>
    <row r="299" spans="1:10">
      <c r="A299" s="247">
        <v>2013</v>
      </c>
      <c r="B299" s="247">
        <v>5</v>
      </c>
      <c r="C299" s="247">
        <v>11</v>
      </c>
      <c r="D299" s="247">
        <v>1268</v>
      </c>
      <c r="E299" s="247">
        <v>2</v>
      </c>
      <c r="F299" s="247">
        <v>12</v>
      </c>
      <c r="G299" s="247">
        <v>13.2</v>
      </c>
      <c r="H299" s="247">
        <v>9.6</v>
      </c>
      <c r="I299" s="247">
        <v>16.7</v>
      </c>
      <c r="J299" s="247">
        <v>499</v>
      </c>
    </row>
    <row r="300" spans="1:10">
      <c r="A300" s="247">
        <v>2013</v>
      </c>
      <c r="B300" s="247">
        <v>5</v>
      </c>
      <c r="C300" s="247">
        <v>12</v>
      </c>
      <c r="D300" s="247">
        <v>1744</v>
      </c>
      <c r="E300" s="247">
        <v>0.5</v>
      </c>
      <c r="F300" s="247">
        <v>10.6</v>
      </c>
      <c r="G300" s="247">
        <v>11.5</v>
      </c>
      <c r="H300" s="247">
        <v>7.4</v>
      </c>
      <c r="I300" s="247">
        <v>15.6</v>
      </c>
      <c r="J300" s="247">
        <v>730</v>
      </c>
    </row>
    <row r="301" spans="1:10">
      <c r="A301" s="247">
        <v>2013</v>
      </c>
      <c r="B301" s="247">
        <v>5</v>
      </c>
      <c r="C301" s="247">
        <v>13</v>
      </c>
      <c r="D301" s="247">
        <v>1075</v>
      </c>
      <c r="E301" s="247">
        <v>0</v>
      </c>
      <c r="F301" s="247">
        <v>11.1</v>
      </c>
      <c r="G301" s="247">
        <v>11.6</v>
      </c>
      <c r="H301" s="247">
        <v>6.1</v>
      </c>
      <c r="I301" s="247">
        <v>17</v>
      </c>
      <c r="J301" s="247">
        <v>419</v>
      </c>
    </row>
    <row r="302" spans="1:10">
      <c r="A302" s="247">
        <v>2013</v>
      </c>
      <c r="B302" s="247">
        <v>5</v>
      </c>
      <c r="C302" s="247">
        <v>14</v>
      </c>
      <c r="D302" s="247">
        <v>2245</v>
      </c>
      <c r="E302" s="247">
        <v>0.5</v>
      </c>
      <c r="F302" s="247">
        <v>13.4</v>
      </c>
      <c r="G302" s="247">
        <v>12.9</v>
      </c>
      <c r="H302" s="247">
        <v>6</v>
      </c>
      <c r="I302" s="247">
        <v>19.8</v>
      </c>
      <c r="J302" s="247">
        <v>896</v>
      </c>
    </row>
    <row r="303" spans="1:10">
      <c r="A303" s="247">
        <v>2013</v>
      </c>
      <c r="B303" s="247">
        <v>5</v>
      </c>
      <c r="C303" s="247">
        <v>15</v>
      </c>
      <c r="D303" s="247">
        <v>642</v>
      </c>
      <c r="E303" s="247">
        <v>21.5</v>
      </c>
      <c r="F303" s="247">
        <v>11.6</v>
      </c>
      <c r="G303" s="247">
        <v>11.9</v>
      </c>
      <c r="H303" s="247">
        <v>9.4</v>
      </c>
      <c r="I303" s="247">
        <v>14.4</v>
      </c>
      <c r="J303" s="247">
        <v>283</v>
      </c>
    </row>
    <row r="304" spans="1:10">
      <c r="A304" s="247">
        <v>2013</v>
      </c>
      <c r="B304" s="247">
        <v>5</v>
      </c>
      <c r="C304" s="247">
        <v>16</v>
      </c>
      <c r="D304" s="247">
        <v>607</v>
      </c>
      <c r="E304" s="247">
        <v>11</v>
      </c>
      <c r="F304" s="247">
        <v>9.3000000000000007</v>
      </c>
      <c r="G304" s="247">
        <v>9.6</v>
      </c>
      <c r="H304" s="247">
        <v>7.6</v>
      </c>
      <c r="I304" s="247">
        <v>11.7</v>
      </c>
      <c r="J304" s="247">
        <v>252</v>
      </c>
    </row>
    <row r="305" spans="1:10">
      <c r="A305" s="247">
        <v>2013</v>
      </c>
      <c r="B305" s="247">
        <v>5</v>
      </c>
      <c r="C305" s="247">
        <v>17</v>
      </c>
      <c r="D305" s="247">
        <v>1132</v>
      </c>
      <c r="E305" s="247">
        <v>0.5</v>
      </c>
      <c r="F305" s="247">
        <v>10.5</v>
      </c>
      <c r="G305" s="247">
        <v>11.5</v>
      </c>
      <c r="H305" s="247">
        <v>8.4</v>
      </c>
      <c r="I305" s="247">
        <v>14.6</v>
      </c>
      <c r="J305" s="247">
        <v>463</v>
      </c>
    </row>
    <row r="306" spans="1:10">
      <c r="A306" s="247">
        <v>2013</v>
      </c>
      <c r="B306" s="247">
        <v>5</v>
      </c>
      <c r="C306" s="247">
        <v>18</v>
      </c>
      <c r="D306" s="247">
        <v>1389</v>
      </c>
      <c r="E306" s="247">
        <v>8.5</v>
      </c>
      <c r="F306" s="247">
        <v>11</v>
      </c>
      <c r="G306" s="247">
        <v>11.5</v>
      </c>
      <c r="H306" s="247">
        <v>4.8</v>
      </c>
      <c r="I306" s="247">
        <v>18.3</v>
      </c>
      <c r="J306" s="247">
        <v>564</v>
      </c>
    </row>
    <row r="307" spans="1:10">
      <c r="A307" s="247">
        <v>2013</v>
      </c>
      <c r="B307" s="247">
        <v>5</v>
      </c>
      <c r="C307" s="247">
        <v>19</v>
      </c>
      <c r="D307" s="247">
        <v>1421</v>
      </c>
      <c r="E307" s="247">
        <v>3</v>
      </c>
      <c r="F307" s="247">
        <v>10.6</v>
      </c>
      <c r="G307" s="247">
        <v>12</v>
      </c>
      <c r="H307" s="247">
        <v>8.4</v>
      </c>
      <c r="I307" s="247">
        <v>15.7</v>
      </c>
      <c r="J307" s="247">
        <v>585</v>
      </c>
    </row>
    <row r="308" spans="1:10">
      <c r="A308" s="247">
        <v>2013</v>
      </c>
      <c r="B308" s="247">
        <v>5</v>
      </c>
      <c r="C308" s="247">
        <v>20</v>
      </c>
      <c r="D308" s="247">
        <v>647</v>
      </c>
      <c r="E308" s="247">
        <v>11.5</v>
      </c>
      <c r="F308" s="247">
        <v>9.6999999999999993</v>
      </c>
      <c r="G308" s="247">
        <v>9.6</v>
      </c>
      <c r="H308" s="247">
        <v>8.6999999999999993</v>
      </c>
      <c r="I308" s="247">
        <v>10.6</v>
      </c>
      <c r="J308" s="247">
        <v>280</v>
      </c>
    </row>
    <row r="309" spans="1:10">
      <c r="A309" s="247">
        <v>2013</v>
      </c>
      <c r="B309" s="247">
        <v>5</v>
      </c>
      <c r="C309" s="247">
        <v>21</v>
      </c>
      <c r="D309" s="247">
        <v>460</v>
      </c>
      <c r="E309" s="247">
        <v>4</v>
      </c>
      <c r="F309" s="247">
        <v>10.1</v>
      </c>
      <c r="G309" s="247">
        <v>10.1</v>
      </c>
      <c r="H309" s="247">
        <v>8.8000000000000007</v>
      </c>
      <c r="I309" s="247">
        <v>11.5</v>
      </c>
      <c r="J309" s="247">
        <v>199</v>
      </c>
    </row>
    <row r="310" spans="1:10">
      <c r="A310" s="247">
        <v>2013</v>
      </c>
      <c r="B310" s="247">
        <v>5</v>
      </c>
      <c r="C310" s="247">
        <v>22</v>
      </c>
      <c r="D310" s="247">
        <v>847</v>
      </c>
      <c r="E310" s="247">
        <v>0.5</v>
      </c>
      <c r="F310" s="247">
        <v>8.9</v>
      </c>
      <c r="G310" s="247">
        <v>10.1</v>
      </c>
      <c r="H310" s="247">
        <v>8.6</v>
      </c>
      <c r="I310" s="247">
        <v>11.7</v>
      </c>
      <c r="J310" s="247">
        <v>341</v>
      </c>
    </row>
    <row r="311" spans="1:10">
      <c r="A311" s="247">
        <v>2013</v>
      </c>
      <c r="B311" s="247">
        <v>5</v>
      </c>
      <c r="C311" s="247">
        <v>23</v>
      </c>
      <c r="D311" s="247">
        <v>1341</v>
      </c>
      <c r="E311" s="247">
        <v>3</v>
      </c>
      <c r="F311" s="247">
        <v>7.5</v>
      </c>
      <c r="G311" s="247">
        <v>8.8000000000000007</v>
      </c>
      <c r="H311" s="247">
        <v>3.7</v>
      </c>
      <c r="I311" s="247">
        <v>13.9</v>
      </c>
      <c r="J311" s="247">
        <v>567</v>
      </c>
    </row>
    <row r="312" spans="1:10">
      <c r="A312" s="247">
        <v>2013</v>
      </c>
      <c r="B312" s="247">
        <v>5</v>
      </c>
      <c r="C312" s="247">
        <v>24</v>
      </c>
      <c r="D312" s="247">
        <v>1555</v>
      </c>
      <c r="E312" s="247">
        <v>10</v>
      </c>
      <c r="F312" s="247">
        <v>6.2</v>
      </c>
      <c r="G312" s="247">
        <v>6.6</v>
      </c>
      <c r="H312" s="247">
        <v>0.9</v>
      </c>
      <c r="I312" s="247">
        <v>12.3</v>
      </c>
      <c r="J312" s="247">
        <v>670</v>
      </c>
    </row>
    <row r="313" spans="1:10">
      <c r="A313" s="247">
        <v>2013</v>
      </c>
      <c r="B313" s="247">
        <v>5</v>
      </c>
      <c r="C313" s="247">
        <v>25</v>
      </c>
      <c r="D313" s="247">
        <v>1521</v>
      </c>
      <c r="E313" s="247">
        <v>7</v>
      </c>
      <c r="F313" s="247">
        <v>7.3</v>
      </c>
      <c r="G313" s="247">
        <v>8.9</v>
      </c>
      <c r="H313" s="247">
        <v>4</v>
      </c>
      <c r="I313" s="247">
        <v>13.8</v>
      </c>
      <c r="J313" s="247">
        <v>655</v>
      </c>
    </row>
    <row r="314" spans="1:10">
      <c r="A314" s="247">
        <v>2013</v>
      </c>
      <c r="B314" s="247">
        <v>5</v>
      </c>
      <c r="C314" s="247">
        <v>26</v>
      </c>
      <c r="D314" s="247">
        <v>951</v>
      </c>
      <c r="E314" s="247">
        <v>0</v>
      </c>
      <c r="F314" s="247">
        <v>8.6999999999999993</v>
      </c>
      <c r="G314" s="247">
        <v>7.7</v>
      </c>
      <c r="H314" s="247">
        <v>3.3</v>
      </c>
      <c r="I314" s="247">
        <v>12</v>
      </c>
      <c r="J314" s="247">
        <v>411</v>
      </c>
    </row>
    <row r="315" spans="1:10">
      <c r="A315" s="247">
        <v>2013</v>
      </c>
      <c r="B315" s="247">
        <v>5</v>
      </c>
      <c r="C315" s="247">
        <v>27</v>
      </c>
      <c r="D315" s="247">
        <v>2839</v>
      </c>
      <c r="E315" s="247">
        <v>0</v>
      </c>
      <c r="F315" s="247">
        <v>11.9</v>
      </c>
      <c r="G315" s="247">
        <v>11</v>
      </c>
      <c r="H315" s="247">
        <v>3.3</v>
      </c>
      <c r="I315" s="247">
        <v>18.7</v>
      </c>
      <c r="J315" s="247">
        <v>1210</v>
      </c>
    </row>
    <row r="316" spans="1:10">
      <c r="A316" s="247">
        <v>2013</v>
      </c>
      <c r="B316" s="247">
        <v>5</v>
      </c>
      <c r="C316" s="247">
        <v>28</v>
      </c>
      <c r="D316" s="247">
        <v>1240</v>
      </c>
      <c r="E316" s="247">
        <v>2.5</v>
      </c>
      <c r="F316" s="247">
        <v>10.6</v>
      </c>
      <c r="G316" s="247">
        <v>11</v>
      </c>
      <c r="H316" s="247">
        <v>4.7</v>
      </c>
      <c r="I316" s="247">
        <v>17.399999999999999</v>
      </c>
      <c r="J316" s="247">
        <v>541</v>
      </c>
    </row>
    <row r="317" spans="1:10">
      <c r="A317" s="247">
        <v>2013</v>
      </c>
      <c r="B317" s="247">
        <v>5</v>
      </c>
      <c r="C317" s="247">
        <v>29</v>
      </c>
      <c r="D317" s="247">
        <v>1461</v>
      </c>
      <c r="E317" s="247">
        <v>9.5</v>
      </c>
      <c r="F317" s="247">
        <v>9.3000000000000007</v>
      </c>
      <c r="G317" s="247">
        <v>9.6999999999999993</v>
      </c>
      <c r="H317" s="247">
        <v>5.6</v>
      </c>
      <c r="I317" s="247">
        <v>13.8</v>
      </c>
      <c r="J317" s="247">
        <v>624</v>
      </c>
    </row>
    <row r="318" spans="1:10">
      <c r="A318" s="247">
        <v>2013</v>
      </c>
      <c r="B318" s="247">
        <v>5</v>
      </c>
      <c r="C318" s="247">
        <v>30</v>
      </c>
      <c r="D318" s="247">
        <v>951</v>
      </c>
      <c r="E318" s="247">
        <v>10</v>
      </c>
      <c r="F318" s="247">
        <v>9.5</v>
      </c>
      <c r="G318" s="247">
        <v>9.4</v>
      </c>
      <c r="H318" s="247">
        <v>5.0999999999999996</v>
      </c>
      <c r="I318" s="247">
        <v>13.8</v>
      </c>
      <c r="J318" s="247">
        <v>409</v>
      </c>
    </row>
    <row r="319" spans="1:10">
      <c r="A319" s="247">
        <v>2013</v>
      </c>
      <c r="B319" s="247">
        <v>5</v>
      </c>
      <c r="C319" s="247">
        <v>31</v>
      </c>
      <c r="D319" s="247">
        <v>553</v>
      </c>
      <c r="E319" s="247">
        <v>10</v>
      </c>
      <c r="F319" s="247">
        <v>11.5</v>
      </c>
      <c r="G319" s="247">
        <v>11</v>
      </c>
      <c r="H319" s="247">
        <v>8</v>
      </c>
      <c r="I319" s="247">
        <v>14</v>
      </c>
      <c r="J319" s="247">
        <v>259</v>
      </c>
    </row>
    <row r="320" spans="1:10">
      <c r="A320" s="247">
        <v>2013</v>
      </c>
      <c r="B320" s="247">
        <v>6</v>
      </c>
      <c r="C320" s="247">
        <v>1</v>
      </c>
      <c r="D320" s="247">
        <v>1287</v>
      </c>
      <c r="E320" s="247">
        <v>0</v>
      </c>
      <c r="F320" s="247">
        <v>13.4</v>
      </c>
      <c r="G320" s="247">
        <v>13.7</v>
      </c>
      <c r="H320" s="247">
        <v>10.1</v>
      </c>
      <c r="I320" s="247">
        <v>17.2</v>
      </c>
      <c r="J320" s="247">
        <v>549</v>
      </c>
    </row>
    <row r="321" spans="1:10">
      <c r="A321" s="247">
        <v>2013</v>
      </c>
      <c r="B321" s="247">
        <v>6</v>
      </c>
      <c r="C321" s="247">
        <v>2</v>
      </c>
      <c r="D321" s="247">
        <v>1736</v>
      </c>
      <c r="E321" s="247">
        <v>0</v>
      </c>
      <c r="F321" s="247">
        <v>13.2</v>
      </c>
      <c r="G321" s="247">
        <v>14.2</v>
      </c>
      <c r="H321" s="247">
        <v>10</v>
      </c>
      <c r="I321" s="247">
        <v>18.5</v>
      </c>
      <c r="J321" s="247">
        <v>730</v>
      </c>
    </row>
    <row r="322" spans="1:10">
      <c r="A322" s="247">
        <v>2013</v>
      </c>
      <c r="B322" s="247">
        <v>6</v>
      </c>
      <c r="C322" s="247">
        <v>3</v>
      </c>
      <c r="D322" s="247">
        <v>2531</v>
      </c>
      <c r="E322" s="247">
        <v>0</v>
      </c>
      <c r="F322" s="247">
        <v>12.8</v>
      </c>
      <c r="G322" s="247">
        <v>13</v>
      </c>
      <c r="H322" s="247">
        <v>7.7</v>
      </c>
      <c r="I322" s="247">
        <v>18.2</v>
      </c>
      <c r="J322" s="247">
        <v>1063</v>
      </c>
    </row>
    <row r="323" spans="1:10">
      <c r="A323" s="247">
        <v>2013</v>
      </c>
      <c r="B323" s="247">
        <v>6</v>
      </c>
      <c r="C323" s="247">
        <v>4</v>
      </c>
      <c r="D323" s="247">
        <v>2434</v>
      </c>
      <c r="E323" s="247">
        <v>0</v>
      </c>
      <c r="F323" s="247">
        <v>14.4</v>
      </c>
      <c r="G323" s="247">
        <v>13.5</v>
      </c>
      <c r="H323" s="247">
        <v>6.6</v>
      </c>
      <c r="I323" s="247">
        <v>20.399999999999999</v>
      </c>
      <c r="J323" s="247">
        <v>1050</v>
      </c>
    </row>
    <row r="324" spans="1:10">
      <c r="A324" s="247">
        <v>2013</v>
      </c>
      <c r="B324" s="247">
        <v>6</v>
      </c>
      <c r="C324" s="247">
        <v>5</v>
      </c>
      <c r="D324" s="247">
        <v>2941</v>
      </c>
      <c r="E324" s="247">
        <v>0</v>
      </c>
      <c r="F324" s="247">
        <v>17.5</v>
      </c>
      <c r="G324" s="247">
        <v>17</v>
      </c>
      <c r="H324" s="247">
        <v>9.1999999999999993</v>
      </c>
      <c r="I324" s="247">
        <v>24.9</v>
      </c>
      <c r="J324" s="247">
        <v>1268</v>
      </c>
    </row>
    <row r="325" spans="1:10">
      <c r="A325" s="247">
        <v>2013</v>
      </c>
      <c r="B325" s="247">
        <v>6</v>
      </c>
      <c r="C325" s="247">
        <v>6</v>
      </c>
      <c r="D325" s="247">
        <v>2906</v>
      </c>
      <c r="E325" s="247">
        <v>0</v>
      </c>
      <c r="F325" s="247">
        <v>18.899999999999999</v>
      </c>
      <c r="G325" s="247">
        <v>18.3</v>
      </c>
      <c r="H325" s="247">
        <v>9.6999999999999993</v>
      </c>
      <c r="I325" s="247">
        <v>26.9</v>
      </c>
      <c r="J325" s="247">
        <v>1259</v>
      </c>
    </row>
    <row r="326" spans="1:10">
      <c r="A326" s="247">
        <v>2013</v>
      </c>
      <c r="B326" s="247">
        <v>6</v>
      </c>
      <c r="C326" s="247">
        <v>7</v>
      </c>
      <c r="D326" s="247">
        <v>2956</v>
      </c>
      <c r="E326" s="247">
        <v>0</v>
      </c>
      <c r="F326" s="247">
        <v>19.600000000000001</v>
      </c>
      <c r="G326" s="247">
        <v>19.3</v>
      </c>
      <c r="H326" s="247">
        <v>11.4</v>
      </c>
      <c r="I326" s="247">
        <v>27.3</v>
      </c>
      <c r="J326" s="247">
        <v>1263</v>
      </c>
    </row>
    <row r="327" spans="1:10">
      <c r="A327" s="247">
        <v>2013</v>
      </c>
      <c r="B327" s="247">
        <v>6</v>
      </c>
      <c r="C327" s="247">
        <v>8</v>
      </c>
      <c r="D327" s="247">
        <v>2194</v>
      </c>
      <c r="E327" s="247">
        <v>7.5</v>
      </c>
      <c r="F327" s="247">
        <v>19.100000000000001</v>
      </c>
      <c r="G327" s="247">
        <v>19.5</v>
      </c>
      <c r="H327" s="247">
        <v>12.4</v>
      </c>
      <c r="I327" s="247">
        <v>26.6</v>
      </c>
      <c r="J327" s="247">
        <v>950</v>
      </c>
    </row>
    <row r="328" spans="1:10">
      <c r="A328" s="247">
        <v>2013</v>
      </c>
      <c r="B328" s="247">
        <v>6</v>
      </c>
      <c r="C328" s="247">
        <v>9</v>
      </c>
      <c r="D328" s="247">
        <v>2179</v>
      </c>
      <c r="E328" s="247">
        <v>0</v>
      </c>
      <c r="F328" s="247">
        <v>16.600000000000001</v>
      </c>
      <c r="G328" s="247">
        <v>18.2</v>
      </c>
      <c r="H328" s="247">
        <v>13.6</v>
      </c>
      <c r="I328" s="247">
        <v>22.7</v>
      </c>
      <c r="J328" s="247">
        <v>941</v>
      </c>
    </row>
    <row r="329" spans="1:10">
      <c r="A329" s="247">
        <v>2013</v>
      </c>
      <c r="B329" s="247">
        <v>6</v>
      </c>
      <c r="C329" s="247">
        <v>10</v>
      </c>
      <c r="D329" s="247">
        <v>1549</v>
      </c>
      <c r="E329" s="247">
        <v>0</v>
      </c>
      <c r="F329" s="247">
        <v>16.3</v>
      </c>
      <c r="G329" s="247">
        <v>16.8</v>
      </c>
      <c r="H329" s="247">
        <v>13</v>
      </c>
      <c r="I329" s="247">
        <v>20.5</v>
      </c>
      <c r="J329" s="247">
        <v>670</v>
      </c>
    </row>
    <row r="330" spans="1:10">
      <c r="A330" s="247">
        <v>2013</v>
      </c>
      <c r="B330" s="247">
        <v>6</v>
      </c>
      <c r="C330" s="247">
        <v>11</v>
      </c>
      <c r="D330" s="247">
        <v>1985</v>
      </c>
      <c r="E330" s="247">
        <v>0</v>
      </c>
      <c r="F330" s="247">
        <v>17.3</v>
      </c>
      <c r="G330" s="247">
        <v>17.3</v>
      </c>
      <c r="H330" s="247">
        <v>11.4</v>
      </c>
      <c r="I330" s="247">
        <v>23.3</v>
      </c>
      <c r="J330" s="247">
        <v>844</v>
      </c>
    </row>
    <row r="331" spans="1:10">
      <c r="A331" s="247">
        <v>2013</v>
      </c>
      <c r="B331" s="247">
        <v>6</v>
      </c>
      <c r="C331" s="247">
        <v>12</v>
      </c>
      <c r="D331" s="247">
        <v>1922</v>
      </c>
      <c r="E331" s="247">
        <v>0</v>
      </c>
      <c r="F331" s="247">
        <v>18.8</v>
      </c>
      <c r="G331" s="247">
        <v>19.100000000000001</v>
      </c>
      <c r="H331" s="247">
        <v>13</v>
      </c>
      <c r="I331" s="247">
        <v>25.3</v>
      </c>
      <c r="J331" s="247">
        <v>833</v>
      </c>
    </row>
    <row r="332" spans="1:10">
      <c r="A332" s="247">
        <v>2013</v>
      </c>
      <c r="B332" s="247">
        <v>6</v>
      </c>
      <c r="C332" s="247">
        <v>13</v>
      </c>
      <c r="D332" s="247">
        <v>2298</v>
      </c>
      <c r="E332" s="247">
        <v>13</v>
      </c>
      <c r="F332" s="247">
        <v>16.7</v>
      </c>
      <c r="G332" s="247">
        <v>19.600000000000001</v>
      </c>
      <c r="H332" s="247">
        <v>11.4</v>
      </c>
      <c r="I332" s="247">
        <v>27.9</v>
      </c>
      <c r="J332" s="247">
        <v>1029</v>
      </c>
    </row>
    <row r="333" spans="1:10">
      <c r="A333" s="247">
        <v>2013</v>
      </c>
      <c r="B333" s="247">
        <v>6</v>
      </c>
      <c r="C333" s="247">
        <v>14</v>
      </c>
      <c r="D333" s="247">
        <v>2190</v>
      </c>
      <c r="E333" s="247">
        <v>0</v>
      </c>
      <c r="F333" s="247">
        <v>14</v>
      </c>
      <c r="G333" s="247">
        <v>13.8</v>
      </c>
      <c r="H333" s="247">
        <v>7.2</v>
      </c>
      <c r="I333" s="247">
        <v>20.3</v>
      </c>
      <c r="J333" s="247">
        <v>943</v>
      </c>
    </row>
    <row r="334" spans="1:10">
      <c r="A334" s="247">
        <v>2013</v>
      </c>
      <c r="B334" s="247">
        <v>6</v>
      </c>
      <c r="C334" s="247">
        <v>15</v>
      </c>
      <c r="D334" s="247">
        <v>2616</v>
      </c>
      <c r="E334" s="247">
        <v>0</v>
      </c>
      <c r="F334" s="247">
        <v>17.3</v>
      </c>
      <c r="G334" s="247">
        <v>16.8</v>
      </c>
      <c r="H334" s="247">
        <v>9.1</v>
      </c>
      <c r="I334" s="247">
        <v>24.5</v>
      </c>
      <c r="J334" s="247">
        <v>1148</v>
      </c>
    </row>
    <row r="335" spans="1:10">
      <c r="A335" s="247">
        <v>2013</v>
      </c>
      <c r="B335" s="247">
        <v>6</v>
      </c>
      <c r="C335" s="247">
        <v>16</v>
      </c>
      <c r="D335" s="247">
        <v>2939</v>
      </c>
      <c r="E335" s="247">
        <v>0</v>
      </c>
      <c r="F335" s="247">
        <v>20.100000000000001</v>
      </c>
      <c r="G335" s="247">
        <v>19.2</v>
      </c>
      <c r="H335" s="247">
        <v>10.6</v>
      </c>
      <c r="I335" s="247">
        <v>27.8</v>
      </c>
      <c r="J335" s="247">
        <v>1289</v>
      </c>
    </row>
    <row r="336" spans="1:10">
      <c r="A336" s="247">
        <v>2013</v>
      </c>
      <c r="B336" s="247">
        <v>6</v>
      </c>
      <c r="C336" s="247">
        <v>17</v>
      </c>
      <c r="D336" s="247">
        <v>2874</v>
      </c>
      <c r="E336" s="247">
        <v>0</v>
      </c>
      <c r="F336" s="247">
        <v>23.7</v>
      </c>
      <c r="G336" s="247">
        <v>22.6</v>
      </c>
      <c r="H336" s="247">
        <v>13.7</v>
      </c>
      <c r="I336" s="247">
        <v>31.6</v>
      </c>
      <c r="J336" s="247">
        <v>1244</v>
      </c>
    </row>
    <row r="337" spans="1:10">
      <c r="A337" s="247">
        <v>2013</v>
      </c>
      <c r="B337" s="247">
        <v>6</v>
      </c>
      <c r="C337" s="247">
        <v>18</v>
      </c>
      <c r="D337" s="247">
        <v>2563</v>
      </c>
      <c r="E337" s="247">
        <v>1.5</v>
      </c>
      <c r="F337" s="247">
        <v>25.2</v>
      </c>
      <c r="G337" s="247">
        <v>25.8</v>
      </c>
      <c r="H337" s="247">
        <v>17.3</v>
      </c>
      <c r="I337" s="247">
        <v>34.299999999999997</v>
      </c>
      <c r="J337" s="247">
        <v>1119</v>
      </c>
    </row>
    <row r="338" spans="1:10">
      <c r="A338" s="247">
        <v>2013</v>
      </c>
      <c r="B338" s="247">
        <v>6</v>
      </c>
      <c r="C338" s="247">
        <v>19</v>
      </c>
      <c r="D338" s="247">
        <v>2189</v>
      </c>
      <c r="E338" s="247">
        <v>41</v>
      </c>
      <c r="F338" s="247">
        <v>23.8</v>
      </c>
      <c r="G338" s="247">
        <v>24.2</v>
      </c>
      <c r="H338" s="247">
        <v>18.399999999999999</v>
      </c>
      <c r="I338" s="247">
        <v>30.1</v>
      </c>
      <c r="J338" s="247">
        <v>943</v>
      </c>
    </row>
    <row r="339" spans="1:10">
      <c r="A339" s="247">
        <v>2013</v>
      </c>
      <c r="B339" s="247">
        <v>6</v>
      </c>
      <c r="C339" s="247">
        <v>20</v>
      </c>
      <c r="D339" s="247">
        <v>1172</v>
      </c>
      <c r="E339" s="247">
        <v>4.5</v>
      </c>
      <c r="F339" s="247">
        <v>17.600000000000001</v>
      </c>
      <c r="G339" s="247">
        <v>19.399999999999999</v>
      </c>
      <c r="H339" s="247">
        <v>16.7</v>
      </c>
      <c r="I339" s="247">
        <v>22.1</v>
      </c>
      <c r="J339" s="247">
        <v>510</v>
      </c>
    </row>
    <row r="340" spans="1:10">
      <c r="A340" s="247">
        <v>2013</v>
      </c>
      <c r="B340" s="247">
        <v>6</v>
      </c>
      <c r="C340" s="247">
        <v>21</v>
      </c>
      <c r="D340" s="247">
        <v>2144</v>
      </c>
      <c r="E340" s="247">
        <v>0</v>
      </c>
      <c r="F340" s="247">
        <v>16.899999999999999</v>
      </c>
      <c r="G340" s="247">
        <v>18</v>
      </c>
      <c r="H340" s="247">
        <v>13.6</v>
      </c>
      <c r="I340" s="247">
        <v>22.4</v>
      </c>
      <c r="J340" s="247">
        <v>925</v>
      </c>
    </row>
    <row r="341" spans="1:10">
      <c r="A341" s="247">
        <v>2013</v>
      </c>
      <c r="B341" s="247">
        <v>6</v>
      </c>
      <c r="C341" s="247">
        <v>22</v>
      </c>
      <c r="D341" s="247">
        <v>1866</v>
      </c>
      <c r="E341" s="247">
        <v>0</v>
      </c>
      <c r="F341" s="247">
        <v>17.100000000000001</v>
      </c>
      <c r="G341" s="247">
        <v>16.7</v>
      </c>
      <c r="H341" s="247">
        <v>11.1</v>
      </c>
      <c r="I341" s="247">
        <v>22.2</v>
      </c>
      <c r="J341" s="247">
        <v>811</v>
      </c>
    </row>
    <row r="342" spans="1:10">
      <c r="A342" s="247">
        <v>2013</v>
      </c>
      <c r="B342" s="247">
        <v>6</v>
      </c>
      <c r="C342" s="247">
        <v>23</v>
      </c>
      <c r="D342" s="247">
        <v>1499</v>
      </c>
      <c r="E342" s="247">
        <v>0.5</v>
      </c>
      <c r="F342" s="247">
        <v>15.6</v>
      </c>
      <c r="G342" s="247">
        <v>16.5</v>
      </c>
      <c r="H342" s="247">
        <v>13.6</v>
      </c>
      <c r="I342" s="247">
        <v>19.399999999999999</v>
      </c>
      <c r="J342" s="247">
        <v>637</v>
      </c>
    </row>
    <row r="343" spans="1:10">
      <c r="A343" s="247">
        <v>2013</v>
      </c>
      <c r="B343" s="247">
        <v>6</v>
      </c>
      <c r="C343" s="247">
        <v>24</v>
      </c>
      <c r="D343" s="247">
        <v>957</v>
      </c>
      <c r="E343" s="247">
        <v>0</v>
      </c>
      <c r="F343" s="247">
        <v>13.4</v>
      </c>
      <c r="G343" s="247">
        <v>14.1</v>
      </c>
      <c r="H343" s="247">
        <v>11.4</v>
      </c>
      <c r="I343" s="247">
        <v>16.7</v>
      </c>
      <c r="J343" s="247">
        <v>419</v>
      </c>
    </row>
    <row r="344" spans="1:10">
      <c r="A344" s="247">
        <v>2013</v>
      </c>
      <c r="B344" s="247">
        <v>6</v>
      </c>
      <c r="C344" s="247">
        <v>25</v>
      </c>
      <c r="D344" s="247">
        <v>1656</v>
      </c>
      <c r="E344" s="247">
        <v>0</v>
      </c>
      <c r="F344" s="247">
        <v>13.3</v>
      </c>
      <c r="G344" s="247">
        <v>13.4</v>
      </c>
      <c r="H344" s="247">
        <v>8.8000000000000007</v>
      </c>
      <c r="I344" s="247">
        <v>18</v>
      </c>
      <c r="J344" s="247">
        <v>701</v>
      </c>
    </row>
    <row r="345" spans="1:10">
      <c r="A345" s="247">
        <v>2013</v>
      </c>
      <c r="B345" s="247">
        <v>6</v>
      </c>
      <c r="C345" s="247">
        <v>26</v>
      </c>
      <c r="D345" s="247">
        <v>2365</v>
      </c>
      <c r="E345" s="247">
        <v>0</v>
      </c>
      <c r="F345" s="247">
        <v>13.9</v>
      </c>
      <c r="G345" s="247">
        <v>13.6</v>
      </c>
      <c r="H345" s="247">
        <v>7.1</v>
      </c>
      <c r="I345" s="247">
        <v>20</v>
      </c>
      <c r="J345" s="247">
        <v>995</v>
      </c>
    </row>
    <row r="346" spans="1:10">
      <c r="A346" s="247">
        <v>2013</v>
      </c>
      <c r="B346" s="247">
        <v>6</v>
      </c>
      <c r="C346" s="247">
        <v>27</v>
      </c>
      <c r="D346" s="247">
        <v>1508</v>
      </c>
      <c r="E346" s="247">
        <v>3.5</v>
      </c>
      <c r="F346" s="247">
        <v>13</v>
      </c>
      <c r="G346" s="247">
        <v>13.4</v>
      </c>
      <c r="H346" s="247">
        <v>6.6</v>
      </c>
      <c r="I346" s="247">
        <v>20.100000000000001</v>
      </c>
      <c r="J346" s="247">
        <v>657</v>
      </c>
    </row>
    <row r="347" spans="1:10">
      <c r="A347" s="247">
        <v>2013</v>
      </c>
      <c r="B347" s="247">
        <v>6</v>
      </c>
      <c r="C347" s="247">
        <v>28</v>
      </c>
      <c r="D347" s="247">
        <v>815</v>
      </c>
      <c r="E347" s="247">
        <v>5.5</v>
      </c>
      <c r="F347" s="247">
        <v>12.3</v>
      </c>
      <c r="G347" s="247">
        <v>11.9</v>
      </c>
      <c r="H347" s="247">
        <v>8</v>
      </c>
      <c r="I347" s="247">
        <v>15.9</v>
      </c>
      <c r="J347" s="247">
        <v>375</v>
      </c>
    </row>
    <row r="348" spans="1:10">
      <c r="A348" s="247">
        <v>2013</v>
      </c>
      <c r="B348" s="247">
        <v>6</v>
      </c>
      <c r="C348" s="247">
        <v>29</v>
      </c>
      <c r="D348" s="247">
        <v>1033</v>
      </c>
      <c r="E348" s="247">
        <v>3</v>
      </c>
      <c r="F348" s="247">
        <v>15.1</v>
      </c>
      <c r="G348" s="247">
        <v>16.600000000000001</v>
      </c>
      <c r="H348" s="247">
        <v>13</v>
      </c>
      <c r="I348" s="247">
        <v>20.3</v>
      </c>
      <c r="J348" s="247">
        <v>410</v>
      </c>
    </row>
    <row r="349" spans="1:10">
      <c r="A349" s="247">
        <v>2013</v>
      </c>
      <c r="B349" s="247">
        <v>6</v>
      </c>
      <c r="C349" s="247">
        <v>30</v>
      </c>
      <c r="D349" s="247">
        <v>2424</v>
      </c>
      <c r="E349" s="247">
        <v>0</v>
      </c>
      <c r="F349" s="247">
        <v>15.5</v>
      </c>
      <c r="G349" s="247">
        <v>15.2</v>
      </c>
      <c r="H349" s="247">
        <v>7.6</v>
      </c>
      <c r="I349" s="247">
        <v>22.8</v>
      </c>
      <c r="J349" s="247">
        <v>929</v>
      </c>
    </row>
    <row r="350" spans="1:10">
      <c r="A350" s="247">
        <v>2013</v>
      </c>
      <c r="B350" s="247">
        <v>7</v>
      </c>
      <c r="C350" s="247">
        <v>1</v>
      </c>
      <c r="D350" s="247">
        <v>2871</v>
      </c>
      <c r="E350" s="247">
        <v>0</v>
      </c>
      <c r="F350" s="247">
        <v>18</v>
      </c>
      <c r="G350" s="247">
        <v>17.5</v>
      </c>
      <c r="H350" s="247">
        <v>8.8000000000000007</v>
      </c>
      <c r="I350" s="247">
        <v>26.3</v>
      </c>
      <c r="J350" s="247">
        <v>1107</v>
      </c>
    </row>
    <row r="351" spans="1:10">
      <c r="A351" s="247">
        <v>2013</v>
      </c>
      <c r="B351" s="247">
        <v>7</v>
      </c>
      <c r="C351" s="247">
        <v>2</v>
      </c>
      <c r="D351" s="247">
        <v>2220</v>
      </c>
      <c r="E351" s="247">
        <v>18</v>
      </c>
      <c r="F351" s="247">
        <v>18.899999999999999</v>
      </c>
      <c r="G351" s="247">
        <v>18.5</v>
      </c>
      <c r="H351" s="247">
        <v>10.4</v>
      </c>
      <c r="I351" s="247">
        <v>26.7</v>
      </c>
      <c r="J351" s="247">
        <v>859</v>
      </c>
    </row>
    <row r="352" spans="1:10">
      <c r="A352" s="247">
        <v>2013</v>
      </c>
      <c r="B352" s="247">
        <v>7</v>
      </c>
      <c r="C352" s="247">
        <v>3</v>
      </c>
      <c r="D352" s="247">
        <v>737</v>
      </c>
      <c r="E352" s="247">
        <v>1.5</v>
      </c>
      <c r="F352" s="247">
        <v>17.2</v>
      </c>
      <c r="G352" s="247">
        <v>18.399999999999999</v>
      </c>
      <c r="H352" s="247">
        <v>15.6</v>
      </c>
      <c r="I352" s="247">
        <v>21.1</v>
      </c>
      <c r="J352" s="247">
        <v>320</v>
      </c>
    </row>
    <row r="353" spans="1:10">
      <c r="A353" s="247">
        <v>2013</v>
      </c>
      <c r="B353" s="247">
        <v>7</v>
      </c>
      <c r="C353" s="247">
        <v>4</v>
      </c>
      <c r="D353" s="247">
        <v>1453</v>
      </c>
      <c r="E353" s="247">
        <v>0</v>
      </c>
      <c r="F353" s="247">
        <v>17.8</v>
      </c>
      <c r="G353" s="247">
        <v>18.7</v>
      </c>
      <c r="H353" s="247">
        <v>14.4</v>
      </c>
      <c r="I353" s="247">
        <v>23</v>
      </c>
      <c r="J353" s="247">
        <v>582</v>
      </c>
    </row>
    <row r="354" spans="1:10">
      <c r="A354" s="247">
        <v>2013</v>
      </c>
      <c r="B354" s="247">
        <v>7</v>
      </c>
      <c r="C354" s="247">
        <v>5</v>
      </c>
      <c r="D354" s="247">
        <v>1904</v>
      </c>
      <c r="E354" s="247">
        <v>0.5</v>
      </c>
      <c r="F354" s="247">
        <v>19.100000000000001</v>
      </c>
      <c r="G354" s="247">
        <v>20.399999999999999</v>
      </c>
      <c r="H354" s="247">
        <v>16.399999999999999</v>
      </c>
      <c r="I354" s="247">
        <v>24.4</v>
      </c>
      <c r="J354" s="247">
        <v>742</v>
      </c>
    </row>
    <row r="355" spans="1:10">
      <c r="A355" s="247">
        <v>2013</v>
      </c>
      <c r="B355" s="247">
        <v>7</v>
      </c>
      <c r="C355" s="247">
        <v>6</v>
      </c>
      <c r="D355" s="247">
        <v>2878</v>
      </c>
      <c r="E355" s="247">
        <v>0</v>
      </c>
      <c r="F355" s="247">
        <v>21.2</v>
      </c>
      <c r="G355" s="247">
        <v>21</v>
      </c>
      <c r="H355" s="247">
        <v>13.7</v>
      </c>
      <c r="I355" s="247">
        <v>28.4</v>
      </c>
      <c r="J355" s="247">
        <v>1159</v>
      </c>
    </row>
    <row r="356" spans="1:10">
      <c r="A356" s="247">
        <v>2013</v>
      </c>
      <c r="B356" s="247">
        <v>7</v>
      </c>
      <c r="C356" s="247">
        <v>7</v>
      </c>
      <c r="D356" s="247">
        <v>2722</v>
      </c>
      <c r="E356" s="247">
        <v>0</v>
      </c>
      <c r="F356" s="247">
        <v>22.4</v>
      </c>
      <c r="G356" s="247">
        <v>22</v>
      </c>
      <c r="H356" s="247">
        <v>15.4</v>
      </c>
      <c r="I356" s="247">
        <v>28.7</v>
      </c>
      <c r="J356" s="247">
        <v>1095</v>
      </c>
    </row>
    <row r="357" spans="1:10">
      <c r="A357" s="247">
        <v>2013</v>
      </c>
      <c r="B357" s="247">
        <v>7</v>
      </c>
      <c r="C357" s="247">
        <v>8</v>
      </c>
      <c r="D357" s="247">
        <v>2828</v>
      </c>
      <c r="E357" s="247">
        <v>0</v>
      </c>
      <c r="F357" s="247">
        <v>22.6</v>
      </c>
      <c r="G357" s="247">
        <v>22.4</v>
      </c>
      <c r="H357" s="247">
        <v>15.3</v>
      </c>
      <c r="I357" s="247">
        <v>29.5</v>
      </c>
      <c r="J357" s="247">
        <v>1141</v>
      </c>
    </row>
    <row r="358" spans="1:10">
      <c r="A358" s="247">
        <v>2013</v>
      </c>
      <c r="B358" s="247">
        <v>7</v>
      </c>
      <c r="C358" s="247">
        <v>9</v>
      </c>
      <c r="D358" s="247">
        <v>2551</v>
      </c>
      <c r="E358" s="247">
        <v>0</v>
      </c>
      <c r="F358" s="247">
        <v>22.8</v>
      </c>
      <c r="G358" s="247">
        <v>22.1</v>
      </c>
      <c r="H358" s="247">
        <v>15.5</v>
      </c>
      <c r="I358" s="247">
        <v>28.8</v>
      </c>
      <c r="J358" s="247">
        <v>1026</v>
      </c>
    </row>
    <row r="359" spans="1:10">
      <c r="A359" s="247">
        <v>2013</v>
      </c>
      <c r="B359" s="247">
        <v>7</v>
      </c>
      <c r="C359" s="247">
        <v>10</v>
      </c>
      <c r="D359" s="247">
        <v>2730</v>
      </c>
      <c r="E359" s="247">
        <v>0</v>
      </c>
      <c r="F359" s="247">
        <v>23.5</v>
      </c>
      <c r="G359" s="247">
        <v>23.6</v>
      </c>
      <c r="H359" s="247">
        <v>17.100000000000001</v>
      </c>
      <c r="I359" s="247">
        <v>30.1</v>
      </c>
      <c r="J359" s="247">
        <v>1104</v>
      </c>
    </row>
    <row r="360" spans="1:10">
      <c r="A360" s="247">
        <v>2013</v>
      </c>
      <c r="B360" s="247">
        <v>7</v>
      </c>
      <c r="C360" s="247">
        <v>11</v>
      </c>
      <c r="D360" s="247">
        <v>2854</v>
      </c>
      <c r="E360" s="247">
        <v>0</v>
      </c>
      <c r="F360" s="247">
        <v>20.399999999999999</v>
      </c>
      <c r="G360" s="247">
        <v>21</v>
      </c>
      <c r="H360" s="247">
        <v>15.6</v>
      </c>
      <c r="I360" s="247">
        <v>26.5</v>
      </c>
      <c r="J360" s="247">
        <v>1146</v>
      </c>
    </row>
    <row r="361" spans="1:10">
      <c r="A361" s="247">
        <v>2013</v>
      </c>
      <c r="B361" s="247">
        <v>7</v>
      </c>
      <c r="C361" s="247">
        <v>12</v>
      </c>
      <c r="D361" s="247">
        <v>2915</v>
      </c>
      <c r="E361" s="247">
        <v>0</v>
      </c>
      <c r="F361" s="247">
        <v>20</v>
      </c>
      <c r="G361" s="247">
        <v>20</v>
      </c>
      <c r="H361" s="247">
        <v>12.2</v>
      </c>
      <c r="I361" s="247">
        <v>27.8</v>
      </c>
      <c r="J361" s="247">
        <v>1167</v>
      </c>
    </row>
    <row r="362" spans="1:10">
      <c r="A362" s="247">
        <v>2013</v>
      </c>
      <c r="B362" s="247">
        <v>7</v>
      </c>
      <c r="C362" s="247">
        <v>13</v>
      </c>
      <c r="D362" s="247">
        <v>2725</v>
      </c>
      <c r="E362" s="247">
        <v>0</v>
      </c>
      <c r="F362" s="247">
        <v>20.6</v>
      </c>
      <c r="G362" s="247">
        <v>20</v>
      </c>
      <c r="H362" s="247">
        <v>12.6</v>
      </c>
      <c r="I362" s="247">
        <v>27.5</v>
      </c>
      <c r="J362" s="247">
        <v>1094</v>
      </c>
    </row>
    <row r="363" spans="1:10">
      <c r="A363" s="247">
        <v>2013</v>
      </c>
      <c r="B363" s="247">
        <v>7</v>
      </c>
      <c r="C363" s="247">
        <v>14</v>
      </c>
      <c r="D363" s="247">
        <v>2774</v>
      </c>
      <c r="E363" s="247">
        <v>0</v>
      </c>
      <c r="F363" s="247">
        <v>21.6</v>
      </c>
      <c r="G363" s="247">
        <v>21.6</v>
      </c>
      <c r="H363" s="247">
        <v>14.3</v>
      </c>
      <c r="I363" s="247">
        <v>29</v>
      </c>
      <c r="J363" s="247">
        <v>1121</v>
      </c>
    </row>
    <row r="364" spans="1:10">
      <c r="A364" s="247">
        <v>2013</v>
      </c>
      <c r="B364" s="247">
        <v>7</v>
      </c>
      <c r="C364" s="247">
        <v>15</v>
      </c>
      <c r="D364" s="247">
        <v>2773</v>
      </c>
      <c r="E364" s="247">
        <v>0</v>
      </c>
      <c r="F364" s="247">
        <v>21.8</v>
      </c>
      <c r="G364" s="247">
        <v>21.7</v>
      </c>
      <c r="H364" s="247">
        <v>14.4</v>
      </c>
      <c r="I364" s="247">
        <v>29</v>
      </c>
      <c r="J364" s="247">
        <v>1134</v>
      </c>
    </row>
    <row r="365" spans="1:10">
      <c r="A365" s="247">
        <v>2013</v>
      </c>
      <c r="B365" s="247">
        <v>7</v>
      </c>
      <c r="C365" s="247">
        <v>16</v>
      </c>
      <c r="D365" s="247">
        <v>2787</v>
      </c>
      <c r="E365" s="247">
        <v>0</v>
      </c>
      <c r="F365" s="247">
        <v>22.7</v>
      </c>
      <c r="G365" s="247">
        <v>22.1</v>
      </c>
      <c r="H365" s="247">
        <v>13.9</v>
      </c>
      <c r="I365" s="247">
        <v>30.4</v>
      </c>
      <c r="J365" s="247">
        <v>1144</v>
      </c>
    </row>
    <row r="366" spans="1:10">
      <c r="A366" s="247">
        <v>2013</v>
      </c>
      <c r="B366" s="247">
        <v>7</v>
      </c>
      <c r="C366" s="247">
        <v>17</v>
      </c>
      <c r="D366" s="247">
        <v>2298</v>
      </c>
      <c r="E366" s="247">
        <v>0</v>
      </c>
      <c r="F366" s="247">
        <v>23.5</v>
      </c>
      <c r="G366" s="247">
        <v>23</v>
      </c>
      <c r="H366" s="247">
        <v>15</v>
      </c>
      <c r="I366" s="247">
        <v>31.1</v>
      </c>
      <c r="J366" s="247">
        <v>943</v>
      </c>
    </row>
    <row r="367" spans="1:10">
      <c r="A367" s="247">
        <v>2013</v>
      </c>
      <c r="B367" s="247">
        <v>7</v>
      </c>
      <c r="C367" s="247">
        <v>18</v>
      </c>
      <c r="D367" s="247">
        <v>1827</v>
      </c>
      <c r="E367" s="247">
        <v>7.5</v>
      </c>
      <c r="F367" s="247">
        <v>23.2</v>
      </c>
      <c r="G367" s="247">
        <v>24.7</v>
      </c>
      <c r="H367" s="247">
        <v>18.600000000000001</v>
      </c>
      <c r="I367" s="247">
        <v>30.7</v>
      </c>
      <c r="J367" s="247">
        <v>773</v>
      </c>
    </row>
    <row r="368" spans="1:10">
      <c r="A368" s="247">
        <v>2013</v>
      </c>
      <c r="B368" s="247">
        <v>7</v>
      </c>
      <c r="C368" s="247">
        <v>19</v>
      </c>
      <c r="D368" s="247">
        <v>2177</v>
      </c>
      <c r="E368" s="247">
        <v>0.5</v>
      </c>
      <c r="F368" s="247">
        <v>22.4</v>
      </c>
      <c r="G368" s="247">
        <v>23.1</v>
      </c>
      <c r="H368" s="247">
        <v>17.7</v>
      </c>
      <c r="I368" s="247">
        <v>28.5</v>
      </c>
      <c r="J368" s="247">
        <v>921</v>
      </c>
    </row>
    <row r="369" spans="1:10">
      <c r="A369" s="247">
        <v>2013</v>
      </c>
      <c r="B369" s="247">
        <v>7</v>
      </c>
      <c r="C369" s="247">
        <v>20</v>
      </c>
      <c r="D369" s="247">
        <v>2591</v>
      </c>
      <c r="E369" s="247">
        <v>0</v>
      </c>
      <c r="F369" s="247">
        <v>23.9</v>
      </c>
      <c r="G369" s="247">
        <v>23.8</v>
      </c>
      <c r="H369" s="247">
        <v>16.7</v>
      </c>
      <c r="I369" s="247">
        <v>30.9</v>
      </c>
      <c r="J369" s="247">
        <v>1084</v>
      </c>
    </row>
    <row r="370" spans="1:10">
      <c r="A370" s="247">
        <v>2013</v>
      </c>
      <c r="B370" s="247">
        <v>7</v>
      </c>
      <c r="C370" s="247">
        <v>21</v>
      </c>
      <c r="D370" s="247">
        <v>2556</v>
      </c>
      <c r="E370" s="247">
        <v>0</v>
      </c>
      <c r="F370" s="247">
        <v>25.2</v>
      </c>
      <c r="G370" s="247">
        <v>25.2</v>
      </c>
      <c r="H370" s="247">
        <v>17.100000000000001</v>
      </c>
      <c r="I370" s="247">
        <v>33.200000000000003</v>
      </c>
      <c r="J370" s="247">
        <v>1075</v>
      </c>
    </row>
    <row r="371" spans="1:10">
      <c r="A371" s="247">
        <v>2013</v>
      </c>
      <c r="B371" s="247">
        <v>7</v>
      </c>
      <c r="C371" s="247">
        <v>22</v>
      </c>
      <c r="D371" s="247">
        <v>2233</v>
      </c>
      <c r="E371" s="247">
        <v>0</v>
      </c>
      <c r="F371" s="247">
        <v>25.4</v>
      </c>
      <c r="G371" s="247">
        <v>25.1</v>
      </c>
      <c r="H371" s="247">
        <v>16.2</v>
      </c>
      <c r="I371" s="247">
        <v>34</v>
      </c>
      <c r="J371" s="247">
        <v>944</v>
      </c>
    </row>
    <row r="372" spans="1:10">
      <c r="A372" s="247">
        <v>2013</v>
      </c>
      <c r="B372" s="247">
        <v>7</v>
      </c>
      <c r="C372" s="247">
        <v>23</v>
      </c>
      <c r="D372" s="247">
        <v>1433</v>
      </c>
      <c r="E372" s="247">
        <v>0</v>
      </c>
      <c r="F372" s="247">
        <v>23.1</v>
      </c>
      <c r="G372" s="247">
        <v>23.9</v>
      </c>
      <c r="H372" s="247">
        <v>16.399999999999999</v>
      </c>
      <c r="I372" s="247">
        <v>31.4</v>
      </c>
      <c r="J372" s="247">
        <v>607</v>
      </c>
    </row>
    <row r="373" spans="1:10">
      <c r="A373" s="247">
        <v>2013</v>
      </c>
      <c r="B373" s="247">
        <v>7</v>
      </c>
      <c r="C373" s="247">
        <v>24</v>
      </c>
      <c r="D373" s="247">
        <v>2592</v>
      </c>
      <c r="E373" s="247">
        <v>0</v>
      </c>
      <c r="F373" s="247">
        <v>23.8</v>
      </c>
      <c r="G373" s="247">
        <v>24</v>
      </c>
      <c r="H373" s="247">
        <v>17.8</v>
      </c>
      <c r="I373" s="247">
        <v>30.3</v>
      </c>
      <c r="J373" s="247">
        <v>1092</v>
      </c>
    </row>
    <row r="374" spans="1:10">
      <c r="A374" s="247">
        <v>2013</v>
      </c>
      <c r="B374" s="247">
        <v>7</v>
      </c>
      <c r="C374" s="247">
        <v>25</v>
      </c>
      <c r="D374" s="247">
        <v>2101</v>
      </c>
      <c r="E374" s="247">
        <v>0</v>
      </c>
      <c r="F374" s="247">
        <v>25</v>
      </c>
      <c r="G374" s="247">
        <v>24.8</v>
      </c>
      <c r="H374" s="247">
        <v>17.600000000000001</v>
      </c>
      <c r="I374" s="247">
        <v>32</v>
      </c>
      <c r="J374" s="247">
        <v>880</v>
      </c>
    </row>
    <row r="375" spans="1:10">
      <c r="A375" s="247">
        <v>2013</v>
      </c>
      <c r="B375" s="247">
        <v>7</v>
      </c>
      <c r="C375" s="247">
        <v>26</v>
      </c>
      <c r="D375" s="247">
        <v>2190</v>
      </c>
      <c r="E375" s="247">
        <v>0</v>
      </c>
      <c r="F375" s="247">
        <v>25.6</v>
      </c>
      <c r="G375" s="247">
        <v>24.8</v>
      </c>
      <c r="H375" s="247">
        <v>16.600000000000001</v>
      </c>
      <c r="I375" s="247">
        <v>32.9</v>
      </c>
      <c r="J375" s="247">
        <v>916</v>
      </c>
    </row>
    <row r="376" spans="1:10">
      <c r="A376" s="247">
        <v>2013</v>
      </c>
      <c r="B376" s="247">
        <v>7</v>
      </c>
      <c r="C376" s="247">
        <v>27</v>
      </c>
      <c r="D376" s="247">
        <v>2555</v>
      </c>
      <c r="E376" s="247">
        <v>1.5</v>
      </c>
      <c r="F376" s="247">
        <v>27.3</v>
      </c>
      <c r="G376" s="247">
        <v>27</v>
      </c>
      <c r="H376" s="247">
        <v>18</v>
      </c>
      <c r="I376" s="247">
        <v>36.1</v>
      </c>
      <c r="J376" s="247">
        <v>1061</v>
      </c>
    </row>
    <row r="377" spans="1:10">
      <c r="A377" s="247">
        <v>2013</v>
      </c>
      <c r="B377" s="247">
        <v>7</v>
      </c>
      <c r="C377" s="247">
        <v>28</v>
      </c>
      <c r="D377" s="247">
        <v>134</v>
      </c>
      <c r="E377" s="247">
        <v>70</v>
      </c>
      <c r="F377" s="247">
        <v>19</v>
      </c>
      <c r="G377" s="247">
        <v>19</v>
      </c>
      <c r="H377" s="247">
        <v>18</v>
      </c>
      <c r="I377" s="247">
        <v>19.899999999999999</v>
      </c>
      <c r="J377" s="247">
        <v>73</v>
      </c>
    </row>
    <row r="378" spans="1:10">
      <c r="A378" s="247">
        <v>2013</v>
      </c>
      <c r="B378" s="247">
        <v>7</v>
      </c>
      <c r="C378" s="247">
        <v>29</v>
      </c>
      <c r="D378" s="247">
        <v>1378</v>
      </c>
      <c r="E378" s="247">
        <v>1</v>
      </c>
      <c r="F378" s="247">
        <v>19.100000000000001</v>
      </c>
      <c r="G378" s="247">
        <v>20.399999999999999</v>
      </c>
      <c r="H378" s="247">
        <v>16.7</v>
      </c>
      <c r="I378" s="247">
        <v>24</v>
      </c>
      <c r="J378" s="247">
        <v>601</v>
      </c>
    </row>
    <row r="379" spans="1:10">
      <c r="A379" s="247">
        <v>2013</v>
      </c>
      <c r="B379" s="247">
        <v>7</v>
      </c>
      <c r="C379" s="247">
        <v>30</v>
      </c>
      <c r="D379" s="247">
        <v>2075</v>
      </c>
      <c r="E379" s="247">
        <v>0</v>
      </c>
      <c r="F379" s="247">
        <v>19.7</v>
      </c>
      <c r="G379" s="247">
        <v>20</v>
      </c>
      <c r="H379" s="247">
        <v>14.5</v>
      </c>
      <c r="I379" s="247">
        <v>25.4</v>
      </c>
      <c r="J379" s="247">
        <v>888</v>
      </c>
    </row>
    <row r="380" spans="1:10">
      <c r="A380" s="247">
        <v>2013</v>
      </c>
      <c r="B380" s="247">
        <v>7</v>
      </c>
      <c r="C380" s="247">
        <v>31</v>
      </c>
      <c r="D380" s="247">
        <v>2508</v>
      </c>
      <c r="E380" s="247">
        <v>0</v>
      </c>
      <c r="F380" s="247">
        <v>22.6</v>
      </c>
      <c r="G380" s="247">
        <v>22.8</v>
      </c>
      <c r="H380" s="247">
        <v>16.3</v>
      </c>
      <c r="I380" s="247">
        <v>29.2</v>
      </c>
      <c r="J380" s="247">
        <v>1062</v>
      </c>
    </row>
    <row r="381" spans="1:10">
      <c r="A381" s="247">
        <v>2013</v>
      </c>
      <c r="B381" s="247">
        <v>8</v>
      </c>
      <c r="C381" s="247">
        <v>1</v>
      </c>
      <c r="D381" s="247">
        <v>2697</v>
      </c>
      <c r="E381" s="247">
        <v>0</v>
      </c>
      <c r="F381" s="247">
        <v>23.9</v>
      </c>
      <c r="G381" s="247">
        <v>23.5</v>
      </c>
      <c r="H381" s="247">
        <v>14.6</v>
      </c>
      <c r="I381" s="247">
        <v>32.299999999999997</v>
      </c>
      <c r="J381" s="247">
        <v>1135</v>
      </c>
    </row>
    <row r="382" spans="1:10">
      <c r="A382" s="247">
        <v>2013</v>
      </c>
      <c r="B382" s="247">
        <v>8</v>
      </c>
      <c r="C382" s="247">
        <v>2</v>
      </c>
      <c r="D382" s="247">
        <v>2524</v>
      </c>
      <c r="E382" s="247">
        <v>0</v>
      </c>
      <c r="F382" s="247">
        <v>24.7</v>
      </c>
      <c r="G382" s="247">
        <v>24</v>
      </c>
      <c r="H382" s="247">
        <v>15</v>
      </c>
      <c r="I382" s="247">
        <v>33</v>
      </c>
      <c r="J382" s="247">
        <v>1042</v>
      </c>
    </row>
    <row r="383" spans="1:10">
      <c r="A383" s="247">
        <v>2013</v>
      </c>
      <c r="B383" s="247">
        <v>8</v>
      </c>
      <c r="C383" s="247">
        <v>3</v>
      </c>
      <c r="D383" s="247">
        <v>2163</v>
      </c>
      <c r="E383" s="247">
        <v>0</v>
      </c>
      <c r="F383" s="247">
        <v>23.3</v>
      </c>
      <c r="G383" s="247">
        <v>23.5</v>
      </c>
      <c r="H383" s="247">
        <v>18.600000000000001</v>
      </c>
      <c r="I383" s="247">
        <v>28.5</v>
      </c>
      <c r="J383" s="247">
        <v>918</v>
      </c>
    </row>
    <row r="384" spans="1:10">
      <c r="A384" s="247">
        <v>2013</v>
      </c>
      <c r="B384" s="247">
        <v>8</v>
      </c>
      <c r="C384" s="247">
        <v>4</v>
      </c>
      <c r="D384" s="247">
        <v>2082</v>
      </c>
      <c r="E384" s="247">
        <v>0</v>
      </c>
      <c r="F384" s="247">
        <v>23</v>
      </c>
      <c r="G384" s="247">
        <v>23.5</v>
      </c>
      <c r="H384" s="247">
        <v>17.8</v>
      </c>
      <c r="I384" s="247">
        <v>29.3</v>
      </c>
      <c r="J384" s="247">
        <v>873</v>
      </c>
    </row>
    <row r="385" spans="1:10">
      <c r="A385" s="247">
        <v>2013</v>
      </c>
      <c r="B385" s="247">
        <v>8</v>
      </c>
      <c r="C385" s="247">
        <v>5</v>
      </c>
      <c r="D385" s="247">
        <v>2344</v>
      </c>
      <c r="E385" s="247">
        <v>0</v>
      </c>
      <c r="F385" s="247">
        <v>24.7</v>
      </c>
      <c r="G385" s="247">
        <v>24.3</v>
      </c>
      <c r="H385" s="247">
        <v>16.8</v>
      </c>
      <c r="I385" s="247">
        <v>31.8</v>
      </c>
      <c r="J385" s="247">
        <v>994</v>
      </c>
    </row>
    <row r="386" spans="1:10">
      <c r="A386" s="247">
        <v>2013</v>
      </c>
      <c r="B386" s="247">
        <v>8</v>
      </c>
      <c r="C386" s="247">
        <v>6</v>
      </c>
      <c r="D386" s="247">
        <v>1453</v>
      </c>
      <c r="E386" s="247">
        <v>10</v>
      </c>
      <c r="F386" s="247">
        <v>21.6</v>
      </c>
      <c r="G386" s="247">
        <v>21.7</v>
      </c>
      <c r="H386" s="247">
        <v>18.8</v>
      </c>
      <c r="I386" s="247">
        <v>24.6</v>
      </c>
      <c r="J386" s="247">
        <v>624</v>
      </c>
    </row>
    <row r="387" spans="1:10">
      <c r="A387" s="247">
        <v>2013</v>
      </c>
      <c r="B387" s="247">
        <v>8</v>
      </c>
      <c r="C387" s="247">
        <v>7</v>
      </c>
      <c r="D387" s="247">
        <v>931</v>
      </c>
      <c r="E387" s="247">
        <v>2</v>
      </c>
      <c r="F387" s="247">
        <v>18.8</v>
      </c>
      <c r="G387" s="247">
        <v>19.600000000000001</v>
      </c>
      <c r="H387" s="247">
        <v>18.100000000000001</v>
      </c>
      <c r="I387" s="247">
        <v>21.1</v>
      </c>
      <c r="J387" s="247">
        <v>426</v>
      </c>
    </row>
    <row r="388" spans="1:10">
      <c r="A388" s="247">
        <v>2013</v>
      </c>
      <c r="B388" s="247">
        <v>8</v>
      </c>
      <c r="C388" s="247">
        <v>8</v>
      </c>
      <c r="D388" s="247">
        <v>919</v>
      </c>
      <c r="E388" s="247">
        <v>0</v>
      </c>
      <c r="F388" s="247">
        <v>17.399999999999999</v>
      </c>
      <c r="G388" s="247">
        <v>18.2</v>
      </c>
      <c r="H388" s="247">
        <v>15.3</v>
      </c>
      <c r="I388" s="247">
        <v>21.1</v>
      </c>
      <c r="J388" s="247">
        <v>408</v>
      </c>
    </row>
    <row r="389" spans="1:10">
      <c r="A389" s="247">
        <v>2013</v>
      </c>
      <c r="B389" s="247">
        <v>8</v>
      </c>
      <c r="C389" s="247">
        <v>9</v>
      </c>
      <c r="D389" s="247">
        <v>1766</v>
      </c>
      <c r="E389" s="247">
        <v>0</v>
      </c>
      <c r="F389" s="247">
        <v>17.899999999999999</v>
      </c>
      <c r="G389" s="247">
        <v>18</v>
      </c>
      <c r="H389" s="247">
        <v>10.199999999999999</v>
      </c>
      <c r="I389" s="247">
        <v>25.7</v>
      </c>
      <c r="J389" s="247">
        <v>748</v>
      </c>
    </row>
    <row r="390" spans="1:10">
      <c r="A390" s="247">
        <v>2013</v>
      </c>
      <c r="B390" s="247">
        <v>8</v>
      </c>
      <c r="C390" s="247">
        <v>10</v>
      </c>
      <c r="D390" s="247">
        <v>2250</v>
      </c>
      <c r="E390" s="247">
        <v>0</v>
      </c>
      <c r="F390" s="247">
        <v>18.7</v>
      </c>
      <c r="G390" s="247">
        <v>18.8</v>
      </c>
      <c r="H390" s="247">
        <v>11.9</v>
      </c>
      <c r="I390" s="247">
        <v>25.8</v>
      </c>
      <c r="J390" s="247">
        <v>942</v>
      </c>
    </row>
    <row r="391" spans="1:10">
      <c r="A391" s="247">
        <v>2013</v>
      </c>
      <c r="B391" s="247">
        <v>8</v>
      </c>
      <c r="C391" s="247">
        <v>11</v>
      </c>
      <c r="D391" s="247">
        <v>2510</v>
      </c>
      <c r="E391" s="247">
        <v>0</v>
      </c>
      <c r="F391" s="247">
        <v>19.399999999999999</v>
      </c>
      <c r="G391" s="247">
        <v>17.899999999999999</v>
      </c>
      <c r="H391" s="247">
        <v>9.6999999999999993</v>
      </c>
      <c r="I391" s="247">
        <v>26</v>
      </c>
      <c r="J391" s="247">
        <v>1052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9"/>
  <sheetViews>
    <sheetView workbookViewId="0">
      <pane ySplit="1" topLeftCell="A2" activePane="bottomLeft" state="frozen"/>
      <selection pane="bottomLeft" activeCell="F5" sqref="F5"/>
    </sheetView>
  </sheetViews>
  <sheetFormatPr baseColWidth="10" defaultColWidth="11.3984375" defaultRowHeight="14.5"/>
  <cols>
    <col min="1" max="1" width="22.69921875" style="162" customWidth="1"/>
    <col min="2" max="6" width="11.3984375" style="162"/>
    <col min="7" max="7" width="23.69921875" style="161" bestFit="1" customWidth="1"/>
    <col min="8" max="16384" width="11.3984375" style="161"/>
  </cols>
  <sheetData>
    <row r="1" spans="1:10" ht="15.5">
      <c r="A1" s="279" t="s">
        <v>7747</v>
      </c>
      <c r="B1" s="279"/>
      <c r="C1" s="279"/>
      <c r="D1" s="279"/>
      <c r="E1" s="279"/>
      <c r="F1" s="279"/>
      <c r="G1" s="279"/>
    </row>
    <row r="2" spans="1:10" ht="15" thickBot="1"/>
    <row r="3" spans="1:10" ht="31.5" thickBot="1">
      <c r="A3" s="193" t="s">
        <v>7748</v>
      </c>
      <c r="B3" s="194" t="s">
        <v>7749</v>
      </c>
      <c r="C3" s="194" t="s">
        <v>7750</v>
      </c>
      <c r="D3" s="194" t="s">
        <v>7751</v>
      </c>
      <c r="G3" s="196" t="s">
        <v>7782</v>
      </c>
      <c r="H3" s="197" t="s">
        <v>7783</v>
      </c>
      <c r="I3" s="197" t="s">
        <v>7784</v>
      </c>
      <c r="J3" s="197" t="s">
        <v>7726</v>
      </c>
    </row>
    <row r="4" spans="1:10" ht="16" thickBot="1">
      <c r="A4" s="280" t="s">
        <v>7752</v>
      </c>
      <c r="B4" s="195" t="s">
        <v>7753</v>
      </c>
      <c r="C4" s="195" t="s">
        <v>7754</v>
      </c>
      <c r="D4" s="195" t="s">
        <v>7755</v>
      </c>
      <c r="G4" s="198" t="s">
        <v>7785</v>
      </c>
      <c r="H4" s="199">
        <v>19</v>
      </c>
      <c r="I4" s="199">
        <v>18.5</v>
      </c>
      <c r="J4" s="200"/>
    </row>
    <row r="5" spans="1:10" ht="16" thickBot="1">
      <c r="A5" s="281"/>
      <c r="B5" s="195" t="s">
        <v>7756</v>
      </c>
      <c r="C5" s="195" t="s">
        <v>7757</v>
      </c>
      <c r="D5" s="195" t="s">
        <v>7758</v>
      </c>
      <c r="G5" s="201" t="s">
        <v>7786</v>
      </c>
      <c r="H5" s="277">
        <v>4.0999999999999996</v>
      </c>
      <c r="I5" s="277">
        <v>5.4</v>
      </c>
      <c r="J5" s="275">
        <v>9.5</v>
      </c>
    </row>
    <row r="6" spans="1:10" ht="31.5" thickBot="1">
      <c r="A6" s="281"/>
      <c r="B6" s="195" t="s">
        <v>7759</v>
      </c>
      <c r="C6" s="195" t="s">
        <v>7760</v>
      </c>
      <c r="D6" s="195" t="s">
        <v>7761</v>
      </c>
      <c r="G6" s="202" t="s">
        <v>7787</v>
      </c>
      <c r="H6" s="278"/>
      <c r="I6" s="278"/>
      <c r="J6" s="276"/>
    </row>
    <row r="7" spans="1:10" ht="16" thickBot="1">
      <c r="A7" s="281"/>
      <c r="B7" s="195" t="s">
        <v>7762</v>
      </c>
      <c r="C7" s="195" t="s">
        <v>7763</v>
      </c>
      <c r="D7" s="195" t="s">
        <v>7764</v>
      </c>
      <c r="G7" s="201" t="s">
        <v>7788</v>
      </c>
      <c r="H7" s="277">
        <v>36.200000000000003</v>
      </c>
      <c r="I7" s="277">
        <v>28</v>
      </c>
      <c r="J7" s="275">
        <v>64.2</v>
      </c>
    </row>
    <row r="8" spans="1:10" ht="31.5" thickBot="1">
      <c r="A8" s="282"/>
      <c r="B8" s="195" t="s">
        <v>7765</v>
      </c>
      <c r="C8" s="195" t="s">
        <v>7766</v>
      </c>
      <c r="D8" s="195" t="s">
        <v>7767</v>
      </c>
      <c r="G8" s="202" t="s">
        <v>7789</v>
      </c>
      <c r="H8" s="278"/>
      <c r="I8" s="278"/>
      <c r="J8" s="276"/>
    </row>
    <row r="9" spans="1:10" ht="16" thickBot="1">
      <c r="A9" s="283" t="s">
        <v>7768</v>
      </c>
      <c r="B9" s="195" t="s">
        <v>7769</v>
      </c>
      <c r="C9" s="195" t="s">
        <v>7770</v>
      </c>
      <c r="D9" s="195" t="s">
        <v>7771</v>
      </c>
      <c r="G9" s="201" t="s">
        <v>7790</v>
      </c>
      <c r="H9" s="275">
        <v>40.299999999999997</v>
      </c>
      <c r="I9" s="275">
        <v>33.4</v>
      </c>
      <c r="J9" s="275">
        <v>73.7</v>
      </c>
    </row>
    <row r="10" spans="1:10" ht="16" thickBot="1">
      <c r="A10" s="284"/>
      <c r="B10" s="195" t="s">
        <v>7772</v>
      </c>
      <c r="C10" s="195" t="s">
        <v>7773</v>
      </c>
      <c r="D10" s="195" t="s">
        <v>7774</v>
      </c>
      <c r="G10" s="202" t="s">
        <v>7791</v>
      </c>
      <c r="H10" s="276"/>
      <c r="I10" s="276"/>
      <c r="J10" s="276"/>
    </row>
    <row r="11" spans="1:10" ht="16" thickBot="1">
      <c r="A11" s="284"/>
      <c r="B11" s="195" t="s">
        <v>7775</v>
      </c>
      <c r="C11" s="195" t="s">
        <v>7773</v>
      </c>
      <c r="D11" s="195" t="s">
        <v>7776</v>
      </c>
    </row>
    <row r="12" spans="1:10" ht="31.5" thickBot="1">
      <c r="A12" s="284"/>
      <c r="B12" s="195" t="s">
        <v>7777</v>
      </c>
      <c r="C12" s="195" t="s">
        <v>7778</v>
      </c>
      <c r="D12" s="195" t="s">
        <v>7779</v>
      </c>
      <c r="G12" s="203" t="s">
        <v>7792</v>
      </c>
      <c r="H12" s="197" t="s">
        <v>7783</v>
      </c>
      <c r="I12" s="197" t="s">
        <v>7784</v>
      </c>
      <c r="J12" s="197" t="s">
        <v>7726</v>
      </c>
    </row>
    <row r="13" spans="1:10" ht="16" thickBot="1">
      <c r="A13" s="285"/>
      <c r="B13" s="195" t="s">
        <v>7780</v>
      </c>
      <c r="C13" s="195" t="s">
        <v>7766</v>
      </c>
      <c r="D13" s="195" t="s">
        <v>7781</v>
      </c>
      <c r="G13" s="198" t="s">
        <v>7785</v>
      </c>
      <c r="H13" s="199">
        <v>22.9</v>
      </c>
      <c r="I13" s="199">
        <v>18</v>
      </c>
      <c r="J13" s="199"/>
    </row>
    <row r="14" spans="1:10">
      <c r="G14" s="201" t="s">
        <v>7786</v>
      </c>
      <c r="H14" s="277">
        <v>3.6</v>
      </c>
      <c r="I14" s="277">
        <v>3.7</v>
      </c>
      <c r="J14" s="275">
        <v>7.3</v>
      </c>
    </row>
    <row r="15" spans="1:10" ht="15" thickBot="1">
      <c r="G15" s="202" t="s">
        <v>7787</v>
      </c>
      <c r="H15" s="278"/>
      <c r="I15" s="278"/>
      <c r="J15" s="276"/>
    </row>
    <row r="16" spans="1:10">
      <c r="G16" s="201" t="s">
        <v>7788</v>
      </c>
      <c r="H16" s="277">
        <v>16.2</v>
      </c>
      <c r="I16" s="277">
        <v>17.100000000000001</v>
      </c>
      <c r="J16" s="275">
        <v>33.299999999999997</v>
      </c>
    </row>
    <row r="17" spans="7:10" ht="15" thickBot="1">
      <c r="G17" s="202" t="s">
        <v>7789</v>
      </c>
      <c r="H17" s="278"/>
      <c r="I17" s="278"/>
      <c r="J17" s="276"/>
    </row>
    <row r="18" spans="7:10">
      <c r="G18" s="201" t="s">
        <v>7790</v>
      </c>
      <c r="H18" s="275">
        <v>19.8</v>
      </c>
      <c r="I18" s="275">
        <v>20.8</v>
      </c>
      <c r="J18" s="275">
        <v>40.6</v>
      </c>
    </row>
    <row r="19" spans="7:10" ht="15" thickBot="1">
      <c r="G19" s="202" t="s">
        <v>7791</v>
      </c>
      <c r="H19" s="276"/>
      <c r="I19" s="276"/>
      <c r="J19" s="276"/>
    </row>
  </sheetData>
  <mergeCells count="21">
    <mergeCell ref="A1:G1"/>
    <mergeCell ref="H7:H8"/>
    <mergeCell ref="I7:I8"/>
    <mergeCell ref="J7:J8"/>
    <mergeCell ref="H9:H10"/>
    <mergeCell ref="I9:I10"/>
    <mergeCell ref="J9:J10"/>
    <mergeCell ref="A4:A8"/>
    <mergeCell ref="A9:A13"/>
    <mergeCell ref="H5:H6"/>
    <mergeCell ref="I5:I6"/>
    <mergeCell ref="J5:J6"/>
    <mergeCell ref="H18:H19"/>
    <mergeCell ref="I18:I19"/>
    <mergeCell ref="J18:J19"/>
    <mergeCell ref="H14:H15"/>
    <mergeCell ref="I14:I15"/>
    <mergeCell ref="J14:J15"/>
    <mergeCell ref="H16:H17"/>
    <mergeCell ref="I16:I17"/>
    <mergeCell ref="J16:J17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36"/>
  <sheetViews>
    <sheetView zoomScaleNormal="100" workbookViewId="0">
      <selection activeCell="Q46" sqref="Q46"/>
    </sheetView>
  </sheetViews>
  <sheetFormatPr baseColWidth="10" defaultColWidth="11.3984375" defaultRowHeight="12.5"/>
  <cols>
    <col min="1" max="1" width="11.69921875" style="163" customWidth="1"/>
    <col min="2" max="2" width="10.09765625" style="163" bestFit="1" customWidth="1"/>
    <col min="3" max="4" width="3" style="163" bestFit="1" customWidth="1"/>
    <col min="5" max="5" width="8.8984375" style="163" bestFit="1" customWidth="1"/>
    <col min="6" max="6" width="11.09765625" style="163" bestFit="1" customWidth="1"/>
    <col min="7" max="7" width="6.296875" style="163" bestFit="1" customWidth="1"/>
    <col min="8" max="8" width="4.09765625" style="163" bestFit="1" customWidth="1"/>
    <col min="9" max="9" width="6.59765625" style="163" bestFit="1" customWidth="1"/>
    <col min="10" max="10" width="12" style="163" bestFit="1" customWidth="1"/>
    <col min="11" max="11" width="4.09765625" style="163" bestFit="1" customWidth="1"/>
    <col min="12" max="12" width="12" style="163" bestFit="1" customWidth="1"/>
    <col min="13" max="13" width="14.296875" style="163" bestFit="1" customWidth="1"/>
    <col min="14" max="14" width="11.09765625" style="163" bestFit="1" customWidth="1"/>
    <col min="15" max="15" width="7.3984375" style="163" bestFit="1" customWidth="1"/>
    <col min="16" max="16" width="14.3984375" style="163" bestFit="1" customWidth="1"/>
    <col min="17" max="17" width="11.296875" style="163" bestFit="1" customWidth="1"/>
    <col min="18" max="18" width="10.3984375" style="163" bestFit="1" customWidth="1"/>
    <col min="19" max="19" width="13" style="160" bestFit="1" customWidth="1"/>
    <col min="20" max="20" width="11.3984375" style="160"/>
    <col min="21" max="21" width="12.3984375" style="163" customWidth="1"/>
    <col min="22" max="22" width="11.8984375" style="163" customWidth="1"/>
    <col min="23" max="23" width="11.3984375" style="160"/>
    <col min="24" max="24" width="15.8984375" style="160" bestFit="1" customWidth="1"/>
    <col min="25" max="16384" width="11.3984375" style="160"/>
  </cols>
  <sheetData>
    <row r="1" spans="1:25" ht="15.5">
      <c r="C1" s="171"/>
      <c r="D1" s="171"/>
      <c r="E1" s="171"/>
      <c r="F1" s="171"/>
      <c r="G1" s="171"/>
      <c r="H1" s="289" t="s">
        <v>7706</v>
      </c>
      <c r="I1" s="287"/>
      <c r="J1" s="288"/>
      <c r="K1" s="286" t="s">
        <v>7705</v>
      </c>
      <c r="L1" s="287"/>
      <c r="M1" s="287"/>
      <c r="N1" s="287"/>
      <c r="O1" s="287"/>
      <c r="P1" s="287"/>
      <c r="Q1" s="287"/>
      <c r="R1" s="288"/>
      <c r="S1" s="291" t="s">
        <v>7726</v>
      </c>
      <c r="T1" s="292"/>
      <c r="U1" s="293" t="s">
        <v>7704</v>
      </c>
      <c r="V1" s="293"/>
      <c r="W1" s="294"/>
      <c r="X1" s="186"/>
    </row>
    <row r="2" spans="1:25" ht="13">
      <c r="A2" s="170" t="s">
        <v>7703</v>
      </c>
      <c r="B2" s="170" t="s">
        <v>213</v>
      </c>
      <c r="C2" s="170" t="s">
        <v>22</v>
      </c>
      <c r="D2" s="170" t="s">
        <v>21</v>
      </c>
      <c r="E2" s="170" t="s">
        <v>7702</v>
      </c>
      <c r="F2" s="170" t="s">
        <v>7701</v>
      </c>
      <c r="G2" s="170" t="s">
        <v>7700</v>
      </c>
      <c r="H2" s="170" t="s">
        <v>7698</v>
      </c>
      <c r="I2" s="170" t="s">
        <v>7699</v>
      </c>
      <c r="J2" s="177" t="s">
        <v>7722</v>
      </c>
      <c r="K2" s="182" t="s">
        <v>7698</v>
      </c>
      <c r="L2" s="170" t="s">
        <v>7719</v>
      </c>
      <c r="M2" s="174" t="s">
        <v>7697</v>
      </c>
      <c r="N2" s="174" t="s">
        <v>7696</v>
      </c>
      <c r="O2" s="170" t="s">
        <v>7721</v>
      </c>
      <c r="P2" s="174" t="s">
        <v>7695</v>
      </c>
      <c r="Q2" s="174" t="s">
        <v>7694</v>
      </c>
      <c r="R2" s="183" t="s">
        <v>7720</v>
      </c>
      <c r="S2" s="180" t="s">
        <v>7724</v>
      </c>
      <c r="T2" s="174" t="s">
        <v>7725</v>
      </c>
      <c r="U2" s="169" t="s">
        <v>7693</v>
      </c>
      <c r="V2" s="169" t="s">
        <v>7692</v>
      </c>
      <c r="W2" s="185" t="s">
        <v>7727</v>
      </c>
      <c r="X2" s="187" t="s">
        <v>7728</v>
      </c>
      <c r="Y2" s="188" t="s">
        <v>7729</v>
      </c>
    </row>
    <row r="3" spans="1:25">
      <c r="A3" s="167" t="s">
        <v>7691</v>
      </c>
      <c r="B3" s="168">
        <v>41261</v>
      </c>
      <c r="C3" s="167"/>
      <c r="D3" s="167"/>
      <c r="E3" s="167" t="s">
        <v>7796</v>
      </c>
      <c r="F3" s="167" t="s">
        <v>7440</v>
      </c>
      <c r="G3" s="167"/>
      <c r="H3" s="163" t="s">
        <v>7718</v>
      </c>
      <c r="I3" s="163" t="s">
        <v>7718</v>
      </c>
      <c r="J3" s="178" t="e">
        <f>I3*L3</f>
        <v>#VALUE!</v>
      </c>
      <c r="K3" s="167">
        <v>21</v>
      </c>
      <c r="L3" s="173">
        <f>R3/O3</f>
        <v>0.13986380303823992</v>
      </c>
      <c r="M3" s="295">
        <v>190.9</v>
      </c>
      <c r="N3" s="296"/>
      <c r="O3" s="176">
        <f t="shared" ref="O3:O10" si="0">M3+N3</f>
        <v>190.9</v>
      </c>
      <c r="P3" s="299">
        <v>26.7</v>
      </c>
      <c r="Q3" s="300"/>
      <c r="R3" s="178">
        <f t="shared" ref="R3:R10" si="1">P3+Q3</f>
        <v>26.7</v>
      </c>
      <c r="S3" s="181">
        <f>(R3)/100</f>
        <v>0.26700000000000002</v>
      </c>
      <c r="T3" s="179">
        <f>MIN(4.63,4.48*S3^(-0.25))</f>
        <v>4.63</v>
      </c>
      <c r="U3" s="290"/>
      <c r="V3" s="290"/>
      <c r="W3" s="166">
        <f>(U3*P3)</f>
        <v>0</v>
      </c>
      <c r="X3" s="166">
        <v>4.4634</v>
      </c>
      <c r="Y3" s="166">
        <f>X3/T3</f>
        <v>0.96401727861771058</v>
      </c>
    </row>
    <row r="4" spans="1:25">
      <c r="A4" s="167" t="s">
        <v>7691</v>
      </c>
      <c r="B4" s="168">
        <v>41261</v>
      </c>
      <c r="C4" s="167"/>
      <c r="D4" s="167"/>
      <c r="E4" s="167" t="s">
        <v>7796</v>
      </c>
      <c r="F4" s="167" t="s">
        <v>7439</v>
      </c>
      <c r="G4" s="167"/>
      <c r="H4" s="163" t="s">
        <v>7718</v>
      </c>
      <c r="I4" s="163" t="s">
        <v>7718</v>
      </c>
      <c r="J4" s="178" t="e">
        <f t="shared" ref="J4:J22" si="2">I4*L4</f>
        <v>#VALUE!</v>
      </c>
      <c r="K4" s="167">
        <v>31</v>
      </c>
      <c r="L4" s="173">
        <f t="shared" ref="L4:L22" si="3">R4/O4</f>
        <v>0.14648910411622276</v>
      </c>
      <c r="M4" s="295">
        <v>165.2</v>
      </c>
      <c r="N4" s="296"/>
      <c r="O4" s="176">
        <f t="shared" si="0"/>
        <v>165.2</v>
      </c>
      <c r="P4" s="299">
        <v>24.2</v>
      </c>
      <c r="Q4" s="300"/>
      <c r="R4" s="178">
        <f t="shared" si="1"/>
        <v>24.2</v>
      </c>
      <c r="S4" s="181">
        <f t="shared" ref="S4:S22" si="4">(R4)/100</f>
        <v>0.24199999999999999</v>
      </c>
      <c r="T4" s="179">
        <f t="shared" ref="T4:T22" si="5">MIN(4.63,4.48*S4^(-0.25))</f>
        <v>4.63</v>
      </c>
      <c r="U4" s="290"/>
      <c r="V4" s="290"/>
      <c r="W4" s="166">
        <f t="shared" ref="W4:W10" si="6">(U4*P4)</f>
        <v>0</v>
      </c>
      <c r="X4" s="166">
        <v>4.6393000000000004</v>
      </c>
      <c r="Y4" s="166">
        <f t="shared" ref="Y4:Y22" si="7">X4/T4</f>
        <v>1.0020086393088554</v>
      </c>
    </row>
    <row r="5" spans="1:25">
      <c r="A5" s="167" t="s">
        <v>7691</v>
      </c>
      <c r="B5" s="168">
        <v>41261</v>
      </c>
      <c r="C5" s="167"/>
      <c r="D5" s="167"/>
      <c r="E5" s="167" t="s">
        <v>7797</v>
      </c>
      <c r="F5" s="167" t="s">
        <v>7440</v>
      </c>
      <c r="G5" s="167"/>
      <c r="H5" s="163" t="s">
        <v>7718</v>
      </c>
      <c r="I5" s="163" t="s">
        <v>7718</v>
      </c>
      <c r="J5" s="178" t="e">
        <f t="shared" si="2"/>
        <v>#VALUE!</v>
      </c>
      <c r="K5" s="167">
        <v>37</v>
      </c>
      <c r="L5" s="173">
        <f t="shared" si="3"/>
        <v>0.14304947829013798</v>
      </c>
      <c r="M5" s="295">
        <v>297.10000000000002</v>
      </c>
      <c r="N5" s="296"/>
      <c r="O5" s="176">
        <f t="shared" si="0"/>
        <v>297.10000000000002</v>
      </c>
      <c r="P5" s="299">
        <v>42.5</v>
      </c>
      <c r="Q5" s="300"/>
      <c r="R5" s="178">
        <f t="shared" si="1"/>
        <v>42.5</v>
      </c>
      <c r="S5" s="181">
        <f t="shared" si="4"/>
        <v>0.42499999999999999</v>
      </c>
      <c r="T5" s="179">
        <f t="shared" si="5"/>
        <v>4.63</v>
      </c>
      <c r="U5" s="290"/>
      <c r="V5" s="290"/>
      <c r="W5" s="166">
        <f t="shared" si="6"/>
        <v>0</v>
      </c>
      <c r="X5" s="166">
        <v>4.5566000000000004</v>
      </c>
      <c r="Y5" s="166">
        <f t="shared" si="7"/>
        <v>0.9841468682505401</v>
      </c>
    </row>
    <row r="6" spans="1:25">
      <c r="A6" s="167" t="s">
        <v>7691</v>
      </c>
      <c r="B6" s="168">
        <v>41261</v>
      </c>
      <c r="C6" s="167"/>
      <c r="D6" s="167"/>
      <c r="E6" s="167" t="s">
        <v>7797</v>
      </c>
      <c r="F6" s="167" t="s">
        <v>7439</v>
      </c>
      <c r="G6" s="167"/>
      <c r="H6" s="163" t="s">
        <v>7718</v>
      </c>
      <c r="I6" s="163" t="s">
        <v>7718</v>
      </c>
      <c r="J6" s="178" t="e">
        <f t="shared" si="2"/>
        <v>#VALUE!</v>
      </c>
      <c r="K6" s="167">
        <v>36</v>
      </c>
      <c r="L6" s="173">
        <f t="shared" si="3"/>
        <v>0.15124153498871334</v>
      </c>
      <c r="M6" s="295">
        <v>88.6</v>
      </c>
      <c r="N6" s="296"/>
      <c r="O6" s="176">
        <f t="shared" si="0"/>
        <v>88.6</v>
      </c>
      <c r="P6" s="299">
        <v>13.4</v>
      </c>
      <c r="Q6" s="300"/>
      <c r="R6" s="178">
        <f t="shared" si="1"/>
        <v>13.4</v>
      </c>
      <c r="S6" s="181">
        <f t="shared" si="4"/>
        <v>0.13400000000000001</v>
      </c>
      <c r="T6" s="179">
        <f t="shared" si="5"/>
        <v>4.63</v>
      </c>
      <c r="U6" s="290"/>
      <c r="V6" s="290"/>
      <c r="W6" s="166">
        <f t="shared" si="6"/>
        <v>0</v>
      </c>
      <c r="X6" s="166">
        <v>4.6520999999999999</v>
      </c>
      <c r="Y6" s="166">
        <f t="shared" si="7"/>
        <v>1.0047732181425486</v>
      </c>
    </row>
    <row r="7" spans="1:25">
      <c r="A7" s="204" t="s">
        <v>7691</v>
      </c>
      <c r="B7" s="205">
        <v>41261</v>
      </c>
      <c r="C7" s="204"/>
      <c r="D7" s="204"/>
      <c r="E7" s="204" t="s">
        <v>7798</v>
      </c>
      <c r="F7" s="204" t="s">
        <v>7440</v>
      </c>
      <c r="G7" s="204"/>
      <c r="H7" s="163" t="s">
        <v>7718</v>
      </c>
      <c r="I7" s="163" t="s">
        <v>7718</v>
      </c>
      <c r="J7" s="206" t="e">
        <f t="shared" si="2"/>
        <v>#VALUE!</v>
      </c>
      <c r="K7" s="204">
        <v>29</v>
      </c>
      <c r="L7" s="189">
        <f t="shared" si="3"/>
        <v>0.1375968992248062</v>
      </c>
      <c r="M7" s="308">
        <v>103.2</v>
      </c>
      <c r="N7" s="309"/>
      <c r="O7" s="207">
        <f t="shared" si="0"/>
        <v>103.2</v>
      </c>
      <c r="P7" s="301">
        <v>14.2</v>
      </c>
      <c r="Q7" s="302"/>
      <c r="R7" s="206">
        <f t="shared" si="1"/>
        <v>14.2</v>
      </c>
      <c r="S7" s="208">
        <f t="shared" si="4"/>
        <v>0.14199999999999999</v>
      </c>
      <c r="T7" s="209">
        <f t="shared" si="5"/>
        <v>4.63</v>
      </c>
      <c r="U7" s="305"/>
      <c r="V7" s="305"/>
      <c r="W7" s="210">
        <f t="shared" si="6"/>
        <v>0</v>
      </c>
      <c r="X7" s="210">
        <v>4.6387999999999998</v>
      </c>
      <c r="Y7" s="210">
        <f t="shared" si="7"/>
        <v>1.001900647948164</v>
      </c>
    </row>
    <row r="8" spans="1:25" s="225" customFormat="1" ht="13" thickBot="1">
      <c r="A8" s="217" t="s">
        <v>7691</v>
      </c>
      <c r="B8" s="218">
        <v>41261</v>
      </c>
      <c r="C8" s="217"/>
      <c r="D8" s="217"/>
      <c r="E8" s="217" t="s">
        <v>7798</v>
      </c>
      <c r="F8" s="217" t="s">
        <v>7439</v>
      </c>
      <c r="G8" s="220"/>
      <c r="H8" s="233" t="s">
        <v>7718</v>
      </c>
      <c r="I8" s="233" t="s">
        <v>7718</v>
      </c>
      <c r="J8" s="228" t="e">
        <f t="shared" si="2"/>
        <v>#VALUE!</v>
      </c>
      <c r="K8" s="217">
        <v>38</v>
      </c>
      <c r="L8" s="220">
        <f t="shared" si="3"/>
        <v>0.16014669926650366</v>
      </c>
      <c r="M8" s="310">
        <v>163.6</v>
      </c>
      <c r="N8" s="311"/>
      <c r="O8" s="221">
        <f t="shared" si="0"/>
        <v>163.6</v>
      </c>
      <c r="P8" s="303">
        <v>26.2</v>
      </c>
      <c r="Q8" s="304"/>
      <c r="R8" s="219">
        <f t="shared" si="1"/>
        <v>26.2</v>
      </c>
      <c r="S8" s="222">
        <f t="shared" si="4"/>
        <v>0.26200000000000001</v>
      </c>
      <c r="T8" s="223">
        <f t="shared" si="5"/>
        <v>4.63</v>
      </c>
      <c r="U8" s="297"/>
      <c r="V8" s="297"/>
      <c r="W8" s="224">
        <f t="shared" si="6"/>
        <v>0</v>
      </c>
      <c r="X8" s="224">
        <v>4.7861000000000002</v>
      </c>
      <c r="Y8" s="224">
        <f t="shared" si="7"/>
        <v>1.0337149028077754</v>
      </c>
    </row>
    <row r="9" spans="1:25" ht="13" thickTop="1">
      <c r="A9" s="175" t="s">
        <v>7690</v>
      </c>
      <c r="B9" s="211">
        <v>41313</v>
      </c>
      <c r="C9" s="175"/>
      <c r="D9" s="175"/>
      <c r="E9" s="175" t="s">
        <v>7799</v>
      </c>
      <c r="F9" s="175" t="s">
        <v>7439</v>
      </c>
      <c r="G9" s="212"/>
      <c r="H9" s="234" t="s">
        <v>7718</v>
      </c>
      <c r="I9" s="234" t="s">
        <v>7718</v>
      </c>
      <c r="J9" s="229" t="e">
        <f t="shared" si="2"/>
        <v>#VALUE!</v>
      </c>
      <c r="K9" s="213">
        <v>24</v>
      </c>
      <c r="L9" s="212">
        <f t="shared" si="3"/>
        <v>0.17562380038387715</v>
      </c>
      <c r="M9" s="306">
        <v>104.2</v>
      </c>
      <c r="N9" s="307"/>
      <c r="O9" s="214">
        <f t="shared" si="0"/>
        <v>104.2</v>
      </c>
      <c r="P9" s="299">
        <v>18.3</v>
      </c>
      <c r="Q9" s="300"/>
      <c r="R9" s="212">
        <f t="shared" si="1"/>
        <v>18.3</v>
      </c>
      <c r="S9" s="236">
        <f t="shared" si="4"/>
        <v>0.183</v>
      </c>
      <c r="T9" s="215">
        <f t="shared" si="5"/>
        <v>4.63</v>
      </c>
      <c r="U9" s="298"/>
      <c r="V9" s="298"/>
      <c r="W9" s="216">
        <f t="shared" si="6"/>
        <v>0</v>
      </c>
      <c r="X9" s="216">
        <v>4.5056000000000003</v>
      </c>
      <c r="Y9" s="216">
        <f t="shared" si="7"/>
        <v>0.97313174946004333</v>
      </c>
    </row>
    <row r="10" spans="1:25">
      <c r="A10" s="167" t="s">
        <v>7690</v>
      </c>
      <c r="B10" s="168">
        <v>41313</v>
      </c>
      <c r="C10" s="167"/>
      <c r="D10" s="167"/>
      <c r="E10" s="167" t="s">
        <v>7799</v>
      </c>
      <c r="F10" s="167" t="s">
        <v>7440</v>
      </c>
      <c r="G10" s="173"/>
      <c r="H10" s="232" t="s">
        <v>7718</v>
      </c>
      <c r="I10" s="232" t="s">
        <v>7718</v>
      </c>
      <c r="J10" s="230" t="e">
        <f t="shared" si="2"/>
        <v>#VALUE!</v>
      </c>
      <c r="K10" s="184">
        <v>34</v>
      </c>
      <c r="L10" s="173">
        <f t="shared" si="3"/>
        <v>0.15250809061488674</v>
      </c>
      <c r="M10" s="295">
        <v>247.2</v>
      </c>
      <c r="N10" s="296"/>
      <c r="O10" s="176">
        <f t="shared" si="0"/>
        <v>247.2</v>
      </c>
      <c r="P10" s="299">
        <v>37.700000000000003</v>
      </c>
      <c r="Q10" s="300"/>
      <c r="R10" s="173">
        <f t="shared" si="1"/>
        <v>37.700000000000003</v>
      </c>
      <c r="S10" s="235">
        <f t="shared" si="4"/>
        <v>0.377</v>
      </c>
      <c r="T10" s="181">
        <f t="shared" si="5"/>
        <v>4.63</v>
      </c>
      <c r="U10" s="290"/>
      <c r="V10" s="290"/>
      <c r="W10" s="166">
        <f t="shared" si="6"/>
        <v>0</v>
      </c>
      <c r="X10" s="166">
        <v>4.8512000000000004</v>
      </c>
      <c r="Y10" s="166">
        <f t="shared" si="7"/>
        <v>1.0477753779697625</v>
      </c>
    </row>
    <row r="11" spans="1:25">
      <c r="A11" s="167" t="s">
        <v>7690</v>
      </c>
      <c r="B11" s="168">
        <v>41313</v>
      </c>
      <c r="C11" s="167"/>
      <c r="D11" s="167"/>
      <c r="E11" s="167" t="s">
        <v>7800</v>
      </c>
      <c r="F11" s="167" t="s">
        <v>7439</v>
      </c>
      <c r="G11" s="173"/>
      <c r="H11" s="232" t="s">
        <v>7718</v>
      </c>
      <c r="I11" s="232" t="s">
        <v>7718</v>
      </c>
      <c r="J11" s="230" t="e">
        <f t="shared" si="2"/>
        <v>#VALUE!</v>
      </c>
      <c r="K11" s="184">
        <v>27</v>
      </c>
      <c r="L11" s="173">
        <f t="shared" si="3"/>
        <v>0.15583508036338226</v>
      </c>
      <c r="M11" s="295">
        <v>143.1</v>
      </c>
      <c r="N11" s="296"/>
      <c r="O11" s="176">
        <f>M11+N11</f>
        <v>143.1</v>
      </c>
      <c r="P11" s="299">
        <v>22.3</v>
      </c>
      <c r="Q11" s="300"/>
      <c r="R11" s="173">
        <f>P11+Q11</f>
        <v>22.3</v>
      </c>
      <c r="S11" s="235">
        <f t="shared" si="4"/>
        <v>0.223</v>
      </c>
      <c r="T11" s="181">
        <f t="shared" si="5"/>
        <v>4.63</v>
      </c>
      <c r="U11" s="166"/>
      <c r="V11" s="166"/>
      <c r="W11" s="166">
        <f>(U11*P11)+(V11*Q11)</f>
        <v>0</v>
      </c>
      <c r="X11" s="166">
        <v>4.7754000000000003</v>
      </c>
      <c r="Y11" s="166">
        <f t="shared" si="7"/>
        <v>1.0314038876889851</v>
      </c>
    </row>
    <row r="12" spans="1:25">
      <c r="A12" s="167" t="s">
        <v>7690</v>
      </c>
      <c r="B12" s="168">
        <v>41313</v>
      </c>
      <c r="C12" s="167"/>
      <c r="D12" s="167"/>
      <c r="E12" s="167" t="s">
        <v>7800</v>
      </c>
      <c r="F12" s="167" t="s">
        <v>7440</v>
      </c>
      <c r="G12" s="173"/>
      <c r="H12" s="232" t="s">
        <v>7718</v>
      </c>
      <c r="I12" s="232" t="s">
        <v>7718</v>
      </c>
      <c r="J12" s="230" t="e">
        <f t="shared" si="2"/>
        <v>#VALUE!</v>
      </c>
      <c r="K12" s="184">
        <v>40</v>
      </c>
      <c r="L12" s="173">
        <f t="shared" si="3"/>
        <v>0.14381164492523069</v>
      </c>
      <c r="M12" s="295">
        <v>314.3</v>
      </c>
      <c r="N12" s="296"/>
      <c r="O12" s="176">
        <f t="shared" ref="O12:O22" si="8">M12+N12</f>
        <v>314.3</v>
      </c>
      <c r="P12" s="299">
        <v>45.2</v>
      </c>
      <c r="Q12" s="300"/>
      <c r="R12" s="173">
        <f t="shared" ref="R12:R22" si="9">P12+Q12</f>
        <v>45.2</v>
      </c>
      <c r="S12" s="235">
        <f t="shared" si="4"/>
        <v>0.45200000000000001</v>
      </c>
      <c r="T12" s="181">
        <f t="shared" si="5"/>
        <v>4.63</v>
      </c>
      <c r="U12" s="166"/>
      <c r="V12" s="166"/>
      <c r="W12" s="166">
        <f t="shared" ref="W12:W22" si="10">(U12*P12)+(V12*Q12)</f>
        <v>0</v>
      </c>
      <c r="X12" s="166">
        <v>4.8167999999999997</v>
      </c>
      <c r="Y12" s="166">
        <f t="shared" si="7"/>
        <v>1.0403455723542117</v>
      </c>
    </row>
    <row r="13" spans="1:25">
      <c r="A13" s="204" t="s">
        <v>7690</v>
      </c>
      <c r="B13" s="205">
        <v>41313</v>
      </c>
      <c r="C13" s="204"/>
      <c r="D13" s="204"/>
      <c r="E13" s="204" t="s">
        <v>7801</v>
      </c>
      <c r="F13" s="204" t="s">
        <v>7439</v>
      </c>
      <c r="G13" s="189"/>
      <c r="H13" s="232" t="s">
        <v>7718</v>
      </c>
      <c r="I13" s="232" t="s">
        <v>7718</v>
      </c>
      <c r="J13" s="231" t="e">
        <f t="shared" si="2"/>
        <v>#VALUE!</v>
      </c>
      <c r="K13" s="226">
        <v>38</v>
      </c>
      <c r="L13" s="189">
        <f t="shared" si="3"/>
        <v>0.1486220472440945</v>
      </c>
      <c r="M13" s="295">
        <v>101.6</v>
      </c>
      <c r="N13" s="296"/>
      <c r="O13" s="207">
        <f t="shared" si="8"/>
        <v>101.6</v>
      </c>
      <c r="P13" s="299">
        <v>15.1</v>
      </c>
      <c r="Q13" s="300"/>
      <c r="R13" s="189">
        <f t="shared" si="9"/>
        <v>15.1</v>
      </c>
      <c r="S13" s="235">
        <f t="shared" si="4"/>
        <v>0.151</v>
      </c>
      <c r="T13" s="208">
        <f t="shared" si="5"/>
        <v>4.63</v>
      </c>
      <c r="U13" s="210"/>
      <c r="V13" s="210"/>
      <c r="W13" s="210">
        <f t="shared" si="10"/>
        <v>0</v>
      </c>
      <c r="X13" s="210">
        <v>5.0468000000000002</v>
      </c>
      <c r="Y13" s="210">
        <f t="shared" si="7"/>
        <v>1.0900215982721382</v>
      </c>
    </row>
    <row r="14" spans="1:25" s="225" customFormat="1" ht="13" thickBot="1">
      <c r="A14" s="217" t="s">
        <v>7690</v>
      </c>
      <c r="B14" s="218">
        <v>41313</v>
      </c>
      <c r="C14" s="217"/>
      <c r="D14" s="217"/>
      <c r="E14" s="217" t="s">
        <v>7801</v>
      </c>
      <c r="F14" s="217" t="s">
        <v>7440</v>
      </c>
      <c r="G14" s="220"/>
      <c r="H14" s="233" t="s">
        <v>7718</v>
      </c>
      <c r="I14" s="233" t="s">
        <v>7718</v>
      </c>
      <c r="J14" s="228" t="e">
        <f t="shared" si="2"/>
        <v>#VALUE!</v>
      </c>
      <c r="K14" s="227">
        <v>33</v>
      </c>
      <c r="L14" s="220">
        <f t="shared" si="3"/>
        <v>0.14622015915119363</v>
      </c>
      <c r="M14" s="312">
        <v>301.60000000000002</v>
      </c>
      <c r="N14" s="313"/>
      <c r="O14" s="221">
        <f t="shared" si="8"/>
        <v>301.60000000000002</v>
      </c>
      <c r="P14" s="303">
        <v>44.1</v>
      </c>
      <c r="Q14" s="304"/>
      <c r="R14" s="220">
        <f t="shared" si="9"/>
        <v>44.1</v>
      </c>
      <c r="S14" s="237">
        <f t="shared" si="4"/>
        <v>0.441</v>
      </c>
      <c r="T14" s="222">
        <f t="shared" si="5"/>
        <v>4.63</v>
      </c>
      <c r="U14" s="224"/>
      <c r="V14" s="224"/>
      <c r="W14" s="224">
        <f t="shared" si="10"/>
        <v>0</v>
      </c>
      <c r="X14" s="224">
        <v>4.9115000000000002</v>
      </c>
      <c r="Y14" s="224">
        <f t="shared" si="7"/>
        <v>1.0607991360691145</v>
      </c>
    </row>
    <row r="15" spans="1:25" ht="13" thickTop="1">
      <c r="A15" s="175" t="s">
        <v>7689</v>
      </c>
      <c r="B15" s="211">
        <v>41386</v>
      </c>
      <c r="C15" s="175"/>
      <c r="D15" s="175"/>
      <c r="E15" s="175" t="s">
        <v>7796</v>
      </c>
      <c r="F15" s="175" t="s">
        <v>7439</v>
      </c>
      <c r="G15" s="212"/>
      <c r="H15" s="234" t="s">
        <v>7718</v>
      </c>
      <c r="I15" s="234" t="s">
        <v>7718</v>
      </c>
      <c r="J15" s="229" t="e">
        <f t="shared" si="2"/>
        <v>#VALUE!</v>
      </c>
      <c r="K15" s="213">
        <v>15</v>
      </c>
      <c r="L15" s="212">
        <f t="shared" si="3"/>
        <v>0.11529472864191119</v>
      </c>
      <c r="M15" s="175">
        <v>779</v>
      </c>
      <c r="N15" s="175">
        <v>376.3</v>
      </c>
      <c r="O15" s="214">
        <f t="shared" si="8"/>
        <v>1155.3</v>
      </c>
      <c r="P15" s="175">
        <v>92</v>
      </c>
      <c r="Q15" s="175">
        <v>41.2</v>
      </c>
      <c r="R15" s="212">
        <f t="shared" si="9"/>
        <v>133.19999999999999</v>
      </c>
      <c r="S15" s="236">
        <f t="shared" si="4"/>
        <v>1.3319999999999999</v>
      </c>
      <c r="T15" s="215">
        <f t="shared" si="5"/>
        <v>4.1701526981319672</v>
      </c>
      <c r="U15" s="216">
        <v>4.3772000000000002</v>
      </c>
      <c r="V15" s="216">
        <v>3.4573</v>
      </c>
      <c r="W15" s="216">
        <f t="shared" si="10"/>
        <v>545.14316000000008</v>
      </c>
      <c r="X15" s="216">
        <f t="shared" ref="X15:X22" si="11">W15/R15</f>
        <v>4.0926663663663669</v>
      </c>
      <c r="Y15" s="216">
        <f t="shared" si="7"/>
        <v>0.98141882626976451</v>
      </c>
    </row>
    <row r="16" spans="1:25">
      <c r="A16" s="167" t="s">
        <v>7689</v>
      </c>
      <c r="B16" s="211">
        <v>41386</v>
      </c>
      <c r="C16" s="167"/>
      <c r="D16" s="167"/>
      <c r="E16" s="167" t="s">
        <v>7799</v>
      </c>
      <c r="F16" s="167" t="s">
        <v>7440</v>
      </c>
      <c r="G16" s="212"/>
      <c r="H16" s="232" t="s">
        <v>7718</v>
      </c>
      <c r="I16" s="232" t="s">
        <v>7718</v>
      </c>
      <c r="J16" s="230" t="e">
        <f t="shared" si="2"/>
        <v>#VALUE!</v>
      </c>
      <c r="K16" s="184">
        <v>24</v>
      </c>
      <c r="L16" s="173">
        <f t="shared" si="3"/>
        <v>0.10088331008833101</v>
      </c>
      <c r="M16" s="167">
        <v>1631.2</v>
      </c>
      <c r="N16" s="167">
        <v>1165.0999999999999</v>
      </c>
      <c r="O16" s="176">
        <f t="shared" si="8"/>
        <v>2796.3</v>
      </c>
      <c r="P16" s="167">
        <v>170.1</v>
      </c>
      <c r="Q16" s="167">
        <v>112</v>
      </c>
      <c r="R16" s="173">
        <f t="shared" si="9"/>
        <v>282.10000000000002</v>
      </c>
      <c r="S16" s="235">
        <f t="shared" si="4"/>
        <v>2.8210000000000002</v>
      </c>
      <c r="T16" s="181">
        <f t="shared" si="5"/>
        <v>3.4568237924977088</v>
      </c>
      <c r="U16" s="166">
        <v>3.8738999999999999</v>
      </c>
      <c r="V16" s="166">
        <v>3.0470000000000002</v>
      </c>
      <c r="W16" s="166">
        <f t="shared" si="10"/>
        <v>1000.21439</v>
      </c>
      <c r="X16" s="166">
        <f t="shared" si="11"/>
        <v>3.5456022332506199</v>
      </c>
      <c r="Y16" s="166">
        <f t="shared" si="7"/>
        <v>1.0256820845035797</v>
      </c>
    </row>
    <row r="17" spans="1:25">
      <c r="A17" s="167" t="s">
        <v>7689</v>
      </c>
      <c r="B17" s="211">
        <v>41386</v>
      </c>
      <c r="C17" s="167"/>
      <c r="D17" s="167"/>
      <c r="E17" s="167" t="s">
        <v>7799</v>
      </c>
      <c r="F17" s="167" t="s">
        <v>7439</v>
      </c>
      <c r="G17" s="212"/>
      <c r="H17" s="232" t="s">
        <v>7718</v>
      </c>
      <c r="I17" s="232" t="s">
        <v>7718</v>
      </c>
      <c r="J17" s="230" t="e">
        <f t="shared" si="2"/>
        <v>#VALUE!</v>
      </c>
      <c r="K17" s="184">
        <v>33</v>
      </c>
      <c r="L17" s="173">
        <f t="shared" si="3"/>
        <v>0.11532889017676037</v>
      </c>
      <c r="M17" s="167">
        <v>1218.5</v>
      </c>
      <c r="N17" s="167">
        <v>852.1</v>
      </c>
      <c r="O17" s="176">
        <f t="shared" si="8"/>
        <v>2070.6</v>
      </c>
      <c r="P17" s="167">
        <v>142.80000000000001</v>
      </c>
      <c r="Q17" s="167">
        <v>96</v>
      </c>
      <c r="R17" s="173">
        <f t="shared" si="9"/>
        <v>238.8</v>
      </c>
      <c r="S17" s="235">
        <f t="shared" si="4"/>
        <v>2.3879999999999999</v>
      </c>
      <c r="T17" s="181">
        <f t="shared" si="5"/>
        <v>3.6038726289555614</v>
      </c>
      <c r="U17" s="166">
        <v>3.5497000000000001</v>
      </c>
      <c r="V17" s="166">
        <v>2.7202000000000002</v>
      </c>
      <c r="W17" s="166">
        <f t="shared" si="10"/>
        <v>768.03636000000006</v>
      </c>
      <c r="X17" s="166">
        <f t="shared" si="11"/>
        <v>3.2162326633165832</v>
      </c>
      <c r="Y17" s="166">
        <f t="shared" si="7"/>
        <v>0.89243793953080963</v>
      </c>
    </row>
    <row r="18" spans="1:25">
      <c r="A18" s="167" t="s">
        <v>7689</v>
      </c>
      <c r="B18" s="211">
        <v>41386</v>
      </c>
      <c r="C18" s="167"/>
      <c r="D18" s="167"/>
      <c r="E18" s="167" t="s">
        <v>7796</v>
      </c>
      <c r="F18" s="167" t="s">
        <v>7440</v>
      </c>
      <c r="G18" s="212"/>
      <c r="H18" s="232" t="s">
        <v>7718</v>
      </c>
      <c r="I18" s="232" t="s">
        <v>7718</v>
      </c>
      <c r="J18" s="230" t="e">
        <f t="shared" si="2"/>
        <v>#VALUE!</v>
      </c>
      <c r="K18" s="184">
        <v>30</v>
      </c>
      <c r="L18" s="173">
        <f t="shared" si="3"/>
        <v>0.10380228136882129</v>
      </c>
      <c r="M18" s="167">
        <v>1437.5</v>
      </c>
      <c r="N18" s="167">
        <v>1192.5</v>
      </c>
      <c r="O18" s="176">
        <f t="shared" si="8"/>
        <v>2630</v>
      </c>
      <c r="P18" s="167">
        <v>152.1</v>
      </c>
      <c r="Q18" s="167">
        <v>120.9</v>
      </c>
      <c r="R18" s="173">
        <f t="shared" si="9"/>
        <v>273</v>
      </c>
      <c r="S18" s="235">
        <f t="shared" si="4"/>
        <v>2.73</v>
      </c>
      <c r="T18" s="181">
        <f t="shared" si="5"/>
        <v>3.4852774167454643</v>
      </c>
      <c r="U18" s="166">
        <v>4.0782999999999996</v>
      </c>
      <c r="V18" s="166">
        <v>3.2965</v>
      </c>
      <c r="W18" s="166">
        <f t="shared" si="10"/>
        <v>1018.85628</v>
      </c>
      <c r="X18" s="166">
        <f t="shared" si="11"/>
        <v>3.7320742857142855</v>
      </c>
      <c r="Y18" s="166">
        <f t="shared" si="7"/>
        <v>1.0708112553058342</v>
      </c>
    </row>
    <row r="19" spans="1:25">
      <c r="A19" s="167" t="s">
        <v>7689</v>
      </c>
      <c r="B19" s="168">
        <v>41419</v>
      </c>
      <c r="C19" s="167"/>
      <c r="D19" s="167"/>
      <c r="E19" s="167" t="s">
        <v>7800</v>
      </c>
      <c r="F19" s="167" t="s">
        <v>7439</v>
      </c>
      <c r="G19" s="212"/>
      <c r="H19" s="232" t="s">
        <v>7718</v>
      </c>
      <c r="I19" s="232" t="s">
        <v>7718</v>
      </c>
      <c r="J19" s="230" t="e">
        <f t="shared" si="2"/>
        <v>#VALUE!</v>
      </c>
      <c r="K19" s="184">
        <v>38</v>
      </c>
      <c r="L19" s="173">
        <f t="shared" si="3"/>
        <v>0.12569250717064162</v>
      </c>
      <c r="M19" s="167">
        <v>1189.8</v>
      </c>
      <c r="N19" s="167">
        <v>1355.3</v>
      </c>
      <c r="O19" s="176">
        <f t="shared" si="8"/>
        <v>2545.1</v>
      </c>
      <c r="P19" s="167">
        <v>123.2</v>
      </c>
      <c r="Q19" s="167">
        <v>196.7</v>
      </c>
      <c r="R19" s="173">
        <f t="shared" si="9"/>
        <v>319.89999999999998</v>
      </c>
      <c r="S19" s="235">
        <f t="shared" si="4"/>
        <v>3.1989999999999998</v>
      </c>
      <c r="T19" s="181">
        <f t="shared" si="5"/>
        <v>3.3498430070947842</v>
      </c>
      <c r="U19" s="166">
        <v>3.8045</v>
      </c>
      <c r="V19" s="166">
        <v>2.6377999999999999</v>
      </c>
      <c r="W19" s="166">
        <f t="shared" si="10"/>
        <v>987.56965999999989</v>
      </c>
      <c r="X19" s="166">
        <f t="shared" si="11"/>
        <v>3.0871199124726476</v>
      </c>
      <c r="Y19" s="166">
        <f>X19/T19</f>
        <v>0.92157152019790078</v>
      </c>
    </row>
    <row r="20" spans="1:25">
      <c r="A20" s="167" t="s">
        <v>7689</v>
      </c>
      <c r="B20" s="168">
        <v>41419</v>
      </c>
      <c r="C20" s="167"/>
      <c r="D20" s="167"/>
      <c r="E20" s="167" t="s">
        <v>7800</v>
      </c>
      <c r="F20" s="167" t="s">
        <v>7440</v>
      </c>
      <c r="G20" s="212"/>
      <c r="H20" s="232" t="s">
        <v>7718</v>
      </c>
      <c r="I20" s="232" t="s">
        <v>7718</v>
      </c>
      <c r="J20" s="230" t="e">
        <f t="shared" si="2"/>
        <v>#VALUE!</v>
      </c>
      <c r="K20" s="184">
        <v>50</v>
      </c>
      <c r="L20" s="173">
        <f t="shared" si="3"/>
        <v>0.1049564315933989</v>
      </c>
      <c r="M20" s="167">
        <v>1598.8</v>
      </c>
      <c r="N20" s="167">
        <v>1970.3</v>
      </c>
      <c r="O20" s="176">
        <f t="shared" si="8"/>
        <v>3569.1</v>
      </c>
      <c r="P20" s="167">
        <v>150.5</v>
      </c>
      <c r="Q20" s="167">
        <v>224.1</v>
      </c>
      <c r="R20" s="173">
        <f t="shared" si="9"/>
        <v>374.6</v>
      </c>
      <c r="S20" s="235">
        <f t="shared" si="4"/>
        <v>3.7460000000000004</v>
      </c>
      <c r="T20" s="181">
        <f t="shared" si="5"/>
        <v>3.2202239132705426</v>
      </c>
      <c r="U20" s="166">
        <v>3.7698999999999998</v>
      </c>
      <c r="V20" s="166">
        <v>2.5478000000000001</v>
      </c>
      <c r="W20" s="166">
        <f t="shared" si="10"/>
        <v>1138.3319300000001</v>
      </c>
      <c r="X20" s="166">
        <f t="shared" si="11"/>
        <v>3.0387931927389213</v>
      </c>
      <c r="Y20" s="166">
        <f t="shared" si="7"/>
        <v>0.94365897359374751</v>
      </c>
    </row>
    <row r="21" spans="1:25">
      <c r="A21" s="167" t="s">
        <v>7689</v>
      </c>
      <c r="B21" s="168">
        <v>41419</v>
      </c>
      <c r="C21" s="167"/>
      <c r="D21" s="167"/>
      <c r="E21" s="167" t="s">
        <v>7797</v>
      </c>
      <c r="F21" s="167" t="s">
        <v>7439</v>
      </c>
      <c r="G21" s="212"/>
      <c r="H21" s="232" t="s">
        <v>7718</v>
      </c>
      <c r="I21" s="232" t="s">
        <v>7718</v>
      </c>
      <c r="J21" s="230" t="e">
        <f t="shared" si="2"/>
        <v>#VALUE!</v>
      </c>
      <c r="K21" s="184">
        <v>27</v>
      </c>
      <c r="L21" s="173">
        <f t="shared" si="3"/>
        <v>0.10108995649529869</v>
      </c>
      <c r="M21" s="167">
        <v>938.1</v>
      </c>
      <c r="N21" s="167">
        <v>1199.5999999999999</v>
      </c>
      <c r="O21" s="176">
        <f t="shared" si="8"/>
        <v>2137.6999999999998</v>
      </c>
      <c r="P21" s="167">
        <v>78.400000000000006</v>
      </c>
      <c r="Q21" s="167">
        <v>137.69999999999999</v>
      </c>
      <c r="R21" s="173">
        <f t="shared" si="9"/>
        <v>216.1</v>
      </c>
      <c r="S21" s="235">
        <f t="shared" si="4"/>
        <v>2.161</v>
      </c>
      <c r="T21" s="181">
        <f t="shared" si="5"/>
        <v>3.6949989751754182</v>
      </c>
      <c r="U21" s="166">
        <v>2.0276999999999998</v>
      </c>
      <c r="V21" s="166">
        <v>4.5663</v>
      </c>
      <c r="W21" s="166">
        <f t="shared" si="10"/>
        <v>787.75118999999995</v>
      </c>
      <c r="X21" s="166">
        <f t="shared" si="11"/>
        <v>3.6453086071263301</v>
      </c>
      <c r="Y21" s="166">
        <f t="shared" si="7"/>
        <v>0.9865519940917632</v>
      </c>
    </row>
    <row r="22" spans="1:25" s="244" customFormat="1" ht="13" thickBot="1">
      <c r="A22" s="238" t="s">
        <v>7689</v>
      </c>
      <c r="B22" s="239">
        <v>41419</v>
      </c>
      <c r="C22" s="238"/>
      <c r="D22" s="238"/>
      <c r="E22" s="238" t="s">
        <v>7797</v>
      </c>
      <c r="F22" s="238" t="s">
        <v>7440</v>
      </c>
      <c r="G22" s="245"/>
      <c r="H22" s="233" t="s">
        <v>7718</v>
      </c>
      <c r="I22" s="233" t="s">
        <v>7718</v>
      </c>
      <c r="J22" s="241" t="e">
        <f t="shared" si="2"/>
        <v>#VALUE!</v>
      </c>
      <c r="K22" s="242">
        <v>40</v>
      </c>
      <c r="L22" s="240">
        <f t="shared" si="3"/>
        <v>9.2883830046050914E-2</v>
      </c>
      <c r="M22" s="238">
        <v>1906.3</v>
      </c>
      <c r="N22" s="238">
        <v>2697.3</v>
      </c>
      <c r="O22" s="221">
        <f t="shared" si="8"/>
        <v>4603.6000000000004</v>
      </c>
      <c r="P22" s="238">
        <v>164.5</v>
      </c>
      <c r="Q22" s="238">
        <v>263.10000000000002</v>
      </c>
      <c r="R22" s="240">
        <f t="shared" si="9"/>
        <v>427.6</v>
      </c>
      <c r="S22" s="237">
        <f t="shared" si="4"/>
        <v>4.2759999999999998</v>
      </c>
      <c r="T22" s="243">
        <f t="shared" si="5"/>
        <v>3.1154342484839881</v>
      </c>
      <c r="U22" s="224">
        <v>2.7488999999999999</v>
      </c>
      <c r="V22" s="224">
        <v>3.4297</v>
      </c>
      <c r="W22" s="224">
        <f t="shared" si="10"/>
        <v>1354.5481200000002</v>
      </c>
      <c r="X22" s="224">
        <f t="shared" si="11"/>
        <v>3.1677926099158094</v>
      </c>
      <c r="Y22" s="224">
        <f t="shared" si="7"/>
        <v>1.0168061198715073</v>
      </c>
    </row>
    <row r="23" spans="1:25" ht="13" thickTop="1">
      <c r="P23" s="165"/>
      <c r="Q23" s="165"/>
    </row>
    <row r="24" spans="1:25" ht="13">
      <c r="A24" s="164" t="s">
        <v>7688</v>
      </c>
      <c r="P24" s="165"/>
      <c r="Q24" s="165"/>
    </row>
    <row r="25" spans="1:25" ht="13">
      <c r="A25" s="163" t="s">
        <v>7687</v>
      </c>
      <c r="P25" s="165"/>
      <c r="Q25" s="165"/>
    </row>
    <row r="26" spans="1:25" ht="13">
      <c r="A26" s="163" t="s">
        <v>7686</v>
      </c>
    </row>
    <row r="27" spans="1:25" ht="13">
      <c r="A27" s="163" t="s">
        <v>7685</v>
      </c>
    </row>
    <row r="28" spans="1:25" ht="13">
      <c r="A28" s="164" t="s">
        <v>7802</v>
      </c>
      <c r="P28" s="165"/>
      <c r="Q28" s="165"/>
    </row>
    <row r="29" spans="1:25" ht="13">
      <c r="A29" s="164" t="s">
        <v>7684</v>
      </c>
      <c r="P29" s="165"/>
      <c r="Q29" s="165"/>
    </row>
    <row r="30" spans="1:25" ht="13">
      <c r="A30" s="164" t="s">
        <v>7683</v>
      </c>
    </row>
    <row r="31" spans="1:25" ht="13">
      <c r="A31" s="163" t="s">
        <v>7682</v>
      </c>
    </row>
    <row r="32" spans="1:25" ht="13">
      <c r="A32" s="163" t="s">
        <v>7681</v>
      </c>
    </row>
    <row r="33" spans="1:1" ht="13">
      <c r="A33" s="163" t="s">
        <v>7680</v>
      </c>
    </row>
    <row r="34" spans="1:1" ht="13">
      <c r="A34" s="163" t="s">
        <v>7679</v>
      </c>
    </row>
    <row r="36" spans="1:1" ht="13">
      <c r="A36" s="163" t="s">
        <v>7723</v>
      </c>
    </row>
  </sheetData>
  <sheetProtection selectLockedCells="1" selectUnlockedCells="1"/>
  <mergeCells count="36">
    <mergeCell ref="M11:N11"/>
    <mergeCell ref="M12:N12"/>
    <mergeCell ref="M13:N13"/>
    <mergeCell ref="M14:N14"/>
    <mergeCell ref="P11:Q11"/>
    <mergeCell ref="P12:Q12"/>
    <mergeCell ref="P13:Q13"/>
    <mergeCell ref="P14:Q14"/>
    <mergeCell ref="M9:N9"/>
    <mergeCell ref="M10:N10"/>
    <mergeCell ref="M4:N4"/>
    <mergeCell ref="M5:N5"/>
    <mergeCell ref="M6:N6"/>
    <mergeCell ref="M7:N7"/>
    <mergeCell ref="M8:N8"/>
    <mergeCell ref="U10:V10"/>
    <mergeCell ref="U8:V8"/>
    <mergeCell ref="U9:V9"/>
    <mergeCell ref="P3:Q3"/>
    <mergeCell ref="P4:Q4"/>
    <mergeCell ref="P5:Q5"/>
    <mergeCell ref="P6:Q6"/>
    <mergeCell ref="P7:Q7"/>
    <mergeCell ref="P8:Q8"/>
    <mergeCell ref="U4:V4"/>
    <mergeCell ref="U5:V5"/>
    <mergeCell ref="U7:V7"/>
    <mergeCell ref="U6:V6"/>
    <mergeCell ref="P9:Q9"/>
    <mergeCell ref="P10:Q10"/>
    <mergeCell ref="K1:R1"/>
    <mergeCell ref="H1:J1"/>
    <mergeCell ref="U3:V3"/>
    <mergeCell ref="S1:T1"/>
    <mergeCell ref="U1:W1"/>
    <mergeCell ref="M3:N3"/>
  </mergeCell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268"/>
  <sheetViews>
    <sheetView zoomScale="60" zoomScaleNormal="60" workbookViewId="0">
      <selection activeCell="M79" sqref="M79"/>
    </sheetView>
  </sheetViews>
  <sheetFormatPr baseColWidth="10" defaultRowHeight="11.5"/>
  <cols>
    <col min="2" max="2" width="3.69921875" customWidth="1"/>
    <col min="9" max="9" width="3.69921875" customWidth="1"/>
  </cols>
  <sheetData>
    <row r="1" spans="1:10">
      <c r="C1" t="s">
        <v>7948</v>
      </c>
      <c r="D1" s="256" t="s">
        <v>7949</v>
      </c>
    </row>
    <row r="2" spans="1:10" ht="13.5" thickBot="1">
      <c r="E2" s="257"/>
      <c r="F2" s="257"/>
    </row>
    <row r="3" spans="1:10">
      <c r="B3" s="318">
        <v>1</v>
      </c>
      <c r="C3" s="314" t="s">
        <v>7950</v>
      </c>
      <c r="D3" s="314" t="s">
        <v>7950</v>
      </c>
      <c r="E3" s="314" t="s">
        <v>7950</v>
      </c>
      <c r="F3" s="314" t="s">
        <v>7950</v>
      </c>
      <c r="G3" s="314" t="s">
        <v>7950</v>
      </c>
      <c r="H3" s="314" t="s">
        <v>7950</v>
      </c>
      <c r="I3" s="318">
        <v>1</v>
      </c>
    </row>
    <row r="4" spans="1:10">
      <c r="A4" t="s">
        <v>7951</v>
      </c>
      <c r="B4" s="319"/>
      <c r="C4" s="314"/>
      <c r="D4" s="314"/>
      <c r="E4" s="314"/>
      <c r="F4" s="314"/>
      <c r="G4" s="314"/>
      <c r="H4" s="314"/>
      <c r="I4" s="319"/>
    </row>
    <row r="5" spans="1:10" ht="12" thickBot="1">
      <c r="B5" s="319"/>
      <c r="C5" s="314"/>
      <c r="D5" s="314"/>
      <c r="E5" s="314"/>
      <c r="F5" s="314"/>
      <c r="G5" s="314"/>
      <c r="H5" s="314"/>
      <c r="I5" s="326"/>
    </row>
    <row r="6" spans="1:10">
      <c r="A6" s="327" t="s">
        <v>7952</v>
      </c>
      <c r="B6" s="318">
        <v>2</v>
      </c>
      <c r="C6" s="329">
        <v>69</v>
      </c>
      <c r="D6" s="320">
        <v>27</v>
      </c>
      <c r="E6" s="320">
        <v>24</v>
      </c>
      <c r="F6" s="315">
        <v>76</v>
      </c>
      <c r="G6" s="315">
        <v>62</v>
      </c>
      <c r="H6" s="332">
        <v>1</v>
      </c>
      <c r="I6" s="318">
        <v>2</v>
      </c>
      <c r="J6" s="327" t="s">
        <v>7953</v>
      </c>
    </row>
    <row r="7" spans="1:10">
      <c r="A7" s="328"/>
      <c r="B7" s="319"/>
      <c r="C7" s="330"/>
      <c r="D7" s="316"/>
      <c r="E7" s="316"/>
      <c r="F7" s="316"/>
      <c r="G7" s="316"/>
      <c r="H7" s="333"/>
      <c r="I7" s="319"/>
      <c r="J7" s="328"/>
    </row>
    <row r="8" spans="1:10" ht="12" thickBot="1">
      <c r="A8" s="328"/>
      <c r="B8" s="319"/>
      <c r="C8" s="331"/>
      <c r="D8" s="317"/>
      <c r="E8" s="317"/>
      <c r="F8" s="317"/>
      <c r="G8" s="317"/>
      <c r="H8" s="334"/>
      <c r="I8" s="326"/>
      <c r="J8" s="328"/>
    </row>
    <row r="9" spans="1:10">
      <c r="A9" s="328"/>
      <c r="B9" s="318">
        <v>3</v>
      </c>
      <c r="C9" s="347" t="s">
        <v>7954</v>
      </c>
      <c r="D9" s="320" t="s">
        <v>7955</v>
      </c>
      <c r="E9" s="320" t="s">
        <v>7956</v>
      </c>
      <c r="F9" s="315" t="s">
        <v>7957</v>
      </c>
      <c r="G9" s="315" t="s">
        <v>7958</v>
      </c>
      <c r="H9" s="323" t="s">
        <v>7959</v>
      </c>
      <c r="I9" s="335">
        <v>3</v>
      </c>
      <c r="J9" s="328"/>
    </row>
    <row r="10" spans="1:10">
      <c r="A10" s="328"/>
      <c r="B10" s="319"/>
      <c r="C10" s="348"/>
      <c r="D10" s="321"/>
      <c r="E10" s="321"/>
      <c r="F10" s="321"/>
      <c r="G10" s="321"/>
      <c r="H10" s="324"/>
      <c r="I10" s="336"/>
      <c r="J10" s="328"/>
    </row>
    <row r="11" spans="1:10" ht="12" thickBot="1">
      <c r="A11" s="328"/>
      <c r="B11" s="319"/>
      <c r="C11" s="349"/>
      <c r="D11" s="322"/>
      <c r="E11" s="322"/>
      <c r="F11" s="322"/>
      <c r="G11" s="322"/>
      <c r="H11" s="325"/>
      <c r="I11" s="337"/>
      <c r="J11" s="328"/>
    </row>
    <row r="12" spans="1:10">
      <c r="A12" s="328"/>
      <c r="B12" s="318">
        <v>4</v>
      </c>
      <c r="C12" s="347" t="s">
        <v>7960</v>
      </c>
      <c r="D12" s="320" t="s">
        <v>7961</v>
      </c>
      <c r="E12" s="320" t="s">
        <v>7962</v>
      </c>
      <c r="F12" s="315" t="s">
        <v>7963</v>
      </c>
      <c r="G12" s="315" t="s">
        <v>7964</v>
      </c>
      <c r="H12" s="323" t="s">
        <v>7965</v>
      </c>
      <c r="I12" s="335">
        <v>4</v>
      </c>
      <c r="J12" s="328"/>
    </row>
    <row r="13" spans="1:10">
      <c r="A13" s="328"/>
      <c r="B13" s="319"/>
      <c r="C13" s="348"/>
      <c r="D13" s="321"/>
      <c r="E13" s="321"/>
      <c r="F13" s="321"/>
      <c r="G13" s="321"/>
      <c r="H13" s="324"/>
      <c r="I13" s="336"/>
      <c r="J13" s="328"/>
    </row>
    <row r="14" spans="1:10" ht="12" thickBot="1">
      <c r="A14" s="328"/>
      <c r="B14" s="319"/>
      <c r="C14" s="349"/>
      <c r="D14" s="322"/>
      <c r="E14" s="322"/>
      <c r="F14" s="322"/>
      <c r="G14" s="322"/>
      <c r="H14" s="325"/>
      <c r="I14" s="337"/>
      <c r="J14" s="328"/>
    </row>
    <row r="15" spans="1:10">
      <c r="A15" s="328"/>
      <c r="B15" s="318">
        <v>5</v>
      </c>
      <c r="C15" s="320" t="s">
        <v>7966</v>
      </c>
      <c r="D15" s="320" t="s">
        <v>7967</v>
      </c>
      <c r="E15" s="320" t="s">
        <v>7968</v>
      </c>
      <c r="F15" s="315" t="s">
        <v>7967</v>
      </c>
      <c r="G15" s="315" t="s">
        <v>7969</v>
      </c>
      <c r="H15" s="315" t="s">
        <v>7970</v>
      </c>
      <c r="I15" s="338">
        <v>5</v>
      </c>
      <c r="J15" s="328"/>
    </row>
    <row r="16" spans="1:10">
      <c r="A16" s="328"/>
      <c r="B16" s="319"/>
      <c r="C16" s="316"/>
      <c r="D16" s="316"/>
      <c r="E16" s="316"/>
      <c r="F16" s="316"/>
      <c r="G16" s="316"/>
      <c r="H16" s="316"/>
      <c r="I16" s="339"/>
      <c r="J16" s="328"/>
    </row>
    <row r="17" spans="1:13" ht="6" customHeight="1" thickBot="1">
      <c r="A17" s="328"/>
      <c r="B17" s="319"/>
      <c r="C17" s="317"/>
      <c r="D17" s="317"/>
      <c r="E17" s="317"/>
      <c r="F17" s="317"/>
      <c r="G17" s="317"/>
      <c r="H17" s="317"/>
      <c r="I17" s="340"/>
      <c r="J17" s="328"/>
    </row>
    <row r="18" spans="1:13" ht="6" customHeight="1">
      <c r="A18" s="328"/>
      <c r="B18" s="318">
        <v>6</v>
      </c>
      <c r="C18" s="320" t="s">
        <v>7971</v>
      </c>
      <c r="D18" s="320" t="s">
        <v>7972</v>
      </c>
      <c r="E18" s="320" t="s">
        <v>7973</v>
      </c>
      <c r="F18" s="315" t="s">
        <v>7974</v>
      </c>
      <c r="G18" s="315" t="s">
        <v>7975</v>
      </c>
      <c r="H18" s="315" t="s">
        <v>7976</v>
      </c>
      <c r="I18" s="338">
        <v>6</v>
      </c>
      <c r="J18" s="328"/>
    </row>
    <row r="19" spans="1:13" ht="6" customHeight="1">
      <c r="A19" s="328"/>
      <c r="B19" s="319"/>
      <c r="C19" s="316"/>
      <c r="D19" s="316"/>
      <c r="E19" s="316"/>
      <c r="F19" s="316"/>
      <c r="G19" s="316"/>
      <c r="H19" s="316"/>
      <c r="I19" s="339"/>
      <c r="J19" s="328"/>
    </row>
    <row r="20" spans="1:13" ht="6" customHeight="1" thickBot="1">
      <c r="A20" s="328"/>
      <c r="B20" s="319"/>
      <c r="C20" s="317"/>
      <c r="D20" s="317"/>
      <c r="E20" s="317"/>
      <c r="F20" s="317"/>
      <c r="G20" s="317"/>
      <c r="H20" s="317"/>
      <c r="I20" s="340"/>
      <c r="J20" s="328"/>
    </row>
    <row r="21" spans="1:13" ht="6" customHeight="1">
      <c r="A21" s="328"/>
      <c r="B21" s="318">
        <v>7</v>
      </c>
      <c r="C21" s="320" t="s">
        <v>7977</v>
      </c>
      <c r="D21" s="320" t="s">
        <v>7978</v>
      </c>
      <c r="E21" s="320" t="s">
        <v>7976</v>
      </c>
      <c r="F21" s="315" t="s">
        <v>7979</v>
      </c>
      <c r="G21" s="315" t="s">
        <v>7980</v>
      </c>
      <c r="H21" s="315" t="s">
        <v>7956</v>
      </c>
      <c r="I21" s="338">
        <v>7</v>
      </c>
      <c r="J21" s="328"/>
    </row>
    <row r="22" spans="1:13" ht="6" customHeight="1">
      <c r="A22" s="328"/>
      <c r="B22" s="319"/>
      <c r="C22" s="316"/>
      <c r="D22" s="316"/>
      <c r="E22" s="316"/>
      <c r="F22" s="316"/>
      <c r="G22" s="316"/>
      <c r="H22" s="316"/>
      <c r="I22" s="339"/>
      <c r="J22" s="328"/>
    </row>
    <row r="23" spans="1:13" ht="6" customHeight="1" thickBot="1">
      <c r="A23" s="328"/>
      <c r="B23" s="319"/>
      <c r="C23" s="317"/>
      <c r="D23" s="317"/>
      <c r="E23" s="317"/>
      <c r="F23" s="317"/>
      <c r="G23" s="317"/>
      <c r="H23" s="317"/>
      <c r="I23" s="340"/>
      <c r="J23" s="328"/>
    </row>
    <row r="24" spans="1:13" ht="6" customHeight="1">
      <c r="A24" s="328"/>
      <c r="B24" s="318">
        <v>8</v>
      </c>
      <c r="C24" s="320" t="s">
        <v>7981</v>
      </c>
      <c r="D24" s="320" t="s">
        <v>7982</v>
      </c>
      <c r="E24" s="320" t="s">
        <v>7983</v>
      </c>
      <c r="F24" s="315" t="s">
        <v>7984</v>
      </c>
      <c r="G24" s="315" t="s">
        <v>7985</v>
      </c>
      <c r="H24" s="315" t="s">
        <v>7960</v>
      </c>
      <c r="I24" s="338">
        <v>8</v>
      </c>
      <c r="J24" s="328"/>
      <c r="K24" s="258"/>
      <c r="L24" s="341" t="s">
        <v>7440</v>
      </c>
    </row>
    <row r="25" spans="1:13" ht="6" customHeight="1">
      <c r="A25" s="328"/>
      <c r="B25" s="319"/>
      <c r="C25" s="316"/>
      <c r="D25" s="316"/>
      <c r="E25" s="316"/>
      <c r="F25" s="316"/>
      <c r="G25" s="316"/>
      <c r="H25" s="316"/>
      <c r="I25" s="339"/>
      <c r="J25" s="328"/>
      <c r="K25" s="259"/>
      <c r="L25" s="341"/>
    </row>
    <row r="26" spans="1:13" ht="6" customHeight="1" thickBot="1">
      <c r="A26" s="328"/>
      <c r="B26" s="319"/>
      <c r="C26" s="317"/>
      <c r="D26" s="317"/>
      <c r="E26" s="317"/>
      <c r="F26" s="317"/>
      <c r="G26" s="317"/>
      <c r="H26" s="317"/>
      <c r="I26" s="340"/>
      <c r="J26" s="328"/>
      <c r="K26" s="260"/>
      <c r="L26" s="341"/>
    </row>
    <row r="27" spans="1:13" ht="6" customHeight="1">
      <c r="A27" s="328"/>
      <c r="B27" s="318">
        <v>9</v>
      </c>
      <c r="C27" s="320" t="s">
        <v>7986</v>
      </c>
      <c r="D27" s="320" t="s">
        <v>7987</v>
      </c>
      <c r="E27" s="320" t="s">
        <v>7988</v>
      </c>
      <c r="F27" s="315" t="s">
        <v>7954</v>
      </c>
      <c r="G27" s="315" t="s">
        <v>7989</v>
      </c>
      <c r="H27" s="315" t="s">
        <v>7990</v>
      </c>
      <c r="I27" s="338">
        <v>9</v>
      </c>
      <c r="J27" s="328"/>
      <c r="K27" s="342"/>
      <c r="L27" s="345" t="s">
        <v>7991</v>
      </c>
      <c r="M27" s="346"/>
    </row>
    <row r="28" spans="1:13" ht="6" customHeight="1">
      <c r="A28" s="328"/>
      <c r="B28" s="319"/>
      <c r="C28" s="316"/>
      <c r="D28" s="316"/>
      <c r="E28" s="316"/>
      <c r="F28" s="316"/>
      <c r="G28" s="316"/>
      <c r="H28" s="316"/>
      <c r="I28" s="339"/>
      <c r="J28" s="328"/>
      <c r="K28" s="343"/>
      <c r="L28" s="345"/>
      <c r="M28" s="346"/>
    </row>
    <row r="29" spans="1:13" ht="6" customHeight="1" thickBot="1">
      <c r="A29" s="328"/>
      <c r="B29" s="319"/>
      <c r="C29" s="317"/>
      <c r="D29" s="317"/>
      <c r="E29" s="317"/>
      <c r="F29" s="317"/>
      <c r="G29" s="317"/>
      <c r="H29" s="317"/>
      <c r="I29" s="340"/>
      <c r="J29" s="328"/>
      <c r="K29" s="344"/>
      <c r="L29" s="345"/>
      <c r="M29" s="346"/>
    </row>
    <row r="30" spans="1:13" ht="6" customHeight="1">
      <c r="A30" s="328"/>
      <c r="B30" s="318">
        <v>10</v>
      </c>
      <c r="C30" s="320" t="s">
        <v>7992</v>
      </c>
      <c r="D30" s="320" t="s">
        <v>7993</v>
      </c>
      <c r="E30" s="353" t="s">
        <v>7994</v>
      </c>
      <c r="F30" s="315" t="s">
        <v>7981</v>
      </c>
      <c r="G30" s="315" t="s">
        <v>7995</v>
      </c>
      <c r="H30" s="315" t="s">
        <v>7996</v>
      </c>
      <c r="I30" s="338">
        <v>10</v>
      </c>
      <c r="J30" s="328"/>
      <c r="K30" s="261"/>
      <c r="L30" s="341" t="s">
        <v>7439</v>
      </c>
    </row>
    <row r="31" spans="1:13" ht="6" customHeight="1">
      <c r="A31" s="328"/>
      <c r="B31" s="319"/>
      <c r="C31" s="316"/>
      <c r="D31" s="316"/>
      <c r="E31" s="354"/>
      <c r="F31" s="316"/>
      <c r="G31" s="316"/>
      <c r="H31" s="316"/>
      <c r="I31" s="339"/>
      <c r="J31" s="328"/>
      <c r="K31" s="262"/>
      <c r="L31" s="341"/>
    </row>
    <row r="32" spans="1:13" ht="6" customHeight="1" thickBot="1">
      <c r="A32" s="328"/>
      <c r="B32" s="319"/>
      <c r="C32" s="317"/>
      <c r="D32" s="317"/>
      <c r="E32" s="355"/>
      <c r="F32" s="317"/>
      <c r="G32" s="317"/>
      <c r="H32" s="317"/>
      <c r="I32" s="340"/>
      <c r="J32" s="328"/>
      <c r="K32" s="263"/>
      <c r="L32" s="341"/>
    </row>
    <row r="33" spans="1:13" ht="6" customHeight="1">
      <c r="A33" s="328"/>
      <c r="B33" s="318">
        <v>11</v>
      </c>
      <c r="C33" s="320" t="s">
        <v>7990</v>
      </c>
      <c r="D33" s="320" t="s">
        <v>7997</v>
      </c>
      <c r="E33" s="320" t="s">
        <v>7984</v>
      </c>
      <c r="F33" s="315" t="s">
        <v>7998</v>
      </c>
      <c r="G33" s="315" t="s">
        <v>7999</v>
      </c>
      <c r="H33" s="315" t="s">
        <v>8000</v>
      </c>
      <c r="I33" s="338">
        <v>11</v>
      </c>
      <c r="J33" s="328"/>
      <c r="K33" s="350"/>
      <c r="L33" s="345" t="s">
        <v>7991</v>
      </c>
      <c r="M33" s="346"/>
    </row>
    <row r="34" spans="1:13" ht="6" customHeight="1">
      <c r="A34" s="328"/>
      <c r="B34" s="319"/>
      <c r="C34" s="316"/>
      <c r="D34" s="316"/>
      <c r="E34" s="316"/>
      <c r="F34" s="316"/>
      <c r="G34" s="316"/>
      <c r="H34" s="316"/>
      <c r="I34" s="339"/>
      <c r="J34" s="328"/>
      <c r="K34" s="351"/>
      <c r="L34" s="345"/>
      <c r="M34" s="346"/>
    </row>
    <row r="35" spans="1:13" ht="6" customHeight="1" thickBot="1">
      <c r="A35" s="328"/>
      <c r="B35" s="319"/>
      <c r="C35" s="317"/>
      <c r="D35" s="317"/>
      <c r="E35" s="317"/>
      <c r="F35" s="317"/>
      <c r="G35" s="317"/>
      <c r="H35" s="317"/>
      <c r="I35" s="340"/>
      <c r="J35" s="328"/>
      <c r="K35" s="352"/>
      <c r="L35" s="345"/>
      <c r="M35" s="346"/>
    </row>
    <row r="36" spans="1:13" ht="6" customHeight="1">
      <c r="A36" s="328"/>
      <c r="B36" s="318">
        <v>12</v>
      </c>
      <c r="C36" s="320" t="s">
        <v>8001</v>
      </c>
      <c r="D36" s="320" t="s">
        <v>7989</v>
      </c>
      <c r="E36" s="342" t="s">
        <v>8002</v>
      </c>
      <c r="F36" s="315" t="s">
        <v>8003</v>
      </c>
      <c r="G36" s="315" t="s">
        <v>7978</v>
      </c>
      <c r="H36" s="315" t="s">
        <v>7997</v>
      </c>
      <c r="I36" s="338">
        <v>12</v>
      </c>
      <c r="J36" s="328"/>
    </row>
    <row r="37" spans="1:13" ht="6" customHeight="1">
      <c r="A37" s="328"/>
      <c r="B37" s="319"/>
      <c r="C37" s="316"/>
      <c r="D37" s="316"/>
      <c r="E37" s="343"/>
      <c r="F37" s="316"/>
      <c r="G37" s="316"/>
      <c r="H37" s="316"/>
      <c r="I37" s="339"/>
      <c r="J37" s="328"/>
    </row>
    <row r="38" spans="1:13" ht="6" customHeight="1" thickBot="1">
      <c r="A38" s="328"/>
      <c r="B38" s="319"/>
      <c r="C38" s="317"/>
      <c r="D38" s="317"/>
      <c r="E38" s="344"/>
      <c r="F38" s="317"/>
      <c r="G38" s="317"/>
      <c r="H38" s="317"/>
      <c r="I38" s="340"/>
      <c r="J38" s="328"/>
      <c r="K38" s="357" t="s">
        <v>213</v>
      </c>
      <c r="L38" s="363" t="s">
        <v>8004</v>
      </c>
      <c r="M38" s="358" t="s">
        <v>7949</v>
      </c>
    </row>
    <row r="39" spans="1:13" ht="6" customHeight="1">
      <c r="A39" s="328"/>
      <c r="B39" s="318">
        <v>13</v>
      </c>
      <c r="C39" s="320" t="s">
        <v>8005</v>
      </c>
      <c r="D39" s="320" t="s">
        <v>8006</v>
      </c>
      <c r="E39" s="320" t="s">
        <v>7996</v>
      </c>
      <c r="F39" s="315" t="s">
        <v>7986</v>
      </c>
      <c r="G39" s="315" t="s">
        <v>7961</v>
      </c>
      <c r="H39" s="360" t="s">
        <v>8007</v>
      </c>
      <c r="I39" s="338">
        <v>13</v>
      </c>
      <c r="J39" s="328"/>
      <c r="K39" s="357"/>
      <c r="L39" s="357"/>
      <c r="M39" s="359"/>
    </row>
    <row r="40" spans="1:13" ht="6" customHeight="1">
      <c r="A40" s="328"/>
      <c r="B40" s="319"/>
      <c r="C40" s="316"/>
      <c r="D40" s="316"/>
      <c r="E40" s="316"/>
      <c r="F40" s="316"/>
      <c r="G40" s="316"/>
      <c r="H40" s="361"/>
      <c r="I40" s="339"/>
      <c r="J40" s="328"/>
      <c r="K40" s="357"/>
      <c r="L40" s="357"/>
      <c r="M40" s="359"/>
    </row>
    <row r="41" spans="1:13" ht="6" customHeight="1" thickBot="1">
      <c r="A41" s="328"/>
      <c r="B41" s="319"/>
      <c r="C41" s="317"/>
      <c r="D41" s="317"/>
      <c r="E41" s="317"/>
      <c r="F41" s="317"/>
      <c r="G41" s="317"/>
      <c r="H41" s="362"/>
      <c r="I41" s="340"/>
      <c r="J41" s="328"/>
      <c r="K41" s="356">
        <v>41319</v>
      </c>
      <c r="L41" s="357">
        <v>50</v>
      </c>
      <c r="M41" s="359">
        <v>60</v>
      </c>
    </row>
    <row r="42" spans="1:13" ht="6" customHeight="1">
      <c r="A42" s="328"/>
      <c r="B42" s="318">
        <v>14</v>
      </c>
      <c r="C42" s="320" t="s">
        <v>8008</v>
      </c>
      <c r="D42" s="320" t="s">
        <v>7963</v>
      </c>
      <c r="E42" s="320" t="s">
        <v>8009</v>
      </c>
      <c r="F42" s="315" t="s">
        <v>7955</v>
      </c>
      <c r="G42" s="315" t="s">
        <v>7993</v>
      </c>
      <c r="H42" s="315" t="s">
        <v>8010</v>
      </c>
      <c r="I42" s="338">
        <v>14</v>
      </c>
      <c r="J42" s="328"/>
      <c r="K42" s="357"/>
      <c r="L42" s="357"/>
      <c r="M42" s="359"/>
    </row>
    <row r="43" spans="1:13" ht="6" customHeight="1">
      <c r="A43" s="328"/>
      <c r="B43" s="319"/>
      <c r="C43" s="316"/>
      <c r="D43" s="316"/>
      <c r="E43" s="316"/>
      <c r="F43" s="316"/>
      <c r="G43" s="316"/>
      <c r="H43" s="316"/>
      <c r="I43" s="339"/>
      <c r="J43" s="328"/>
      <c r="K43" s="357"/>
      <c r="L43" s="357"/>
      <c r="M43" s="359"/>
    </row>
    <row r="44" spans="1:13" ht="6" customHeight="1" thickBot="1">
      <c r="A44" s="328"/>
      <c r="B44" s="319"/>
      <c r="C44" s="317"/>
      <c r="D44" s="317"/>
      <c r="E44" s="317"/>
      <c r="F44" s="317"/>
      <c r="G44" s="317"/>
      <c r="H44" s="317"/>
      <c r="I44" s="340"/>
      <c r="J44" s="328"/>
      <c r="K44" s="356">
        <v>41347</v>
      </c>
      <c r="L44" s="357">
        <v>70</v>
      </c>
      <c r="M44" s="359">
        <v>70</v>
      </c>
    </row>
    <row r="45" spans="1:13" ht="6" customHeight="1">
      <c r="A45" s="328"/>
      <c r="B45" s="318">
        <v>15</v>
      </c>
      <c r="C45" s="320" t="s">
        <v>7999</v>
      </c>
      <c r="D45" s="320" t="s">
        <v>8000</v>
      </c>
      <c r="E45" s="320" t="s">
        <v>7957</v>
      </c>
      <c r="F45" s="342" t="s">
        <v>8002</v>
      </c>
      <c r="G45" s="315" t="s">
        <v>8011</v>
      </c>
      <c r="H45" s="315" t="s">
        <v>8005</v>
      </c>
      <c r="I45" s="338">
        <v>15</v>
      </c>
      <c r="J45" s="328"/>
      <c r="K45" s="357"/>
      <c r="L45" s="357"/>
      <c r="M45" s="359"/>
    </row>
    <row r="46" spans="1:13" ht="6" customHeight="1">
      <c r="A46" s="328"/>
      <c r="B46" s="319"/>
      <c r="C46" s="316"/>
      <c r="D46" s="316"/>
      <c r="E46" s="316"/>
      <c r="F46" s="343"/>
      <c r="G46" s="316"/>
      <c r="H46" s="316"/>
      <c r="I46" s="339"/>
      <c r="J46" s="328"/>
      <c r="K46" s="357"/>
      <c r="L46" s="357"/>
      <c r="M46" s="359"/>
    </row>
    <row r="47" spans="1:13" ht="6" customHeight="1" thickBot="1">
      <c r="A47" s="328"/>
      <c r="B47" s="319"/>
      <c r="C47" s="317"/>
      <c r="D47" s="317"/>
      <c r="E47" s="317"/>
      <c r="F47" s="344"/>
      <c r="G47" s="317"/>
      <c r="H47" s="317"/>
      <c r="I47" s="340"/>
      <c r="J47" s="328"/>
      <c r="K47" s="356">
        <v>41383</v>
      </c>
      <c r="L47" s="357">
        <v>0</v>
      </c>
      <c r="M47" s="359">
        <v>50</v>
      </c>
    </row>
    <row r="48" spans="1:13" ht="6" customHeight="1">
      <c r="A48" s="328"/>
      <c r="B48" s="318">
        <v>16</v>
      </c>
      <c r="C48" s="320" t="s">
        <v>7959</v>
      </c>
      <c r="D48" s="320" t="s">
        <v>7958</v>
      </c>
      <c r="E48" s="320" t="s">
        <v>7995</v>
      </c>
      <c r="F48" s="315" t="s">
        <v>7966</v>
      </c>
      <c r="G48" s="315" t="s">
        <v>8012</v>
      </c>
      <c r="H48" s="315" t="s">
        <v>7988</v>
      </c>
      <c r="I48" s="338">
        <v>16</v>
      </c>
      <c r="J48" s="328"/>
      <c r="K48" s="357"/>
      <c r="L48" s="357"/>
      <c r="M48" s="359"/>
    </row>
    <row r="49" spans="1:13" ht="6" customHeight="1">
      <c r="A49" s="328"/>
      <c r="B49" s="319"/>
      <c r="C49" s="316"/>
      <c r="D49" s="316"/>
      <c r="E49" s="316"/>
      <c r="F49" s="316"/>
      <c r="G49" s="316"/>
      <c r="H49" s="316"/>
      <c r="I49" s="339"/>
      <c r="J49" s="328"/>
      <c r="K49" s="357"/>
      <c r="L49" s="357"/>
      <c r="M49" s="359"/>
    </row>
    <row r="50" spans="1:13" ht="6" customHeight="1" thickBot="1">
      <c r="A50" s="328"/>
      <c r="B50" s="319"/>
      <c r="C50" s="317"/>
      <c r="D50" s="317"/>
      <c r="E50" s="317"/>
      <c r="F50" s="317"/>
      <c r="G50" s="317"/>
      <c r="H50" s="317"/>
      <c r="I50" s="340"/>
      <c r="J50" s="328"/>
    </row>
    <row r="51" spans="1:13" ht="6" customHeight="1">
      <c r="A51" s="328"/>
      <c r="B51" s="318">
        <v>17</v>
      </c>
      <c r="C51" s="320" t="s">
        <v>7985</v>
      </c>
      <c r="D51" s="320" t="s">
        <v>8013</v>
      </c>
      <c r="E51" s="320" t="s">
        <v>8014</v>
      </c>
      <c r="F51" s="315" t="s">
        <v>8015</v>
      </c>
      <c r="G51" s="315" t="s">
        <v>7982</v>
      </c>
      <c r="H51" s="315" t="s">
        <v>7962</v>
      </c>
      <c r="I51" s="338">
        <v>17</v>
      </c>
      <c r="J51" s="328"/>
    </row>
    <row r="52" spans="1:13" ht="6" customHeight="1">
      <c r="A52" s="328"/>
      <c r="B52" s="319"/>
      <c r="C52" s="316"/>
      <c r="D52" s="316"/>
      <c r="E52" s="316"/>
      <c r="F52" s="316"/>
      <c r="G52" s="316"/>
      <c r="H52" s="316"/>
      <c r="I52" s="339"/>
      <c r="J52" s="328"/>
    </row>
    <row r="53" spans="1:13" ht="6" customHeight="1" thickBot="1">
      <c r="A53" s="328"/>
      <c r="B53" s="319"/>
      <c r="C53" s="317"/>
      <c r="D53" s="317"/>
      <c r="E53" s="317"/>
      <c r="F53" s="317"/>
      <c r="G53" s="317"/>
      <c r="H53" s="317"/>
      <c r="I53" s="340"/>
      <c r="J53" s="328"/>
    </row>
    <row r="54" spans="1:13" ht="6" customHeight="1">
      <c r="A54" s="328"/>
      <c r="B54" s="318">
        <v>18</v>
      </c>
      <c r="C54" s="320" t="s">
        <v>8016</v>
      </c>
      <c r="D54" s="360" t="s">
        <v>8007</v>
      </c>
      <c r="E54" s="320" t="s">
        <v>8017</v>
      </c>
      <c r="F54" s="315" t="s">
        <v>8018</v>
      </c>
      <c r="G54" s="315" t="s">
        <v>8001</v>
      </c>
      <c r="H54" s="315" t="s">
        <v>8019</v>
      </c>
      <c r="I54" s="338">
        <v>18</v>
      </c>
      <c r="J54" s="328"/>
    </row>
    <row r="55" spans="1:13" ht="6" customHeight="1">
      <c r="A55" s="328"/>
      <c r="B55" s="319"/>
      <c r="C55" s="316"/>
      <c r="D55" s="361"/>
      <c r="E55" s="316"/>
      <c r="F55" s="316"/>
      <c r="G55" s="316"/>
      <c r="H55" s="316"/>
      <c r="I55" s="339"/>
      <c r="J55" s="328"/>
    </row>
    <row r="56" spans="1:13" ht="6" customHeight="1" thickBot="1">
      <c r="A56" s="328"/>
      <c r="B56" s="319"/>
      <c r="C56" s="317"/>
      <c r="D56" s="362"/>
      <c r="E56" s="317"/>
      <c r="F56" s="317"/>
      <c r="G56" s="317"/>
      <c r="H56" s="317"/>
      <c r="I56" s="340"/>
      <c r="J56" s="328"/>
    </row>
    <row r="57" spans="1:13" ht="6" customHeight="1">
      <c r="A57" s="328"/>
      <c r="B57" s="318">
        <v>19</v>
      </c>
      <c r="C57" s="320" t="s">
        <v>8011</v>
      </c>
      <c r="D57" s="320" t="s">
        <v>7974</v>
      </c>
      <c r="E57" s="320" t="s">
        <v>8020</v>
      </c>
      <c r="F57" s="315" t="s">
        <v>8021</v>
      </c>
      <c r="G57" s="315" t="s">
        <v>7987</v>
      </c>
      <c r="H57" s="315" t="s">
        <v>8009</v>
      </c>
      <c r="I57" s="338">
        <v>19</v>
      </c>
      <c r="J57" s="328"/>
    </row>
    <row r="58" spans="1:13" ht="6" customHeight="1">
      <c r="A58" s="328"/>
      <c r="B58" s="319"/>
      <c r="C58" s="316"/>
      <c r="D58" s="316"/>
      <c r="E58" s="316"/>
      <c r="F58" s="316"/>
      <c r="G58" s="316"/>
      <c r="H58" s="316"/>
      <c r="I58" s="339"/>
      <c r="J58" s="328"/>
    </row>
    <row r="59" spans="1:13" ht="6" customHeight="1" thickBot="1">
      <c r="A59" s="328"/>
      <c r="B59" s="319"/>
      <c r="C59" s="317"/>
      <c r="D59" s="317"/>
      <c r="E59" s="317"/>
      <c r="F59" s="317"/>
      <c r="G59" s="317"/>
      <c r="H59" s="317"/>
      <c r="I59" s="340"/>
      <c r="J59" s="328"/>
    </row>
    <row r="60" spans="1:13" ht="6" customHeight="1">
      <c r="A60" s="328"/>
      <c r="B60" s="318">
        <v>20</v>
      </c>
      <c r="C60" s="353" t="s">
        <v>8022</v>
      </c>
      <c r="D60" s="320" t="s">
        <v>8023</v>
      </c>
      <c r="E60" s="320" t="s">
        <v>8024</v>
      </c>
      <c r="F60" s="315" t="s">
        <v>8025</v>
      </c>
      <c r="G60" s="315" t="s">
        <v>8026</v>
      </c>
      <c r="H60" s="353" t="s">
        <v>8027</v>
      </c>
      <c r="I60" s="338">
        <v>20</v>
      </c>
      <c r="J60" s="328"/>
    </row>
    <row r="61" spans="1:13" ht="6" customHeight="1">
      <c r="A61" s="328"/>
      <c r="B61" s="319"/>
      <c r="C61" s="354"/>
      <c r="D61" s="316"/>
      <c r="E61" s="316"/>
      <c r="F61" s="316"/>
      <c r="G61" s="316"/>
      <c r="H61" s="354"/>
      <c r="I61" s="339"/>
      <c r="J61" s="328"/>
    </row>
    <row r="62" spans="1:13" ht="6" customHeight="1" thickBot="1">
      <c r="A62" s="328"/>
      <c r="B62" s="319"/>
      <c r="C62" s="355"/>
      <c r="D62" s="317"/>
      <c r="E62" s="317"/>
      <c r="F62" s="317"/>
      <c r="G62" s="317"/>
      <c r="H62" s="355"/>
      <c r="I62" s="340"/>
      <c r="J62" s="328"/>
    </row>
    <row r="63" spans="1:13" ht="6" customHeight="1">
      <c r="A63" s="328"/>
      <c r="B63" s="318">
        <v>21</v>
      </c>
      <c r="C63" s="350" t="s">
        <v>8027</v>
      </c>
      <c r="D63" s="320" t="s">
        <v>8028</v>
      </c>
      <c r="E63" s="320" t="s">
        <v>7980</v>
      </c>
      <c r="F63" s="315" t="s">
        <v>8029</v>
      </c>
      <c r="G63" s="315" t="s">
        <v>8014</v>
      </c>
      <c r="H63" s="315" t="s">
        <v>7971</v>
      </c>
      <c r="I63" s="338">
        <v>21</v>
      </c>
      <c r="J63" s="328"/>
    </row>
    <row r="64" spans="1:13" ht="6" customHeight="1">
      <c r="A64" s="328"/>
      <c r="B64" s="319"/>
      <c r="C64" s="351"/>
      <c r="D64" s="316"/>
      <c r="E64" s="316"/>
      <c r="F64" s="316"/>
      <c r="G64" s="316"/>
      <c r="H64" s="316"/>
      <c r="I64" s="339"/>
      <c r="J64" s="328"/>
    </row>
    <row r="65" spans="1:10" ht="12" thickBot="1">
      <c r="A65" s="328"/>
      <c r="B65" s="319"/>
      <c r="C65" s="352"/>
      <c r="D65" s="317"/>
      <c r="E65" s="317"/>
      <c r="F65" s="317"/>
      <c r="G65" s="317"/>
      <c r="H65" s="317"/>
      <c r="I65" s="340"/>
      <c r="J65" s="328"/>
    </row>
    <row r="66" spans="1:10">
      <c r="A66" s="328"/>
      <c r="B66" s="318">
        <v>22</v>
      </c>
      <c r="C66" s="320" t="s">
        <v>8021</v>
      </c>
      <c r="D66" s="320" t="s">
        <v>7998</v>
      </c>
      <c r="E66" s="320" t="s">
        <v>7979</v>
      </c>
      <c r="F66" s="315" t="s">
        <v>8030</v>
      </c>
      <c r="G66" s="315" t="s">
        <v>8028</v>
      </c>
      <c r="H66" s="315" t="s">
        <v>8024</v>
      </c>
      <c r="I66" s="338">
        <v>22</v>
      </c>
      <c r="J66" s="328"/>
    </row>
    <row r="67" spans="1:10">
      <c r="A67" s="328"/>
      <c r="B67" s="319"/>
      <c r="C67" s="316"/>
      <c r="D67" s="316"/>
      <c r="E67" s="316"/>
      <c r="F67" s="316"/>
      <c r="G67" s="316"/>
      <c r="H67" s="316"/>
      <c r="I67" s="339"/>
      <c r="J67" s="328"/>
    </row>
    <row r="68" spans="1:10" ht="12" thickBot="1">
      <c r="A68" s="328"/>
      <c r="B68" s="319"/>
      <c r="C68" s="317"/>
      <c r="D68" s="317"/>
      <c r="E68" s="317"/>
      <c r="F68" s="317"/>
      <c r="G68" s="317"/>
      <c r="H68" s="317"/>
      <c r="I68" s="340"/>
      <c r="J68" s="328"/>
    </row>
    <row r="69" spans="1:10">
      <c r="A69" s="328"/>
      <c r="B69" s="318">
        <v>23</v>
      </c>
      <c r="C69" s="320" t="s">
        <v>8026</v>
      </c>
      <c r="D69" s="320" t="s">
        <v>7964</v>
      </c>
      <c r="E69" s="320" t="s">
        <v>7975</v>
      </c>
      <c r="F69" s="315" t="s">
        <v>8013</v>
      </c>
      <c r="G69" s="315" t="s">
        <v>8017</v>
      </c>
      <c r="H69" s="315" t="s">
        <v>8031</v>
      </c>
      <c r="I69" s="338">
        <v>23</v>
      </c>
      <c r="J69" s="328"/>
    </row>
    <row r="70" spans="1:10">
      <c r="A70" s="328"/>
      <c r="B70" s="319"/>
      <c r="C70" s="316"/>
      <c r="D70" s="316"/>
      <c r="E70" s="316"/>
      <c r="F70" s="316"/>
      <c r="G70" s="316"/>
      <c r="H70" s="316"/>
      <c r="I70" s="339"/>
      <c r="J70" s="328"/>
    </row>
    <row r="71" spans="1:10" ht="12" thickBot="1">
      <c r="A71" s="328"/>
      <c r="B71" s="319"/>
      <c r="C71" s="317"/>
      <c r="D71" s="317"/>
      <c r="E71" s="317"/>
      <c r="F71" s="317"/>
      <c r="G71" s="317"/>
      <c r="H71" s="317"/>
      <c r="I71" s="340"/>
      <c r="J71" s="328"/>
    </row>
    <row r="72" spans="1:10">
      <c r="A72" s="328"/>
      <c r="B72" s="318">
        <v>24</v>
      </c>
      <c r="C72" s="320" t="s">
        <v>8003</v>
      </c>
      <c r="D72" s="320" t="s">
        <v>8025</v>
      </c>
      <c r="E72" s="320" t="s">
        <v>7969</v>
      </c>
      <c r="F72" s="350" t="s">
        <v>7994</v>
      </c>
      <c r="G72" s="315" t="s">
        <v>8032</v>
      </c>
      <c r="H72" s="315" t="s">
        <v>8006</v>
      </c>
      <c r="I72" s="338">
        <v>24</v>
      </c>
      <c r="J72" s="328"/>
    </row>
    <row r="73" spans="1:10">
      <c r="A73" s="328"/>
      <c r="B73" s="319"/>
      <c r="C73" s="316"/>
      <c r="D73" s="316"/>
      <c r="E73" s="316"/>
      <c r="F73" s="351"/>
      <c r="G73" s="316"/>
      <c r="H73" s="316"/>
      <c r="I73" s="339"/>
      <c r="J73" s="328"/>
    </row>
    <row r="74" spans="1:10" ht="12" thickBot="1">
      <c r="A74" s="328"/>
      <c r="B74" s="319"/>
      <c r="C74" s="317"/>
      <c r="D74" s="317"/>
      <c r="E74" s="317"/>
      <c r="F74" s="352"/>
      <c r="G74" s="317"/>
      <c r="H74" s="317"/>
      <c r="I74" s="340"/>
      <c r="J74" s="328"/>
    </row>
    <row r="75" spans="1:10">
      <c r="A75" s="328"/>
      <c r="B75" s="318">
        <v>25</v>
      </c>
      <c r="C75" s="320" t="s">
        <v>8032</v>
      </c>
      <c r="D75" s="320" t="s">
        <v>8015</v>
      </c>
      <c r="E75" s="320" t="s">
        <v>8033</v>
      </c>
      <c r="F75" s="315" t="s">
        <v>8023</v>
      </c>
      <c r="G75" s="315" t="s">
        <v>8020</v>
      </c>
      <c r="H75" s="315" t="s">
        <v>7973</v>
      </c>
      <c r="I75" s="338">
        <v>25</v>
      </c>
      <c r="J75" s="328"/>
    </row>
    <row r="76" spans="1:10">
      <c r="A76" s="328"/>
      <c r="B76" s="319"/>
      <c r="C76" s="316"/>
      <c r="D76" s="316"/>
      <c r="E76" s="316"/>
      <c r="F76" s="316"/>
      <c r="G76" s="316"/>
      <c r="H76" s="316"/>
      <c r="I76" s="339"/>
      <c r="J76" s="328"/>
    </row>
    <row r="77" spans="1:10" ht="12" thickBot="1">
      <c r="A77" s="328"/>
      <c r="B77" s="319"/>
      <c r="C77" s="317"/>
      <c r="D77" s="317"/>
      <c r="E77" s="317"/>
      <c r="F77" s="317"/>
      <c r="G77" s="317"/>
      <c r="H77" s="317"/>
      <c r="I77" s="340"/>
      <c r="J77" s="328"/>
    </row>
    <row r="78" spans="1:10">
      <c r="A78" s="328"/>
      <c r="B78" s="318">
        <v>26</v>
      </c>
      <c r="C78" s="320" t="s">
        <v>8034</v>
      </c>
      <c r="D78" s="320" t="s">
        <v>8035</v>
      </c>
      <c r="E78" s="320" t="s">
        <v>7965</v>
      </c>
      <c r="F78" s="315" t="s">
        <v>8034</v>
      </c>
      <c r="G78" s="315" t="s">
        <v>8036</v>
      </c>
      <c r="H78" s="315" t="s">
        <v>7972</v>
      </c>
      <c r="I78" s="338">
        <v>26</v>
      </c>
      <c r="J78" s="328"/>
    </row>
    <row r="79" spans="1:10">
      <c r="A79" s="328"/>
      <c r="B79" s="319"/>
      <c r="C79" s="316"/>
      <c r="D79" s="316"/>
      <c r="E79" s="316"/>
      <c r="F79" s="316"/>
      <c r="G79" s="316"/>
      <c r="H79" s="316"/>
      <c r="I79" s="339"/>
      <c r="J79" s="328"/>
    </row>
    <row r="80" spans="1:10" ht="12" thickBot="1">
      <c r="A80" s="328"/>
      <c r="B80" s="319"/>
      <c r="C80" s="317"/>
      <c r="D80" s="317"/>
      <c r="E80" s="317"/>
      <c r="F80" s="317"/>
      <c r="G80" s="317"/>
      <c r="H80" s="317"/>
      <c r="I80" s="340"/>
      <c r="J80" s="328"/>
    </row>
    <row r="81" spans="1:10">
      <c r="A81" s="328"/>
      <c r="B81" s="318">
        <v>27</v>
      </c>
      <c r="C81" s="320" t="s">
        <v>8018</v>
      </c>
      <c r="D81" s="320" t="s">
        <v>8012</v>
      </c>
      <c r="E81" s="320" t="s">
        <v>8019</v>
      </c>
      <c r="F81" s="315" t="s">
        <v>7977</v>
      </c>
      <c r="G81" s="315" t="s">
        <v>8008</v>
      </c>
      <c r="H81" s="315" t="s">
        <v>8033</v>
      </c>
      <c r="I81" s="338">
        <v>27</v>
      </c>
      <c r="J81" s="328"/>
    </row>
    <row r="82" spans="1:10">
      <c r="A82" s="328"/>
      <c r="B82" s="319"/>
      <c r="C82" s="316"/>
      <c r="D82" s="316"/>
      <c r="E82" s="316"/>
      <c r="F82" s="316"/>
      <c r="G82" s="316"/>
      <c r="H82" s="316"/>
      <c r="I82" s="339"/>
      <c r="J82" s="328"/>
    </row>
    <row r="83" spans="1:10" ht="12" thickBot="1">
      <c r="A83" s="328"/>
      <c r="B83" s="319"/>
      <c r="C83" s="317"/>
      <c r="D83" s="317"/>
      <c r="E83" s="317"/>
      <c r="F83" s="317"/>
      <c r="G83" s="317"/>
      <c r="H83" s="317"/>
      <c r="I83" s="340"/>
      <c r="J83" s="328"/>
    </row>
    <row r="84" spans="1:10">
      <c r="A84" s="328"/>
      <c r="B84" s="318">
        <v>28</v>
      </c>
      <c r="C84" s="320" t="s">
        <v>8010</v>
      </c>
      <c r="D84" s="320" t="s">
        <v>8037</v>
      </c>
      <c r="E84" s="320" t="s">
        <v>7970</v>
      </c>
      <c r="F84" s="315" t="s">
        <v>7992</v>
      </c>
      <c r="G84" s="315" t="s">
        <v>8037</v>
      </c>
      <c r="H84" s="315" t="s">
        <v>8016</v>
      </c>
      <c r="I84" s="338">
        <v>28</v>
      </c>
      <c r="J84" s="328"/>
    </row>
    <row r="85" spans="1:10">
      <c r="A85" s="328"/>
      <c r="B85" s="319"/>
      <c r="C85" s="316"/>
      <c r="D85" s="316"/>
      <c r="E85" s="316"/>
      <c r="F85" s="316"/>
      <c r="G85" s="316"/>
      <c r="H85" s="316"/>
      <c r="I85" s="339"/>
      <c r="J85" s="328"/>
    </row>
    <row r="86" spans="1:10" ht="12" thickBot="1">
      <c r="A86" s="328"/>
      <c r="B86" s="319"/>
      <c r="C86" s="317"/>
      <c r="D86" s="317"/>
      <c r="E86" s="317"/>
      <c r="F86" s="317"/>
      <c r="G86" s="317"/>
      <c r="H86" s="317"/>
      <c r="I86" s="340"/>
      <c r="J86" s="328"/>
    </row>
    <row r="87" spans="1:10">
      <c r="A87" s="328"/>
      <c r="B87" s="318">
        <v>29</v>
      </c>
      <c r="C87" s="320" t="s">
        <v>8030</v>
      </c>
      <c r="D87" s="360" t="s">
        <v>8038</v>
      </c>
      <c r="E87" s="320" t="s">
        <v>8039</v>
      </c>
      <c r="F87" s="315" t="s">
        <v>8035</v>
      </c>
      <c r="G87" s="353" t="s">
        <v>8022</v>
      </c>
      <c r="H87" s="315" t="s">
        <v>7983</v>
      </c>
      <c r="I87" s="338">
        <v>29</v>
      </c>
      <c r="J87" s="328"/>
    </row>
    <row r="88" spans="1:10">
      <c r="A88" s="328"/>
      <c r="B88" s="319"/>
      <c r="C88" s="316" t="s">
        <v>7950</v>
      </c>
      <c r="D88" s="361" t="s">
        <v>7950</v>
      </c>
      <c r="E88" s="316" t="s">
        <v>7950</v>
      </c>
      <c r="F88" s="316" t="s">
        <v>7950</v>
      </c>
      <c r="G88" s="354" t="s">
        <v>7950</v>
      </c>
      <c r="H88" s="316" t="s">
        <v>7950</v>
      </c>
      <c r="I88" s="339"/>
      <c r="J88" s="328"/>
    </row>
    <row r="89" spans="1:10" ht="12" thickBot="1">
      <c r="A89" s="328"/>
      <c r="B89" s="319"/>
      <c r="C89" s="317"/>
      <c r="D89" s="362"/>
      <c r="E89" s="317"/>
      <c r="F89" s="317"/>
      <c r="G89" s="355"/>
      <c r="H89" s="317"/>
      <c r="I89" s="340"/>
      <c r="J89" s="328"/>
    </row>
    <row r="90" spans="1:10">
      <c r="B90" s="318">
        <v>30</v>
      </c>
      <c r="C90" s="364" t="s">
        <v>7950</v>
      </c>
      <c r="D90" s="364" t="s">
        <v>7950</v>
      </c>
      <c r="E90" s="364" t="s">
        <v>7950</v>
      </c>
      <c r="F90" s="364" t="s">
        <v>7950</v>
      </c>
      <c r="G90" s="364" t="s">
        <v>7950</v>
      </c>
      <c r="H90" s="364" t="s">
        <v>7950</v>
      </c>
      <c r="I90" s="318">
        <v>30</v>
      </c>
    </row>
    <row r="91" spans="1:10">
      <c r="B91" s="319"/>
      <c r="C91" s="364"/>
      <c r="D91" s="364"/>
      <c r="E91" s="364"/>
      <c r="F91" s="364"/>
      <c r="G91" s="364"/>
      <c r="H91" s="364"/>
      <c r="I91" s="319"/>
    </row>
    <row r="92" spans="1:10" ht="12" thickBot="1">
      <c r="B92" s="319"/>
      <c r="C92" s="364"/>
      <c r="D92" s="364"/>
      <c r="E92" s="364"/>
      <c r="F92" s="364"/>
      <c r="G92" s="364"/>
      <c r="H92" s="364"/>
      <c r="I92" s="326"/>
    </row>
    <row r="93" spans="1:10">
      <c r="A93" s="327" t="s">
        <v>8040</v>
      </c>
      <c r="B93" s="318">
        <v>31</v>
      </c>
      <c r="C93" s="315" t="s">
        <v>8029</v>
      </c>
      <c r="D93" s="315" t="s">
        <v>8019</v>
      </c>
      <c r="E93" s="315" t="s">
        <v>7968</v>
      </c>
      <c r="F93" s="320" t="s">
        <v>7988</v>
      </c>
      <c r="G93" s="320" t="s">
        <v>7971</v>
      </c>
      <c r="H93" s="320" t="s">
        <v>8000</v>
      </c>
      <c r="I93" s="338">
        <v>31</v>
      </c>
      <c r="J93" s="327" t="s">
        <v>8041</v>
      </c>
    </row>
    <row r="94" spans="1:10">
      <c r="A94" s="328"/>
      <c r="B94" s="319"/>
      <c r="C94" s="316"/>
      <c r="D94" s="316"/>
      <c r="E94" s="316"/>
      <c r="F94" s="316"/>
      <c r="G94" s="316"/>
      <c r="H94" s="316"/>
      <c r="I94" s="339"/>
      <c r="J94" s="328"/>
    </row>
    <row r="95" spans="1:10" ht="12" thickBot="1">
      <c r="A95" s="328"/>
      <c r="B95" s="319"/>
      <c r="C95" s="317"/>
      <c r="D95" s="317"/>
      <c r="E95" s="317"/>
      <c r="F95" s="317"/>
      <c r="G95" s="317"/>
      <c r="H95" s="317"/>
      <c r="I95" s="340"/>
      <c r="J95" s="328"/>
    </row>
    <row r="96" spans="1:10">
      <c r="A96" s="328"/>
      <c r="B96" s="318">
        <v>32</v>
      </c>
      <c r="C96" s="315" t="s">
        <v>7988</v>
      </c>
      <c r="D96" s="315" t="s">
        <v>7972</v>
      </c>
      <c r="E96" s="315" t="s">
        <v>7958</v>
      </c>
      <c r="F96" s="320" t="s">
        <v>7989</v>
      </c>
      <c r="G96" s="320" t="s">
        <v>8010</v>
      </c>
      <c r="H96" s="320" t="s">
        <v>7955</v>
      </c>
      <c r="I96" s="338">
        <v>32</v>
      </c>
      <c r="J96" s="328"/>
    </row>
    <row r="97" spans="1:10">
      <c r="A97" s="328"/>
      <c r="B97" s="319"/>
      <c r="C97" s="316"/>
      <c r="D97" s="316"/>
      <c r="E97" s="316"/>
      <c r="F97" s="316"/>
      <c r="G97" s="316"/>
      <c r="H97" s="316"/>
      <c r="I97" s="339"/>
      <c r="J97" s="328"/>
    </row>
    <row r="98" spans="1:10" ht="12" thickBot="1">
      <c r="A98" s="328"/>
      <c r="B98" s="319"/>
      <c r="C98" s="317"/>
      <c r="D98" s="317"/>
      <c r="E98" s="317"/>
      <c r="F98" s="317"/>
      <c r="G98" s="317"/>
      <c r="H98" s="317"/>
      <c r="I98" s="340"/>
      <c r="J98" s="328"/>
    </row>
    <row r="99" spans="1:10">
      <c r="A99" s="328"/>
      <c r="B99" s="318">
        <v>33</v>
      </c>
      <c r="C99" s="315" t="s">
        <v>7984</v>
      </c>
      <c r="D99" s="315" t="s">
        <v>7993</v>
      </c>
      <c r="E99" s="315" t="s">
        <v>7998</v>
      </c>
      <c r="F99" s="320" t="s">
        <v>8001</v>
      </c>
      <c r="G99" s="320" t="s">
        <v>8033</v>
      </c>
      <c r="H99" s="320" t="s">
        <v>7957</v>
      </c>
      <c r="I99" s="338">
        <v>33</v>
      </c>
      <c r="J99" s="328"/>
    </row>
    <row r="100" spans="1:10">
      <c r="A100" s="328"/>
      <c r="B100" s="319"/>
      <c r="C100" s="316"/>
      <c r="D100" s="316"/>
      <c r="E100" s="316"/>
      <c r="F100" s="316"/>
      <c r="G100" s="316"/>
      <c r="H100" s="316"/>
      <c r="I100" s="339"/>
      <c r="J100" s="328"/>
    </row>
    <row r="101" spans="1:10" ht="12" thickBot="1">
      <c r="A101" s="328"/>
      <c r="B101" s="319"/>
      <c r="C101" s="317"/>
      <c r="D101" s="317"/>
      <c r="E101" s="317"/>
      <c r="F101" s="317"/>
      <c r="G101" s="317"/>
      <c r="H101" s="317"/>
      <c r="I101" s="340"/>
      <c r="J101" s="328"/>
    </row>
    <row r="102" spans="1:10">
      <c r="A102" s="328"/>
      <c r="B102" s="318">
        <v>34</v>
      </c>
      <c r="C102" s="315" t="s">
        <v>7981</v>
      </c>
      <c r="D102" s="353" t="s">
        <v>7994</v>
      </c>
      <c r="E102" s="315" t="s">
        <v>7960</v>
      </c>
      <c r="F102" s="320" t="s">
        <v>7967</v>
      </c>
      <c r="G102" s="320" t="s">
        <v>7986</v>
      </c>
      <c r="H102" s="320" t="s">
        <v>8008</v>
      </c>
      <c r="I102" s="338">
        <v>34</v>
      </c>
      <c r="J102" s="328"/>
    </row>
    <row r="103" spans="1:10">
      <c r="A103" s="328"/>
      <c r="B103" s="319"/>
      <c r="C103" s="316"/>
      <c r="D103" s="354"/>
      <c r="E103" s="316"/>
      <c r="F103" s="316"/>
      <c r="G103" s="316"/>
      <c r="H103" s="316"/>
      <c r="I103" s="339"/>
      <c r="J103" s="328"/>
    </row>
    <row r="104" spans="1:10" ht="12" thickBot="1">
      <c r="A104" s="328"/>
      <c r="B104" s="319"/>
      <c r="C104" s="317"/>
      <c r="D104" s="355"/>
      <c r="E104" s="317"/>
      <c r="F104" s="317"/>
      <c r="G104" s="317"/>
      <c r="H104" s="317"/>
      <c r="I104" s="340"/>
      <c r="J104" s="328"/>
    </row>
    <row r="105" spans="1:10">
      <c r="A105" s="328"/>
      <c r="B105" s="318">
        <v>35</v>
      </c>
      <c r="C105" s="315" t="s">
        <v>8017</v>
      </c>
      <c r="D105" s="315" t="s">
        <v>8026</v>
      </c>
      <c r="E105" s="342" t="s">
        <v>8007</v>
      </c>
      <c r="F105" s="320" t="s">
        <v>8029</v>
      </c>
      <c r="G105" s="320" t="s">
        <v>7996</v>
      </c>
      <c r="H105" s="320" t="s">
        <v>7995</v>
      </c>
      <c r="I105" s="338">
        <v>35</v>
      </c>
      <c r="J105" s="328"/>
    </row>
    <row r="106" spans="1:10">
      <c r="A106" s="328"/>
      <c r="B106" s="319"/>
      <c r="C106" s="316"/>
      <c r="D106" s="316"/>
      <c r="E106" s="343"/>
      <c r="F106" s="316"/>
      <c r="G106" s="316"/>
      <c r="H106" s="316"/>
      <c r="I106" s="339"/>
      <c r="J106" s="328"/>
    </row>
    <row r="107" spans="1:10" ht="12" thickBot="1">
      <c r="A107" s="328"/>
      <c r="B107" s="319"/>
      <c r="C107" s="317"/>
      <c r="D107" s="317"/>
      <c r="E107" s="344"/>
      <c r="F107" s="317"/>
      <c r="G107" s="317"/>
      <c r="H107" s="317"/>
      <c r="I107" s="340"/>
      <c r="J107" s="328"/>
    </row>
    <row r="108" spans="1:10">
      <c r="A108" s="328"/>
      <c r="B108" s="318">
        <v>36</v>
      </c>
      <c r="C108" s="315" t="s">
        <v>8028</v>
      </c>
      <c r="D108" s="315" t="s">
        <v>7954</v>
      </c>
      <c r="E108" s="315" t="s">
        <v>7980</v>
      </c>
      <c r="F108" s="320" t="s">
        <v>7976</v>
      </c>
      <c r="G108" s="320" t="s">
        <v>7981</v>
      </c>
      <c r="H108" s="320" t="s">
        <v>8031</v>
      </c>
      <c r="I108" s="338">
        <v>36</v>
      </c>
      <c r="J108" s="328"/>
    </row>
    <row r="109" spans="1:10">
      <c r="A109" s="328"/>
      <c r="B109" s="319"/>
      <c r="C109" s="316"/>
      <c r="D109" s="316"/>
      <c r="E109" s="316"/>
      <c r="F109" s="316"/>
      <c r="G109" s="316"/>
      <c r="H109" s="316"/>
      <c r="I109" s="339"/>
      <c r="J109" s="328"/>
    </row>
    <row r="110" spans="1:10" ht="12" thickBot="1">
      <c r="A110" s="328"/>
      <c r="B110" s="319"/>
      <c r="C110" s="317"/>
      <c r="D110" s="317"/>
      <c r="E110" s="317"/>
      <c r="F110" s="317"/>
      <c r="G110" s="317"/>
      <c r="H110" s="317"/>
      <c r="I110" s="340"/>
      <c r="J110" s="328"/>
    </row>
    <row r="111" spans="1:10">
      <c r="A111" s="328"/>
      <c r="B111" s="318">
        <v>37</v>
      </c>
      <c r="C111" s="315" t="s">
        <v>7955</v>
      </c>
      <c r="D111" s="315" t="s">
        <v>7999</v>
      </c>
      <c r="E111" s="315" t="s">
        <v>7971</v>
      </c>
      <c r="F111" s="320" t="s">
        <v>8019</v>
      </c>
      <c r="G111" s="320" t="s">
        <v>7956</v>
      </c>
      <c r="H111" s="320" t="s">
        <v>8020</v>
      </c>
      <c r="I111" s="338">
        <v>37</v>
      </c>
      <c r="J111" s="328"/>
    </row>
    <row r="112" spans="1:10">
      <c r="A112" s="328"/>
      <c r="B112" s="319"/>
      <c r="C112" s="316"/>
      <c r="D112" s="316"/>
      <c r="E112" s="316"/>
      <c r="F112" s="316"/>
      <c r="G112" s="316"/>
      <c r="H112" s="316"/>
      <c r="I112" s="339"/>
      <c r="J112" s="328"/>
    </row>
    <row r="113" spans="1:10" ht="12" thickBot="1">
      <c r="A113" s="328"/>
      <c r="B113" s="319"/>
      <c r="C113" s="317"/>
      <c r="D113" s="317"/>
      <c r="E113" s="317"/>
      <c r="F113" s="317"/>
      <c r="G113" s="317"/>
      <c r="H113" s="317"/>
      <c r="I113" s="340"/>
      <c r="J113" s="328"/>
    </row>
    <row r="114" spans="1:10">
      <c r="A114" s="328"/>
      <c r="B114" s="318">
        <v>38</v>
      </c>
      <c r="C114" s="315" t="s">
        <v>8008</v>
      </c>
      <c r="D114" s="315" t="s">
        <v>7965</v>
      </c>
      <c r="E114" s="360" t="s">
        <v>8002</v>
      </c>
      <c r="F114" s="320" t="s">
        <v>7963</v>
      </c>
      <c r="G114" s="320" t="s">
        <v>8009</v>
      </c>
      <c r="H114" s="320" t="s">
        <v>8021</v>
      </c>
      <c r="I114" s="338">
        <v>38</v>
      </c>
      <c r="J114" s="328"/>
    </row>
    <row r="115" spans="1:10">
      <c r="A115" s="328"/>
      <c r="B115" s="319"/>
      <c r="C115" s="316"/>
      <c r="D115" s="316"/>
      <c r="E115" s="361"/>
      <c r="F115" s="316"/>
      <c r="G115" s="316"/>
      <c r="H115" s="316"/>
      <c r="I115" s="339"/>
      <c r="J115" s="328"/>
    </row>
    <row r="116" spans="1:10" ht="12" thickBot="1">
      <c r="A116" s="328"/>
      <c r="B116" s="319"/>
      <c r="C116" s="317"/>
      <c r="D116" s="317"/>
      <c r="E116" s="362"/>
      <c r="F116" s="317"/>
      <c r="G116" s="317"/>
      <c r="H116" s="317"/>
      <c r="I116" s="340"/>
      <c r="J116" s="328"/>
    </row>
    <row r="117" spans="1:10">
      <c r="A117" s="328"/>
      <c r="B117" s="318">
        <v>39</v>
      </c>
      <c r="C117" s="315" t="s">
        <v>8010</v>
      </c>
      <c r="D117" s="315" t="s">
        <v>8006</v>
      </c>
      <c r="E117" s="315" t="s">
        <v>8023</v>
      </c>
      <c r="F117" s="320" t="s">
        <v>7972</v>
      </c>
      <c r="G117" s="320" t="s">
        <v>8018</v>
      </c>
      <c r="H117" s="320" t="s">
        <v>7962</v>
      </c>
      <c r="I117" s="338">
        <v>39</v>
      </c>
      <c r="J117" s="328"/>
    </row>
    <row r="118" spans="1:10">
      <c r="A118" s="328"/>
      <c r="B118" s="319"/>
      <c r="C118" s="316"/>
      <c r="D118" s="316"/>
      <c r="E118" s="316"/>
      <c r="F118" s="316"/>
      <c r="G118" s="316"/>
      <c r="H118" s="316"/>
      <c r="I118" s="339"/>
      <c r="J118" s="328"/>
    </row>
    <row r="119" spans="1:10" ht="12" thickBot="1">
      <c r="A119" s="328"/>
      <c r="B119" s="319"/>
      <c r="C119" s="317"/>
      <c r="D119" s="317"/>
      <c r="E119" s="317"/>
      <c r="F119" s="317"/>
      <c r="G119" s="317"/>
      <c r="H119" s="317"/>
      <c r="I119" s="340"/>
      <c r="J119" s="328"/>
    </row>
    <row r="120" spans="1:10">
      <c r="A120" s="328"/>
      <c r="B120" s="318">
        <v>40</v>
      </c>
      <c r="C120" s="315" t="s">
        <v>8036</v>
      </c>
      <c r="D120" s="315" t="s">
        <v>8039</v>
      </c>
      <c r="E120" s="350" t="s">
        <v>8027</v>
      </c>
      <c r="F120" s="320" t="s">
        <v>8025</v>
      </c>
      <c r="G120" s="320" t="s">
        <v>8014</v>
      </c>
      <c r="H120" s="320" t="s">
        <v>7975</v>
      </c>
      <c r="I120" s="338">
        <v>40</v>
      </c>
      <c r="J120" s="328"/>
    </row>
    <row r="121" spans="1:10">
      <c r="A121" s="328"/>
      <c r="B121" s="319"/>
      <c r="C121" s="316"/>
      <c r="D121" s="316"/>
      <c r="E121" s="351"/>
      <c r="F121" s="316"/>
      <c r="G121" s="316"/>
      <c r="H121" s="316"/>
      <c r="I121" s="339"/>
      <c r="J121" s="328"/>
    </row>
    <row r="122" spans="1:10" ht="12" thickBot="1">
      <c r="A122" s="328"/>
      <c r="B122" s="319"/>
      <c r="C122" s="317"/>
      <c r="D122" s="317"/>
      <c r="E122" s="352"/>
      <c r="F122" s="317"/>
      <c r="G122" s="317"/>
      <c r="H122" s="317"/>
      <c r="I122" s="340"/>
      <c r="J122" s="328"/>
    </row>
    <row r="123" spans="1:10">
      <c r="A123" s="328"/>
      <c r="B123" s="318">
        <v>41</v>
      </c>
      <c r="C123" s="315" t="s">
        <v>7976</v>
      </c>
      <c r="D123" s="315" t="s">
        <v>8000</v>
      </c>
      <c r="E123" s="315" t="s">
        <v>8001</v>
      </c>
      <c r="F123" s="320" t="s">
        <v>7954</v>
      </c>
      <c r="G123" s="320" t="s">
        <v>7998</v>
      </c>
      <c r="H123" s="320" t="s">
        <v>8036</v>
      </c>
      <c r="I123" s="338">
        <v>41</v>
      </c>
      <c r="J123" s="328"/>
    </row>
    <row r="124" spans="1:10">
      <c r="A124" s="328"/>
      <c r="B124" s="319"/>
      <c r="C124" s="316"/>
      <c r="D124" s="316"/>
      <c r="E124" s="316"/>
      <c r="F124" s="316"/>
      <c r="G124" s="316"/>
      <c r="H124" s="316"/>
      <c r="I124" s="339"/>
      <c r="J124" s="328"/>
    </row>
    <row r="125" spans="1:10" ht="12" thickBot="1">
      <c r="A125" s="328"/>
      <c r="B125" s="319"/>
      <c r="C125" s="317"/>
      <c r="D125" s="317"/>
      <c r="E125" s="317"/>
      <c r="F125" s="317"/>
      <c r="G125" s="317"/>
      <c r="H125" s="317"/>
      <c r="I125" s="340"/>
      <c r="J125" s="328"/>
    </row>
    <row r="126" spans="1:10">
      <c r="A126" s="328"/>
      <c r="B126" s="318">
        <v>42</v>
      </c>
      <c r="C126" s="315" t="s">
        <v>8005</v>
      </c>
      <c r="D126" s="315" t="s">
        <v>7996</v>
      </c>
      <c r="E126" s="315" t="s">
        <v>8037</v>
      </c>
      <c r="F126" s="320" t="s">
        <v>7978</v>
      </c>
      <c r="G126" s="320" t="s">
        <v>8035</v>
      </c>
      <c r="H126" s="320" t="s">
        <v>7973</v>
      </c>
      <c r="I126" s="338">
        <v>42</v>
      </c>
      <c r="J126" s="328"/>
    </row>
    <row r="127" spans="1:10">
      <c r="A127" s="328"/>
      <c r="B127" s="319"/>
      <c r="C127" s="316"/>
      <c r="D127" s="316"/>
      <c r="E127" s="316"/>
      <c r="F127" s="316"/>
      <c r="G127" s="316"/>
      <c r="H127" s="316"/>
      <c r="I127" s="339"/>
      <c r="J127" s="328"/>
    </row>
    <row r="128" spans="1:10" ht="12" thickBot="1">
      <c r="A128" s="328"/>
      <c r="B128" s="319"/>
      <c r="C128" s="317"/>
      <c r="D128" s="317"/>
      <c r="E128" s="317"/>
      <c r="F128" s="317"/>
      <c r="G128" s="317"/>
      <c r="H128" s="317"/>
      <c r="I128" s="340"/>
      <c r="J128" s="328"/>
    </row>
    <row r="129" spans="1:10">
      <c r="A129" s="328"/>
      <c r="B129" s="318">
        <v>43</v>
      </c>
      <c r="C129" s="315" t="s">
        <v>8031</v>
      </c>
      <c r="D129" s="315" t="s">
        <v>8013</v>
      </c>
      <c r="E129" s="315" t="s">
        <v>8035</v>
      </c>
      <c r="F129" s="342" t="s">
        <v>8002</v>
      </c>
      <c r="G129" s="350" t="s">
        <v>7994</v>
      </c>
      <c r="H129" s="320" t="s">
        <v>8026</v>
      </c>
      <c r="I129" s="338">
        <v>43</v>
      </c>
      <c r="J129" s="328"/>
    </row>
    <row r="130" spans="1:10">
      <c r="A130" s="328"/>
      <c r="B130" s="319"/>
      <c r="C130" s="316"/>
      <c r="D130" s="316"/>
      <c r="E130" s="316"/>
      <c r="F130" s="343"/>
      <c r="G130" s="351"/>
      <c r="H130" s="316"/>
      <c r="I130" s="339"/>
      <c r="J130" s="328"/>
    </row>
    <row r="131" spans="1:10" ht="12" thickBot="1">
      <c r="A131" s="328"/>
      <c r="B131" s="319"/>
      <c r="C131" s="317"/>
      <c r="D131" s="317"/>
      <c r="E131" s="317"/>
      <c r="F131" s="344"/>
      <c r="G131" s="352"/>
      <c r="H131" s="317"/>
      <c r="I131" s="340"/>
      <c r="J131" s="328"/>
    </row>
    <row r="132" spans="1:10">
      <c r="A132" s="328"/>
      <c r="B132" s="318">
        <v>44</v>
      </c>
      <c r="C132" s="315" t="s">
        <v>7959</v>
      </c>
      <c r="D132" s="315" t="s">
        <v>7985</v>
      </c>
      <c r="E132" s="315" t="s">
        <v>8011</v>
      </c>
      <c r="F132" s="320" t="s">
        <v>7999</v>
      </c>
      <c r="G132" s="360" t="s">
        <v>8038</v>
      </c>
      <c r="H132" s="320" t="s">
        <v>8030</v>
      </c>
      <c r="I132" s="338">
        <v>44</v>
      </c>
      <c r="J132" s="328"/>
    </row>
    <row r="133" spans="1:10">
      <c r="A133" s="328"/>
      <c r="B133" s="319"/>
      <c r="C133" s="316"/>
      <c r="D133" s="316"/>
      <c r="E133" s="316"/>
      <c r="F133" s="316"/>
      <c r="G133" s="361"/>
      <c r="H133" s="316"/>
      <c r="I133" s="339"/>
      <c r="J133" s="328"/>
    </row>
    <row r="134" spans="1:10" ht="12" thickBot="1">
      <c r="A134" s="328"/>
      <c r="B134" s="319"/>
      <c r="C134" s="317"/>
      <c r="D134" s="317"/>
      <c r="E134" s="317"/>
      <c r="F134" s="317"/>
      <c r="G134" s="362"/>
      <c r="H134" s="317"/>
      <c r="I134" s="340"/>
      <c r="J134" s="328"/>
    </row>
    <row r="135" spans="1:10">
      <c r="A135" s="328"/>
      <c r="B135" s="318">
        <v>45</v>
      </c>
      <c r="C135" s="360" t="s">
        <v>8038</v>
      </c>
      <c r="D135" s="315" t="s">
        <v>7975</v>
      </c>
      <c r="E135" s="315" t="s">
        <v>8009</v>
      </c>
      <c r="F135" s="320" t="s">
        <v>8034</v>
      </c>
      <c r="G135" s="320" t="s">
        <v>7985</v>
      </c>
      <c r="H135" s="320" t="s">
        <v>7966</v>
      </c>
      <c r="I135" s="338">
        <v>45</v>
      </c>
      <c r="J135" s="328"/>
    </row>
    <row r="136" spans="1:10">
      <c r="A136" s="328"/>
      <c r="B136" s="319"/>
      <c r="C136" s="361"/>
      <c r="D136" s="316"/>
      <c r="E136" s="316"/>
      <c r="F136" s="316"/>
      <c r="G136" s="316"/>
      <c r="H136" s="316"/>
      <c r="I136" s="339"/>
      <c r="J136" s="328"/>
    </row>
    <row r="137" spans="1:10" ht="12" thickBot="1">
      <c r="A137" s="328"/>
      <c r="B137" s="319"/>
      <c r="C137" s="362"/>
      <c r="D137" s="317"/>
      <c r="E137" s="317"/>
      <c r="F137" s="317"/>
      <c r="G137" s="317"/>
      <c r="H137" s="317"/>
      <c r="I137" s="340"/>
      <c r="J137" s="328"/>
    </row>
    <row r="138" spans="1:10">
      <c r="A138" s="328"/>
      <c r="B138" s="318">
        <v>46</v>
      </c>
      <c r="C138" s="315" t="s">
        <v>7977</v>
      </c>
      <c r="D138" s="315" t="s">
        <v>8033</v>
      </c>
      <c r="E138" s="315" t="s">
        <v>8032</v>
      </c>
      <c r="F138" s="320" t="s">
        <v>8012</v>
      </c>
      <c r="G138" s="320" t="s">
        <v>7982</v>
      </c>
      <c r="H138" s="320" t="s">
        <v>8006</v>
      </c>
      <c r="I138" s="338">
        <v>46</v>
      </c>
      <c r="J138" s="328"/>
    </row>
    <row r="139" spans="1:10">
      <c r="A139" s="328"/>
      <c r="B139" s="319"/>
      <c r="C139" s="316"/>
      <c r="D139" s="316"/>
      <c r="E139" s="316"/>
      <c r="F139" s="316"/>
      <c r="G139" s="316"/>
      <c r="H139" s="316"/>
      <c r="I139" s="339"/>
      <c r="J139" s="328"/>
    </row>
    <row r="140" spans="1:10" ht="12" thickBot="1">
      <c r="A140" s="328"/>
      <c r="B140" s="319"/>
      <c r="C140" s="317"/>
      <c r="D140" s="317"/>
      <c r="E140" s="317"/>
      <c r="F140" s="317"/>
      <c r="G140" s="317"/>
      <c r="H140" s="317"/>
      <c r="I140" s="340"/>
      <c r="J140" s="328"/>
    </row>
    <row r="141" spans="1:10">
      <c r="A141" s="328"/>
      <c r="B141" s="318">
        <v>47</v>
      </c>
      <c r="C141" s="315" t="s">
        <v>7957</v>
      </c>
      <c r="D141" s="315" t="s">
        <v>8014</v>
      </c>
      <c r="E141" s="315" t="s">
        <v>7997</v>
      </c>
      <c r="F141" s="320" t="s">
        <v>7990</v>
      </c>
      <c r="G141" s="320" t="s">
        <v>7987</v>
      </c>
      <c r="H141" s="320" t="s">
        <v>8011</v>
      </c>
      <c r="I141" s="338">
        <v>47</v>
      </c>
      <c r="J141" s="328"/>
    </row>
    <row r="142" spans="1:10">
      <c r="A142" s="328"/>
      <c r="B142" s="319"/>
      <c r="C142" s="316"/>
      <c r="D142" s="316"/>
      <c r="E142" s="316"/>
      <c r="F142" s="316"/>
      <c r="G142" s="316"/>
      <c r="H142" s="316"/>
      <c r="I142" s="339"/>
      <c r="J142" s="328"/>
    </row>
    <row r="143" spans="1:10" ht="12" thickBot="1">
      <c r="A143" s="328"/>
      <c r="B143" s="319"/>
      <c r="C143" s="317"/>
      <c r="D143" s="317"/>
      <c r="E143" s="317"/>
      <c r="F143" s="317"/>
      <c r="G143" s="317"/>
      <c r="H143" s="317"/>
      <c r="I143" s="340"/>
      <c r="J143" s="328"/>
    </row>
    <row r="144" spans="1:10">
      <c r="A144" s="328"/>
      <c r="B144" s="318">
        <v>48</v>
      </c>
      <c r="C144" s="315" t="s">
        <v>8012</v>
      </c>
      <c r="D144" s="315" t="s">
        <v>8025</v>
      </c>
      <c r="E144" s="315" t="s">
        <v>7986</v>
      </c>
      <c r="F144" s="320" t="s">
        <v>7970</v>
      </c>
      <c r="G144" s="320" t="s">
        <v>7979</v>
      </c>
      <c r="H144" s="320" t="s">
        <v>7958</v>
      </c>
      <c r="I144" s="338">
        <v>48</v>
      </c>
      <c r="J144" s="328"/>
    </row>
    <row r="145" spans="1:10">
      <c r="A145" s="328"/>
      <c r="B145" s="319"/>
      <c r="C145" s="316"/>
      <c r="D145" s="316"/>
      <c r="E145" s="316"/>
      <c r="F145" s="316"/>
      <c r="G145" s="316"/>
      <c r="H145" s="316"/>
      <c r="I145" s="339"/>
      <c r="J145" s="328"/>
    </row>
    <row r="146" spans="1:10" ht="12" thickBot="1">
      <c r="A146" s="328"/>
      <c r="B146" s="319"/>
      <c r="C146" s="317"/>
      <c r="D146" s="317"/>
      <c r="E146" s="317"/>
      <c r="F146" s="317"/>
      <c r="G146" s="317"/>
      <c r="H146" s="317"/>
      <c r="I146" s="340"/>
      <c r="J146" s="328"/>
    </row>
    <row r="147" spans="1:10">
      <c r="A147" s="328"/>
      <c r="B147" s="318">
        <v>49</v>
      </c>
      <c r="C147" s="315" t="s">
        <v>7990</v>
      </c>
      <c r="D147" s="315" t="s">
        <v>7963</v>
      </c>
      <c r="E147" s="353" t="s">
        <v>8022</v>
      </c>
      <c r="F147" s="320" t="s">
        <v>7977</v>
      </c>
      <c r="G147" s="360" t="s">
        <v>8007</v>
      </c>
      <c r="H147" s="320" t="s">
        <v>7961</v>
      </c>
      <c r="I147" s="338">
        <v>49</v>
      </c>
      <c r="J147" s="328"/>
    </row>
    <row r="148" spans="1:10">
      <c r="A148" s="328"/>
      <c r="B148" s="319"/>
      <c r="C148" s="316"/>
      <c r="D148" s="316"/>
      <c r="E148" s="354"/>
      <c r="F148" s="316"/>
      <c r="G148" s="361"/>
      <c r="H148" s="316"/>
      <c r="I148" s="339"/>
      <c r="J148" s="328"/>
    </row>
    <row r="149" spans="1:10" ht="12" thickBot="1">
      <c r="A149" s="328"/>
      <c r="B149" s="319"/>
      <c r="C149" s="317"/>
      <c r="D149" s="317"/>
      <c r="E149" s="355"/>
      <c r="F149" s="317"/>
      <c r="G149" s="362"/>
      <c r="H149" s="317"/>
      <c r="I149" s="340"/>
      <c r="J149" s="328"/>
    </row>
    <row r="150" spans="1:10">
      <c r="A150" s="328"/>
      <c r="B150" s="318">
        <v>50</v>
      </c>
      <c r="C150" s="315" t="s">
        <v>7982</v>
      </c>
      <c r="D150" s="315" t="s">
        <v>7979</v>
      </c>
      <c r="E150" s="315" t="s">
        <v>7983</v>
      </c>
      <c r="F150" s="320" t="s">
        <v>8039</v>
      </c>
      <c r="G150" s="320" t="s">
        <v>7997</v>
      </c>
      <c r="H150" s="320" t="s">
        <v>7965</v>
      </c>
      <c r="I150" s="338">
        <v>50</v>
      </c>
      <c r="J150" s="328"/>
    </row>
    <row r="151" spans="1:10">
      <c r="A151" s="328"/>
      <c r="B151" s="319"/>
      <c r="C151" s="316"/>
      <c r="D151" s="316"/>
      <c r="E151" s="316"/>
      <c r="F151" s="316"/>
      <c r="G151" s="316"/>
      <c r="H151" s="316"/>
      <c r="I151" s="339"/>
      <c r="J151" s="328"/>
    </row>
    <row r="152" spans="1:10" ht="12" thickBot="1">
      <c r="A152" s="328"/>
      <c r="B152" s="319"/>
      <c r="C152" s="317"/>
      <c r="D152" s="317"/>
      <c r="E152" s="317"/>
      <c r="F152" s="317"/>
      <c r="G152" s="317"/>
      <c r="H152" s="317"/>
      <c r="I152" s="340"/>
      <c r="J152" s="328"/>
    </row>
    <row r="153" spans="1:10">
      <c r="A153" s="328"/>
      <c r="B153" s="318">
        <v>51</v>
      </c>
      <c r="C153" s="315" t="s">
        <v>8020</v>
      </c>
      <c r="D153" s="315" t="s">
        <v>7969</v>
      </c>
      <c r="E153" s="315" t="s">
        <v>7956</v>
      </c>
      <c r="F153" s="320" t="s">
        <v>8037</v>
      </c>
      <c r="G153" s="320" t="s">
        <v>8023</v>
      </c>
      <c r="H153" s="320" t="s">
        <v>7993</v>
      </c>
      <c r="I153" s="338">
        <v>51</v>
      </c>
      <c r="J153" s="328"/>
    </row>
    <row r="154" spans="1:10">
      <c r="A154" s="328"/>
      <c r="B154" s="319"/>
      <c r="C154" s="316"/>
      <c r="D154" s="316"/>
      <c r="E154" s="316"/>
      <c r="F154" s="316"/>
      <c r="G154" s="316"/>
      <c r="H154" s="316"/>
      <c r="I154" s="339"/>
      <c r="J154" s="328"/>
    </row>
    <row r="155" spans="1:10" ht="12" thickBot="1">
      <c r="A155" s="328"/>
      <c r="B155" s="319"/>
      <c r="C155" s="317"/>
      <c r="D155" s="317"/>
      <c r="E155" s="317"/>
      <c r="F155" s="317"/>
      <c r="G155" s="317"/>
      <c r="H155" s="317"/>
      <c r="I155" s="340"/>
      <c r="J155" s="328"/>
    </row>
    <row r="156" spans="1:10">
      <c r="A156" s="328"/>
      <c r="B156" s="318">
        <v>52</v>
      </c>
      <c r="C156" s="315" t="s">
        <v>7973</v>
      </c>
      <c r="D156" s="315" t="s">
        <v>8016</v>
      </c>
      <c r="E156" s="315" t="s">
        <v>7962</v>
      </c>
      <c r="F156" s="320" t="s">
        <v>8016</v>
      </c>
      <c r="G156" s="320" t="s">
        <v>7968</v>
      </c>
      <c r="H156" s="353" t="s">
        <v>8022</v>
      </c>
      <c r="I156" s="338">
        <v>52</v>
      </c>
      <c r="J156" s="328"/>
    </row>
    <row r="157" spans="1:10">
      <c r="A157" s="328"/>
      <c r="B157" s="319"/>
      <c r="C157" s="316"/>
      <c r="D157" s="316"/>
      <c r="E157" s="316"/>
      <c r="F157" s="316"/>
      <c r="G157" s="316"/>
      <c r="H157" s="354"/>
      <c r="I157" s="339"/>
      <c r="J157" s="328"/>
    </row>
    <row r="158" spans="1:10" ht="12" thickBot="1">
      <c r="A158" s="328"/>
      <c r="B158" s="319"/>
      <c r="C158" s="317"/>
      <c r="D158" s="317"/>
      <c r="E158" s="317"/>
      <c r="F158" s="317"/>
      <c r="G158" s="317"/>
      <c r="H158" s="355"/>
      <c r="I158" s="340"/>
      <c r="J158" s="328"/>
    </row>
    <row r="159" spans="1:10">
      <c r="A159" s="328"/>
      <c r="B159" s="318">
        <v>53</v>
      </c>
      <c r="C159" s="315" t="s">
        <v>8018</v>
      </c>
      <c r="D159" s="315" t="s">
        <v>8021</v>
      </c>
      <c r="E159" s="315" t="s">
        <v>7989</v>
      </c>
      <c r="F159" s="320" t="s">
        <v>7984</v>
      </c>
      <c r="G159" s="320" t="s">
        <v>8032</v>
      </c>
      <c r="H159" s="320" t="s">
        <v>8005</v>
      </c>
      <c r="I159" s="338">
        <v>53</v>
      </c>
      <c r="J159" s="328"/>
    </row>
    <row r="160" spans="1:10">
      <c r="A160" s="328"/>
      <c r="B160" s="319"/>
      <c r="C160" s="316"/>
      <c r="D160" s="316"/>
      <c r="E160" s="316"/>
      <c r="F160" s="316"/>
      <c r="G160" s="316"/>
      <c r="H160" s="316"/>
      <c r="I160" s="339"/>
      <c r="J160" s="328"/>
    </row>
    <row r="161" spans="1:10" ht="12" thickBot="1">
      <c r="A161" s="328"/>
      <c r="B161" s="319"/>
      <c r="C161" s="317"/>
      <c r="D161" s="317"/>
      <c r="E161" s="317"/>
      <c r="F161" s="317"/>
      <c r="G161" s="317"/>
      <c r="H161" s="317"/>
      <c r="I161" s="340"/>
      <c r="J161" s="328"/>
    </row>
    <row r="162" spans="1:10">
      <c r="A162" s="328"/>
      <c r="B162" s="318">
        <v>54</v>
      </c>
      <c r="C162" s="315" t="s">
        <v>7978</v>
      </c>
      <c r="D162" s="315" t="s">
        <v>7964</v>
      </c>
      <c r="E162" s="315" t="s">
        <v>7970</v>
      </c>
      <c r="F162" s="320" t="s">
        <v>7964</v>
      </c>
      <c r="G162" s="320" t="s">
        <v>7983</v>
      </c>
      <c r="H162" s="320" t="s">
        <v>7959</v>
      </c>
      <c r="I162" s="338">
        <v>54</v>
      </c>
      <c r="J162" s="328"/>
    </row>
    <row r="163" spans="1:10">
      <c r="A163" s="328"/>
      <c r="B163" s="319"/>
      <c r="C163" s="316"/>
      <c r="D163" s="316"/>
      <c r="E163" s="316"/>
      <c r="F163" s="316"/>
      <c r="G163" s="316"/>
      <c r="H163" s="316"/>
      <c r="I163" s="339"/>
      <c r="J163" s="328"/>
    </row>
    <row r="164" spans="1:10" ht="12" thickBot="1">
      <c r="A164" s="328"/>
      <c r="B164" s="319"/>
      <c r="C164" s="317"/>
      <c r="D164" s="317"/>
      <c r="E164" s="317"/>
      <c r="F164" s="317"/>
      <c r="G164" s="317"/>
      <c r="H164" s="317"/>
      <c r="I164" s="340"/>
      <c r="J164" s="328"/>
    </row>
    <row r="165" spans="1:10">
      <c r="A165" s="328"/>
      <c r="B165" s="318">
        <v>55</v>
      </c>
      <c r="C165" s="315" t="s">
        <v>7974</v>
      </c>
      <c r="D165" s="315" t="s">
        <v>8034</v>
      </c>
      <c r="E165" s="315" t="s">
        <v>7967</v>
      </c>
      <c r="F165" s="353" t="s">
        <v>8027</v>
      </c>
      <c r="G165" s="320" t="s">
        <v>7974</v>
      </c>
      <c r="H165" s="320" t="s">
        <v>7960</v>
      </c>
      <c r="I165" s="338">
        <v>55</v>
      </c>
      <c r="J165" s="328"/>
    </row>
    <row r="166" spans="1:10">
      <c r="A166" s="328"/>
      <c r="B166" s="319"/>
      <c r="C166" s="316"/>
      <c r="D166" s="316"/>
      <c r="E166" s="316"/>
      <c r="F166" s="354"/>
      <c r="G166" s="316"/>
      <c r="H166" s="316"/>
      <c r="I166" s="339"/>
      <c r="J166" s="328"/>
    </row>
    <row r="167" spans="1:10" ht="12" thickBot="1">
      <c r="A167" s="328"/>
      <c r="B167" s="319"/>
      <c r="C167" s="317"/>
      <c r="D167" s="317"/>
      <c r="E167" s="317"/>
      <c r="F167" s="355"/>
      <c r="G167" s="317"/>
      <c r="H167" s="317"/>
      <c r="I167" s="340"/>
      <c r="J167" s="328"/>
    </row>
    <row r="168" spans="1:10">
      <c r="A168" s="328"/>
      <c r="B168" s="318">
        <v>56</v>
      </c>
      <c r="C168" s="315" t="s">
        <v>7966</v>
      </c>
      <c r="D168" s="315" t="s">
        <v>7995</v>
      </c>
      <c r="E168" s="315" t="s">
        <v>7992</v>
      </c>
      <c r="F168" s="320" t="s">
        <v>8024</v>
      </c>
      <c r="G168" s="320" t="s">
        <v>7980</v>
      </c>
      <c r="H168" s="320" t="s">
        <v>8017</v>
      </c>
      <c r="I168" s="338">
        <v>56</v>
      </c>
      <c r="J168" s="328"/>
    </row>
    <row r="169" spans="1:10">
      <c r="A169" s="328"/>
      <c r="B169" s="319"/>
      <c r="C169" s="316"/>
      <c r="D169" s="316"/>
      <c r="E169" s="316"/>
      <c r="F169" s="316"/>
      <c r="G169" s="316"/>
      <c r="H169" s="316"/>
      <c r="I169" s="339"/>
      <c r="J169" s="328"/>
    </row>
    <row r="170" spans="1:10" ht="12" thickBot="1">
      <c r="A170" s="328"/>
      <c r="B170" s="319"/>
      <c r="C170" s="317"/>
      <c r="D170" s="317"/>
      <c r="E170" s="317"/>
      <c r="F170" s="317"/>
      <c r="G170" s="317"/>
      <c r="H170" s="317"/>
      <c r="I170" s="340"/>
      <c r="J170" s="328"/>
    </row>
    <row r="171" spans="1:10">
      <c r="A171" s="328"/>
      <c r="B171" s="318">
        <v>57</v>
      </c>
      <c r="C171" s="315" t="s">
        <v>7987</v>
      </c>
      <c r="D171" s="315" t="s">
        <v>7961</v>
      </c>
      <c r="E171" s="315" t="s">
        <v>8030</v>
      </c>
      <c r="F171" s="320" t="s">
        <v>8013</v>
      </c>
      <c r="G171" s="320" t="s">
        <v>8003</v>
      </c>
      <c r="H171" s="320" t="s">
        <v>8015</v>
      </c>
      <c r="I171" s="338">
        <v>57</v>
      </c>
      <c r="J171" s="328"/>
    </row>
    <row r="172" spans="1:10">
      <c r="A172" s="328"/>
      <c r="B172" s="319"/>
      <c r="C172" s="316"/>
      <c r="D172" s="316"/>
      <c r="E172" s="316"/>
      <c r="F172" s="316"/>
      <c r="G172" s="316"/>
      <c r="H172" s="316"/>
      <c r="I172" s="339"/>
      <c r="J172" s="328"/>
    </row>
    <row r="173" spans="1:10" ht="12" thickBot="1">
      <c r="A173" s="328"/>
      <c r="B173" s="319"/>
      <c r="C173" s="317"/>
      <c r="D173" s="317"/>
      <c r="E173" s="317"/>
      <c r="F173" s="317"/>
      <c r="G173" s="317"/>
      <c r="H173" s="317"/>
      <c r="I173" s="340"/>
      <c r="J173" s="328"/>
    </row>
    <row r="174" spans="1:10">
      <c r="A174" s="328"/>
      <c r="B174" s="318">
        <v>58</v>
      </c>
      <c r="C174" s="315" t="s">
        <v>8003</v>
      </c>
      <c r="D174" s="315" t="s">
        <v>8015</v>
      </c>
      <c r="E174" s="315" t="s">
        <v>8024</v>
      </c>
      <c r="F174" s="320" t="s">
        <v>8028</v>
      </c>
      <c r="G174" s="320" t="s">
        <v>7992</v>
      </c>
      <c r="H174" s="320" t="s">
        <v>7969</v>
      </c>
      <c r="I174" s="338">
        <v>58</v>
      </c>
      <c r="J174" s="328"/>
    </row>
    <row r="175" spans="1:10">
      <c r="A175" s="328"/>
      <c r="B175" s="319"/>
      <c r="C175" s="316" t="s">
        <v>7950</v>
      </c>
      <c r="D175" s="316" t="s">
        <v>7950</v>
      </c>
      <c r="E175" s="316" t="s">
        <v>7950</v>
      </c>
      <c r="F175" s="316" t="s">
        <v>7950</v>
      </c>
      <c r="G175" s="316" t="s">
        <v>7950</v>
      </c>
      <c r="H175" s="316" t="s">
        <v>7950</v>
      </c>
      <c r="I175" s="339"/>
      <c r="J175" s="328"/>
    </row>
    <row r="176" spans="1:10" ht="12" thickBot="1">
      <c r="A176" s="328"/>
      <c r="B176" s="319"/>
      <c r="C176" s="317"/>
      <c r="D176" s="317"/>
      <c r="E176" s="317"/>
      <c r="F176" s="317"/>
      <c r="G176" s="317"/>
      <c r="H176" s="317"/>
      <c r="I176" s="340"/>
      <c r="J176" s="328"/>
    </row>
    <row r="177" spans="1:10">
      <c r="B177" s="318">
        <v>59</v>
      </c>
      <c r="C177" s="364" t="s">
        <v>7950</v>
      </c>
      <c r="D177" s="364" t="s">
        <v>7950</v>
      </c>
      <c r="E177" s="364" t="s">
        <v>7950</v>
      </c>
      <c r="F177" s="364" t="s">
        <v>7950</v>
      </c>
      <c r="G177" s="364" t="s">
        <v>7950</v>
      </c>
      <c r="H177" s="364" t="s">
        <v>7950</v>
      </c>
      <c r="I177" s="318">
        <v>59</v>
      </c>
    </row>
    <row r="178" spans="1:10">
      <c r="B178" s="319"/>
      <c r="C178" s="364"/>
      <c r="D178" s="364"/>
      <c r="E178" s="364"/>
      <c r="F178" s="364"/>
      <c r="G178" s="364"/>
      <c r="H178" s="364"/>
      <c r="I178" s="319"/>
    </row>
    <row r="179" spans="1:10" ht="12" thickBot="1">
      <c r="B179" s="319"/>
      <c r="C179" s="364"/>
      <c r="D179" s="364"/>
      <c r="E179" s="364"/>
      <c r="F179" s="364"/>
      <c r="G179" s="364"/>
      <c r="H179" s="364"/>
      <c r="I179" s="326"/>
    </row>
    <row r="180" spans="1:10">
      <c r="A180" s="327" t="s">
        <v>8042</v>
      </c>
      <c r="B180" s="318">
        <v>60</v>
      </c>
      <c r="C180" s="320" t="s">
        <v>7975</v>
      </c>
      <c r="D180" s="320" t="s">
        <v>8034</v>
      </c>
      <c r="E180" s="320" t="s">
        <v>8026</v>
      </c>
      <c r="F180" s="315" t="s">
        <v>8010</v>
      </c>
      <c r="G180" s="315" t="s">
        <v>7986</v>
      </c>
      <c r="H180" s="315" t="s">
        <v>8031</v>
      </c>
      <c r="I180" s="338">
        <v>60</v>
      </c>
      <c r="J180" s="327" t="s">
        <v>8043</v>
      </c>
    </row>
    <row r="181" spans="1:10">
      <c r="A181" s="328"/>
      <c r="B181" s="319"/>
      <c r="C181" s="316"/>
      <c r="D181" s="316"/>
      <c r="E181" s="316"/>
      <c r="F181" s="316"/>
      <c r="G181" s="316"/>
      <c r="H181" s="316"/>
      <c r="I181" s="339"/>
      <c r="J181" s="328"/>
    </row>
    <row r="182" spans="1:10" ht="12" thickBot="1">
      <c r="A182" s="328"/>
      <c r="B182" s="319"/>
      <c r="C182" s="317"/>
      <c r="D182" s="317"/>
      <c r="E182" s="317"/>
      <c r="F182" s="317"/>
      <c r="G182" s="317"/>
      <c r="H182" s="317"/>
      <c r="I182" s="340"/>
      <c r="J182" s="328"/>
    </row>
    <row r="183" spans="1:10">
      <c r="A183" s="328"/>
      <c r="B183" s="318">
        <v>61</v>
      </c>
      <c r="C183" s="320" t="s">
        <v>8013</v>
      </c>
      <c r="D183" s="320" t="s">
        <v>7962</v>
      </c>
      <c r="E183" s="320" t="s">
        <v>7969</v>
      </c>
      <c r="F183" s="315" t="s">
        <v>8016</v>
      </c>
      <c r="G183" s="315" t="s">
        <v>7969</v>
      </c>
      <c r="H183" s="315" t="s">
        <v>8029</v>
      </c>
      <c r="I183" s="338">
        <v>61</v>
      </c>
      <c r="J183" s="328"/>
    </row>
    <row r="184" spans="1:10">
      <c r="A184" s="328"/>
      <c r="B184" s="319"/>
      <c r="C184" s="316"/>
      <c r="D184" s="316"/>
      <c r="E184" s="316"/>
      <c r="F184" s="316"/>
      <c r="G184" s="316"/>
      <c r="H184" s="316"/>
      <c r="I184" s="339"/>
      <c r="J184" s="328"/>
    </row>
    <row r="185" spans="1:10" ht="12" thickBot="1">
      <c r="A185" s="328"/>
      <c r="B185" s="319"/>
      <c r="C185" s="317"/>
      <c r="D185" s="317"/>
      <c r="E185" s="317"/>
      <c r="F185" s="317"/>
      <c r="G185" s="317"/>
      <c r="H185" s="317"/>
      <c r="I185" s="340"/>
      <c r="J185" s="328"/>
    </row>
    <row r="186" spans="1:10">
      <c r="A186" s="328"/>
      <c r="B186" s="318">
        <v>62</v>
      </c>
      <c r="C186" s="320" t="s">
        <v>7968</v>
      </c>
      <c r="D186" s="320" t="s">
        <v>7954</v>
      </c>
      <c r="E186" s="320" t="s">
        <v>7960</v>
      </c>
      <c r="F186" s="315" t="s">
        <v>7974</v>
      </c>
      <c r="G186" s="315" t="s">
        <v>7989</v>
      </c>
      <c r="H186" s="315" t="s">
        <v>7976</v>
      </c>
      <c r="I186" s="338">
        <v>62</v>
      </c>
      <c r="J186" s="328"/>
    </row>
    <row r="187" spans="1:10">
      <c r="A187" s="328"/>
      <c r="B187" s="319"/>
      <c r="C187" s="316"/>
      <c r="D187" s="316"/>
      <c r="E187" s="316"/>
      <c r="F187" s="316"/>
      <c r="G187" s="316"/>
      <c r="H187" s="316"/>
      <c r="I187" s="339"/>
      <c r="J187" s="328"/>
    </row>
    <row r="188" spans="1:10" ht="12" thickBot="1">
      <c r="A188" s="328"/>
      <c r="B188" s="319"/>
      <c r="C188" s="317"/>
      <c r="D188" s="317"/>
      <c r="E188" s="317"/>
      <c r="F188" s="317"/>
      <c r="G188" s="317"/>
      <c r="H188" s="317"/>
      <c r="I188" s="340"/>
      <c r="J188" s="328"/>
    </row>
    <row r="189" spans="1:10">
      <c r="A189" s="328"/>
      <c r="B189" s="318">
        <v>63</v>
      </c>
      <c r="C189" s="320" t="s">
        <v>7967</v>
      </c>
      <c r="D189" s="320" t="s">
        <v>7996</v>
      </c>
      <c r="E189" s="320" t="s">
        <v>7964</v>
      </c>
      <c r="F189" s="342" t="s">
        <v>8002</v>
      </c>
      <c r="G189" s="315" t="s">
        <v>7985</v>
      </c>
      <c r="H189" s="315" t="s">
        <v>8019</v>
      </c>
      <c r="I189" s="338">
        <v>63</v>
      </c>
      <c r="J189" s="328"/>
    </row>
    <row r="190" spans="1:10">
      <c r="A190" s="328"/>
      <c r="B190" s="319"/>
      <c r="C190" s="316"/>
      <c r="D190" s="316"/>
      <c r="E190" s="316"/>
      <c r="F190" s="343"/>
      <c r="G190" s="316"/>
      <c r="H190" s="316"/>
      <c r="I190" s="339"/>
      <c r="J190" s="328"/>
    </row>
    <row r="191" spans="1:10" ht="12" thickBot="1">
      <c r="A191" s="328"/>
      <c r="B191" s="319"/>
      <c r="C191" s="317"/>
      <c r="D191" s="317"/>
      <c r="E191" s="317"/>
      <c r="F191" s="344"/>
      <c r="G191" s="317"/>
      <c r="H191" s="317"/>
      <c r="I191" s="340"/>
      <c r="J191" s="328"/>
    </row>
    <row r="192" spans="1:10">
      <c r="A192" s="328"/>
      <c r="B192" s="318">
        <v>64</v>
      </c>
      <c r="C192" s="320" t="s">
        <v>7997</v>
      </c>
      <c r="D192" s="320" t="s">
        <v>8017</v>
      </c>
      <c r="E192" s="320" t="s">
        <v>7963</v>
      </c>
      <c r="F192" s="315" t="s">
        <v>7965</v>
      </c>
      <c r="G192" s="315" t="s">
        <v>7998</v>
      </c>
      <c r="H192" s="315" t="s">
        <v>7967</v>
      </c>
      <c r="I192" s="338">
        <v>64</v>
      </c>
      <c r="J192" s="328"/>
    </row>
    <row r="193" spans="1:10">
      <c r="A193" s="328"/>
      <c r="B193" s="319"/>
      <c r="C193" s="316"/>
      <c r="D193" s="316"/>
      <c r="E193" s="316"/>
      <c r="F193" s="316"/>
      <c r="G193" s="316"/>
      <c r="H193" s="316"/>
      <c r="I193" s="339"/>
      <c r="J193" s="328"/>
    </row>
    <row r="194" spans="1:10" ht="12" thickBot="1">
      <c r="A194" s="328"/>
      <c r="B194" s="319"/>
      <c r="C194" s="317"/>
      <c r="D194" s="317"/>
      <c r="E194" s="317"/>
      <c r="F194" s="317"/>
      <c r="G194" s="317"/>
      <c r="H194" s="317"/>
      <c r="I194" s="340"/>
      <c r="J194" s="328"/>
    </row>
    <row r="195" spans="1:10">
      <c r="A195" s="328"/>
      <c r="B195" s="318">
        <v>65</v>
      </c>
      <c r="C195" s="353" t="s">
        <v>8022</v>
      </c>
      <c r="D195" s="360" t="s">
        <v>8038</v>
      </c>
      <c r="E195" s="320" t="s">
        <v>8036</v>
      </c>
      <c r="F195" s="315" t="s">
        <v>8034</v>
      </c>
      <c r="G195" s="315" t="s">
        <v>7988</v>
      </c>
      <c r="H195" s="350" t="s">
        <v>8027</v>
      </c>
      <c r="I195" s="338">
        <v>65</v>
      </c>
      <c r="J195" s="328"/>
    </row>
    <row r="196" spans="1:10">
      <c r="A196" s="328"/>
      <c r="B196" s="319"/>
      <c r="C196" s="354"/>
      <c r="D196" s="361"/>
      <c r="E196" s="316"/>
      <c r="F196" s="316"/>
      <c r="G196" s="316"/>
      <c r="H196" s="351"/>
      <c r="I196" s="339"/>
      <c r="J196" s="328"/>
    </row>
    <row r="197" spans="1:10" ht="12" thickBot="1">
      <c r="A197" s="328"/>
      <c r="B197" s="319"/>
      <c r="C197" s="355"/>
      <c r="D197" s="362"/>
      <c r="E197" s="317"/>
      <c r="F197" s="317"/>
      <c r="G197" s="317"/>
      <c r="H197" s="352"/>
      <c r="I197" s="340"/>
      <c r="J197" s="328"/>
    </row>
    <row r="198" spans="1:10">
      <c r="A198" s="328"/>
      <c r="B198" s="318">
        <v>66</v>
      </c>
      <c r="C198" s="320" t="s">
        <v>7998</v>
      </c>
      <c r="D198" s="342" t="s">
        <v>8007</v>
      </c>
      <c r="E198" s="320" t="s">
        <v>7970</v>
      </c>
      <c r="F198" s="315" t="s">
        <v>7962</v>
      </c>
      <c r="G198" s="315" t="s">
        <v>7966</v>
      </c>
      <c r="H198" s="315" t="s">
        <v>8012</v>
      </c>
      <c r="I198" s="338">
        <v>66</v>
      </c>
      <c r="J198" s="328"/>
    </row>
    <row r="199" spans="1:10">
      <c r="A199" s="328"/>
      <c r="B199" s="319"/>
      <c r="C199" s="316"/>
      <c r="D199" s="343"/>
      <c r="E199" s="316"/>
      <c r="F199" s="316"/>
      <c r="G199" s="316"/>
      <c r="H199" s="316"/>
      <c r="I199" s="339"/>
      <c r="J199" s="328"/>
    </row>
    <row r="200" spans="1:10" ht="12" thickBot="1">
      <c r="A200" s="328"/>
      <c r="B200" s="319"/>
      <c r="C200" s="317"/>
      <c r="D200" s="344"/>
      <c r="E200" s="317"/>
      <c r="F200" s="317"/>
      <c r="G200" s="317"/>
      <c r="H200" s="317"/>
      <c r="I200" s="340"/>
      <c r="J200" s="328"/>
    </row>
    <row r="201" spans="1:10">
      <c r="A201" s="328"/>
      <c r="B201" s="318">
        <v>67</v>
      </c>
      <c r="C201" s="320" t="s">
        <v>8020</v>
      </c>
      <c r="D201" s="320" t="s">
        <v>7985</v>
      </c>
      <c r="E201" s="320" t="s">
        <v>8030</v>
      </c>
      <c r="F201" s="315" t="s">
        <v>7963</v>
      </c>
      <c r="G201" s="315" t="s">
        <v>7958</v>
      </c>
      <c r="H201" s="315" t="s">
        <v>8008</v>
      </c>
      <c r="I201" s="338">
        <v>67</v>
      </c>
      <c r="J201" s="328"/>
    </row>
    <row r="202" spans="1:10">
      <c r="A202" s="328"/>
      <c r="B202" s="319"/>
      <c r="C202" s="316"/>
      <c r="D202" s="316"/>
      <c r="E202" s="316"/>
      <c r="F202" s="316"/>
      <c r="G202" s="316"/>
      <c r="H202" s="316"/>
      <c r="I202" s="339"/>
      <c r="J202" s="328"/>
    </row>
    <row r="203" spans="1:10" ht="12" thickBot="1">
      <c r="A203" s="328"/>
      <c r="B203" s="319"/>
      <c r="C203" s="317"/>
      <c r="D203" s="317"/>
      <c r="E203" s="317"/>
      <c r="F203" s="317"/>
      <c r="G203" s="317"/>
      <c r="H203" s="317"/>
      <c r="I203" s="340"/>
      <c r="J203" s="328"/>
    </row>
    <row r="204" spans="1:10">
      <c r="A204" s="328"/>
      <c r="B204" s="318">
        <v>68</v>
      </c>
      <c r="C204" s="320" t="s">
        <v>8008</v>
      </c>
      <c r="D204" s="320" t="s">
        <v>7974</v>
      </c>
      <c r="E204" s="320" t="s">
        <v>7955</v>
      </c>
      <c r="F204" s="315" t="s">
        <v>8037</v>
      </c>
      <c r="G204" s="315" t="s">
        <v>7982</v>
      </c>
      <c r="H204" s="315" t="s">
        <v>8001</v>
      </c>
      <c r="I204" s="338">
        <v>68</v>
      </c>
      <c r="J204" s="328"/>
    </row>
    <row r="205" spans="1:10">
      <c r="A205" s="328"/>
      <c r="B205" s="319"/>
      <c r="C205" s="316"/>
      <c r="D205" s="316"/>
      <c r="E205" s="316"/>
      <c r="F205" s="316"/>
      <c r="G205" s="316"/>
      <c r="H205" s="316"/>
      <c r="I205" s="339"/>
      <c r="J205" s="328"/>
    </row>
    <row r="206" spans="1:10" ht="12" thickBot="1">
      <c r="A206" s="328"/>
      <c r="B206" s="319"/>
      <c r="C206" s="317"/>
      <c r="D206" s="317"/>
      <c r="E206" s="317"/>
      <c r="F206" s="317"/>
      <c r="G206" s="317"/>
      <c r="H206" s="317"/>
      <c r="I206" s="340"/>
      <c r="J206" s="328"/>
    </row>
    <row r="207" spans="1:10">
      <c r="A207" s="328"/>
      <c r="B207" s="318">
        <v>69</v>
      </c>
      <c r="C207" s="320" t="s">
        <v>8005</v>
      </c>
      <c r="D207" s="320" t="s">
        <v>8031</v>
      </c>
      <c r="E207" s="320" t="s">
        <v>8025</v>
      </c>
      <c r="F207" s="315" t="s">
        <v>7957</v>
      </c>
      <c r="G207" s="315" t="s">
        <v>7980</v>
      </c>
      <c r="H207" s="353" t="s">
        <v>7994</v>
      </c>
      <c r="I207" s="338">
        <v>69</v>
      </c>
      <c r="J207" s="328"/>
    </row>
    <row r="208" spans="1:10">
      <c r="A208" s="328"/>
      <c r="B208" s="319"/>
      <c r="C208" s="316"/>
      <c r="D208" s="316"/>
      <c r="E208" s="316"/>
      <c r="F208" s="316"/>
      <c r="G208" s="316"/>
      <c r="H208" s="354"/>
      <c r="I208" s="339"/>
      <c r="J208" s="328"/>
    </row>
    <row r="209" spans="1:10" ht="12" thickBot="1">
      <c r="A209" s="328"/>
      <c r="B209" s="319"/>
      <c r="C209" s="317"/>
      <c r="D209" s="317"/>
      <c r="E209" s="317"/>
      <c r="F209" s="317"/>
      <c r="G209" s="317"/>
      <c r="H209" s="355"/>
      <c r="I209" s="340"/>
      <c r="J209" s="328"/>
    </row>
    <row r="210" spans="1:10">
      <c r="A210" s="328"/>
      <c r="B210" s="318">
        <v>70</v>
      </c>
      <c r="C210" s="320" t="s">
        <v>7979</v>
      </c>
      <c r="D210" s="320" t="s">
        <v>7981</v>
      </c>
      <c r="E210" s="320" t="s">
        <v>8032</v>
      </c>
      <c r="F210" s="315" t="s">
        <v>8025</v>
      </c>
      <c r="G210" s="315" t="s">
        <v>8006</v>
      </c>
      <c r="H210" s="315" t="s">
        <v>7990</v>
      </c>
      <c r="I210" s="338">
        <v>70</v>
      </c>
      <c r="J210" s="328"/>
    </row>
    <row r="211" spans="1:10">
      <c r="A211" s="328"/>
      <c r="B211" s="319"/>
      <c r="C211" s="316"/>
      <c r="D211" s="316"/>
      <c r="E211" s="316"/>
      <c r="F211" s="316"/>
      <c r="G211" s="316"/>
      <c r="H211" s="316"/>
      <c r="I211" s="339"/>
      <c r="J211" s="328"/>
    </row>
    <row r="212" spans="1:10" ht="12" thickBot="1">
      <c r="A212" s="328"/>
      <c r="B212" s="319"/>
      <c r="C212" s="317"/>
      <c r="D212" s="317"/>
      <c r="E212" s="317"/>
      <c r="F212" s="317"/>
      <c r="G212" s="317"/>
      <c r="H212" s="317"/>
      <c r="I212" s="340"/>
      <c r="J212" s="328"/>
    </row>
    <row r="213" spans="1:10">
      <c r="A213" s="328"/>
      <c r="B213" s="318">
        <v>71</v>
      </c>
      <c r="C213" s="320" t="s">
        <v>7976</v>
      </c>
      <c r="D213" s="320" t="s">
        <v>7995</v>
      </c>
      <c r="E213" s="320" t="s">
        <v>7992</v>
      </c>
      <c r="F213" s="315" t="s">
        <v>7993</v>
      </c>
      <c r="G213" s="315" t="s">
        <v>8018</v>
      </c>
      <c r="H213" s="315" t="s">
        <v>7971</v>
      </c>
      <c r="I213" s="338">
        <v>71</v>
      </c>
      <c r="J213" s="328"/>
    </row>
    <row r="214" spans="1:10">
      <c r="A214" s="328"/>
      <c r="B214" s="319"/>
      <c r="C214" s="316"/>
      <c r="D214" s="316"/>
      <c r="E214" s="316"/>
      <c r="F214" s="316"/>
      <c r="G214" s="316"/>
      <c r="H214" s="316"/>
      <c r="I214" s="339"/>
      <c r="J214" s="328"/>
    </row>
    <row r="215" spans="1:10" ht="12" thickBot="1">
      <c r="A215" s="328"/>
      <c r="B215" s="319"/>
      <c r="C215" s="317"/>
      <c r="D215" s="317"/>
      <c r="E215" s="317"/>
      <c r="F215" s="317"/>
      <c r="G215" s="317"/>
      <c r="H215" s="317"/>
      <c r="I215" s="340"/>
      <c r="J215" s="328"/>
    </row>
    <row r="216" spans="1:10">
      <c r="A216" s="328"/>
      <c r="B216" s="318">
        <v>72</v>
      </c>
      <c r="C216" s="320" t="s">
        <v>7988</v>
      </c>
      <c r="D216" s="320" t="s">
        <v>7999</v>
      </c>
      <c r="E216" s="320" t="s">
        <v>8011</v>
      </c>
      <c r="F216" s="315" t="s">
        <v>7992</v>
      </c>
      <c r="G216" s="315" t="s">
        <v>8017</v>
      </c>
      <c r="H216" s="315" t="s">
        <v>8028</v>
      </c>
      <c r="I216" s="338">
        <v>72</v>
      </c>
      <c r="J216" s="328"/>
    </row>
    <row r="217" spans="1:10">
      <c r="A217" s="328"/>
      <c r="B217" s="319"/>
      <c r="C217" s="316"/>
      <c r="D217" s="316"/>
      <c r="E217" s="316"/>
      <c r="F217" s="316"/>
      <c r="G217" s="316"/>
      <c r="H217" s="316"/>
      <c r="I217" s="339"/>
      <c r="J217" s="328"/>
    </row>
    <row r="218" spans="1:10" ht="12" thickBot="1">
      <c r="A218" s="328"/>
      <c r="B218" s="319"/>
      <c r="C218" s="317"/>
      <c r="D218" s="317"/>
      <c r="E218" s="317"/>
      <c r="F218" s="317"/>
      <c r="G218" s="317"/>
      <c r="H218" s="317"/>
      <c r="I218" s="340"/>
      <c r="J218" s="328"/>
    </row>
    <row r="219" spans="1:10">
      <c r="A219" s="328"/>
      <c r="B219" s="318">
        <v>73</v>
      </c>
      <c r="C219" s="320" t="s">
        <v>7973</v>
      </c>
      <c r="D219" s="320" t="s">
        <v>8029</v>
      </c>
      <c r="E219" s="320" t="s">
        <v>7958</v>
      </c>
      <c r="F219" s="315" t="s">
        <v>8020</v>
      </c>
      <c r="G219" s="315" t="s">
        <v>8011</v>
      </c>
      <c r="H219" s="315" t="s">
        <v>8005</v>
      </c>
      <c r="I219" s="338">
        <v>73</v>
      </c>
      <c r="J219" s="328"/>
    </row>
    <row r="220" spans="1:10">
      <c r="A220" s="328"/>
      <c r="B220" s="319"/>
      <c r="C220" s="316"/>
      <c r="D220" s="316"/>
      <c r="E220" s="316"/>
      <c r="F220" s="316"/>
      <c r="G220" s="316"/>
      <c r="H220" s="316"/>
      <c r="I220" s="339"/>
      <c r="J220" s="328"/>
    </row>
    <row r="221" spans="1:10" ht="12" thickBot="1">
      <c r="A221" s="328"/>
      <c r="B221" s="319"/>
      <c r="C221" s="317"/>
      <c r="D221" s="317"/>
      <c r="E221" s="317"/>
      <c r="F221" s="317"/>
      <c r="G221" s="317"/>
      <c r="H221" s="317"/>
      <c r="I221" s="340"/>
      <c r="J221" s="328"/>
    </row>
    <row r="222" spans="1:10">
      <c r="A222" s="328"/>
      <c r="B222" s="318">
        <v>74</v>
      </c>
      <c r="C222" s="320" t="s">
        <v>7956</v>
      </c>
      <c r="D222" s="320" t="s">
        <v>8010</v>
      </c>
      <c r="E222" s="320" t="s">
        <v>8003</v>
      </c>
      <c r="F222" s="315" t="s">
        <v>8039</v>
      </c>
      <c r="G222" s="315" t="s">
        <v>8032</v>
      </c>
      <c r="H222" s="315" t="s">
        <v>8026</v>
      </c>
      <c r="I222" s="338">
        <v>74</v>
      </c>
      <c r="J222" s="328"/>
    </row>
    <row r="223" spans="1:10">
      <c r="A223" s="328"/>
      <c r="B223" s="319"/>
      <c r="C223" s="316"/>
      <c r="D223" s="316"/>
      <c r="E223" s="316"/>
      <c r="F223" s="316"/>
      <c r="G223" s="316"/>
      <c r="H223" s="316"/>
      <c r="I223" s="339"/>
      <c r="J223" s="328"/>
    </row>
    <row r="224" spans="1:10" ht="12" thickBot="1">
      <c r="A224" s="328"/>
      <c r="B224" s="319"/>
      <c r="C224" s="317"/>
      <c r="D224" s="317"/>
      <c r="E224" s="317"/>
      <c r="F224" s="317"/>
      <c r="G224" s="317"/>
      <c r="H224" s="317"/>
      <c r="I224" s="340"/>
      <c r="J224" s="328"/>
    </row>
    <row r="225" spans="1:10">
      <c r="A225" s="328"/>
      <c r="B225" s="318">
        <v>75</v>
      </c>
      <c r="C225" s="320" t="s">
        <v>7972</v>
      </c>
      <c r="D225" s="320" t="s">
        <v>8018</v>
      </c>
      <c r="E225" s="350" t="s">
        <v>8027</v>
      </c>
      <c r="F225" s="315" t="s">
        <v>7978</v>
      </c>
      <c r="G225" s="315" t="s">
        <v>7981</v>
      </c>
      <c r="H225" s="315" t="s">
        <v>7973</v>
      </c>
      <c r="I225" s="338">
        <v>75</v>
      </c>
      <c r="J225" s="328"/>
    </row>
    <row r="226" spans="1:10">
      <c r="A226" s="328"/>
      <c r="B226" s="319"/>
      <c r="C226" s="316"/>
      <c r="D226" s="316"/>
      <c r="E226" s="351"/>
      <c r="F226" s="316"/>
      <c r="G226" s="316"/>
      <c r="H226" s="316"/>
      <c r="I226" s="339"/>
      <c r="J226" s="328"/>
    </row>
    <row r="227" spans="1:10" ht="12" thickBot="1">
      <c r="A227" s="328"/>
      <c r="B227" s="319"/>
      <c r="C227" s="317"/>
      <c r="D227" s="317"/>
      <c r="E227" s="352"/>
      <c r="F227" s="317"/>
      <c r="G227" s="317"/>
      <c r="H227" s="317"/>
      <c r="I227" s="340"/>
      <c r="J227" s="328"/>
    </row>
    <row r="228" spans="1:10">
      <c r="A228" s="328"/>
      <c r="B228" s="318">
        <v>76</v>
      </c>
      <c r="C228" s="320" t="s">
        <v>7978</v>
      </c>
      <c r="D228" s="320" t="s">
        <v>8014</v>
      </c>
      <c r="E228" s="320" t="s">
        <v>7961</v>
      </c>
      <c r="F228" s="315" t="s">
        <v>7983</v>
      </c>
      <c r="G228" s="315" t="s">
        <v>7975</v>
      </c>
      <c r="H228" s="315" t="s">
        <v>8014</v>
      </c>
      <c r="I228" s="338">
        <v>76</v>
      </c>
      <c r="J228" s="328"/>
    </row>
    <row r="229" spans="1:10">
      <c r="A229" s="328"/>
      <c r="B229" s="319"/>
      <c r="C229" s="316"/>
      <c r="D229" s="316"/>
      <c r="E229" s="316"/>
      <c r="F229" s="316"/>
      <c r="G229" s="316"/>
      <c r="H229" s="316"/>
      <c r="I229" s="339"/>
      <c r="J229" s="328"/>
    </row>
    <row r="230" spans="1:10" ht="12" thickBot="1">
      <c r="A230" s="328"/>
      <c r="B230" s="319"/>
      <c r="C230" s="317"/>
      <c r="D230" s="317"/>
      <c r="E230" s="317"/>
      <c r="F230" s="317"/>
      <c r="G230" s="317"/>
      <c r="H230" s="317"/>
      <c r="I230" s="340"/>
      <c r="J230" s="328"/>
    </row>
    <row r="231" spans="1:10">
      <c r="A231" s="328"/>
      <c r="B231" s="318">
        <v>77</v>
      </c>
      <c r="C231" s="320" t="s">
        <v>7971</v>
      </c>
      <c r="D231" s="320" t="s">
        <v>7984</v>
      </c>
      <c r="E231" s="320" t="s">
        <v>8012</v>
      </c>
      <c r="F231" s="315" t="s">
        <v>7995</v>
      </c>
      <c r="G231" s="315" t="s">
        <v>7959</v>
      </c>
      <c r="H231" s="315" t="s">
        <v>8035</v>
      </c>
      <c r="I231" s="338">
        <v>77</v>
      </c>
      <c r="J231" s="328"/>
    </row>
    <row r="232" spans="1:10">
      <c r="A232" s="328"/>
      <c r="B232" s="319"/>
      <c r="C232" s="316"/>
      <c r="D232" s="316"/>
      <c r="E232" s="316"/>
      <c r="F232" s="316"/>
      <c r="G232" s="316"/>
      <c r="H232" s="316"/>
      <c r="I232" s="339"/>
      <c r="J232" s="328"/>
    </row>
    <row r="233" spans="1:10" ht="12" thickBot="1">
      <c r="A233" s="328"/>
      <c r="B233" s="319"/>
      <c r="C233" s="317"/>
      <c r="D233" s="317"/>
      <c r="E233" s="317"/>
      <c r="F233" s="317"/>
      <c r="G233" s="317"/>
      <c r="H233" s="317"/>
      <c r="I233" s="340"/>
      <c r="J233" s="328"/>
    </row>
    <row r="234" spans="1:10">
      <c r="A234" s="328"/>
      <c r="B234" s="318">
        <v>78</v>
      </c>
      <c r="C234" s="320" t="s">
        <v>8023</v>
      </c>
      <c r="D234" s="320" t="s">
        <v>8024</v>
      </c>
      <c r="E234" s="320" t="s">
        <v>7989</v>
      </c>
      <c r="F234" s="315" t="s">
        <v>7954</v>
      </c>
      <c r="G234" s="315" t="s">
        <v>8000</v>
      </c>
      <c r="H234" s="360" t="s">
        <v>8038</v>
      </c>
      <c r="I234" s="338">
        <v>78</v>
      </c>
      <c r="J234" s="328"/>
    </row>
    <row r="235" spans="1:10">
      <c r="A235" s="328"/>
      <c r="B235" s="319"/>
      <c r="C235" s="316"/>
      <c r="D235" s="316"/>
      <c r="E235" s="316"/>
      <c r="F235" s="316"/>
      <c r="G235" s="316"/>
      <c r="H235" s="361"/>
      <c r="I235" s="339"/>
      <c r="J235" s="328"/>
    </row>
    <row r="236" spans="1:10" ht="12" thickBot="1">
      <c r="A236" s="328"/>
      <c r="B236" s="319"/>
      <c r="C236" s="317"/>
      <c r="D236" s="317"/>
      <c r="E236" s="317"/>
      <c r="F236" s="317"/>
      <c r="G236" s="317"/>
      <c r="H236" s="362"/>
      <c r="I236" s="340"/>
      <c r="J236" s="328"/>
    </row>
    <row r="237" spans="1:10">
      <c r="A237" s="328"/>
      <c r="B237" s="318">
        <v>79</v>
      </c>
      <c r="C237" s="320" t="s">
        <v>8001</v>
      </c>
      <c r="D237" s="353" t="s">
        <v>7994</v>
      </c>
      <c r="E237" s="320" t="s">
        <v>8037</v>
      </c>
      <c r="F237" s="360" t="s">
        <v>8007</v>
      </c>
      <c r="G237" s="315" t="s">
        <v>8024</v>
      </c>
      <c r="H237" s="315" t="s">
        <v>8009</v>
      </c>
      <c r="I237" s="338">
        <v>79</v>
      </c>
      <c r="J237" s="328"/>
    </row>
    <row r="238" spans="1:10">
      <c r="A238" s="328"/>
      <c r="B238" s="319"/>
      <c r="C238" s="316"/>
      <c r="D238" s="354"/>
      <c r="E238" s="316"/>
      <c r="F238" s="361"/>
      <c r="G238" s="316"/>
      <c r="H238" s="316"/>
      <c r="I238" s="339"/>
      <c r="J238" s="328"/>
    </row>
    <row r="239" spans="1:10" ht="12" thickBot="1">
      <c r="A239" s="328"/>
      <c r="B239" s="319"/>
      <c r="C239" s="317"/>
      <c r="D239" s="355"/>
      <c r="E239" s="317"/>
      <c r="F239" s="362"/>
      <c r="G239" s="317"/>
      <c r="H239" s="317"/>
      <c r="I239" s="340"/>
      <c r="J239" s="328"/>
    </row>
    <row r="240" spans="1:10">
      <c r="A240" s="328"/>
      <c r="B240" s="318">
        <v>80</v>
      </c>
      <c r="C240" s="320" t="s">
        <v>8009</v>
      </c>
      <c r="D240" s="320" t="s">
        <v>8028</v>
      </c>
      <c r="E240" s="320" t="s">
        <v>7983</v>
      </c>
      <c r="F240" s="315" t="s">
        <v>7964</v>
      </c>
      <c r="G240" s="315" t="s">
        <v>7972</v>
      </c>
      <c r="H240" s="315" t="s">
        <v>7984</v>
      </c>
      <c r="I240" s="338">
        <v>80</v>
      </c>
      <c r="J240" s="328"/>
    </row>
    <row r="241" spans="1:10">
      <c r="A241" s="328"/>
      <c r="B241" s="319"/>
      <c r="C241" s="316"/>
      <c r="D241" s="316"/>
      <c r="E241" s="316"/>
      <c r="F241" s="316"/>
      <c r="G241" s="316"/>
      <c r="H241" s="316"/>
      <c r="I241" s="339"/>
      <c r="J241" s="328"/>
    </row>
    <row r="242" spans="1:10" ht="12" thickBot="1">
      <c r="A242" s="328"/>
      <c r="B242" s="319"/>
      <c r="C242" s="317"/>
      <c r="D242" s="317"/>
      <c r="E242" s="317"/>
      <c r="F242" s="317"/>
      <c r="G242" s="317"/>
      <c r="H242" s="317"/>
      <c r="I242" s="340"/>
      <c r="J242" s="328"/>
    </row>
    <row r="243" spans="1:10">
      <c r="A243" s="328"/>
      <c r="B243" s="318">
        <v>81</v>
      </c>
      <c r="C243" s="320" t="s">
        <v>8016</v>
      </c>
      <c r="D243" s="360" t="s">
        <v>8002</v>
      </c>
      <c r="E243" s="320" t="s">
        <v>7957</v>
      </c>
      <c r="F243" s="315" t="s">
        <v>7970</v>
      </c>
      <c r="G243" s="315" t="s">
        <v>7996</v>
      </c>
      <c r="H243" s="315" t="s">
        <v>8015</v>
      </c>
      <c r="I243" s="338">
        <v>81</v>
      </c>
      <c r="J243" s="328"/>
    </row>
    <row r="244" spans="1:10">
      <c r="A244" s="328"/>
      <c r="B244" s="319"/>
      <c r="C244" s="316"/>
      <c r="D244" s="361"/>
      <c r="E244" s="316"/>
      <c r="F244" s="316"/>
      <c r="G244" s="316"/>
      <c r="H244" s="316"/>
      <c r="I244" s="339"/>
      <c r="J244" s="328"/>
    </row>
    <row r="245" spans="1:10" ht="12" thickBot="1">
      <c r="A245" s="328"/>
      <c r="B245" s="319"/>
      <c r="C245" s="317"/>
      <c r="D245" s="362"/>
      <c r="E245" s="317"/>
      <c r="F245" s="317"/>
      <c r="G245" s="317"/>
      <c r="H245" s="317"/>
      <c r="I245" s="340"/>
      <c r="J245" s="328"/>
    </row>
    <row r="246" spans="1:10">
      <c r="A246" s="328"/>
      <c r="B246" s="318">
        <v>82</v>
      </c>
      <c r="C246" s="320" t="s">
        <v>7959</v>
      </c>
      <c r="D246" s="320" t="s">
        <v>7993</v>
      </c>
      <c r="E246" s="320" t="s">
        <v>8035</v>
      </c>
      <c r="F246" s="315" t="s">
        <v>7999</v>
      </c>
      <c r="G246" s="315" t="s">
        <v>7956</v>
      </c>
      <c r="H246" s="315" t="s">
        <v>8036</v>
      </c>
      <c r="I246" s="338">
        <v>82</v>
      </c>
      <c r="J246" s="328"/>
    </row>
    <row r="247" spans="1:10">
      <c r="A247" s="328"/>
      <c r="B247" s="319"/>
      <c r="C247" s="316"/>
      <c r="D247" s="316"/>
      <c r="E247" s="316"/>
      <c r="F247" s="316"/>
      <c r="G247" s="316"/>
      <c r="H247" s="316"/>
      <c r="I247" s="339"/>
      <c r="J247" s="328"/>
    </row>
    <row r="248" spans="1:10" ht="12" thickBot="1">
      <c r="A248" s="328"/>
      <c r="B248" s="319"/>
      <c r="C248" s="317"/>
      <c r="D248" s="317"/>
      <c r="E248" s="317"/>
      <c r="F248" s="317"/>
      <c r="G248" s="317"/>
      <c r="H248" s="317"/>
      <c r="I248" s="340"/>
      <c r="J248" s="328"/>
    </row>
    <row r="249" spans="1:10">
      <c r="A249" s="328"/>
      <c r="B249" s="318">
        <v>83</v>
      </c>
      <c r="C249" s="320" t="s">
        <v>7982</v>
      </c>
      <c r="D249" s="320" t="s">
        <v>7965</v>
      </c>
      <c r="E249" s="320" t="s">
        <v>8015</v>
      </c>
      <c r="F249" s="315" t="s">
        <v>8013</v>
      </c>
      <c r="G249" s="315" t="s">
        <v>8003</v>
      </c>
      <c r="H249" s="315" t="s">
        <v>7977</v>
      </c>
      <c r="I249" s="338">
        <v>83</v>
      </c>
      <c r="J249" s="328"/>
    </row>
    <row r="250" spans="1:10">
      <c r="A250" s="328"/>
      <c r="B250" s="319"/>
      <c r="C250" s="316"/>
      <c r="D250" s="316"/>
      <c r="E250" s="316"/>
      <c r="F250" s="316"/>
      <c r="G250" s="316"/>
      <c r="H250" s="316"/>
      <c r="I250" s="339"/>
      <c r="J250" s="328"/>
    </row>
    <row r="251" spans="1:10" ht="12" thickBot="1">
      <c r="A251" s="328"/>
      <c r="B251" s="319"/>
      <c r="C251" s="317"/>
      <c r="D251" s="317"/>
      <c r="E251" s="317"/>
      <c r="F251" s="317"/>
      <c r="G251" s="317"/>
      <c r="H251" s="317"/>
      <c r="I251" s="340"/>
      <c r="J251" s="328"/>
    </row>
    <row r="252" spans="1:10">
      <c r="A252" s="328"/>
      <c r="B252" s="318">
        <v>84</v>
      </c>
      <c r="C252" s="320" t="s">
        <v>8006</v>
      </c>
      <c r="D252" s="320" t="s">
        <v>7966</v>
      </c>
      <c r="E252" s="320" t="s">
        <v>7986</v>
      </c>
      <c r="F252" s="315" t="s">
        <v>8021</v>
      </c>
      <c r="G252" s="353" t="s">
        <v>8022</v>
      </c>
      <c r="H252" s="315" t="s">
        <v>8033</v>
      </c>
      <c r="I252" s="338">
        <v>84</v>
      </c>
      <c r="J252" s="328"/>
    </row>
    <row r="253" spans="1:10">
      <c r="A253" s="328"/>
      <c r="B253" s="319"/>
      <c r="C253" s="316"/>
      <c r="D253" s="316"/>
      <c r="E253" s="316"/>
      <c r="F253" s="316"/>
      <c r="G253" s="354"/>
      <c r="H253" s="316"/>
      <c r="I253" s="339"/>
      <c r="J253" s="328"/>
    </row>
    <row r="254" spans="1:10" ht="12" thickBot="1">
      <c r="A254" s="328"/>
      <c r="B254" s="319"/>
      <c r="C254" s="317"/>
      <c r="D254" s="317"/>
      <c r="E254" s="317"/>
      <c r="F254" s="317"/>
      <c r="G254" s="355"/>
      <c r="H254" s="317"/>
      <c r="I254" s="340"/>
      <c r="J254" s="328"/>
    </row>
    <row r="255" spans="1:10">
      <c r="A255" s="328"/>
      <c r="B255" s="318">
        <v>85</v>
      </c>
      <c r="C255" s="320" t="s">
        <v>8019</v>
      </c>
      <c r="D255" s="320" t="s">
        <v>8039</v>
      </c>
      <c r="E255" s="320" t="s">
        <v>8033</v>
      </c>
      <c r="F255" s="315" t="s">
        <v>7960</v>
      </c>
      <c r="G255" s="315" t="s">
        <v>7968</v>
      </c>
      <c r="H255" s="315" t="s">
        <v>7955</v>
      </c>
      <c r="I255" s="338">
        <v>85</v>
      </c>
      <c r="J255" s="328"/>
    </row>
    <row r="256" spans="1:10">
      <c r="A256" s="328"/>
      <c r="B256" s="319"/>
      <c r="C256" s="316"/>
      <c r="D256" s="316"/>
      <c r="E256" s="316"/>
      <c r="F256" s="316"/>
      <c r="G256" s="316"/>
      <c r="H256" s="316"/>
      <c r="I256" s="339"/>
      <c r="J256" s="328"/>
    </row>
    <row r="257" spans="1:11" ht="12" thickBot="1">
      <c r="A257" s="328"/>
      <c r="B257" s="319"/>
      <c r="C257" s="317"/>
      <c r="D257" s="317"/>
      <c r="E257" s="317"/>
      <c r="F257" s="317"/>
      <c r="G257" s="317"/>
      <c r="H257" s="317"/>
      <c r="I257" s="340"/>
      <c r="J257" s="328"/>
    </row>
    <row r="258" spans="1:11">
      <c r="A258" s="328"/>
      <c r="B258" s="318">
        <v>86</v>
      </c>
      <c r="C258" s="320" t="s">
        <v>7990</v>
      </c>
      <c r="D258" s="320" t="s">
        <v>7977</v>
      </c>
      <c r="E258" s="320" t="s">
        <v>8000</v>
      </c>
      <c r="F258" s="315" t="s">
        <v>8030</v>
      </c>
      <c r="G258" s="315" t="s">
        <v>7979</v>
      </c>
      <c r="H258" s="315" t="s">
        <v>8023</v>
      </c>
      <c r="I258" s="338">
        <v>86</v>
      </c>
      <c r="J258" s="328"/>
    </row>
    <row r="259" spans="1:11">
      <c r="A259" s="328"/>
      <c r="B259" s="319"/>
      <c r="C259" s="316"/>
      <c r="D259" s="316"/>
      <c r="E259" s="316"/>
      <c r="F259" s="316"/>
      <c r="G259" s="316"/>
      <c r="H259" s="316"/>
      <c r="I259" s="339"/>
      <c r="J259" s="328"/>
    </row>
    <row r="260" spans="1:11" ht="12" thickBot="1">
      <c r="A260" s="328"/>
      <c r="B260" s="319"/>
      <c r="C260" s="317"/>
      <c r="D260" s="317"/>
      <c r="E260" s="317"/>
      <c r="F260" s="317"/>
      <c r="G260" s="317"/>
      <c r="H260" s="317"/>
      <c r="I260" s="340"/>
      <c r="J260" s="328"/>
    </row>
    <row r="261" spans="1:11">
      <c r="A261" s="328"/>
      <c r="B261" s="318">
        <v>87</v>
      </c>
      <c r="C261" s="320" t="s">
        <v>7987</v>
      </c>
      <c r="D261" s="320" t="s">
        <v>8021</v>
      </c>
      <c r="E261" s="320" t="s">
        <v>7980</v>
      </c>
      <c r="F261" s="315" t="s">
        <v>7987</v>
      </c>
      <c r="G261" s="315" t="s">
        <v>7997</v>
      </c>
      <c r="H261" s="315" t="s">
        <v>7961</v>
      </c>
      <c r="I261" s="338">
        <v>87</v>
      </c>
      <c r="J261" s="328"/>
    </row>
    <row r="262" spans="1:11">
      <c r="A262" s="328"/>
      <c r="B262" s="319"/>
      <c r="C262" s="316" t="s">
        <v>7950</v>
      </c>
      <c r="D262" s="316" t="s">
        <v>7950</v>
      </c>
      <c r="E262" s="316" t="s">
        <v>7950</v>
      </c>
      <c r="F262" s="316" t="s">
        <v>7950</v>
      </c>
      <c r="G262" s="316" t="s">
        <v>7950</v>
      </c>
      <c r="H262" s="316" t="s">
        <v>7950</v>
      </c>
      <c r="I262" s="339"/>
      <c r="J262" s="328"/>
    </row>
    <row r="263" spans="1:11" ht="12" thickBot="1">
      <c r="A263" s="328"/>
      <c r="B263" s="319"/>
      <c r="C263" s="317"/>
      <c r="D263" s="317"/>
      <c r="E263" s="317"/>
      <c r="F263" s="317"/>
      <c r="G263" s="317"/>
      <c r="H263" s="317"/>
      <c r="I263" s="340"/>
      <c r="J263" s="328"/>
    </row>
    <row r="264" spans="1:11">
      <c r="B264" s="318">
        <v>88</v>
      </c>
      <c r="C264" s="366" t="s">
        <v>7950</v>
      </c>
      <c r="D264" s="366" t="s">
        <v>7950</v>
      </c>
      <c r="E264" s="366" t="s">
        <v>7950</v>
      </c>
      <c r="F264" s="366" t="s">
        <v>7950</v>
      </c>
      <c r="G264" s="366" t="s">
        <v>7950</v>
      </c>
      <c r="H264" s="366" t="s">
        <v>7950</v>
      </c>
      <c r="I264" s="318">
        <v>88</v>
      </c>
    </row>
    <row r="265" spans="1:11">
      <c r="B265" s="319"/>
      <c r="C265" s="366"/>
      <c r="D265" s="366"/>
      <c r="E265" s="366"/>
      <c r="F265" s="366"/>
      <c r="G265" s="366"/>
      <c r="H265" s="366"/>
      <c r="I265" s="319"/>
    </row>
    <row r="266" spans="1:11">
      <c r="B266" s="319"/>
      <c r="C266" s="366"/>
      <c r="D266" s="366"/>
      <c r="E266" s="366"/>
      <c r="F266" s="366"/>
      <c r="G266" s="366"/>
      <c r="H266" s="366"/>
      <c r="I266" s="319"/>
    </row>
    <row r="268" spans="1:11" ht="12.5">
      <c r="A268" s="365" t="s">
        <v>8044</v>
      </c>
      <c r="B268" s="365"/>
      <c r="C268" s="365"/>
      <c r="D268" s="365"/>
      <c r="E268" s="365"/>
      <c r="F268" s="365"/>
      <c r="G268" s="365"/>
      <c r="H268" s="365"/>
      <c r="I268" s="365"/>
      <c r="J268" s="365"/>
      <c r="K268" s="365"/>
    </row>
  </sheetData>
  <sheetProtection selectLockedCells="1" selectUnlockedCells="1"/>
  <mergeCells count="729">
    <mergeCell ref="A268:K268"/>
    <mergeCell ref="G261:G263"/>
    <mergeCell ref="H261:H263"/>
    <mergeCell ref="I261:I263"/>
    <mergeCell ref="B264:B266"/>
    <mergeCell ref="C264:C266"/>
    <mergeCell ref="D264:D266"/>
    <mergeCell ref="E264:E266"/>
    <mergeCell ref="F264:F266"/>
    <mergeCell ref="G264:G266"/>
    <mergeCell ref="H264:H266"/>
    <mergeCell ref="I264:I266"/>
    <mergeCell ref="B261:B263"/>
    <mergeCell ref="C261:C263"/>
    <mergeCell ref="D261:D263"/>
    <mergeCell ref="E261:E263"/>
    <mergeCell ref="F261:F263"/>
    <mergeCell ref="A180:A263"/>
    <mergeCell ref="B180:B182"/>
    <mergeCell ref="C180:C182"/>
    <mergeCell ref="D180:D182"/>
    <mergeCell ref="E180:E182"/>
    <mergeCell ref="B183:B185"/>
    <mergeCell ref="C183:C185"/>
    <mergeCell ref="G255:G257"/>
    <mergeCell ref="H255:H257"/>
    <mergeCell ref="I255:I257"/>
    <mergeCell ref="B258:B260"/>
    <mergeCell ref="C258:C260"/>
    <mergeCell ref="D258:D260"/>
    <mergeCell ref="E258:E260"/>
    <mergeCell ref="F258:F260"/>
    <mergeCell ref="G258:G260"/>
    <mergeCell ref="H258:H260"/>
    <mergeCell ref="I258:I260"/>
    <mergeCell ref="B255:B257"/>
    <mergeCell ref="C255:C257"/>
    <mergeCell ref="D255:D257"/>
    <mergeCell ref="E255:E257"/>
    <mergeCell ref="F255:F257"/>
    <mergeCell ref="G249:G251"/>
    <mergeCell ref="H249:H251"/>
    <mergeCell ref="I249:I251"/>
    <mergeCell ref="B252:B254"/>
    <mergeCell ref="C252:C254"/>
    <mergeCell ref="D252:D254"/>
    <mergeCell ref="E252:E254"/>
    <mergeCell ref="F252:F254"/>
    <mergeCell ref="G252:G254"/>
    <mergeCell ref="H252:H254"/>
    <mergeCell ref="I252:I254"/>
    <mergeCell ref="B249:B251"/>
    <mergeCell ref="C249:C251"/>
    <mergeCell ref="D249:D251"/>
    <mergeCell ref="E249:E251"/>
    <mergeCell ref="F249:F251"/>
    <mergeCell ref="G243:G245"/>
    <mergeCell ref="H243:H245"/>
    <mergeCell ref="I243:I245"/>
    <mergeCell ref="B246:B248"/>
    <mergeCell ref="C246:C248"/>
    <mergeCell ref="D246:D248"/>
    <mergeCell ref="E246:E248"/>
    <mergeCell ref="F246:F248"/>
    <mergeCell ref="G246:G248"/>
    <mergeCell ref="H246:H248"/>
    <mergeCell ref="I246:I248"/>
    <mergeCell ref="B243:B245"/>
    <mergeCell ref="C243:C245"/>
    <mergeCell ref="D243:D245"/>
    <mergeCell ref="E243:E245"/>
    <mergeCell ref="F243:F245"/>
    <mergeCell ref="G237:G239"/>
    <mergeCell ref="H237:H239"/>
    <mergeCell ref="I237:I239"/>
    <mergeCell ref="B240:B242"/>
    <mergeCell ref="C240:C242"/>
    <mergeCell ref="D240:D242"/>
    <mergeCell ref="E240:E242"/>
    <mergeCell ref="F240:F242"/>
    <mergeCell ref="G240:G242"/>
    <mergeCell ref="H240:H242"/>
    <mergeCell ref="I240:I242"/>
    <mergeCell ref="B237:B239"/>
    <mergeCell ref="C237:C239"/>
    <mergeCell ref="D237:D239"/>
    <mergeCell ref="E237:E239"/>
    <mergeCell ref="F237:F239"/>
    <mergeCell ref="G231:G233"/>
    <mergeCell ref="H231:H233"/>
    <mergeCell ref="I231:I233"/>
    <mergeCell ref="B234:B236"/>
    <mergeCell ref="C234:C236"/>
    <mergeCell ref="D234:D236"/>
    <mergeCell ref="E234:E236"/>
    <mergeCell ref="F234:F236"/>
    <mergeCell ref="G234:G236"/>
    <mergeCell ref="H234:H236"/>
    <mergeCell ref="I234:I236"/>
    <mergeCell ref="B231:B233"/>
    <mergeCell ref="C231:C233"/>
    <mergeCell ref="D231:D233"/>
    <mergeCell ref="E231:E233"/>
    <mergeCell ref="F231:F233"/>
    <mergeCell ref="G225:G227"/>
    <mergeCell ref="H225:H227"/>
    <mergeCell ref="I225:I227"/>
    <mergeCell ref="B228:B230"/>
    <mergeCell ref="C228:C230"/>
    <mergeCell ref="D228:D230"/>
    <mergeCell ref="E228:E230"/>
    <mergeCell ref="F228:F230"/>
    <mergeCell ref="G228:G230"/>
    <mergeCell ref="H228:H230"/>
    <mergeCell ref="I228:I230"/>
    <mergeCell ref="B225:B227"/>
    <mergeCell ref="C225:C227"/>
    <mergeCell ref="D225:D227"/>
    <mergeCell ref="E225:E227"/>
    <mergeCell ref="F225:F227"/>
    <mergeCell ref="G219:G221"/>
    <mergeCell ref="H219:H221"/>
    <mergeCell ref="I219:I221"/>
    <mergeCell ref="B222:B224"/>
    <mergeCell ref="C222:C224"/>
    <mergeCell ref="D222:D224"/>
    <mergeCell ref="E222:E224"/>
    <mergeCell ref="F222:F224"/>
    <mergeCell ref="G222:G224"/>
    <mergeCell ref="H222:H224"/>
    <mergeCell ref="I222:I224"/>
    <mergeCell ref="B219:B221"/>
    <mergeCell ref="C219:C221"/>
    <mergeCell ref="D219:D221"/>
    <mergeCell ref="E219:E221"/>
    <mergeCell ref="F219:F221"/>
    <mergeCell ref="G213:G215"/>
    <mergeCell ref="H213:H215"/>
    <mergeCell ref="I213:I215"/>
    <mergeCell ref="B216:B218"/>
    <mergeCell ref="C216:C218"/>
    <mergeCell ref="D216:D218"/>
    <mergeCell ref="E216:E218"/>
    <mergeCell ref="F216:F218"/>
    <mergeCell ref="G216:G218"/>
    <mergeCell ref="H216:H218"/>
    <mergeCell ref="I216:I218"/>
    <mergeCell ref="B213:B215"/>
    <mergeCell ref="C213:C215"/>
    <mergeCell ref="D213:D215"/>
    <mergeCell ref="E213:E215"/>
    <mergeCell ref="F213:F215"/>
    <mergeCell ref="H207:H209"/>
    <mergeCell ref="I207:I209"/>
    <mergeCell ref="B210:B212"/>
    <mergeCell ref="C210:C212"/>
    <mergeCell ref="D210:D212"/>
    <mergeCell ref="E210:E212"/>
    <mergeCell ref="F210:F212"/>
    <mergeCell ref="G210:G212"/>
    <mergeCell ref="H210:H212"/>
    <mergeCell ref="I210:I212"/>
    <mergeCell ref="B207:B209"/>
    <mergeCell ref="C207:C209"/>
    <mergeCell ref="D207:D209"/>
    <mergeCell ref="E207:E209"/>
    <mergeCell ref="F207:F209"/>
    <mergeCell ref="B204:B206"/>
    <mergeCell ref="C204:C206"/>
    <mergeCell ref="D204:D206"/>
    <mergeCell ref="E204:E206"/>
    <mergeCell ref="F204:F206"/>
    <mergeCell ref="G204:G206"/>
    <mergeCell ref="H204:H206"/>
    <mergeCell ref="I204:I206"/>
    <mergeCell ref="B201:B203"/>
    <mergeCell ref="C201:C203"/>
    <mergeCell ref="D201:D203"/>
    <mergeCell ref="E201:E203"/>
    <mergeCell ref="F201:F203"/>
    <mergeCell ref="B198:B200"/>
    <mergeCell ref="C198:C200"/>
    <mergeCell ref="D198:D200"/>
    <mergeCell ref="E198:E200"/>
    <mergeCell ref="F198:F200"/>
    <mergeCell ref="G198:G200"/>
    <mergeCell ref="H198:H200"/>
    <mergeCell ref="I198:I200"/>
    <mergeCell ref="B195:B197"/>
    <mergeCell ref="C195:C197"/>
    <mergeCell ref="D195:D197"/>
    <mergeCell ref="E195:E197"/>
    <mergeCell ref="F195:F197"/>
    <mergeCell ref="B192:B194"/>
    <mergeCell ref="C192:C194"/>
    <mergeCell ref="D192:D194"/>
    <mergeCell ref="E192:E194"/>
    <mergeCell ref="F192:F194"/>
    <mergeCell ref="E189:E191"/>
    <mergeCell ref="F189:F191"/>
    <mergeCell ref="G189:G191"/>
    <mergeCell ref="H189:H191"/>
    <mergeCell ref="I189:I191"/>
    <mergeCell ref="F180:F182"/>
    <mergeCell ref="G180:G182"/>
    <mergeCell ref="H180:H182"/>
    <mergeCell ref="I180:I182"/>
    <mergeCell ref="J180:J263"/>
    <mergeCell ref="F183:F185"/>
    <mergeCell ref="G183:G185"/>
    <mergeCell ref="H183:H185"/>
    <mergeCell ref="I183:I185"/>
    <mergeCell ref="F186:F188"/>
    <mergeCell ref="G186:G188"/>
    <mergeCell ref="H186:H188"/>
    <mergeCell ref="I186:I188"/>
    <mergeCell ref="G192:G194"/>
    <mergeCell ref="H192:H194"/>
    <mergeCell ref="I192:I194"/>
    <mergeCell ref="G195:G197"/>
    <mergeCell ref="H195:H197"/>
    <mergeCell ref="I195:I197"/>
    <mergeCell ref="G201:G203"/>
    <mergeCell ref="H201:H203"/>
    <mergeCell ref="I201:I203"/>
    <mergeCell ref="G207:G209"/>
    <mergeCell ref="D183:D185"/>
    <mergeCell ref="E183:E185"/>
    <mergeCell ref="B186:B188"/>
    <mergeCell ref="C186:C188"/>
    <mergeCell ref="D186:D188"/>
    <mergeCell ref="E186:E188"/>
    <mergeCell ref="B189:B191"/>
    <mergeCell ref="C189:C191"/>
    <mergeCell ref="D189:D191"/>
    <mergeCell ref="G174:G176"/>
    <mergeCell ref="H174:H176"/>
    <mergeCell ref="I174:I176"/>
    <mergeCell ref="B177:B179"/>
    <mergeCell ref="C177:C179"/>
    <mergeCell ref="D177:D179"/>
    <mergeCell ref="E177:E179"/>
    <mergeCell ref="F177:F179"/>
    <mergeCell ref="G177:G179"/>
    <mergeCell ref="H177:H179"/>
    <mergeCell ref="I177:I179"/>
    <mergeCell ref="B174:B176"/>
    <mergeCell ref="C174:C176"/>
    <mergeCell ref="D174:D176"/>
    <mergeCell ref="E174:E176"/>
    <mergeCell ref="F174:F176"/>
    <mergeCell ref="G168:G170"/>
    <mergeCell ref="H168:H170"/>
    <mergeCell ref="I168:I170"/>
    <mergeCell ref="B171:B173"/>
    <mergeCell ref="C171:C173"/>
    <mergeCell ref="D171:D173"/>
    <mergeCell ref="E171:E173"/>
    <mergeCell ref="F171:F173"/>
    <mergeCell ref="G171:G173"/>
    <mergeCell ref="H171:H173"/>
    <mergeCell ref="I171:I173"/>
    <mergeCell ref="B168:B170"/>
    <mergeCell ref="C168:C170"/>
    <mergeCell ref="D168:D170"/>
    <mergeCell ref="E168:E170"/>
    <mergeCell ref="F168:F170"/>
    <mergeCell ref="G162:G164"/>
    <mergeCell ref="H162:H164"/>
    <mergeCell ref="I162:I164"/>
    <mergeCell ref="B165:B167"/>
    <mergeCell ref="C165:C167"/>
    <mergeCell ref="D165:D167"/>
    <mergeCell ref="E165:E167"/>
    <mergeCell ref="F165:F167"/>
    <mergeCell ref="G165:G167"/>
    <mergeCell ref="H165:H167"/>
    <mergeCell ref="I165:I167"/>
    <mergeCell ref="B162:B164"/>
    <mergeCell ref="C162:C164"/>
    <mergeCell ref="D162:D164"/>
    <mergeCell ref="E162:E164"/>
    <mergeCell ref="F162:F164"/>
    <mergeCell ref="G156:G158"/>
    <mergeCell ref="H156:H158"/>
    <mergeCell ref="I156:I158"/>
    <mergeCell ref="B159:B161"/>
    <mergeCell ref="C159:C161"/>
    <mergeCell ref="D159:D161"/>
    <mergeCell ref="E159:E161"/>
    <mergeCell ref="F159:F161"/>
    <mergeCell ref="G159:G161"/>
    <mergeCell ref="H159:H161"/>
    <mergeCell ref="I159:I161"/>
    <mergeCell ref="B156:B158"/>
    <mergeCell ref="C156:C158"/>
    <mergeCell ref="D156:D158"/>
    <mergeCell ref="E156:E158"/>
    <mergeCell ref="F156:F158"/>
    <mergeCell ref="G150:G152"/>
    <mergeCell ref="H150:H152"/>
    <mergeCell ref="I150:I152"/>
    <mergeCell ref="B153:B155"/>
    <mergeCell ref="C153:C155"/>
    <mergeCell ref="D153:D155"/>
    <mergeCell ref="E153:E155"/>
    <mergeCell ref="F153:F155"/>
    <mergeCell ref="G153:G155"/>
    <mergeCell ref="H153:H155"/>
    <mergeCell ref="I153:I155"/>
    <mergeCell ref="B150:B152"/>
    <mergeCell ref="C150:C152"/>
    <mergeCell ref="D150:D152"/>
    <mergeCell ref="E150:E152"/>
    <mergeCell ref="F150:F152"/>
    <mergeCell ref="G144:G146"/>
    <mergeCell ref="H144:H146"/>
    <mergeCell ref="I144:I146"/>
    <mergeCell ref="B147:B149"/>
    <mergeCell ref="C147:C149"/>
    <mergeCell ref="D147:D149"/>
    <mergeCell ref="E147:E149"/>
    <mergeCell ref="F147:F149"/>
    <mergeCell ref="G147:G149"/>
    <mergeCell ref="H147:H149"/>
    <mergeCell ref="I147:I149"/>
    <mergeCell ref="B144:B146"/>
    <mergeCell ref="C144:C146"/>
    <mergeCell ref="D144:D146"/>
    <mergeCell ref="E144:E146"/>
    <mergeCell ref="F144:F146"/>
    <mergeCell ref="G138:G140"/>
    <mergeCell ref="H138:H140"/>
    <mergeCell ref="I138:I140"/>
    <mergeCell ref="B141:B143"/>
    <mergeCell ref="C141:C143"/>
    <mergeCell ref="D141:D143"/>
    <mergeCell ref="E141:E143"/>
    <mergeCell ref="F141:F143"/>
    <mergeCell ref="G141:G143"/>
    <mergeCell ref="H141:H143"/>
    <mergeCell ref="I141:I143"/>
    <mergeCell ref="B138:B140"/>
    <mergeCell ref="C138:C140"/>
    <mergeCell ref="D138:D140"/>
    <mergeCell ref="E138:E140"/>
    <mergeCell ref="F138:F140"/>
    <mergeCell ref="G132:G134"/>
    <mergeCell ref="H132:H134"/>
    <mergeCell ref="I132:I134"/>
    <mergeCell ref="B135:B137"/>
    <mergeCell ref="C135:C137"/>
    <mergeCell ref="D135:D137"/>
    <mergeCell ref="E135:E137"/>
    <mergeCell ref="F135:F137"/>
    <mergeCell ref="G135:G137"/>
    <mergeCell ref="H135:H137"/>
    <mergeCell ref="I135:I137"/>
    <mergeCell ref="B132:B134"/>
    <mergeCell ref="C132:C134"/>
    <mergeCell ref="D132:D134"/>
    <mergeCell ref="E132:E134"/>
    <mergeCell ref="F132:F134"/>
    <mergeCell ref="G126:G128"/>
    <mergeCell ref="H126:H128"/>
    <mergeCell ref="I126:I128"/>
    <mergeCell ref="B129:B131"/>
    <mergeCell ref="C129:C131"/>
    <mergeCell ref="D129:D131"/>
    <mergeCell ref="E129:E131"/>
    <mergeCell ref="F129:F131"/>
    <mergeCell ref="G129:G131"/>
    <mergeCell ref="H129:H131"/>
    <mergeCell ref="I129:I131"/>
    <mergeCell ref="B126:B128"/>
    <mergeCell ref="C126:C128"/>
    <mergeCell ref="D126:D128"/>
    <mergeCell ref="E126:E128"/>
    <mergeCell ref="F126:F128"/>
    <mergeCell ref="G120:G122"/>
    <mergeCell ref="H120:H122"/>
    <mergeCell ref="I120:I122"/>
    <mergeCell ref="B123:B125"/>
    <mergeCell ref="C123:C125"/>
    <mergeCell ref="D123:D125"/>
    <mergeCell ref="E123:E125"/>
    <mergeCell ref="F123:F125"/>
    <mergeCell ref="G123:G125"/>
    <mergeCell ref="H123:H125"/>
    <mergeCell ref="I123:I125"/>
    <mergeCell ref="B120:B122"/>
    <mergeCell ref="C120:C122"/>
    <mergeCell ref="D120:D122"/>
    <mergeCell ref="E120:E122"/>
    <mergeCell ref="F120:F122"/>
    <mergeCell ref="G114:G116"/>
    <mergeCell ref="H114:H116"/>
    <mergeCell ref="I114:I116"/>
    <mergeCell ref="B117:B119"/>
    <mergeCell ref="C117:C119"/>
    <mergeCell ref="D117:D119"/>
    <mergeCell ref="E117:E119"/>
    <mergeCell ref="F117:F119"/>
    <mergeCell ref="G117:G119"/>
    <mergeCell ref="H117:H119"/>
    <mergeCell ref="I117:I119"/>
    <mergeCell ref="B114:B116"/>
    <mergeCell ref="C114:C116"/>
    <mergeCell ref="D114:D116"/>
    <mergeCell ref="E114:E116"/>
    <mergeCell ref="F114:F116"/>
    <mergeCell ref="E111:E113"/>
    <mergeCell ref="F111:F113"/>
    <mergeCell ref="G111:G113"/>
    <mergeCell ref="H111:H113"/>
    <mergeCell ref="I111:I113"/>
    <mergeCell ref="B108:B110"/>
    <mergeCell ref="C108:C110"/>
    <mergeCell ref="D108:D110"/>
    <mergeCell ref="E108:E110"/>
    <mergeCell ref="F108:F110"/>
    <mergeCell ref="I102:I104"/>
    <mergeCell ref="F93:F95"/>
    <mergeCell ref="G93:G95"/>
    <mergeCell ref="H93:H95"/>
    <mergeCell ref="I93:I95"/>
    <mergeCell ref="J93:J176"/>
    <mergeCell ref="F96:F98"/>
    <mergeCell ref="G96:G98"/>
    <mergeCell ref="H96:H98"/>
    <mergeCell ref="I96:I98"/>
    <mergeCell ref="F99:F101"/>
    <mergeCell ref="G99:G101"/>
    <mergeCell ref="H99:H101"/>
    <mergeCell ref="I99:I101"/>
    <mergeCell ref="G105:G107"/>
    <mergeCell ref="H105:H107"/>
    <mergeCell ref="I105:I107"/>
    <mergeCell ref="F105:F107"/>
    <mergeCell ref="F102:F104"/>
    <mergeCell ref="G102:G104"/>
    <mergeCell ref="H102:H104"/>
    <mergeCell ref="G108:G110"/>
    <mergeCell ref="H108:H110"/>
    <mergeCell ref="I108:I110"/>
    <mergeCell ref="A93:A176"/>
    <mergeCell ref="B93:B95"/>
    <mergeCell ref="C93:C95"/>
    <mergeCell ref="D93:D95"/>
    <mergeCell ref="E93:E95"/>
    <mergeCell ref="B96:B98"/>
    <mergeCell ref="C96:C98"/>
    <mergeCell ref="D96:D98"/>
    <mergeCell ref="E96:E98"/>
    <mergeCell ref="B99:B101"/>
    <mergeCell ref="C99:C101"/>
    <mergeCell ref="D99:D101"/>
    <mergeCell ref="E99:E101"/>
    <mergeCell ref="B102:B104"/>
    <mergeCell ref="C102:C104"/>
    <mergeCell ref="D102:D104"/>
    <mergeCell ref="B105:B107"/>
    <mergeCell ref="C105:C107"/>
    <mergeCell ref="D105:D107"/>
    <mergeCell ref="E105:E107"/>
    <mergeCell ref="E102:E104"/>
    <mergeCell ref="B111:B113"/>
    <mergeCell ref="C111:C113"/>
    <mergeCell ref="D111:D113"/>
    <mergeCell ref="G87:G89"/>
    <mergeCell ref="H87:H89"/>
    <mergeCell ref="I87:I89"/>
    <mergeCell ref="B90:B92"/>
    <mergeCell ref="C90:C92"/>
    <mergeCell ref="D90:D92"/>
    <mergeCell ref="E90:E92"/>
    <mergeCell ref="F90:F92"/>
    <mergeCell ref="G90:G92"/>
    <mergeCell ref="H90:H92"/>
    <mergeCell ref="I90:I92"/>
    <mergeCell ref="B87:B89"/>
    <mergeCell ref="C87:C89"/>
    <mergeCell ref="D87:D89"/>
    <mergeCell ref="E87:E89"/>
    <mergeCell ref="F87:F89"/>
    <mergeCell ref="G81:G83"/>
    <mergeCell ref="H81:H83"/>
    <mergeCell ref="I81:I83"/>
    <mergeCell ref="B84:B86"/>
    <mergeCell ref="C84:C86"/>
    <mergeCell ref="D84:D86"/>
    <mergeCell ref="E84:E86"/>
    <mergeCell ref="F84:F86"/>
    <mergeCell ref="G84:G86"/>
    <mergeCell ref="H84:H86"/>
    <mergeCell ref="I84:I86"/>
    <mergeCell ref="B81:B83"/>
    <mergeCell ref="C81:C83"/>
    <mergeCell ref="D81:D83"/>
    <mergeCell ref="E81:E83"/>
    <mergeCell ref="F81:F83"/>
    <mergeCell ref="G75:G77"/>
    <mergeCell ref="H75:H77"/>
    <mergeCell ref="I75:I77"/>
    <mergeCell ref="B78:B80"/>
    <mergeCell ref="C78:C80"/>
    <mergeCell ref="D78:D80"/>
    <mergeCell ref="E78:E80"/>
    <mergeCell ref="F78:F80"/>
    <mergeCell ref="G78:G80"/>
    <mergeCell ref="H78:H80"/>
    <mergeCell ref="I78:I80"/>
    <mergeCell ref="B75:B77"/>
    <mergeCell ref="C75:C77"/>
    <mergeCell ref="D75:D77"/>
    <mergeCell ref="E75:E77"/>
    <mergeCell ref="F75:F77"/>
    <mergeCell ref="G69:G71"/>
    <mergeCell ref="H69:H71"/>
    <mergeCell ref="I69:I71"/>
    <mergeCell ref="B72:B74"/>
    <mergeCell ref="C72:C74"/>
    <mergeCell ref="D72:D74"/>
    <mergeCell ref="E72:E74"/>
    <mergeCell ref="F72:F74"/>
    <mergeCell ref="G72:G74"/>
    <mergeCell ref="H72:H74"/>
    <mergeCell ref="I72:I74"/>
    <mergeCell ref="B69:B71"/>
    <mergeCell ref="C69:C71"/>
    <mergeCell ref="D69:D71"/>
    <mergeCell ref="E69:E71"/>
    <mergeCell ref="F69:F71"/>
    <mergeCell ref="G63:G65"/>
    <mergeCell ref="H63:H65"/>
    <mergeCell ref="I63:I65"/>
    <mergeCell ref="B66:B68"/>
    <mergeCell ref="C66:C68"/>
    <mergeCell ref="D66:D68"/>
    <mergeCell ref="E66:E68"/>
    <mergeCell ref="F66:F68"/>
    <mergeCell ref="G66:G68"/>
    <mergeCell ref="H66:H68"/>
    <mergeCell ref="I66:I68"/>
    <mergeCell ref="B63:B65"/>
    <mergeCell ref="C63:C65"/>
    <mergeCell ref="D63:D65"/>
    <mergeCell ref="E63:E65"/>
    <mergeCell ref="F63:F65"/>
    <mergeCell ref="G57:G59"/>
    <mergeCell ref="H57:H59"/>
    <mergeCell ref="I57:I59"/>
    <mergeCell ref="B60:B62"/>
    <mergeCell ref="C60:C62"/>
    <mergeCell ref="D60:D62"/>
    <mergeCell ref="E60:E62"/>
    <mergeCell ref="F60:F62"/>
    <mergeCell ref="G60:G62"/>
    <mergeCell ref="H60:H62"/>
    <mergeCell ref="I60:I62"/>
    <mergeCell ref="B57:B59"/>
    <mergeCell ref="C57:C59"/>
    <mergeCell ref="D57:D59"/>
    <mergeCell ref="E57:E59"/>
    <mergeCell ref="F57:F59"/>
    <mergeCell ref="G51:G53"/>
    <mergeCell ref="H51:H53"/>
    <mergeCell ref="I51:I53"/>
    <mergeCell ref="B54:B56"/>
    <mergeCell ref="C54:C56"/>
    <mergeCell ref="D54:D56"/>
    <mergeCell ref="E54:E56"/>
    <mergeCell ref="F54:F56"/>
    <mergeCell ref="G54:G56"/>
    <mergeCell ref="H54:H56"/>
    <mergeCell ref="I54:I56"/>
    <mergeCell ref="B51:B53"/>
    <mergeCell ref="C51:C53"/>
    <mergeCell ref="D51:D53"/>
    <mergeCell ref="E51:E53"/>
    <mergeCell ref="F51:F53"/>
    <mergeCell ref="E48:E50"/>
    <mergeCell ref="F48:F50"/>
    <mergeCell ref="G48:G50"/>
    <mergeCell ref="H48:H50"/>
    <mergeCell ref="I48:I50"/>
    <mergeCell ref="L44:L46"/>
    <mergeCell ref="M44:M46"/>
    <mergeCell ref="B45:B47"/>
    <mergeCell ref="C45:C47"/>
    <mergeCell ref="D45:D47"/>
    <mergeCell ref="E45:E47"/>
    <mergeCell ref="F45:F47"/>
    <mergeCell ref="G45:G47"/>
    <mergeCell ref="H45:H47"/>
    <mergeCell ref="I45:I47"/>
    <mergeCell ref="K47:K49"/>
    <mergeCell ref="L47:L49"/>
    <mergeCell ref="M47:M49"/>
    <mergeCell ref="B48:B50"/>
    <mergeCell ref="C48:C50"/>
    <mergeCell ref="D48:D50"/>
    <mergeCell ref="F42:F44"/>
    <mergeCell ref="G42:G44"/>
    <mergeCell ref="H42:H44"/>
    <mergeCell ref="I42:I44"/>
    <mergeCell ref="K44:K46"/>
    <mergeCell ref="M38:M40"/>
    <mergeCell ref="B39:B41"/>
    <mergeCell ref="C39:C41"/>
    <mergeCell ref="D39:D41"/>
    <mergeCell ref="E39:E41"/>
    <mergeCell ref="F39:F41"/>
    <mergeCell ref="G39:G41"/>
    <mergeCell ref="H39:H41"/>
    <mergeCell ref="I39:I41"/>
    <mergeCell ref="K41:K43"/>
    <mergeCell ref="L41:L43"/>
    <mergeCell ref="M41:M43"/>
    <mergeCell ref="B42:B44"/>
    <mergeCell ref="C42:C44"/>
    <mergeCell ref="D42:D44"/>
    <mergeCell ref="E42:E44"/>
    <mergeCell ref="G36:G38"/>
    <mergeCell ref="H36:H38"/>
    <mergeCell ref="I36:I38"/>
    <mergeCell ref="K38:K40"/>
    <mergeCell ref="L38:L40"/>
    <mergeCell ref="B36:B38"/>
    <mergeCell ref="C36:C38"/>
    <mergeCell ref="D36:D38"/>
    <mergeCell ref="E36:E38"/>
    <mergeCell ref="F36:F38"/>
    <mergeCell ref="G30:G32"/>
    <mergeCell ref="H30:H32"/>
    <mergeCell ref="I30:I32"/>
    <mergeCell ref="L30:L32"/>
    <mergeCell ref="B33:B35"/>
    <mergeCell ref="C33:C35"/>
    <mergeCell ref="D33:D35"/>
    <mergeCell ref="E33:E35"/>
    <mergeCell ref="F33:F35"/>
    <mergeCell ref="G33:G35"/>
    <mergeCell ref="H33:H35"/>
    <mergeCell ref="I33:I35"/>
    <mergeCell ref="K33:K35"/>
    <mergeCell ref="L33:M35"/>
    <mergeCell ref="B30:B32"/>
    <mergeCell ref="C30:C32"/>
    <mergeCell ref="D30:D32"/>
    <mergeCell ref="E30:E32"/>
    <mergeCell ref="F30:F32"/>
    <mergeCell ref="L24:L26"/>
    <mergeCell ref="B27:B29"/>
    <mergeCell ref="C27:C29"/>
    <mergeCell ref="D27:D29"/>
    <mergeCell ref="E27:E29"/>
    <mergeCell ref="F27:F29"/>
    <mergeCell ref="G27:G29"/>
    <mergeCell ref="H27:H29"/>
    <mergeCell ref="I27:I29"/>
    <mergeCell ref="K27:K29"/>
    <mergeCell ref="L27:M29"/>
    <mergeCell ref="J6:J89"/>
    <mergeCell ref="B9:B11"/>
    <mergeCell ref="C9:C11"/>
    <mergeCell ref="D9:D11"/>
    <mergeCell ref="E9:E11"/>
    <mergeCell ref="F9:F11"/>
    <mergeCell ref="G9:G11"/>
    <mergeCell ref="H9:H11"/>
    <mergeCell ref="I9:I11"/>
    <mergeCell ref="B12:B14"/>
    <mergeCell ref="C12:C14"/>
    <mergeCell ref="D12:D14"/>
    <mergeCell ref="E12:E14"/>
    <mergeCell ref="H18:H20"/>
    <mergeCell ref="I18:I20"/>
    <mergeCell ref="F21:F23"/>
    <mergeCell ref="G21:G23"/>
    <mergeCell ref="H21:H23"/>
    <mergeCell ref="I21:I23"/>
    <mergeCell ref="B24:B26"/>
    <mergeCell ref="C24:C26"/>
    <mergeCell ref="D24:D26"/>
    <mergeCell ref="E24:E26"/>
    <mergeCell ref="F24:F26"/>
    <mergeCell ref="G24:G26"/>
    <mergeCell ref="H24:H26"/>
    <mergeCell ref="I24:I26"/>
    <mergeCell ref="H12:H14"/>
    <mergeCell ref="H3:H5"/>
    <mergeCell ref="I3:I5"/>
    <mergeCell ref="A6:A89"/>
    <mergeCell ref="B6:B8"/>
    <mergeCell ref="C6:C8"/>
    <mergeCell ref="D6:D8"/>
    <mergeCell ref="E6:E8"/>
    <mergeCell ref="F6:F8"/>
    <mergeCell ref="G6:G8"/>
    <mergeCell ref="H6:H8"/>
    <mergeCell ref="I6:I8"/>
    <mergeCell ref="I12:I14"/>
    <mergeCell ref="B15:B17"/>
    <mergeCell ref="C15:C17"/>
    <mergeCell ref="D15:D17"/>
    <mergeCell ref="E15:E17"/>
    <mergeCell ref="B3:B5"/>
    <mergeCell ref="C3:C5"/>
    <mergeCell ref="D3:D5"/>
    <mergeCell ref="E3:E5"/>
    <mergeCell ref="F3:F5"/>
    <mergeCell ref="H15:H17"/>
    <mergeCell ref="I15:I17"/>
    <mergeCell ref="G3:G5"/>
    <mergeCell ref="F15:F17"/>
    <mergeCell ref="G15:G17"/>
    <mergeCell ref="B21:B23"/>
    <mergeCell ref="C21:C23"/>
    <mergeCell ref="D21:D23"/>
    <mergeCell ref="E21:E23"/>
    <mergeCell ref="F12:F14"/>
    <mergeCell ref="G12:G14"/>
    <mergeCell ref="B18:B20"/>
    <mergeCell ref="C18:C20"/>
    <mergeCell ref="D18:D20"/>
    <mergeCell ref="E18:E20"/>
    <mergeCell ref="F18:F20"/>
    <mergeCell ref="G18:G20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28"/>
  <sheetViews>
    <sheetView topLeftCell="A9" zoomScaleNormal="100" workbookViewId="0">
      <selection activeCell="C23" sqref="C23"/>
    </sheetView>
  </sheetViews>
  <sheetFormatPr baseColWidth="10" defaultColWidth="11.3984375" defaultRowHeight="11.5"/>
  <cols>
    <col min="1" max="1" width="17.09765625" style="254" bestFit="1" customWidth="1"/>
    <col min="2" max="2" width="14.8984375" style="254" customWidth="1"/>
    <col min="3" max="3" width="24.59765625" style="254" bestFit="1" customWidth="1"/>
    <col min="4" max="4" width="13.69921875" style="254" customWidth="1"/>
    <col min="5" max="5" width="35.8984375" style="254" bestFit="1" customWidth="1"/>
    <col min="6" max="16384" width="11.3984375" style="249"/>
  </cols>
  <sheetData>
    <row r="1" spans="1:5" ht="15.5">
      <c r="A1" s="248" t="s">
        <v>7707</v>
      </c>
      <c r="B1" s="248" t="s">
        <v>213</v>
      </c>
      <c r="C1" s="248" t="s">
        <v>7708</v>
      </c>
      <c r="D1" s="248" t="s">
        <v>7709</v>
      </c>
      <c r="E1" s="248" t="s">
        <v>7710</v>
      </c>
    </row>
    <row r="2" spans="1:5" ht="15.5">
      <c r="A2" s="250" t="s">
        <v>7904</v>
      </c>
      <c r="B2" s="251">
        <v>41117</v>
      </c>
      <c r="C2" s="252"/>
      <c r="D2" s="252"/>
      <c r="E2" s="252" t="s">
        <v>7905</v>
      </c>
    </row>
    <row r="3" spans="1:5" ht="15.5">
      <c r="A3" s="250" t="s">
        <v>7906</v>
      </c>
      <c r="B3" s="251">
        <v>41117</v>
      </c>
      <c r="C3" s="252"/>
      <c r="D3" s="252"/>
      <c r="E3" s="252"/>
    </row>
    <row r="4" spans="1:5" ht="15.5">
      <c r="A4" s="250" t="s">
        <v>7907</v>
      </c>
      <c r="B4" s="251">
        <v>41118</v>
      </c>
      <c r="C4" s="252"/>
      <c r="D4" s="252"/>
      <c r="E4" s="252"/>
    </row>
    <row r="5" spans="1:5" ht="15.5">
      <c r="A5" s="250" t="s">
        <v>7908</v>
      </c>
      <c r="B5" s="251">
        <v>41120</v>
      </c>
      <c r="C5" s="252"/>
      <c r="D5" s="252"/>
      <c r="E5" s="252"/>
    </row>
    <row r="6" spans="1:5" ht="15.5">
      <c r="A6" s="250" t="s">
        <v>7907</v>
      </c>
      <c r="B6" s="251">
        <v>41122</v>
      </c>
      <c r="C6" s="252"/>
      <c r="D6" s="252"/>
      <c r="E6" s="252"/>
    </row>
    <row r="7" spans="1:5" ht="46.5">
      <c r="A7" s="250" t="s">
        <v>7909</v>
      </c>
      <c r="B7" s="251">
        <v>41159</v>
      </c>
      <c r="C7" s="253" t="s">
        <v>7931</v>
      </c>
      <c r="D7" s="249"/>
      <c r="E7" s="253" t="s">
        <v>7910</v>
      </c>
    </row>
    <row r="8" spans="1:5" ht="31">
      <c r="A8" s="250" t="s">
        <v>7911</v>
      </c>
      <c r="B8" s="255" t="s">
        <v>7912</v>
      </c>
      <c r="C8" s="252"/>
      <c r="D8" s="252"/>
      <c r="E8" s="252" t="s">
        <v>7913</v>
      </c>
    </row>
    <row r="9" spans="1:5" ht="15.5">
      <c r="A9" s="250" t="s">
        <v>7911</v>
      </c>
      <c r="B9" s="255">
        <v>41538</v>
      </c>
      <c r="C9" s="252"/>
      <c r="D9" s="252"/>
      <c r="E9" s="252" t="s">
        <v>7913</v>
      </c>
    </row>
    <row r="10" spans="1:5" ht="15.5">
      <c r="A10" s="250" t="s">
        <v>7914</v>
      </c>
      <c r="B10" s="251">
        <v>41184</v>
      </c>
      <c r="C10" s="252" t="s">
        <v>7915</v>
      </c>
      <c r="D10" s="252"/>
      <c r="E10" s="252" t="s">
        <v>7916</v>
      </c>
    </row>
    <row r="11" spans="1:5" ht="15.5">
      <c r="A11" s="250" t="s">
        <v>7914</v>
      </c>
      <c r="B11" s="251">
        <v>41201</v>
      </c>
      <c r="C11" s="252" t="s">
        <v>7917</v>
      </c>
      <c r="D11" s="252"/>
      <c r="E11" s="252" t="s">
        <v>7916</v>
      </c>
    </row>
    <row r="12" spans="1:5" ht="31">
      <c r="A12" s="250" t="s">
        <v>7918</v>
      </c>
      <c r="B12" s="251">
        <v>41212</v>
      </c>
      <c r="C12" s="252" t="s">
        <v>7919</v>
      </c>
      <c r="D12" s="253" t="s">
        <v>7921</v>
      </c>
      <c r="E12" s="252" t="s">
        <v>7920</v>
      </c>
    </row>
    <row r="13" spans="1:5" ht="15.5">
      <c r="A13" s="250" t="s">
        <v>7914</v>
      </c>
      <c r="B13" s="251">
        <v>41212</v>
      </c>
      <c r="C13" s="252" t="s">
        <v>7922</v>
      </c>
      <c r="D13" s="252"/>
      <c r="E13" s="252" t="s">
        <v>7923</v>
      </c>
    </row>
    <row r="14" spans="1:5" ht="15.5">
      <c r="A14" s="250" t="s">
        <v>7904</v>
      </c>
      <c r="B14" s="251">
        <v>41319</v>
      </c>
      <c r="C14" s="252" t="s">
        <v>7924</v>
      </c>
      <c r="D14" s="252"/>
      <c r="E14" s="252" t="s">
        <v>7937</v>
      </c>
    </row>
    <row r="15" spans="1:5" ht="15.5">
      <c r="A15" s="250" t="s">
        <v>7904</v>
      </c>
      <c r="B15" s="251">
        <v>41347</v>
      </c>
      <c r="C15" s="252" t="s">
        <v>7925</v>
      </c>
      <c r="D15" s="252"/>
      <c r="E15" s="252" t="s">
        <v>7926</v>
      </c>
    </row>
    <row r="16" spans="1:5" ht="15.5">
      <c r="A16" s="250" t="s">
        <v>7914</v>
      </c>
      <c r="B16" s="251">
        <v>41354</v>
      </c>
      <c r="C16" s="252" t="s">
        <v>7927</v>
      </c>
      <c r="D16" s="252"/>
      <c r="E16" s="252" t="s">
        <v>7928</v>
      </c>
    </row>
    <row r="17" spans="1:5" ht="15.5">
      <c r="A17" s="250" t="s">
        <v>7914</v>
      </c>
      <c r="B17" s="251">
        <v>41354</v>
      </c>
      <c r="C17" s="252" t="s">
        <v>7929</v>
      </c>
      <c r="D17" s="252"/>
      <c r="E17" s="252" t="s">
        <v>7930</v>
      </c>
    </row>
    <row r="18" spans="1:5" ht="15.5">
      <c r="A18" s="250" t="s">
        <v>7914</v>
      </c>
      <c r="B18" s="251">
        <v>41380</v>
      </c>
      <c r="C18" s="252" t="s">
        <v>7932</v>
      </c>
      <c r="D18" s="252"/>
      <c r="E18" s="252" t="s">
        <v>7934</v>
      </c>
    </row>
    <row r="19" spans="1:5" ht="15.5">
      <c r="A19" s="250" t="s">
        <v>7914</v>
      </c>
      <c r="B19" s="251">
        <v>41380</v>
      </c>
      <c r="C19" s="252" t="s">
        <v>7933</v>
      </c>
      <c r="D19" s="252"/>
      <c r="E19" s="252" t="s">
        <v>7935</v>
      </c>
    </row>
    <row r="20" spans="1:5" ht="15.5">
      <c r="A20" s="250" t="s">
        <v>7904</v>
      </c>
      <c r="B20" s="251">
        <v>41381</v>
      </c>
      <c r="C20" s="252" t="s">
        <v>7936</v>
      </c>
      <c r="D20" s="252"/>
      <c r="E20" s="252" t="s">
        <v>7937</v>
      </c>
    </row>
    <row r="21" spans="1:5" ht="15.5">
      <c r="A21" s="250" t="s">
        <v>7938</v>
      </c>
      <c r="B21" s="251">
        <v>41401</v>
      </c>
      <c r="C21" s="252" t="s">
        <v>7939</v>
      </c>
      <c r="D21" s="252"/>
      <c r="E21" s="252" t="s">
        <v>7941</v>
      </c>
    </row>
    <row r="22" spans="1:5" ht="15.5">
      <c r="A22" s="250" t="s">
        <v>7938</v>
      </c>
      <c r="B22" s="251">
        <v>41401</v>
      </c>
      <c r="C22" s="252" t="s">
        <v>7940</v>
      </c>
      <c r="D22" s="252"/>
      <c r="E22" s="252" t="s">
        <v>7942</v>
      </c>
    </row>
    <row r="23" spans="1:5" ht="15.5">
      <c r="A23" s="250" t="s">
        <v>7914</v>
      </c>
      <c r="B23" s="251">
        <v>41430</v>
      </c>
      <c r="C23" s="252" t="s">
        <v>7917</v>
      </c>
      <c r="D23" s="252"/>
      <c r="E23" s="252" t="s">
        <v>7916</v>
      </c>
    </row>
    <row r="24" spans="1:5" ht="15.5">
      <c r="A24" s="250" t="s">
        <v>7938</v>
      </c>
      <c r="B24" s="251">
        <v>41432</v>
      </c>
      <c r="C24" s="252" t="s">
        <v>7939</v>
      </c>
      <c r="D24" s="252"/>
      <c r="E24" s="252" t="s">
        <v>7943</v>
      </c>
    </row>
    <row r="25" spans="1:5" ht="15.5">
      <c r="A25" s="250" t="s">
        <v>7938</v>
      </c>
      <c r="B25" s="251">
        <v>41432</v>
      </c>
      <c r="C25" s="252" t="s">
        <v>7940</v>
      </c>
      <c r="D25" s="252"/>
      <c r="E25" s="252" t="s">
        <v>7942</v>
      </c>
    </row>
    <row r="26" spans="1:5" ht="15.5">
      <c r="A26" s="250" t="s">
        <v>7909</v>
      </c>
      <c r="B26" s="251">
        <v>41478</v>
      </c>
      <c r="C26" s="253" t="s">
        <v>7944</v>
      </c>
      <c r="D26" s="252"/>
      <c r="E26" s="252" t="s">
        <v>7946</v>
      </c>
    </row>
    <row r="27" spans="1:5" ht="15.5">
      <c r="A27" s="250" t="s">
        <v>7909</v>
      </c>
      <c r="B27" s="251">
        <v>41478</v>
      </c>
      <c r="C27" s="253" t="s">
        <v>7945</v>
      </c>
      <c r="D27" s="252"/>
      <c r="E27" s="252" t="s">
        <v>7947</v>
      </c>
    </row>
    <row r="28" spans="1:5">
      <c r="D28" s="249"/>
      <c r="E28" s="249"/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154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5</vt:i4>
      </vt:variant>
    </vt:vector>
  </HeadingPairs>
  <TitlesOfParts>
    <vt:vector size="22" baseType="lpstr">
      <vt:lpstr>README</vt:lpstr>
      <vt:lpstr>Trial</vt:lpstr>
      <vt:lpstr>Site</vt:lpstr>
      <vt:lpstr>Contact</vt:lpstr>
      <vt:lpstr>Variable</vt:lpstr>
      <vt:lpstr>PlantMaterial</vt:lpstr>
      <vt:lpstr>Treatment</vt:lpstr>
      <vt:lpstr>Level</vt:lpstr>
      <vt:lpstr>Data</vt:lpstr>
      <vt:lpstr>Files</vt:lpstr>
      <vt:lpstr>ForestComplementaryInfo</vt:lpstr>
      <vt:lpstr>StaticData</vt:lpstr>
      <vt:lpstr>Meteo_Data</vt:lpstr>
      <vt:lpstr>Soil_data</vt:lpstr>
      <vt:lpstr>INN_Data</vt:lpstr>
      <vt:lpstr>Parcellaire_data</vt:lpstr>
      <vt:lpstr>ITK_data</vt:lpstr>
      <vt:lpstr>HoldingInstitution</vt:lpstr>
      <vt:lpstr>InstitutionName</vt:lpstr>
      <vt:lpstr>ProjectAcronym</vt:lpstr>
      <vt:lpstr>SiteName</vt:lpstr>
      <vt:lpstr>TaxonScientificName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cmichotey</dc:creator>
  <cp:lastModifiedBy>Léa Desbats</cp:lastModifiedBy>
  <cp:revision>11</cp:revision>
  <cp:lastPrinted>1601-01-01T00:00:00Z</cp:lastPrinted>
  <dcterms:created xsi:type="dcterms:W3CDTF">2013-10-04T13:51:10Z</dcterms:created>
  <dcterms:modified xsi:type="dcterms:W3CDTF">2025-12-10T08:40:26Z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