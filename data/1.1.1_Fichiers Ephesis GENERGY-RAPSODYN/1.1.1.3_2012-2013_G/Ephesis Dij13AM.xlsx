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120" windowWidth="19200" windowHeight="8070" tabRatio="903" firstSheet="5" activeTab="16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Data!$A$1:$CM$1</definedName>
    <definedName name="_xlnm._FilterDatabase" localSheetId="5" hidden="1">PlantMaterial!$A$1:$E$81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W12" i="15" l="1"/>
  <c r="W13" i="15"/>
  <c r="W14" i="15"/>
  <c r="W15" i="15"/>
  <c r="W16" i="15"/>
  <c r="W17" i="15"/>
  <c r="W18" i="15"/>
  <c r="W19" i="15"/>
  <c r="W20" i="15"/>
  <c r="W21" i="15"/>
  <c r="W22" i="15"/>
  <c r="W11" i="15"/>
  <c r="W4" i="15"/>
  <c r="W5" i="15"/>
  <c r="W6" i="15"/>
  <c r="W7" i="15"/>
  <c r="W8" i="15"/>
  <c r="W9" i="15"/>
  <c r="W10" i="15"/>
  <c r="W3" i="15"/>
  <c r="O3" i="15"/>
  <c r="O4" i="15"/>
  <c r="O5" i="15"/>
  <c r="O6" i="15"/>
  <c r="O7" i="15"/>
  <c r="O8" i="15"/>
  <c r="O9" i="15"/>
  <c r="O10" i="15"/>
  <c r="O12" i="15"/>
  <c r="O13" i="15"/>
  <c r="O14" i="15"/>
  <c r="O15" i="15"/>
  <c r="O16" i="15"/>
  <c r="O17" i="15"/>
  <c r="O18" i="15"/>
  <c r="O19" i="15"/>
  <c r="O20" i="15"/>
  <c r="O21" i="15"/>
  <c r="O22" i="15"/>
  <c r="O11" i="15"/>
  <c r="R3" i="15"/>
  <c r="S3" i="15" s="1"/>
  <c r="R4" i="15"/>
  <c r="S4" i="15" s="1"/>
  <c r="R5" i="15"/>
  <c r="S5" i="15" s="1"/>
  <c r="R6" i="15"/>
  <c r="S6" i="15" s="1"/>
  <c r="R7" i="15"/>
  <c r="S7" i="15" s="1"/>
  <c r="R8" i="15"/>
  <c r="S8" i="15" s="1"/>
  <c r="R9" i="15"/>
  <c r="S9" i="15" s="1"/>
  <c r="R10" i="15"/>
  <c r="S10" i="15" s="1"/>
  <c r="R12" i="15"/>
  <c r="S12" i="15" s="1"/>
  <c r="R13" i="15"/>
  <c r="S13" i="15" s="1"/>
  <c r="R14" i="15"/>
  <c r="R15" i="15"/>
  <c r="S15" i="15" s="1"/>
  <c r="T15" i="15" s="1"/>
  <c r="R16" i="15"/>
  <c r="S16" i="15" s="1"/>
  <c r="T16" i="15" s="1"/>
  <c r="R17" i="15"/>
  <c r="R18" i="15"/>
  <c r="S18" i="15" s="1"/>
  <c r="T18" i="15" s="1"/>
  <c r="R19" i="15"/>
  <c r="R20" i="15"/>
  <c r="S20" i="15" s="1"/>
  <c r="T20" i="15" s="1"/>
  <c r="R21" i="15"/>
  <c r="S21" i="15" s="1"/>
  <c r="T21" i="15" s="1"/>
  <c r="R22" i="15"/>
  <c r="S22" i="15" s="1"/>
  <c r="T22" i="15" s="1"/>
  <c r="R11" i="15"/>
  <c r="X15" i="15" l="1"/>
  <c r="X22" i="15"/>
  <c r="X21" i="15"/>
  <c r="L19" i="15"/>
  <c r="J19" i="15" s="1"/>
  <c r="S19" i="15"/>
  <c r="T19" i="15" s="1"/>
  <c r="X19" i="15"/>
  <c r="X18" i="15"/>
  <c r="Y18" i="15" s="1"/>
  <c r="L17" i="15"/>
  <c r="J17" i="15" s="1"/>
  <c r="S17" i="15"/>
  <c r="T17" i="15" s="1"/>
  <c r="X17" i="15"/>
  <c r="X16" i="15"/>
  <c r="X20" i="15"/>
  <c r="L11" i="15"/>
  <c r="J11" i="15" s="1"/>
  <c r="S11" i="15"/>
  <c r="L14" i="15"/>
  <c r="J14" i="15" s="1"/>
  <c r="S14" i="15"/>
  <c r="L9" i="15"/>
  <c r="J9" i="15" s="1"/>
  <c r="T9" i="15" s="1"/>
  <c r="L8" i="15"/>
  <c r="J8" i="15" s="1"/>
  <c r="L3" i="15"/>
  <c r="J3" i="15" s="1"/>
  <c r="L10" i="15"/>
  <c r="J10" i="15" s="1"/>
  <c r="L15" i="15"/>
  <c r="J15" i="15" s="1"/>
  <c r="L22" i="15"/>
  <c r="J22" i="15" s="1"/>
  <c r="L18" i="15"/>
  <c r="J18" i="15" s="1"/>
  <c r="L16" i="15"/>
  <c r="J16" i="15" s="1"/>
  <c r="L6" i="15"/>
  <c r="J6" i="15" s="1"/>
  <c r="L21" i="15"/>
  <c r="J21" i="15" s="1"/>
  <c r="L13" i="15"/>
  <c r="J13" i="15" s="1"/>
  <c r="L5" i="15"/>
  <c r="J5" i="15" s="1"/>
  <c r="L12" i="15"/>
  <c r="J12" i="15" s="1"/>
  <c r="L4" i="15"/>
  <c r="J4" i="15" s="1"/>
  <c r="L7" i="15"/>
  <c r="J7" i="15" s="1"/>
  <c r="L20" i="15"/>
  <c r="J20" i="15" s="1"/>
  <c r="Y19" i="15" l="1"/>
  <c r="Y17" i="15"/>
  <c r="Y20" i="15"/>
  <c r="Y15" i="15"/>
  <c r="Y16" i="15"/>
  <c r="Y22" i="15"/>
  <c r="Y21" i="15"/>
  <c r="T11" i="15"/>
  <c r="Y11" i="15" s="1"/>
  <c r="T12" i="15"/>
  <c r="Y12" i="15" s="1"/>
  <c r="T14" i="15"/>
  <c r="Y14" i="15" s="1"/>
  <c r="T13" i="15"/>
  <c r="Y13" i="15" s="1"/>
  <c r="Y9" i="15"/>
  <c r="T10" i="15"/>
  <c r="Y10" i="15" s="1"/>
  <c r="T5" i="15"/>
  <c r="Y5" i="15" s="1"/>
  <c r="T7" i="15"/>
  <c r="Y7" i="15" s="1"/>
  <c r="T4" i="15"/>
  <c r="Y4" i="15" s="1"/>
  <c r="T3" i="15"/>
  <c r="Y3" i="15" s="1"/>
  <c r="T8" i="15"/>
  <c r="Y8" i="15" s="1"/>
  <c r="T6" i="15"/>
  <c r="Y6" i="15" s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<sst xmlns="http://schemas.openxmlformats.org/spreadsheetml/2006/main" count="11471" uniqueCount="8052">
  <si>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</si>
  <si>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</si>
  <si>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</si>
  <si>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</si>
  <si>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</si>
  <si>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</si>
  <si>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</si>
  <si>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</si>
  <si>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</si>
  <si>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</si>
  <si>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</si>
  <si>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</si>
  <si>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</si>
  <si>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</si>
  <si>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</si>
  <si>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</si>
  <si>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</si>
  <si>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</si>
  <si>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</si>
  <si>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</si>
  <si>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</si>
  <si>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</si>
  <si>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</si>
  <si>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</si>
  <si>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</si>
  <si>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</si>
  <si>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</si>
  <si>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</si>
  <si>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</si>
  <si>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</si>
  <si>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</si>
  <si>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</si>
  <si>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</si>
  <si>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</si>
  <si>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</si>
  <si>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</si>
  <si>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</si>
  <si>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</si>
  <si>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</si>
  <si>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</si>
  <si>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</si>
  <si>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</si>
  <si>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</si>
  <si>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</si>
  <si>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</si>
  <si>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</si>
  <si>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</si>
  <si>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</si>
  <si>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</si>
  <si>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</si>
  <si>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</si>
  <si>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</si>
  <si>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</si>
  <si>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</si>
  <si>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</si>
  <si>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</si>
  <si>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</si>
  <si>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</si>
  <si>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</si>
  <si>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</si>
  <si>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</si>
  <si>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</si>
  <si>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</si>
  <si>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</si>
  <si>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</si>
  <si>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</si>
  <si>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</si>
  <si>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</si>
  <si>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</si>
  <si>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</si>
  <si>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</si>
  <si>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</si>
  <si>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</si>
  <si>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</si>
  <si>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</si>
  <si>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</si>
  <si>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</si>
  <si>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</si>
  <si>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</si>
  <si>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</si>
  <si>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</si>
  <si>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</si>
  <si>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</si>
  <si>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</si>
  <si>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</si>
  <si>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</si>
  <si>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</si>
  <si>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</si>
  <si>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</si>
  <si>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</si>
  <si>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</si>
  <si>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</si>
  <si>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</si>
  <si>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</si>
  <si>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</si>
  <si>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</si>
  <si>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</si>
  <si>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</si>
  <si>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</si>
  <si>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</si>
  <si>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</si>
  <si>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</si>
  <si>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</si>
  <si>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</si>
  <si>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</si>
  <si>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</si>
  <si>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</si>
  <si>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</si>
  <si>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</si>
  <si>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</si>
  <si>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</si>
  <si>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</si>
  <si>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</si>
  <si>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</si>
  <si>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</si>
  <si>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</si>
  <si>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</si>
  <si>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</si>
  <si>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</si>
  <si>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</si>
  <si>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</si>
  <si>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</si>
  <si>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</si>
  <si>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</si>
  <si>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</si>
  <si>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</si>
  <si>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</si>
  <si>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</si>
  <si>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</si>
  <si>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</si>
  <si>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</si>
  <si>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</si>
  <si>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</si>
  <si>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</si>
  <si>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</si>
  <si>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</si>
  <si>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</si>
  <si>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</si>
  <si>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</si>
  <si>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</si>
  <si>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</si>
  <si>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</si>
  <si>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</si>
  <si>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</si>
  <si>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</si>
  <si>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</si>
  <si>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</si>
  <si>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</si>
  <si>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</si>
  <si>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</si>
  <si>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</si>
  <si>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</si>
  <si>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</si>
  <si>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</si>
  <si>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</si>
  <si>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</si>
  <si>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</si>
  <si>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</si>
  <si>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</si>
  <si>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</si>
  <si>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</si>
  <si>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</si>
  <si>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</si>
  <si>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</si>
  <si>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</si>
  <si>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</si>
  <si>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</si>
  <si>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</si>
  <si>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</si>
  <si>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</si>
  <si>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</si>
  <si>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</si>
  <si>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</si>
  <si>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</si>
  <si>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</si>
  <si>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</si>
  <si>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</si>
  <si>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</si>
  <si>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</si>
  <si>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</si>
  <si>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</si>
  <si>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</si>
  <si>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</si>
  <si>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</si>
  <si>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</si>
  <si>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</si>
  <si>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</si>
  <si>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</si>
  <si>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</si>
  <si>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</si>
  <si>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</si>
  <si>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</si>
  <si>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</si>
  <si>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</si>
  <si>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</si>
  <si>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</si>
  <si>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</si>
  <si>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</si>
  <si>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</si>
  <si>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</si>
  <si>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</si>
  <si>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</si>
  <si>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</si>
  <si>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</si>
  <si>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</si>
  <si>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</si>
  <si>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</si>
  <si>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</si>
  <si>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</si>
  <si>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</si>
  <si>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</si>
  <si>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</si>
  <si>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</si>
  <si>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</si>
  <si>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</si>
  <si>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</si>
  <si>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</si>
  <si>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</si>
  <si>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</si>
  <si>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</si>
  <si>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</si>
  <si>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</si>
  <si>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</si>
  <si>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</si>
  <si>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</si>
  <si>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</si>
  <si>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</si>
  <si>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</si>
  <si>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</si>
  <si>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</si>
  <si>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</si>
  <si>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</si>
  <si>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</si>
  <si>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</si>
  <si>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</si>
  <si>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</si>
  <si>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</si>
  <si>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</si>
  <si>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</si>
  <si>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</si>
  <si>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</si>
  <si>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</si>
  <si>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</si>
  <si>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</si>
  <si>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</si>
  <si>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</si>
  <si>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</si>
  <si>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</si>
  <si>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</si>
  <si>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</si>
  <si>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</si>
  <si>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</si>
  <si>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</si>
  <si>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</si>
  <si>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</si>
  <si>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</si>
  <si>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</si>
  <si>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</si>
  <si>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</si>
  <si>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</si>
  <si>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</si>
  <si>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</si>
  <si>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</si>
  <si>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</si>
  <si>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</si>
  <si>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</si>
  <si>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</si>
  <si>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</si>
  <si>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</si>
  <si>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</si>
  <si>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</si>
  <si>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</si>
  <si>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</si>
  <si>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</si>
  <si>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</si>
  <si>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</si>
  <si>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</si>
  <si>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</si>
  <si>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</si>
  <si>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</si>
  <si>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</si>
  <si>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</si>
  <si>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</si>
  <si>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</si>
  <si>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</si>
  <si>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</si>
  <si>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</si>
  <si>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</si>
  <si>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</si>
  <si>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</si>
  <si>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</si>
  <si>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</si>
  <si>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</si>
  <si>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</si>
  <si>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</si>
  <si>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</si>
  <si>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</si>
  <si>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</si>
  <si>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</si>
  <si>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</si>
  <si>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</si>
  <si>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</si>
  <si>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</si>
  <si>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</si>
  <si>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</si>
  <si>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</si>
  <si>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</si>
  <si>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</si>
  <si>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</si>
  <si>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</si>
  <si>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</si>
  <si>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</si>
  <si>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</si>
  <si>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</si>
  <si>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</si>
  <si>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</si>
  <si>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</si>
  <si>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</si>
  <si>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</si>
  <si>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</si>
  <si>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</si>
  <si>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</si>
  <si>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</si>
  <si>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</si>
  <si>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</si>
  <si>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</si>
  <si>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</si>
  <si>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</si>
  <si>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</si>
  <si>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</si>
  <si>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</si>
  <si>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</si>
  <si>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</si>
  <si>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</si>
  <si>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</si>
  <si>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</si>
  <si>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</si>
  <si>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</si>
  <si>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</si>
  <si>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</si>
  <si>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</si>
  <si>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</si>
  <si>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</si>
  <si>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</si>
  <si>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</si>
  <si>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</si>
  <si>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</si>
  <si>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</si>
  <si>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</si>
  <si>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</si>
  <si>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</si>
  <si>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</si>
  <si>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</si>
  <si>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</si>
  <si>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</si>
  <si>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</si>
  <si>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</si>
  <si>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</si>
  <si>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</si>
  <si>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</si>
  <si>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</si>
  <si>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</si>
  <si>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</si>
  <si>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</si>
  <si>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</si>
  <si>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</si>
  <si>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</si>
  <si>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</si>
  <si>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</si>
  <si>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</si>
  <si>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</si>
  <si>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</si>
  <si>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</si>
  <si>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</si>
  <si>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</si>
  <si>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</si>
  <si>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</si>
  <si>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</si>
  <si>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</si>
  <si>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</si>
  <si>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</si>
  <si>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</si>
  <si>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</si>
  <si>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</si>
  <si>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</si>
  <si>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</si>
  <si>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</si>
  <si>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</si>
  <si>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</si>
  <si>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</si>
  <si>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</si>
  <si>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</si>
  <si>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</si>
  <si>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</si>
  <si>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</si>
  <si>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</si>
  <si>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</si>
  <si>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</si>
  <si>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</si>
  <si>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</si>
  <si>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</si>
  <si>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</si>
  <si>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</si>
  <si>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</si>
  <si>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</si>
  <si>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</si>
  <si>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</si>
  <si>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</si>
  <si>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</si>
  <si>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</si>
  <si>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</si>
  <si>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</si>
  <si>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</si>
  <si>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</si>
  <si>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</si>
  <si>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</si>
  <si>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</si>
  <si>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</si>
  <si>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</si>
  <si>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</si>
  <si>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</si>
  <si>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</si>
  <si>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</si>
  <si>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</si>
  <si>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</si>
  <si>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</si>
  <si>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</si>
  <si>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</si>
  <si>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</si>
  <si>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</si>
  <si>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</si>
  <si>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</si>
  <si>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</si>
  <si>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</si>
  <si>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</si>
  <si>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</si>
  <si>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</si>
  <si>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</si>
  <si>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</si>
  <si>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</si>
  <si>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</si>
  <si>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</si>
  <si>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</si>
  <si>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</si>
  <si>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</si>
  <si>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</si>
  <si>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</si>
  <si>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</si>
  <si>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</si>
  <si>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</si>
  <si>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</si>
  <si>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</si>
  <si>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</si>
  <si>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</si>
  <si>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</si>
  <si>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</si>
  <si>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</si>
  <si>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</si>
  <si>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</si>
  <si>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</si>
  <si>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</si>
  <si>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</si>
  <si>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</si>
  <si>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</si>
  <si>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</si>
  <si>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</si>
  <si>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</si>
  <si>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</si>
  <si>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</si>
  <si>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</si>
  <si>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</si>
  <si>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</si>
  <si>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</si>
  <si>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</si>
  <si>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</si>
  <si>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</si>
  <si>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</si>
  <si>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</si>
  <si>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</si>
  <si>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</si>
  <si>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</si>
  <si>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</si>
  <si>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</si>
  <si>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</si>
  <si>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</si>
  <si>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</si>
  <si>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</si>
  <si>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</si>
  <si>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</si>
  <si>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</si>
  <si>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</si>
  <si>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</si>
  <si>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</si>
  <si>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</si>
  <si>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</si>
  <si>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</si>
  <si>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</si>
  <si>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</si>
  <si>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</si>
  <si>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</si>
  <si>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</si>
  <si>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</si>
  <si>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</si>
  <si>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</si>
  <si>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</si>
  <si>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</si>
  <si>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</si>
  <si>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</si>
  <si>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</si>
  <si>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</si>
  <si>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</si>
  <si>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</si>
  <si>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</si>
  <si>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</si>
  <si>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</si>
  <si>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</si>
  <si>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</si>
  <si>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</si>
  <si>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</si>
  <si>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</si>
  <si>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</si>
  <si>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</si>
  <si>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</si>
  <si>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</si>
  <si>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</si>
  <si>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</si>
  <si>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</si>
  <si>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</si>
  <si>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</si>
  <si>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</si>
  <si>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</si>
  <si>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</si>
  <si>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</si>
  <si>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</si>
  <si>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</si>
  <si>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</si>
  <si>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</si>
  <si>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</si>
  <si>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</si>
  <si>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</si>
  <si>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</si>
  <si>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</si>
  <si>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</si>
  <si>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</si>
  <si>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</si>
  <si>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</si>
  <si>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</si>
  <si>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</si>
  <si>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</si>
  <si>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</si>
  <si>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</si>
  <si>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</si>
  <si>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</si>
  <si>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</si>
  <si>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</si>
  <si>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</si>
  <si>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</si>
  <si>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</si>
  <si>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</si>
  <si>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</si>
  <si>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</si>
  <si>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</si>
  <si>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</si>
  <si>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</si>
  <si>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</si>
  <si>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</si>
  <si>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</si>
  <si>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</si>
  <si>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</si>
  <si>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</si>
  <si>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</si>
  <si>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</si>
  <si>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</si>
  <si>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</si>
  <si>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</si>
  <si>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</si>
  <si>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</si>
  <si>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</si>
  <si>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</si>
  <si>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</si>
  <si>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</si>
  <si>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</si>
  <si>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</si>
  <si>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</si>
  <si>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</si>
  <si>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</si>
  <si>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</si>
  <si>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</si>
  <si>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</si>
  <si>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</si>
  <si>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</si>
  <si>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</si>
  <si>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</si>
  <si>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</si>
  <si>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</si>
  <si>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</si>
  <si>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</si>
  <si>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</si>
  <si>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</si>
  <si>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</si>
  <si>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</si>
  <si>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</si>
  <si>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</si>
  <si>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</si>
  <si>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</si>
  <si>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</si>
  <si>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</si>
  <si>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</si>
  <si>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</si>
  <si>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</si>
  <si>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</si>
  <si>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</si>
  <si>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</si>
  <si>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</si>
  <si>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</si>
  <si>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</si>
  <si>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</si>
  <si>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</si>
  <si>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</si>
  <si>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</si>
  <si>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</si>
  <si>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</si>
  <si>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</si>
  <si>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</si>
  <si>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</si>
  <si>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</si>
  <si>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</si>
  <si>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</si>
  <si>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</si>
  <si>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</si>
  <si>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</si>
  <si>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</si>
  <si>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</si>
  <si>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</si>
  <si>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</si>
  <si>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</si>
  <si>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</si>
  <si>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</si>
  <si>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</si>
  <si>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</si>
  <si>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</si>
  <si>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</si>
  <si>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</si>
  <si>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</si>
  <si>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</si>
  <si>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</si>
  <si>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</si>
  <si>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</si>
  <si>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</si>
  <si>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</si>
  <si>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</si>
  <si>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</si>
  <si>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</si>
  <si>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</si>
  <si>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</si>
  <si>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</si>
  <si>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</si>
  <si>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</si>
  <si>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</si>
  <si>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</si>
  <si>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</si>
  <si>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</si>
  <si>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</si>
  <si>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</si>
  <si>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</si>
  <si>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</si>
  <si>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</si>
  <si>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</si>
  <si>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</si>
  <si>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</si>
  <si>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</si>
  <si>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</si>
  <si>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</si>
  <si>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</si>
  <si>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</si>
  <si>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</si>
  <si>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</si>
  <si>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</si>
  <si>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</si>
  <si>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</si>
  <si>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</si>
  <si>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</si>
  <si>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</si>
  <si>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</si>
  <si>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</si>
  <si>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</si>
  <si>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</si>
  <si>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</si>
  <si>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</si>
  <si>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</si>
  <si>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</si>
  <si>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</si>
  <si>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</si>
  <si>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</si>
  <si>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</si>
  <si>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</si>
  <si>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</si>
  <si>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</si>
  <si>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</si>
  <si>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</si>
  <si>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</si>
  <si>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</si>
  <si>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</si>
  <si>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</si>
  <si>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</si>
  <si>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</si>
  <si>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</si>
  <si>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</si>
  <si>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</si>
  <si>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</si>
  <si>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</si>
  <si>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</si>
  <si>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</si>
  <si>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</si>
  <si>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</si>
  <si>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</si>
  <si>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</si>
  <si>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</si>
  <si>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</si>
  <si>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</si>
  <si>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</si>
  <si>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</si>
  <si>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</si>
  <si>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</si>
  <si>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</si>
  <si>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</si>
  <si>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</si>
  <si>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</si>
  <si>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</si>
  <si>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</si>
  <si>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</si>
  <si>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</si>
  <si>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</si>
  <si>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</si>
  <si>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</si>
  <si>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</si>
  <si>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</si>
  <si>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</si>
  <si>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</si>
  <si>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</si>
  <si>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</si>
  <si>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</si>
  <si>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</si>
  <si>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</si>
  <si>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</si>
  <si>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</si>
  <si>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</si>
  <si>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</si>
  <si>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</si>
  <si>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</si>
  <si>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</si>
  <si>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</si>
  <si>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</si>
  <si>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</si>
  <si>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</si>
  <si>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</si>
  <si>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</si>
  <si>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</si>
  <si>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</si>
  <si>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</si>
  <si>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</si>
  <si>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</si>
  <si>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</si>
  <si>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</si>
  <si>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</si>
  <si>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</si>
  <si>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</si>
  <si>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</si>
  <si>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</si>
  <si>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</si>
  <si>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</si>
  <si>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</si>
  <si>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</si>
  <si>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</si>
  <si>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</si>
  <si>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</si>
  <si>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</si>
  <si>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</si>
  <si>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</si>
  <si>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</si>
  <si>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</si>
  <si>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</si>
  <si>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</si>
  <si>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</si>
  <si>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</si>
  <si>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</si>
  <si>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</si>
  <si>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</si>
  <si>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</si>
  <si>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</si>
  <si>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</si>
  <si>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</si>
  <si>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</si>
  <si>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</si>
  <si>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</si>
  <si>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</si>
  <si>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</si>
  <si>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</si>
  <si>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</si>
  <si>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</si>
  <si>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</si>
  <si>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</si>
  <si>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</si>
  <si>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</si>
  <si>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</si>
  <si>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</si>
  <si>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</si>
  <si>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</si>
  <si>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</si>
  <si>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</si>
  <si>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</si>
  <si>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</si>
  <si>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</si>
  <si>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</si>
  <si>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</si>
  <si>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</si>
  <si>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</si>
  <si>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</si>
  <si>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</si>
  <si>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</si>
  <si>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</si>
  <si>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</si>
  <si>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</si>
  <si>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</si>
  <si>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</si>
  <si>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</si>
  <si>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</si>
  <si>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</si>
  <si>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</si>
  <si>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</si>
  <si>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</si>
  <si>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</si>
  <si>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</si>
  <si>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</si>
  <si>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</si>
  <si>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</si>
  <si>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</si>
  <si>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</si>
  <si>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</si>
  <si>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</si>
  <si>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</si>
  <si>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</si>
  <si>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</si>
  <si>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</si>
  <si>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</si>
  <si>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</si>
  <si>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</si>
  <si>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</si>
  <si>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</si>
  <si>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</si>
  <si>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</si>
  <si>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</si>
  <si>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</si>
  <si>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</si>
  <si>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</si>
  <si>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</si>
  <si>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</si>
  <si>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</si>
  <si>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</si>
  <si>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</si>
  <si>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</si>
  <si>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</si>
  <si>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</si>
  <si>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</si>
  <si>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</si>
  <si>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</si>
  <si>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</si>
  <si>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</si>
  <si>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</si>
  <si>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</si>
  <si>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</si>
  <si>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</si>
  <si>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</si>
  <si>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</si>
  <si>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</si>
  <si>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</si>
  <si>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</si>
  <si>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</si>
  <si>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</si>
  <si>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</si>
  <si>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</si>
  <si>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</si>
  <si>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</si>
  <si>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</si>
  <si>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</si>
  <si>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</si>
  <si>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</si>
  <si>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</si>
  <si>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</si>
  <si>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</si>
  <si>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</si>
  <si>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</si>
  <si>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</si>
  <si>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</si>
  <si>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</si>
  <si>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</si>
  <si>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</si>
  <si>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</si>
  <si>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</si>
  <si>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</si>
  <si>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</si>
  <si>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</si>
  <si>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</si>
  <si>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</si>
  <si>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</si>
  <si>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</si>
  <si>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</si>
  <si>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</si>
  <si>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</si>
  <si>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</si>
  <si>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</si>
  <si>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</si>
  <si>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</si>
  <si>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</si>
  <si>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</si>
  <si>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</si>
  <si>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</si>
  <si>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</si>
  <si>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</si>
  <si>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</si>
  <si>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</si>
  <si>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</si>
  <si>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</si>
  <si>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</si>
  <si>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</si>
  <si>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</si>
  <si>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</si>
  <si>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</si>
  <si>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</si>
  <si>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</si>
  <si>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</si>
  <si>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</si>
  <si>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</si>
  <si>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</si>
  <si>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</si>
  <si>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</si>
  <si>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</si>
  <si>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</si>
  <si>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</si>
  <si>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</si>
  <si>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</si>
  <si>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</si>
  <si>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</si>
  <si>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</si>
  <si>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</si>
  <si>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</si>
  <si>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</si>
  <si>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</si>
  <si>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</si>
  <si>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</si>
  <si>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</si>
  <si>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</si>
  <si>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</si>
  <si>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</si>
  <si>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</si>
  <si>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</si>
  <si>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</si>
  <si>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</si>
  <si>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</si>
  <si>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</si>
  <si>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</si>
  <si>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</si>
  <si>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</si>
  <si>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</si>
  <si>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</si>
  <si>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</si>
  <si>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</si>
  <si>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</si>
  <si>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</si>
  <si>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</si>
  <si>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</si>
  <si>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</si>
  <si>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</si>
  <si>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</si>
  <si>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</si>
  <si>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</si>
  <si>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</si>
  <si>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</si>
  <si>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</si>
  <si>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</si>
  <si>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</si>
  <si>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</si>
  <si>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</si>
  <si>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</si>
  <si>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</si>
  <si>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</si>
  <si>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</si>
  <si>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</si>
  <si>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</si>
  <si>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</si>
  <si>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</si>
  <si>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</si>
  <si>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</si>
  <si>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</si>
  <si>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</si>
  <si>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</si>
  <si>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</si>
  <si>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</si>
  <si>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</si>
  <si>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</si>
  <si>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</si>
  <si>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</si>
  <si>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</si>
  <si>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</si>
  <si>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</si>
  <si>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</si>
  <si>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</si>
  <si>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</si>
  <si>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</si>
  <si>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</si>
  <si>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</si>
  <si>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</si>
  <si>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</si>
  <si>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</si>
  <si>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</si>
  <si>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</si>
  <si>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</si>
  <si>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</si>
  <si>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</si>
  <si>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</si>
  <si>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</si>
  <si>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</si>
  <si>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</si>
  <si>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</si>
  <si>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</si>
  <si>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</si>
  <si>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</si>
  <si>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</si>
  <si>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</si>
  <si>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</si>
  <si>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</si>
  <si>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</si>
  <si>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</si>
  <si>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</si>
  <si>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</si>
  <si>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</si>
  <si>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</si>
  <si>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</si>
  <si>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</si>
  <si>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</si>
  <si>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</si>
  <si>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</si>
  <si>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</si>
  <si>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</si>
  <si>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</si>
  <si>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</si>
  <si>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</si>
  <si>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</si>
  <si>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</si>
  <si>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</si>
  <si>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</si>
  <si>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</si>
  <si>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</si>
  <si>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</si>
  <si>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</si>
  <si>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</si>
  <si>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</si>
  <si>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</si>
  <si>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</si>
  <si>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</si>
  <si>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</si>
  <si>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</si>
  <si>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</si>
  <si>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</si>
  <si>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</si>
  <si>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</si>
  <si>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</si>
  <si>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</si>
  <si>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</si>
  <si>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</si>
  <si>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</si>
  <si>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</si>
  <si>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</si>
  <si>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</si>
  <si>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</si>
  <si>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</si>
  <si>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</si>
  <si>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</si>
  <si>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</si>
  <si>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</si>
  <si>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</si>
  <si>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</si>
  <si>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</si>
  <si>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</si>
  <si>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</si>
  <si>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</si>
  <si>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</si>
  <si>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</si>
  <si>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</si>
  <si>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</si>
  <si>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</si>
  <si>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</si>
  <si>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</si>
  <si>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</si>
  <si>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</si>
  <si>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</si>
  <si>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</si>
  <si>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</si>
  <si>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</si>
  <si>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</si>
  <si>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</si>
  <si>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</si>
  <si>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</si>
  <si>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</si>
  <si>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</si>
  <si>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</si>
  <si>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</si>
  <si>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</si>
  <si>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</si>
  <si>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</si>
  <si>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</si>
  <si>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</si>
  <si>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</si>
  <si>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</si>
  <si>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</si>
  <si>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</si>
  <si>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</si>
  <si>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</si>
  <si>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</si>
  <si>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</si>
  <si>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</si>
  <si>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</si>
  <si>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</si>
  <si>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</si>
  <si>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</si>
  <si>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</si>
  <si>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</si>
  <si>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</si>
  <si>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</si>
  <si>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</si>
  <si>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</si>
  <si>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</si>
  <si>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</si>
  <si>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</si>
  <si>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</si>
  <si>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</si>
  <si>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</si>
  <si>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</si>
  <si>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</si>
  <si>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</si>
  <si>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</si>
  <si>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</si>
  <si>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</si>
  <si>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</si>
  <si>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</si>
  <si>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</si>
  <si>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</si>
  <si>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</si>
  <si>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</si>
  <si>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</si>
  <si>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</si>
  <si>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</si>
  <si>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</si>
  <si>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</si>
  <si>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</si>
  <si>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</si>
  <si>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</si>
  <si>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</si>
  <si>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</si>
  <si>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</si>
  <si>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</si>
  <si>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</si>
  <si>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</si>
  <si>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</si>
  <si>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</si>
  <si>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</si>
  <si>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</si>
  <si>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</si>
  <si>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</si>
  <si>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</si>
  <si>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</si>
  <si>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</si>
  <si>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</si>
  <si>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</si>
  <si>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</si>
  <si>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</si>
  <si>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</si>
  <si>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</si>
  <si>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</si>
  <si>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</si>
  <si>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</si>
  <si>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</si>
  <si>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</si>
  <si>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</si>
  <si>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</si>
  <si>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</si>
  <si>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</si>
  <si>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</si>
  <si>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</si>
  <si>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</si>
  <si>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</si>
  <si>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</si>
  <si>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</si>
  <si>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</si>
  <si>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</si>
  <si>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</si>
  <si>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</si>
  <si>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</si>
  <si>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</si>
  <si>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</si>
  <si>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</si>
  <si>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</si>
  <si>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</si>
  <si>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</si>
  <si>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</si>
  <si>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</si>
  <si>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</si>
  <si>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</si>
  <si>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</si>
  <si>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</si>
  <si>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</si>
  <si>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</si>
  <si>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</si>
  <si>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</si>
  <si>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</si>
  <si>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</si>
  <si>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</si>
  <si>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</si>
  <si>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</si>
  <si>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</si>
  <si>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</si>
  <si>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</si>
  <si>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</si>
  <si>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</si>
  <si>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</si>
  <si>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</si>
  <si>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</si>
  <si>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</si>
  <si>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</si>
  <si>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</si>
  <si>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</si>
  <si>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</si>
  <si>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</si>
  <si>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</si>
  <si>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</si>
  <si>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</si>
  <si>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</si>
  <si>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</si>
  <si>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</si>
  <si>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</si>
  <si>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</si>
  <si>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</si>
  <si>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</si>
  <si>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</si>
  <si>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</si>
  <si>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</si>
  <si>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</si>
  <si>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</si>
  <si>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</si>
  <si>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</si>
  <si>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</si>
  <si>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</si>
  <si>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</si>
  <si>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</si>
  <si>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</si>
  <si>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</si>
  <si>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</si>
  <si>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</si>
  <si>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</si>
  <si>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</si>
  <si>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</si>
  <si>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</si>
  <si>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</si>
  <si>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</si>
  <si>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</si>
  <si>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</si>
  <si>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</si>
  <si>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</si>
  <si>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</si>
  <si>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</si>
  <si>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</si>
  <si>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</si>
  <si>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</si>
  <si>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</si>
  <si>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</si>
  <si>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</si>
  <si>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</si>
  <si>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</si>
  <si>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</si>
  <si>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</si>
  <si>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</si>
  <si>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</si>
  <si>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</si>
  <si>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</si>
  <si>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</si>
  <si>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</si>
  <si>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</si>
  <si>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</si>
  <si>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</si>
  <si>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</si>
  <si>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</si>
  <si>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</si>
  <si>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</si>
  <si>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</si>
  <si>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</si>
  <si>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</si>
  <si>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</si>
  <si>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</si>
  <si>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</si>
  <si>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</si>
  <si>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</si>
  <si>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</si>
  <si>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</si>
  <si>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</si>
  <si>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</si>
  <si>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</si>
  <si>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</si>
  <si>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</si>
  <si>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</si>
  <si>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</si>
  <si>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</si>
  <si>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</si>
  <si>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</si>
  <si>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</si>
  <si>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</si>
  <si>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</si>
  <si>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</si>
  <si>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</si>
  <si>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</si>
  <si>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</si>
  <si>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</si>
  <si>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</si>
  <si>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</si>
  <si>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</si>
  <si>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</si>
  <si>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</si>
  <si>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</si>
  <si>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</si>
  <si>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</si>
  <si>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</si>
  <si>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</si>
  <si>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</si>
  <si>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</si>
  <si>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</si>
  <si>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</si>
  <si>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</si>
  <si>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</si>
  <si>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</si>
  <si>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</si>
  <si>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</si>
  <si>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</si>
  <si>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</si>
  <si>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</si>
  <si>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</si>
  <si>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</si>
  <si>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</si>
  <si>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</si>
  <si>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</si>
  <si>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</si>
  <si>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</si>
  <si>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</si>
  <si>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</si>
  <si>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</si>
  <si>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</si>
  <si>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</si>
  <si>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</si>
  <si>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</si>
  <si>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</si>
  <si>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</si>
  <si>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</si>
  <si>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</si>
  <si>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</si>
  <si>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</si>
  <si>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</si>
  <si>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</si>
  <si>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</si>
  <si>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</si>
  <si>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</si>
  <si>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</si>
  <si>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</si>
  <si>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</si>
  <si>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</si>
  <si>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</si>
  <si>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</si>
  <si>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</si>
  <si>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</si>
  <si>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</si>
  <si>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</si>
  <si>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</si>
  <si>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</si>
  <si>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</si>
  <si>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</si>
  <si>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</si>
  <si>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</si>
  <si>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</si>
  <si>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</si>
  <si>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</si>
  <si>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</si>
  <si>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</si>
  <si>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</si>
  <si>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</si>
  <si>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</si>
  <si>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</si>
  <si>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</si>
  <si>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</si>
  <si>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</si>
  <si>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</si>
  <si>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</si>
  <si>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</si>
  <si>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</si>
  <si>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</si>
  <si>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</si>
  <si>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</si>
  <si>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</si>
  <si>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</si>
  <si>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</si>
  <si>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</si>
  <si>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</si>
  <si>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</si>
  <si>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</si>
  <si>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</si>
  <si>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</si>
  <si>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</si>
  <si>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</si>
  <si>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</si>
  <si>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</si>
  <si>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</si>
  <si>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</si>
  <si>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</si>
  <si>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</si>
  <si>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</si>
  <si>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</si>
  <si>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</si>
  <si>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</si>
  <si>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</si>
  <si>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</si>
  <si>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</si>
  <si>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</si>
  <si>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</si>
  <si>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</si>
  <si>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</si>
  <si>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</si>
  <si>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</si>
  <si>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</si>
  <si>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</si>
  <si>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</si>
  <si>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</si>
  <si>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</si>
  <si>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</si>
  <si>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</si>
  <si>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</si>
  <si>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</si>
  <si>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</si>
  <si>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</si>
  <si>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</si>
  <si>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</si>
  <si>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</si>
  <si>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</si>
  <si>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</si>
  <si>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</si>
  <si>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</si>
  <si>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</si>
  <si>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</si>
  <si>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</si>
  <si>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</si>
  <si>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</si>
  <si>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</si>
  <si>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</si>
  <si>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</si>
  <si>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</si>
  <si>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</si>
  <si>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</si>
  <si>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</si>
  <si>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</si>
  <si>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</si>
  <si>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</si>
  <si>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</si>
  <si>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</si>
  <si>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</si>
  <si>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</si>
  <si>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</si>
  <si>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</si>
  <si>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</si>
  <si>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</si>
  <si>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</si>
  <si>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</si>
  <si>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</si>
  <si>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</si>
  <si>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</si>
  <si>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</si>
  <si>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</si>
  <si>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</si>
  <si>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</si>
  <si>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</si>
  <si>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</si>
  <si>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</si>
  <si>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</si>
  <si>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</si>
  <si>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</si>
  <si>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</si>
  <si>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</si>
  <si>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</si>
  <si>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</si>
  <si>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</si>
  <si>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</si>
  <si>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</si>
  <si>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</si>
  <si>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</si>
  <si>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</si>
  <si>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</si>
  <si>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</si>
  <si>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</si>
  <si>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</si>
  <si>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</si>
  <si>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</si>
  <si>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</si>
  <si>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</si>
  <si>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</si>
  <si>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</si>
  <si>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</si>
  <si>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</si>
  <si>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</si>
  <si>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</si>
  <si>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</si>
  <si>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</si>
  <si>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</si>
  <si>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</si>
  <si>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</si>
  <si>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</si>
  <si>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</si>
  <si>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</si>
  <si>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</si>
  <si>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</si>
  <si>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</si>
  <si>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</si>
  <si>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</si>
  <si>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</si>
  <si>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</si>
  <si>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</si>
  <si>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</si>
  <si>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</si>
  <si>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</si>
  <si>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</si>
  <si>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</si>
  <si>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</si>
  <si>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</si>
  <si>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</si>
  <si>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</si>
  <si>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</si>
  <si>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</si>
  <si>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</si>
  <si>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</si>
  <si>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</si>
  <si>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</si>
  <si>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</si>
  <si>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</si>
  <si>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</si>
  <si>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</si>
  <si>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</si>
  <si>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</si>
  <si>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</si>
  <si>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</si>
  <si>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</si>
  <si>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</si>
  <si>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</si>
  <si>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</si>
  <si>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</si>
  <si>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</si>
  <si>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</si>
  <si>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</si>
  <si>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</si>
  <si>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</si>
  <si>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</si>
  <si>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</si>
  <si>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</si>
  <si>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</si>
  <si>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</si>
  <si>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</si>
  <si>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</si>
  <si>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</si>
  <si>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</si>
  <si>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</si>
  <si>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</si>
  <si>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</si>
  <si>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</si>
  <si>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</si>
  <si>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</si>
  <si>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</si>
  <si>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</si>
  <si>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</si>
  <si>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</si>
  <si>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</si>
  <si>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</si>
  <si>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</si>
  <si>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</si>
  <si>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</si>
  <si>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</si>
  <si>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</si>
  <si>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</si>
  <si>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</si>
  <si>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</si>
  <si>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</si>
  <si>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</si>
  <si>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</si>
  <si>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</si>
  <si>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</si>
  <si>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</si>
  <si>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</si>
  <si>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</si>
  <si>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</si>
  <si>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</si>
  <si>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</si>
  <si>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</si>
  <si>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</si>
  <si>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</si>
  <si>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</si>
  <si>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</si>
  <si>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</si>
  <si>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</si>
  <si>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</si>
  <si>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</si>
  <si>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</si>
  <si>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</si>
  <si>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</si>
  <si>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</si>
  <si>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</si>
  <si>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</si>
  <si>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</si>
  <si>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</si>
  <si>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</si>
  <si>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</si>
  <si>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</si>
  <si>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</si>
  <si>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</si>
  <si>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</si>
  <si>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</si>
  <si>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</si>
  <si>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</si>
  <si>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</si>
  <si>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</si>
  <si>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</si>
  <si>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</si>
  <si>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</si>
  <si>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</si>
  <si>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</si>
  <si>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</si>
  <si>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</si>
  <si>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</si>
  <si>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</si>
  <si>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</si>
  <si>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</si>
  <si>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</si>
  <si>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</si>
  <si>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</si>
  <si>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</si>
  <si>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</si>
  <si>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</si>
  <si>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</si>
  <si>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</si>
  <si>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</si>
  <si>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</si>
  <si>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</si>
  <si>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</si>
  <si>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</si>
  <si>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</si>
  <si>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</si>
  <si>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</si>
  <si>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</si>
  <si>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</si>
  <si>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</si>
  <si>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</si>
  <si>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</si>
  <si>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</si>
  <si>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</si>
  <si>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</si>
  <si>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</si>
  <si>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</si>
  <si>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</si>
  <si>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</si>
  <si>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</si>
  <si>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</si>
  <si>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</si>
  <si>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</si>
  <si>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</si>
  <si>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</si>
  <si>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</si>
  <si>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</si>
  <si>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</si>
  <si>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</si>
  <si>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</si>
  <si>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</si>
  <si>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</si>
  <si>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</si>
  <si>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</si>
  <si>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</si>
  <si>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</si>
  <si>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</si>
  <si>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</si>
  <si>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</si>
  <si>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</si>
  <si>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</si>
  <si>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</si>
  <si>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</si>
  <si>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</si>
  <si>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</si>
  <si>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</si>
  <si>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</si>
  <si>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</si>
  <si>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</si>
  <si>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</si>
  <si>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</si>
  <si>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</si>
  <si>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</si>
  <si>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</si>
  <si>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</si>
  <si>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</si>
  <si>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</si>
  <si>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</si>
  <si>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</si>
  <si>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</si>
  <si>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</si>
  <si>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</si>
  <si>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</si>
  <si>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</si>
  <si>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</si>
  <si>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</si>
  <si>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</si>
  <si>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</si>
  <si>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</si>
  <si>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</si>
  <si>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</si>
  <si>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</si>
  <si>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</si>
  <si>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</si>
  <si>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</si>
  <si>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</si>
  <si>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</si>
  <si>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</si>
  <si>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</si>
  <si>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</si>
  <si>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</si>
  <si>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</si>
  <si>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</si>
  <si>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</si>
  <si>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</si>
  <si>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</si>
  <si>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</si>
  <si>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</si>
  <si>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</si>
  <si>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</si>
  <si>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</si>
  <si>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</si>
  <si>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</si>
  <si>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</si>
  <si>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</si>
  <si>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</si>
  <si>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</si>
  <si>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</si>
  <si>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</si>
  <si>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</si>
  <si>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</si>
  <si>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</si>
  <si>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</si>
  <si>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</si>
  <si>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</si>
  <si>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</si>
  <si>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</si>
  <si>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</si>
  <si>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</si>
  <si>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</si>
  <si>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</si>
  <si>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</si>
  <si>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</si>
  <si>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</si>
  <si>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</si>
  <si>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</si>
  <si>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</si>
  <si>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</si>
  <si>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</si>
  <si>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</si>
  <si>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</si>
  <si>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</si>
  <si>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</si>
  <si>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</si>
  <si>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</si>
  <si>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</si>
  <si>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</si>
  <si>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</si>
  <si>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</si>
  <si>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</si>
  <si>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</si>
  <si>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</si>
  <si>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</si>
  <si>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</si>
  <si>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</si>
  <si>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</si>
  <si>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</si>
  <si>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</si>
  <si>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</si>
  <si>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</si>
  <si>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</si>
  <si>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</si>
  <si>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</si>
  <si>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</si>
  <si>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</si>
  <si>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</si>
  <si>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</si>
  <si>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</si>
  <si>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</si>
  <si>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</si>
  <si>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</si>
  <si>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</si>
  <si>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</si>
  <si>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</si>
  <si>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</si>
  <si>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</si>
  <si>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</si>
  <si>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</si>
  <si>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</si>
  <si>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</si>
  <si>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</si>
  <si>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</si>
  <si>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</si>
  <si>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</si>
  <si>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</si>
  <si>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</si>
  <si>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</si>
  <si>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</si>
  <si>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</si>
  <si>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</si>
  <si>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</si>
  <si>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</si>
  <si>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</si>
  <si>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</si>
  <si>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</si>
  <si>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</si>
  <si>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</si>
  <si>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</si>
  <si>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</si>
  <si>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</si>
  <si>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</si>
  <si>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</si>
  <si>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</si>
  <si>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</si>
  <si>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</si>
  <si>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</si>
  <si>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</si>
  <si>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</si>
  <si>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</si>
  <si>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</si>
  <si>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</si>
  <si>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</si>
  <si>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</si>
  <si>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</si>
  <si>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</si>
  <si>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</si>
  <si>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</si>
  <si>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</si>
  <si>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</si>
  <si>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</si>
  <si>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</si>
  <si>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</si>
  <si>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</si>
  <si>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</si>
  <si>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</si>
  <si>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</si>
  <si>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</si>
  <si>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</si>
  <si>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</si>
  <si>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</si>
  <si>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</si>
  <si>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</si>
  <si>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</si>
  <si>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</si>
  <si>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</si>
  <si>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</si>
  <si>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</si>
  <si>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</si>
  <si>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</si>
  <si>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</si>
  <si>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</si>
  <si>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</si>
  <si>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</si>
  <si>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</si>
  <si>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</si>
  <si>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</si>
  <si>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</si>
  <si>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</si>
  <si>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</si>
  <si>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</si>
  <si>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</si>
  <si>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</si>
  <si>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</si>
  <si>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</si>
  <si>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</si>
  <si>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</si>
  <si>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</si>
  <si>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</si>
  <si>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</si>
  <si>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</si>
  <si>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</si>
  <si>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</si>
  <si>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</si>
  <si>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</si>
  <si>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</si>
  <si>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</si>
  <si>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</si>
  <si>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</si>
  <si>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</si>
  <si>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</si>
  <si>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</si>
  <si>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</si>
  <si>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</si>
  <si>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</si>
  <si>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</si>
  <si>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</si>
  <si>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</si>
  <si>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</si>
  <si>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</si>
  <si>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</si>
  <si>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</si>
  <si>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</si>
  <si>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</si>
  <si>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</si>
  <si>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</si>
  <si>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</si>
  <si>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</si>
  <si>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</si>
  <si>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</si>
  <si>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</si>
  <si>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</si>
  <si>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</si>
  <si>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</si>
  <si>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</si>
  <si>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</si>
  <si>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</si>
  <si>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</si>
  <si>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</si>
  <si>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</si>
  <si>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</si>
  <si>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</si>
  <si>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</si>
  <si>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</si>
  <si>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</si>
  <si>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</si>
  <si>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</si>
  <si>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</si>
  <si>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</si>
  <si>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</si>
  <si>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</si>
  <si>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</si>
  <si>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</si>
  <si>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</si>
  <si>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</si>
  <si>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</si>
  <si>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</si>
  <si>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</si>
  <si>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</si>
  <si>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</si>
  <si>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</si>
  <si>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</si>
  <si>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</si>
  <si>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</si>
  <si>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</si>
  <si>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</si>
  <si>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</si>
  <si>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</si>
  <si>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</si>
  <si>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</si>
  <si>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</si>
  <si>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</si>
  <si>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</si>
  <si>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</si>
  <si>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</si>
  <si>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</si>
  <si>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</si>
  <si>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</si>
  <si>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</si>
  <si>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</si>
  <si>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</si>
  <si>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</si>
  <si>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</si>
  <si>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</si>
  <si>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</si>
  <si>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</si>
  <si>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</si>
  <si>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</si>
  <si>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</si>
  <si>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</si>
  <si>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</si>
  <si>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</si>
  <si>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</si>
  <si>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</si>
  <si>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</si>
  <si>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</si>
  <si>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</si>
  <si>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</si>
  <si>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</si>
  <si>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</si>
  <si>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</si>
  <si>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</si>
  <si>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</si>
  <si>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</si>
  <si>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</si>
  <si>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</si>
  <si>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</si>
  <si>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</si>
  <si>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</si>
  <si>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</si>
  <si>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</si>
  <si>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</si>
  <si>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</si>
  <si>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</si>
  <si>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</si>
  <si>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</si>
  <si>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</si>
  <si>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</si>
  <si>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</si>
  <si>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</si>
  <si>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</si>
  <si>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</si>
  <si>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</si>
  <si>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</si>
  <si>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</si>
  <si>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</si>
  <si>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</si>
  <si>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</si>
  <si>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</si>
  <si>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</si>
  <si>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</si>
  <si>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</si>
  <si>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</si>
  <si>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</si>
  <si>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</si>
  <si>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</si>
  <si>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</si>
  <si>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</si>
  <si>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</si>
  <si>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</si>
  <si>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</si>
  <si>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</si>
  <si>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</si>
  <si>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</si>
  <si>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</si>
  <si>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</si>
  <si>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</si>
  <si>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</si>
  <si>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</si>
  <si>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</si>
  <si>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</si>
  <si>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</si>
  <si>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</si>
  <si>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</si>
  <si>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</si>
  <si>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</si>
  <si>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</si>
  <si>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</si>
  <si>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</si>
  <si>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</si>
  <si>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</si>
  <si>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</si>
  <si>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</si>
  <si>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</si>
  <si>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</si>
  <si>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</si>
  <si>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</si>
  <si>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</si>
  <si>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</si>
  <si>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</si>
  <si>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</si>
  <si>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</si>
  <si>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</si>
  <si>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</si>
  <si>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</si>
  <si>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</si>
  <si>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</si>
  <si>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</si>
  <si>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</si>
  <si>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</si>
  <si>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</si>
  <si>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</si>
  <si>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</si>
  <si>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</si>
  <si>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</si>
  <si>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</si>
  <si>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</si>
  <si>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</si>
  <si>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</si>
  <si>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</si>
  <si>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</si>
  <si>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</si>
  <si>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</si>
  <si>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</si>
  <si>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</si>
  <si>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</si>
  <si>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</si>
  <si>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</si>
  <si>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</si>
  <si>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</si>
  <si>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</si>
  <si>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</si>
  <si>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</si>
  <si>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</si>
  <si>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</si>
  <si>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</si>
  <si>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</si>
  <si>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</si>
  <si>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</si>
  <si>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</si>
  <si>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</si>
  <si>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</si>
  <si>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</si>
  <si>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</si>
  <si>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</si>
  <si>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</si>
  <si>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</si>
  <si>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</si>
  <si>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</si>
  <si>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</si>
  <si>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</si>
  <si>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</si>
  <si>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</si>
  <si>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</si>
  <si>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</si>
  <si>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</si>
  <si>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</si>
  <si>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</si>
  <si>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</si>
  <si>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</si>
  <si>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</si>
  <si>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</si>
  <si>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</si>
  <si>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</si>
  <si>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</si>
  <si>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</si>
  <si>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</si>
  <si>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</si>
  <si>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</si>
  <si>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</si>
  <si>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</si>
  <si>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</si>
  <si>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</si>
  <si>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</si>
  <si>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</si>
  <si>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</si>
  <si>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</si>
  <si>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</si>
  <si>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</si>
  <si>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</si>
  <si>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</si>
  <si>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</si>
  <si>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</si>
  <si>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</si>
  <si>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</si>
  <si>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</si>
  <si>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</si>
  <si>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</si>
  <si>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</si>
  <si>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</si>
  <si>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</si>
  <si>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</si>
  <si>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</si>
  <si>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</si>
  <si>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</si>
  <si>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</si>
  <si>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</si>
  <si>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</si>
  <si>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</si>
  <si>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</si>
  <si>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</si>
  <si>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</si>
  <si>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</si>
  <si>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</si>
  <si>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</si>
  <si>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</si>
  <si>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</si>
  <si>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</si>
  <si>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</si>
  <si>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</si>
  <si>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</si>
  <si>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</si>
  <si>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</si>
  <si>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</si>
  <si>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</si>
  <si>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</si>
  <si>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</si>
  <si>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</si>
  <si>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</si>
  <si>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</si>
  <si>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</si>
  <si>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</si>
  <si>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</si>
  <si>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</si>
  <si>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</si>
  <si>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</si>
  <si>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</si>
  <si>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</si>
  <si>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</si>
  <si>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</si>
  <si>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</si>
  <si>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</si>
  <si>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</si>
  <si>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</si>
  <si>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</si>
  <si>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</si>
  <si>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</si>
  <si>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</si>
  <si>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</si>
  <si>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</si>
  <si>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</si>
  <si>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</si>
  <si>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</si>
  <si>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</si>
  <si>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</si>
  <si>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</si>
  <si>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</si>
  <si>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</si>
  <si>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</si>
  <si>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</si>
  <si>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</si>
  <si>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</si>
  <si>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</si>
  <si>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</si>
  <si>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</si>
  <si>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</si>
  <si>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</si>
  <si>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</si>
  <si>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</si>
  <si>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</si>
  <si>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</si>
  <si>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</si>
  <si>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</si>
  <si>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</si>
  <si>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</si>
  <si>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</si>
  <si>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</si>
  <si>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</si>
  <si>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</si>
  <si>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</si>
  <si>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</si>
  <si>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</si>
  <si>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</si>
  <si>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</si>
  <si>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</si>
  <si>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</si>
  <si>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</si>
  <si>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</si>
  <si>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</si>
  <si>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</si>
  <si>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</si>
  <si>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</si>
  <si>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</si>
  <si>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</si>
  <si>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</si>
  <si>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</si>
  <si>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</si>
  <si>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</si>
  <si>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</si>
  <si>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</si>
  <si>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</si>
  <si>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</si>
  <si>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</si>
  <si>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</si>
  <si>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</si>
  <si>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</si>
  <si>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</si>
  <si>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</si>
  <si>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</si>
  <si>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</si>
  <si>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</si>
  <si>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</si>
  <si>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</si>
  <si>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</si>
  <si>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</si>
  <si>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</si>
  <si>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</si>
  <si>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</si>
  <si>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</si>
  <si>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</si>
  <si>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</si>
  <si>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</si>
  <si>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</si>
  <si>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</si>
  <si>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</si>
  <si>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</si>
  <si>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</si>
  <si>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</si>
  <si>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</si>
  <si>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</si>
  <si>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</si>
  <si>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</si>
  <si>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</si>
  <si>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</si>
  <si>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</si>
  <si>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</si>
  <si>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</si>
  <si>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</si>
  <si>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</si>
  <si>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</si>
  <si>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</si>
  <si>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</si>
  <si>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</si>
  <si>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</si>
  <si>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</si>
  <si>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</si>
  <si>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</si>
  <si>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</si>
  <si>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</si>
  <si>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</si>
  <si>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</si>
  <si>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</si>
  <si>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</si>
  <si>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</si>
  <si>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</si>
  <si>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</si>
  <si>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</si>
  <si>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</si>
  <si>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</si>
  <si>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</si>
  <si>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</si>
  <si>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</si>
  <si>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</si>
  <si>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</si>
  <si>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</si>
  <si>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</si>
  <si>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</si>
  <si>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</si>
  <si>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</si>
  <si>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</si>
  <si>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</si>
  <si>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</si>
  <si>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</si>
  <si>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</si>
  <si>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</si>
  <si>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</si>
  <si>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</si>
  <si>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</si>
  <si>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</si>
  <si>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</si>
  <si>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</si>
  <si>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</si>
  <si>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</si>
  <si>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</si>
  <si>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</si>
  <si>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</si>
  <si>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</si>
  <si>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</si>
  <si>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</si>
  <si>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</si>
  <si>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</si>
  <si>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</si>
  <si>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</si>
  <si>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</si>
  <si>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</si>
  <si>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</si>
  <si>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</si>
  <si>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</si>
  <si>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</si>
  <si>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</si>
  <si>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</si>
  <si>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</si>
  <si>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</si>
  <si>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</si>
  <si>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</si>
  <si>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</si>
  <si>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</si>
  <si>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</si>
  <si>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</si>
  <si>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</si>
  <si>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</si>
  <si>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</si>
  <si>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</si>
  <si>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</si>
  <si>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</si>
  <si>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</si>
  <si>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</si>
  <si>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</si>
  <si>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</si>
  <si>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</si>
  <si>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</si>
  <si>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</si>
  <si>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</si>
  <si>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</si>
  <si>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</si>
  <si>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</si>
  <si>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</si>
  <si>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</si>
  <si>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</si>
  <si>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</si>
  <si>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</si>
  <si>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</si>
  <si>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</si>
  <si>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</si>
  <si>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</si>
  <si>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</si>
  <si>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</si>
  <si>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</si>
  <si>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</si>
  <si>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</si>
  <si>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</si>
  <si>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</si>
  <si>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</si>
  <si>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</si>
  <si>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</si>
  <si>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</si>
  <si>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</si>
  <si>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</si>
  <si>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</si>
  <si>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</si>
  <si>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</si>
  <si>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</si>
  <si>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</si>
  <si>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</si>
  <si>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</si>
  <si>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</si>
  <si>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</si>
  <si>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</si>
  <si>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</si>
  <si>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</si>
  <si>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</si>
  <si>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</si>
  <si>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</si>
  <si>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</si>
  <si>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</si>
  <si>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</si>
  <si>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</si>
  <si>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</si>
  <si>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</si>
  <si>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</si>
  <si>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</si>
  <si>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</si>
  <si>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</si>
  <si>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</si>
  <si>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</si>
  <si>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</si>
  <si>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</si>
  <si>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</si>
  <si>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</si>
  <si>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</si>
  <si>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</si>
  <si>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</si>
  <si>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</si>
  <si>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</si>
  <si>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</si>
  <si>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</si>
  <si>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</si>
  <si>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</si>
  <si>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</si>
  <si>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</si>
  <si>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</si>
  <si>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</si>
  <si>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</si>
  <si>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</si>
  <si>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</si>
  <si>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</si>
  <si>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</si>
  <si>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</si>
  <si>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</si>
  <si>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</si>
  <si>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</si>
  <si>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</si>
  <si>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</si>
  <si>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</si>
  <si>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</si>
  <si>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</si>
  <si>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</si>
  <si>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</si>
  <si>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</si>
  <si>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</si>
  <si>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</si>
  <si>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</si>
  <si>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</si>
  <si>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</si>
  <si>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</si>
  <si>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</si>
  <si>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</si>
  <si>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</si>
  <si>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</si>
  <si>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</si>
  <si>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</si>
  <si>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</si>
  <si>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</si>
  <si>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</si>
  <si>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</si>
  <si>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</si>
  <si>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</si>
  <si>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</si>
  <si>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</si>
  <si>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</si>
  <si>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</si>
  <si>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</si>
  <si>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</si>
  <si>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</si>
  <si>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</si>
  <si>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</si>
  <si>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</si>
  <si>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</si>
  <si>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</si>
  <si>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</si>
  <si>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</si>
  <si>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</si>
  <si>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</si>
  <si>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</si>
  <si>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</si>
  <si>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</si>
  <si>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</si>
  <si>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</si>
  <si>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</si>
  <si>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</si>
  <si>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</si>
  <si>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</si>
  <si>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</si>
  <si>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</si>
  <si>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</si>
  <si>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</si>
  <si>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</si>
  <si>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</si>
  <si>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</si>
  <si>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</si>
  <si>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</si>
  <si>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</si>
  <si>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</si>
  <si>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</si>
  <si>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</si>
  <si>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</si>
  <si>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</si>
  <si>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</si>
  <si>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</si>
  <si>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</si>
  <si>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</si>
  <si>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</si>
  <si>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</si>
  <si>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</si>
  <si>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</si>
  <si>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</si>
  <si>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</si>
  <si>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</si>
  <si>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</si>
  <si>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</si>
  <si>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</si>
  <si>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</si>
  <si>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</si>
  <si>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</si>
  <si>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</si>
  <si>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</si>
  <si>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</si>
  <si>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</si>
  <si>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</si>
  <si>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</si>
  <si>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</si>
  <si>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</si>
  <si>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</si>
  <si>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</si>
  <si>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</si>
  <si>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</si>
  <si>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</si>
  <si>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</si>
  <si>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</si>
  <si>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</si>
  <si>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</si>
  <si>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</si>
  <si>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</si>
  <si>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</si>
  <si>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</si>
  <si>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</si>
  <si>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</si>
  <si>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</si>
  <si>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</si>
  <si>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</si>
  <si>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</si>
  <si>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</si>
  <si>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</si>
  <si>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</si>
  <si>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</si>
  <si>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</si>
  <si>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</si>
  <si>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</si>
  <si>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</si>
  <si>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</si>
  <si>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</si>
  <si>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</si>
  <si>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</si>
  <si>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</si>
  <si>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</si>
  <si>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</si>
  <si>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</si>
  <si>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</si>
  <si>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</si>
  <si>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</si>
  <si>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</si>
  <si>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</si>
  <si>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</si>
  <si>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</si>
  <si>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</si>
  <si>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</si>
  <si>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</si>
  <si>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</si>
  <si>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</si>
  <si>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</si>
  <si>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</si>
  <si>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</si>
  <si>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</si>
  <si>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</si>
  <si>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</si>
  <si>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</si>
  <si>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</si>
  <si>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</si>
  <si>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</si>
  <si>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</si>
  <si>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</si>
  <si>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</si>
  <si>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</si>
  <si>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</si>
  <si>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</si>
  <si>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</si>
  <si>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</si>
  <si>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</si>
  <si>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</si>
  <si>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</si>
  <si>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</si>
  <si>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</si>
  <si>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</si>
  <si>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</si>
  <si>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</si>
  <si>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</si>
  <si>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</si>
  <si>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</si>
  <si>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</si>
  <si>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</si>
  <si>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</si>
  <si>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</si>
  <si>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</si>
  <si>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</si>
  <si>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</si>
  <si>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</si>
  <si>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</si>
  <si>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</si>
  <si>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</si>
  <si>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</si>
  <si>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</si>
  <si>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</si>
  <si>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</si>
  <si>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</si>
  <si>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</si>
  <si>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</si>
  <si>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</si>
  <si>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</si>
  <si>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</si>
  <si>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</si>
  <si>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</si>
  <si>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</si>
  <si>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</si>
  <si>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</si>
  <si>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</si>
  <si>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</si>
  <si>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</si>
  <si>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</si>
  <si>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</si>
  <si>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</si>
  <si>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</si>
  <si>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</si>
  <si>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</si>
  <si>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</si>
  <si>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</si>
  <si>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</si>
  <si>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</si>
  <si>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</si>
  <si>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</si>
  <si>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</si>
  <si>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</si>
  <si>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</si>
  <si>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</si>
  <si>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</si>
  <si>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</si>
  <si>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</si>
  <si>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</si>
  <si>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</si>
  <si>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</si>
  <si>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</si>
  <si>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</si>
  <si>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</si>
  <si>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</si>
  <si>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</si>
  <si>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</si>
  <si>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</si>
  <si>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</si>
  <si>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</si>
  <si>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</si>
  <si>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</si>
  <si>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</si>
  <si>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</si>
  <si>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</si>
  <si>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</si>
  <si>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</si>
  <si>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</si>
  <si>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</si>
  <si>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</si>
  <si>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</si>
  <si>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</si>
  <si>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</si>
  <si>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</si>
  <si>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</si>
  <si>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</si>
  <si>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</si>
  <si>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</si>
  <si>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</si>
  <si>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</si>
  <si>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</si>
  <si>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</si>
  <si>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</si>
  <si>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</si>
  <si>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</si>
  <si>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</si>
  <si>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</si>
  <si>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</si>
  <si>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</si>
  <si>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</si>
  <si>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</si>
  <si>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</si>
  <si>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</si>
  <si>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</si>
  <si>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</si>
  <si>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</si>
  <si>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</si>
  <si>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</si>
  <si>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</si>
  <si>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</si>
  <si>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</si>
  <si>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</si>
  <si>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</si>
  <si>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</si>
  <si>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</si>
  <si>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</si>
  <si>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</si>
  <si>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</si>
  <si>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</si>
  <si>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</si>
  <si>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</si>
  <si>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</si>
  <si>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</si>
  <si>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</si>
  <si>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</si>
  <si>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</si>
  <si>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</si>
  <si>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</si>
  <si>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</si>
  <si>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</si>
  <si>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</si>
  <si>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</si>
  <si>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</si>
  <si>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</si>
  <si>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</si>
  <si>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</si>
  <si>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</si>
  <si>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</si>
  <si>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</si>
  <si>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</si>
  <si>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</si>
  <si>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</si>
  <si>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</si>
  <si>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</si>
  <si>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</si>
  <si>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</si>
  <si>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</si>
  <si>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</si>
  <si>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</si>
  <si>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</si>
  <si>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</si>
  <si>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</si>
  <si>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</si>
  <si>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</si>
  <si>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</si>
  <si>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</si>
  <si>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</si>
  <si>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</si>
  <si>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</si>
  <si>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</si>
  <si>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</si>
  <si>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</si>
  <si>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</si>
  <si>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</si>
  <si>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</si>
  <si>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</si>
  <si>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</si>
  <si>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</si>
  <si>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</si>
  <si>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</si>
  <si>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</si>
  <si>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</si>
  <si>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</si>
  <si>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</si>
  <si>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</si>
  <si>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</si>
  <si>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</si>
  <si>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</si>
  <si>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</si>
  <si>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</si>
  <si>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</si>
  <si>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</si>
  <si>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</si>
  <si>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</si>
  <si>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</si>
  <si>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</si>
  <si>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</si>
  <si>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</si>
  <si>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</si>
  <si>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</si>
  <si>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</si>
  <si>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</si>
  <si>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</si>
  <si>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</si>
  <si>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</si>
  <si>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</si>
  <si>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</si>
  <si>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</si>
  <si>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</si>
  <si>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</si>
  <si>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</si>
  <si>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</si>
  <si>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</si>
  <si>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</si>
  <si>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</si>
  <si>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</si>
  <si>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</si>
  <si>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</si>
  <si>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</si>
  <si>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</si>
  <si>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</si>
  <si>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</si>
  <si>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</si>
  <si>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</si>
  <si>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</si>
  <si>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</si>
  <si>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</si>
  <si>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</si>
  <si>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</si>
  <si>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</si>
  <si>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</si>
  <si>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</si>
  <si>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</si>
  <si>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</si>
  <si>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</si>
  <si>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</si>
  <si>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</si>
  <si>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</si>
  <si>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</si>
  <si>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</si>
  <si>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</si>
  <si>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</si>
  <si>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</si>
  <si>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</si>
  <si>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</si>
  <si>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</si>
  <si>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</si>
  <si>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</si>
  <si>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</si>
  <si>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</si>
  <si>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</si>
  <si>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</si>
  <si>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</si>
  <si>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</si>
  <si>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</si>
  <si>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</si>
  <si>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</si>
  <si>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</si>
  <si>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</si>
  <si>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</si>
  <si>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</si>
  <si>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</si>
  <si>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</si>
  <si>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</si>
  <si>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</si>
  <si>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</si>
  <si>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</si>
  <si>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</si>
  <si>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</si>
  <si>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</si>
  <si>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</si>
  <si>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</si>
  <si>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</si>
  <si>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</si>
  <si>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</si>
  <si>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</si>
  <si>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</si>
  <si>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</si>
  <si>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</si>
  <si>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</si>
  <si>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</si>
  <si>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</si>
  <si>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</si>
  <si>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</si>
  <si>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</si>
  <si>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</si>
  <si>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</si>
  <si>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</si>
  <si>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</si>
  <si>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</si>
  <si>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</si>
  <si>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</si>
  <si>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</si>
  <si>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</si>
  <si>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</si>
  <si>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</si>
  <si>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</si>
  <si>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</si>
  <si>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</si>
  <si>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</si>
  <si>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</si>
  <si>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</si>
  <si>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</si>
  <si>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</si>
  <si>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</si>
  <si>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</si>
  <si>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</si>
  <si>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</si>
  <si>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</si>
  <si>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</si>
  <si>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</si>
  <si>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</si>
  <si>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</si>
  <si>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</si>
  <si>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</si>
  <si>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</si>
  <si>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</si>
  <si>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</si>
  <si>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</si>
  <si>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</si>
  <si>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</si>
  <si>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</si>
  <si>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</si>
  <si>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</si>
  <si>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</si>
  <si>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</si>
  <si>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</si>
  <si>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</si>
  <si>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</si>
  <si>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</si>
  <si>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</si>
  <si>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</si>
  <si>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</si>
  <si>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</si>
  <si>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</si>
  <si>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</si>
  <si>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</si>
  <si>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</si>
  <si>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</si>
  <si>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</si>
  <si>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</si>
  <si>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</si>
  <si>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</si>
  <si>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</si>
  <si>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</si>
  <si>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</si>
  <si>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</si>
  <si>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</si>
  <si>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</si>
  <si>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</si>
  <si>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</si>
  <si>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</si>
  <si>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</si>
  <si>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</si>
  <si>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</si>
  <si>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</si>
  <si>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</si>
  <si>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</si>
  <si>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</si>
  <si>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</si>
  <si>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</si>
  <si>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</si>
  <si>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</si>
  <si>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</si>
  <si>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</si>
  <si>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</si>
  <si>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</si>
  <si>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</si>
  <si>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</si>
  <si>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</si>
  <si>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</si>
  <si>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</si>
  <si>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</si>
  <si>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</si>
  <si>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</si>
  <si>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</si>
  <si>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</si>
  <si>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</si>
  <si>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</si>
  <si>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</si>
  <si>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</si>
  <si>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</si>
  <si>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</si>
  <si>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</si>
  <si>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</si>
  <si>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</si>
  <si>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</si>
  <si>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</si>
  <si>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</si>
  <si>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</si>
  <si>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</si>
  <si>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</si>
  <si>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</si>
  <si>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</si>
  <si>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</si>
  <si>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</si>
  <si>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</si>
  <si>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</si>
  <si>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</si>
  <si>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</si>
  <si>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</si>
  <si>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</si>
  <si>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</si>
  <si>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</si>
  <si>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</si>
  <si>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</si>
  <si>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</si>
  <si>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</si>
  <si>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</si>
  <si>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</si>
  <si>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</si>
  <si>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</si>
  <si>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</si>
  <si>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</si>
  <si>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</si>
  <si>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</si>
  <si>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</si>
  <si>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</si>
  <si>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</si>
  <si>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</si>
  <si>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</si>
  <si>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</si>
  <si>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</si>
  <si>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</si>
  <si>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</si>
  <si>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</si>
  <si>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</si>
  <si>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</si>
  <si>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</si>
  <si>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</si>
  <si>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</si>
  <si>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</si>
  <si>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</si>
  <si>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</si>
  <si>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</si>
  <si>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</si>
  <si>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</si>
  <si>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</si>
  <si>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</si>
  <si>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</si>
  <si>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</si>
  <si>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</si>
  <si>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</si>
  <si>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</si>
  <si>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</si>
  <si>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</si>
  <si>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</si>
  <si>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</si>
  <si>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</si>
  <si>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</si>
  <si>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</si>
  <si>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</si>
  <si>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</si>
  <si>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</si>
  <si>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</si>
  <si>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</si>
  <si>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</si>
  <si>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</si>
  <si>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</si>
  <si>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</si>
  <si>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</si>
  <si>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</si>
  <si>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</si>
  <si>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</si>
  <si>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</si>
  <si>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</si>
  <si>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</si>
  <si>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</si>
  <si>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</si>
  <si>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</si>
  <si>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</si>
  <si>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</si>
  <si>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</si>
  <si>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</si>
  <si>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</si>
  <si>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</si>
  <si>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</si>
  <si>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</si>
  <si>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</si>
  <si>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</si>
  <si>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</si>
  <si>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</si>
  <si>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</si>
  <si>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</si>
  <si>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</si>
  <si>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</si>
  <si>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</si>
  <si>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</si>
  <si>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</si>
  <si>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</si>
  <si>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</si>
  <si>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</si>
  <si>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</si>
  <si>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</si>
  <si>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</si>
  <si>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</si>
  <si>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</si>
  <si>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</si>
  <si>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</si>
  <si>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</si>
  <si>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</si>
  <si>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</si>
  <si>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</si>
  <si>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</si>
  <si>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</si>
  <si>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</si>
  <si>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</si>
  <si>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</si>
  <si>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</si>
  <si>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</si>
  <si>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</si>
  <si>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</si>
  <si>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</si>
  <si>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</si>
  <si>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</si>
  <si>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</si>
  <si>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</si>
  <si>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</si>
  <si>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</si>
  <si>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</si>
  <si>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</si>
  <si>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</si>
  <si>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</si>
  <si>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</si>
  <si>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</si>
  <si>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</si>
  <si>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</si>
  <si>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</si>
  <si>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</si>
  <si>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</si>
  <si>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</si>
  <si>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</si>
  <si>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</si>
  <si>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</si>
  <si>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</si>
  <si>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</si>
  <si>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</si>
  <si>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</si>
  <si>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</si>
  <si>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</si>
  <si>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</si>
  <si>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</si>
  <si>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</si>
  <si>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</si>
  <si>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</si>
  <si>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</si>
  <si>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</si>
  <si>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</si>
  <si>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</si>
  <si>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</si>
  <si>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</si>
  <si>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</si>
  <si>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</si>
  <si>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</si>
  <si>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</si>
  <si>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</si>
  <si>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</si>
  <si>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</si>
  <si>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</si>
  <si>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</si>
  <si>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</si>
  <si>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</si>
  <si>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</si>
  <si>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</si>
  <si>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</si>
  <si>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</si>
  <si>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</si>
  <si>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</si>
  <si>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</si>
  <si>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</si>
  <si>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</si>
  <si>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</si>
  <si>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</si>
  <si>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</si>
  <si>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</si>
  <si>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</si>
  <si>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</si>
  <si>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</si>
  <si>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</si>
  <si>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</si>
  <si>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</si>
  <si>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</si>
  <si>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</si>
  <si>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</si>
  <si>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</si>
  <si>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</si>
  <si>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</si>
  <si>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</si>
  <si>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</si>
  <si>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</si>
  <si>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</si>
  <si>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</si>
  <si>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</si>
  <si>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</si>
  <si>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</si>
  <si>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</si>
  <si>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</si>
  <si>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</si>
  <si>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</si>
  <si>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</si>
  <si>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</si>
  <si>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</si>
  <si>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</si>
  <si>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</si>
  <si>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</si>
  <si>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</si>
  <si>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</si>
  <si>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</si>
  <si>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</si>
  <si>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</si>
  <si>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</si>
  <si>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</si>
  <si>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</si>
  <si>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</si>
  <si>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</si>
  <si>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</si>
  <si>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</si>
  <si>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</si>
  <si>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</si>
  <si>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</si>
  <si>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</si>
  <si>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</si>
  <si>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</si>
  <si>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</si>
  <si>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</si>
  <si>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</si>
  <si>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</si>
  <si>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</si>
  <si>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</si>
  <si>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</si>
  <si>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</si>
  <si>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</si>
  <si>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</si>
  <si>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</si>
  <si>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</si>
  <si>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</si>
  <si>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</si>
  <si>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</si>
  <si>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</si>
  <si>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</si>
  <si>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</si>
  <si>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</si>
  <si>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</si>
  <si>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</si>
  <si>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</si>
  <si>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</si>
  <si>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</si>
  <si>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</si>
  <si>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</si>
  <si>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</si>
  <si>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</si>
  <si>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</si>
  <si>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</si>
  <si>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</si>
  <si>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</si>
  <si>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</si>
  <si>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</si>
  <si>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</si>
  <si>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</si>
  <si>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</si>
  <si>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</si>
  <si>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</si>
  <si>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</si>
  <si>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</si>
  <si>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</si>
  <si>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</si>
  <si>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</si>
  <si>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</si>
  <si>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</si>
  <si>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</si>
  <si>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</si>
  <si>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</si>
  <si>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</si>
  <si>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</si>
  <si>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</si>
  <si>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</si>
  <si>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</si>
  <si>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</si>
  <si>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</si>
  <si>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</si>
  <si>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</si>
  <si>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</si>
  <si>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</si>
  <si>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</si>
  <si>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</si>
  <si>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</si>
  <si>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</si>
  <si>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</si>
  <si>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</si>
  <si>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</si>
  <si>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</si>
  <si>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</si>
  <si>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</si>
  <si>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</si>
  <si>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</si>
  <si>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</si>
  <si>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</si>
  <si>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</si>
  <si>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</si>
  <si>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</si>
  <si>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</si>
  <si>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</si>
  <si>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</si>
  <si>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</si>
  <si>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</si>
  <si>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</si>
  <si>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</si>
  <si>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</si>
  <si>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</si>
  <si>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</si>
  <si>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</si>
  <si>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</si>
  <si>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</si>
  <si>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</si>
  <si>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</si>
  <si>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</si>
  <si>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</si>
  <si>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</si>
  <si>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</si>
  <si>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</si>
  <si>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</si>
  <si>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</si>
  <si>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</si>
  <si>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</si>
  <si>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</si>
  <si>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</si>
  <si>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</si>
  <si>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</si>
  <si>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</si>
  <si>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</si>
  <si>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</si>
  <si>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</si>
  <si>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</si>
  <si>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</si>
  <si>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</si>
  <si>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</si>
  <si>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</si>
  <si>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</si>
  <si>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</si>
  <si>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</si>
  <si>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</si>
  <si>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</si>
  <si>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</si>
  <si>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</si>
  <si>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</si>
  <si>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</si>
  <si>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</si>
  <si>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</si>
  <si>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</si>
  <si>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</si>
  <si>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</si>
  <si>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</si>
  <si>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</si>
  <si>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</si>
  <si>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</si>
  <si>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</si>
  <si>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</si>
  <si>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</si>
  <si>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</si>
  <si>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</si>
  <si>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</si>
  <si>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</si>
  <si>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</si>
  <si>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</si>
  <si>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</si>
  <si>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</si>
  <si>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</si>
  <si>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</si>
  <si>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</si>
  <si>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</si>
  <si>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</si>
  <si>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</si>
  <si>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</si>
  <si>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</si>
  <si>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</si>
  <si>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</si>
  <si>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</si>
  <si>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</si>
  <si>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</si>
  <si>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</si>
  <si>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</si>
  <si>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</si>
  <si>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</si>
  <si>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</si>
  <si>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</si>
  <si>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</si>
  <si>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</si>
  <si>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</si>
  <si>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</si>
  <si>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</si>
  <si>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</si>
  <si>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</si>
  <si>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</si>
  <si>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</si>
  <si>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</si>
  <si>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</si>
  <si>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</si>
  <si>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</si>
  <si>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</si>
  <si>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</si>
  <si>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</si>
  <si>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</si>
  <si>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</si>
  <si>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</si>
  <si>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</si>
  <si>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</si>
  <si>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</si>
  <si>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</si>
  <si>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</si>
  <si>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</si>
  <si>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</si>
  <si>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</si>
  <si>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</si>
  <si>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</si>
  <si>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</si>
  <si>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</si>
  <si>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</si>
  <si>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</si>
  <si>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</si>
  <si>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</si>
  <si>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</si>
  <si>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</si>
  <si>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</si>
  <si>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</si>
  <si>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</si>
  <si>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</si>
  <si>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</si>
  <si>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</si>
  <si>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</si>
  <si>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</si>
  <si>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</si>
  <si>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</si>
  <si>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</si>
  <si>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</si>
  <si>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</si>
  <si>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</si>
  <si>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</si>
  <si>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</si>
  <si>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</si>
  <si>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</si>
  <si>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</si>
  <si>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</si>
  <si>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</si>
  <si>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</si>
  <si>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</si>
  <si>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</si>
  <si>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</si>
  <si>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</si>
  <si>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</si>
  <si>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</si>
  <si>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</si>
  <si>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</si>
  <si>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</si>
  <si>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</si>
  <si>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</si>
  <si>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</si>
  <si>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</si>
  <si>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</si>
  <si>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</si>
  <si>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</si>
  <si>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</si>
  <si>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</si>
  <si>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</si>
  <si>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</si>
  <si>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</si>
  <si>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</si>
  <si>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</si>
  <si>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</si>
  <si>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</si>
  <si>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</si>
  <si>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</si>
  <si>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</si>
  <si>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</si>
  <si>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</si>
  <si>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</si>
  <si>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</si>
  <si>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</si>
  <si>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</si>
  <si>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</si>
  <si>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</si>
  <si>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</si>
  <si>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</si>
  <si>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</si>
  <si>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</si>
  <si>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</si>
  <si>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</si>
  <si>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</si>
  <si>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</si>
  <si>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</si>
  <si>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</si>
  <si>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</si>
  <si>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</si>
  <si>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</si>
  <si>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</si>
  <si>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</si>
  <si>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</si>
  <si>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</si>
  <si>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</si>
  <si>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</si>
  <si>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</si>
  <si>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</si>
  <si>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</si>
  <si>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</si>
  <si>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</si>
  <si>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</si>
  <si>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</si>
  <si>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</si>
  <si>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</si>
  <si>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</si>
  <si>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</si>
  <si>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</si>
  <si>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</si>
  <si>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</si>
  <si>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</si>
  <si>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</si>
  <si>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</si>
  <si>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</si>
  <si>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</si>
  <si>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</si>
  <si>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</si>
  <si>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</si>
  <si>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</si>
  <si>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</si>
  <si>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</si>
  <si>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</si>
  <si>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</si>
  <si>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</si>
  <si>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</si>
  <si>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</si>
  <si>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</si>
  <si>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</si>
  <si>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</si>
  <si>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</si>
  <si>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</si>
  <si>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</si>
  <si>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</si>
  <si>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</si>
  <si>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</si>
  <si>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</si>
  <si>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</si>
  <si>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</si>
  <si>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</si>
  <si>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</si>
  <si>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</si>
  <si>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</si>
  <si>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</si>
  <si>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</si>
  <si>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</si>
  <si>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</si>
  <si>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</si>
  <si>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</si>
  <si>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</si>
  <si>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</si>
  <si>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</si>
  <si>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</si>
  <si>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</si>
  <si>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</si>
  <si>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</si>
  <si>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</si>
  <si>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</si>
  <si>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</si>
  <si>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</si>
  <si>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</si>
  <si>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</si>
  <si>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</si>
  <si>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</si>
  <si>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</si>
  <si>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</si>
  <si>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</si>
  <si>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</si>
  <si>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</si>
  <si>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</si>
  <si>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</si>
  <si>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</si>
  <si>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</si>
  <si>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</si>
  <si>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</si>
  <si>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</si>
  <si>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</si>
  <si>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</si>
  <si>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</si>
  <si>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</si>
  <si>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</si>
  <si>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</si>
  <si>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</si>
  <si>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</si>
  <si>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</si>
  <si>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</si>
  <si>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</si>
  <si>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</si>
  <si>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</si>
  <si>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</si>
  <si>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</si>
  <si>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</si>
  <si>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</si>
  <si>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</si>
  <si>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</si>
  <si>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</si>
  <si>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</si>
  <si>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</si>
  <si>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</si>
  <si>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</si>
  <si>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</si>
  <si>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</si>
  <si>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</si>
  <si>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</si>
  <si>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</si>
  <si>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</si>
  <si>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</si>
  <si>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</si>
  <si>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</si>
  <si>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</si>
  <si>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</si>
  <si>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</si>
  <si>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</si>
  <si>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</si>
  <si>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</si>
  <si>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</si>
  <si>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</si>
  <si>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</si>
  <si>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</si>
  <si>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</si>
  <si>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</si>
  <si>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</si>
  <si>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</si>
  <si>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</si>
  <si>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</si>
  <si>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</si>
  <si>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</si>
  <si>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</si>
  <si>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</si>
  <si>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</si>
  <si>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</si>
  <si>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</si>
  <si>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</si>
  <si>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</si>
  <si>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</si>
  <si>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</si>
  <si>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</si>
  <si>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</si>
  <si>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</si>
  <si>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</si>
  <si>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</si>
  <si>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</si>
  <si>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</si>
  <si>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</si>
  <si>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</si>
  <si>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</si>
  <si>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</si>
  <si>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</si>
  <si>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</si>
  <si>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</si>
  <si>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</si>
  <si>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</si>
  <si>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</si>
  <si>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</si>
  <si>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</si>
  <si>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</si>
  <si>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</si>
  <si>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</si>
  <si>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</si>
  <si>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</si>
  <si>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</si>
  <si>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</si>
  <si>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</si>
  <si>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</si>
  <si>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</si>
  <si>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</si>
  <si>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</si>
  <si>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</si>
  <si>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</si>
  <si>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</si>
  <si>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</si>
  <si>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</si>
  <si>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</si>
  <si>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</si>
  <si>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</si>
  <si>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</si>
  <si>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</si>
  <si>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</si>
  <si>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</si>
  <si>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</si>
  <si>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</si>
  <si>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</si>
  <si>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</si>
  <si>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</si>
  <si>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</si>
  <si>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</si>
  <si>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</si>
  <si>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</si>
  <si>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</si>
  <si>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</si>
  <si>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</si>
  <si>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</si>
  <si>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</si>
  <si>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</si>
  <si>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</si>
  <si>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</si>
  <si>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</si>
  <si>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</si>
  <si>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</si>
  <si>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</si>
  <si>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</si>
  <si>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</si>
  <si>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</si>
  <si>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</si>
  <si>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</si>
  <si>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</si>
  <si>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</si>
  <si>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</si>
  <si>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</si>
  <si>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</si>
  <si>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</si>
  <si>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</si>
  <si>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</si>
  <si>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</si>
  <si>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</si>
  <si>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</si>
  <si>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</si>
  <si>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</si>
  <si>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</si>
  <si>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</si>
  <si>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</si>
  <si>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</si>
  <si>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</si>
  <si>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</si>
  <si>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</si>
  <si>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</si>
  <si>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</si>
  <si>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</si>
  <si>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</si>
  <si>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</si>
  <si>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</si>
  <si>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</si>
  <si>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</si>
  <si>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</si>
  <si>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</si>
  <si>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</si>
  <si>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</si>
  <si>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</si>
  <si>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</si>
  <si>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</si>
  <si>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</si>
  <si>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</si>
  <si>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</si>
  <si>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</si>
  <si>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</si>
  <si>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</si>
  <si>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</si>
  <si>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</si>
  <si>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</si>
  <si>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</si>
  <si>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</si>
  <si>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</si>
  <si>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</si>
  <si>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</si>
  <si>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</si>
  <si>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</si>
  <si>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</si>
  <si>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</si>
  <si>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</si>
  <si>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</si>
  <si>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</si>
  <si>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</si>
  <si>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</si>
  <si>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</si>
  <si>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</si>
  <si>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</si>
  <si>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</si>
  <si>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</si>
  <si>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</si>
  <si>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</si>
  <si>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</si>
  <si>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</si>
  <si>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</si>
  <si>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</si>
  <si>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</si>
  <si>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</si>
  <si>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</si>
  <si>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</si>
  <si>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</si>
  <si>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</si>
  <si>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</si>
  <si>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</si>
  <si>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</si>
  <si>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</si>
  <si>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</si>
  <si>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</si>
  <si>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</si>
  <si>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</si>
  <si>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</si>
  <si>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</si>
  <si>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</si>
  <si>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</si>
  <si>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</si>
  <si>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</si>
  <si>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</si>
  <si>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</si>
  <si>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</si>
  <si>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</si>
  <si>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</si>
  <si>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</si>
  <si>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</si>
  <si>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</si>
  <si>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</si>
  <si>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</si>
  <si>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</si>
  <si>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</si>
  <si>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</si>
  <si>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</si>
  <si>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</si>
  <si>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</si>
  <si>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</si>
  <si>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</si>
  <si>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</si>
  <si>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</si>
  <si>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</si>
  <si>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</si>
  <si>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</si>
  <si>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</si>
  <si>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</si>
  <si>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</si>
  <si>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</si>
  <si>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</si>
  <si>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</si>
  <si>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</si>
  <si>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</si>
  <si>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</si>
  <si>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</si>
  <si>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</si>
  <si>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</si>
  <si>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</si>
  <si>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</si>
  <si>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</si>
  <si>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</si>
  <si>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</si>
  <si>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</si>
  <si>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</si>
  <si>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</si>
  <si>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</si>
  <si>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</si>
  <si>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</si>
  <si>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</si>
  <si>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</si>
  <si>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</si>
  <si>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</si>
  <si>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</si>
  <si>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</si>
  <si>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</si>
  <si>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</si>
  <si>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</si>
  <si>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</si>
  <si>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</si>
  <si>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</si>
  <si>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</si>
  <si>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</si>
  <si>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</si>
  <si>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</si>
  <si>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</si>
  <si>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</si>
  <si>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</si>
  <si>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</si>
  <si>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</si>
  <si>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</si>
  <si>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</si>
  <si>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</si>
  <si>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</si>
  <si>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</si>
  <si>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</si>
  <si>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</si>
  <si>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</si>
  <si>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</si>
  <si>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</si>
  <si>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</si>
  <si>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</si>
  <si>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</si>
  <si>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</si>
  <si>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</si>
  <si>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</si>
  <si>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</si>
  <si>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</si>
  <si>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</si>
  <si>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</si>
  <si>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</si>
  <si>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</si>
  <si>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</si>
  <si>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</si>
  <si>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</si>
  <si>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</si>
  <si>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</si>
  <si>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</si>
  <si>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</si>
  <si>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</si>
  <si>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</si>
  <si>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</si>
  <si>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</si>
  <si>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</si>
  <si>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</si>
  <si>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</si>
  <si>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</si>
  <si>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</si>
  <si>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</si>
  <si>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</si>
  <si>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</si>
  <si>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</si>
  <si>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</si>
  <si>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</si>
  <si>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</si>
  <si>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</si>
  <si>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</si>
  <si>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</si>
  <si>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</si>
  <si>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</si>
  <si>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</si>
  <si>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</si>
  <si>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</si>
  <si>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</si>
  <si>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</si>
  <si>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</si>
  <si>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</si>
  <si>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</si>
  <si>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</si>
  <si>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</si>
  <si>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</si>
  <si>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</si>
  <si>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</si>
  <si>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</si>
  <si>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</si>
  <si>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</si>
  <si>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</si>
  <si>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</si>
  <si>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</si>
  <si>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</si>
  <si>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</si>
  <si>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</si>
  <si>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</si>
  <si>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</si>
  <si>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</si>
  <si>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</si>
  <si>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</si>
  <si>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</si>
  <si>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</si>
  <si>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</si>
  <si>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</si>
  <si>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</si>
  <si>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</si>
  <si>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</si>
  <si>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</si>
  <si>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</si>
  <si>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</si>
  <si>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</si>
  <si>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</si>
  <si>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</si>
  <si>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</si>
  <si>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</si>
  <si>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</si>
  <si>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</si>
  <si>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</si>
  <si>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</si>
  <si>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</si>
  <si>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</si>
  <si>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</si>
  <si>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</si>
  <si>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</si>
  <si>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</si>
  <si>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</si>
  <si>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</si>
  <si>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</si>
  <si>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</si>
  <si>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</si>
  <si>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</si>
  <si>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</si>
  <si>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</si>
  <si>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</si>
  <si>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</si>
  <si>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</si>
  <si>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</si>
  <si>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</si>
  <si>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</si>
  <si>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</si>
  <si>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</si>
  <si>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</si>
  <si>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</si>
  <si>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</si>
  <si>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</si>
  <si>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</si>
  <si>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</si>
  <si>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</si>
  <si>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</si>
  <si>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</si>
  <si>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</si>
  <si>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</si>
  <si>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</si>
  <si>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</si>
  <si>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</si>
  <si>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</si>
  <si>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</si>
  <si>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</si>
  <si>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</si>
  <si>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</si>
  <si>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</si>
  <si>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</si>
  <si>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</si>
  <si>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</si>
  <si>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</si>
  <si>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</si>
  <si>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</si>
  <si>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</si>
  <si>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</si>
  <si>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</si>
  <si>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</si>
  <si>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</si>
  <si>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</si>
  <si>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</si>
  <si>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</si>
  <si>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</si>
  <si>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</si>
  <si>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</si>
  <si>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</si>
  <si>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</si>
  <si>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</si>
  <si>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</si>
  <si>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</si>
  <si>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</si>
  <si>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</si>
  <si>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</si>
  <si>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</si>
  <si>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</si>
  <si>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</si>
  <si>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</si>
  <si>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</si>
  <si>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</si>
  <si>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</si>
  <si>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</si>
  <si>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</si>
  <si>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</si>
  <si>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</si>
  <si>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</si>
  <si>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</si>
  <si>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</si>
  <si>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</si>
  <si>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</si>
  <si>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</si>
  <si>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</si>
  <si>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</si>
  <si>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</si>
  <si>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</si>
  <si>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</si>
  <si>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</si>
  <si>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</si>
  <si>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</si>
  <si>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</si>
  <si>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</si>
  <si>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</si>
  <si>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</si>
  <si>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</si>
  <si>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</si>
  <si>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</si>
  <si>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</si>
  <si>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</si>
  <si>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</si>
  <si>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</si>
  <si>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</si>
  <si>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</si>
  <si>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</si>
  <si>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</si>
  <si>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</si>
  <si>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</si>
  <si>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</si>
  <si>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</si>
  <si>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</si>
  <si>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</si>
  <si>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</si>
  <si>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</si>
  <si>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</si>
  <si>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</si>
  <si>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</si>
  <si>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</si>
  <si>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</si>
  <si>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</si>
  <si>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</si>
  <si>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</si>
  <si>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</si>
  <si>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</si>
  <si>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</si>
  <si>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</si>
  <si>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</si>
  <si>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</si>
  <si>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</si>
  <si>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</si>
  <si>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</si>
  <si>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</si>
  <si>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</si>
  <si>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</si>
  <si>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</si>
  <si>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</si>
  <si>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</si>
  <si>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</si>
  <si>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</si>
  <si>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</si>
  <si>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</si>
  <si>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</si>
  <si>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</si>
  <si>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</si>
  <si>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</si>
  <si>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</si>
  <si>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</si>
  <si>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</si>
  <si>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</si>
  <si>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</si>
  <si>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</si>
  <si>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</si>
  <si>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</si>
  <si>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</si>
  <si>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</si>
  <si>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</si>
  <si>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</si>
  <si>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</si>
  <si>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</si>
  <si>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</si>
  <si>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</si>
  <si>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</si>
  <si>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</si>
  <si>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</si>
  <si>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</si>
  <si>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</si>
  <si>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</si>
  <si>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</si>
  <si>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</si>
  <si>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</si>
  <si>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</si>
  <si>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</si>
  <si>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</si>
  <si>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</si>
  <si>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</si>
  <si>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</si>
  <si>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</si>
  <si>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</si>
  <si>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</si>
  <si>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</si>
  <si>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</si>
  <si>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</si>
  <si>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</si>
  <si>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</si>
  <si>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</si>
  <si>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</si>
  <si>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</si>
  <si>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</si>
  <si>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</si>
  <si>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</si>
  <si>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</si>
  <si>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</si>
  <si>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</si>
  <si>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</si>
  <si>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</si>
  <si>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</si>
  <si>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</si>
  <si>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</si>
  <si>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</si>
  <si>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</si>
  <si>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</si>
  <si>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</si>
  <si>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</si>
  <si>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</si>
  <si>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</si>
  <si>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</si>
  <si>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</si>
  <si>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</si>
  <si>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</si>
  <si>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</si>
  <si>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</si>
  <si>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</si>
  <si>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</si>
  <si>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</si>
  <si>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</si>
  <si>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</si>
  <si>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</si>
  <si>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</si>
  <si>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</si>
  <si>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</si>
  <si>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</si>
  <si>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</si>
  <si>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</si>
  <si>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</si>
  <si>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</si>
  <si>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</si>
  <si>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</si>
  <si>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</si>
  <si>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</si>
  <si>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</si>
  <si>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</si>
  <si>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</si>
  <si>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</si>
  <si>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</si>
  <si>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</si>
  <si>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</si>
  <si>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</si>
  <si>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</si>
  <si>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</si>
  <si>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</si>
  <si>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</si>
  <si>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</si>
  <si>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</si>
  <si>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</si>
  <si>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</si>
  <si>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</si>
  <si>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</si>
  <si>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</si>
  <si>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</si>
  <si>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</si>
  <si>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</si>
  <si>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</si>
  <si>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</si>
  <si>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</si>
  <si>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</si>
  <si>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</si>
  <si>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</si>
  <si>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</si>
  <si>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</si>
  <si>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</si>
  <si>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</si>
  <si>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</si>
  <si>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</si>
  <si>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</si>
  <si>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</si>
  <si>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</si>
  <si>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</si>
  <si>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</si>
  <si>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</si>
  <si>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</si>
  <si>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</si>
  <si>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</si>
  <si>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</si>
  <si>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</si>
  <si>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</si>
  <si>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</si>
  <si>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</si>
  <si>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</si>
  <si>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</si>
  <si>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</si>
  <si>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</si>
  <si>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</si>
  <si>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</si>
  <si>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</si>
  <si>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</si>
  <si>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</si>
  <si>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</si>
  <si>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</si>
  <si>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</si>
  <si>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</si>
  <si>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</si>
  <si>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</si>
  <si>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</si>
  <si>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</si>
  <si>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</si>
  <si>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</si>
  <si>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</si>
  <si>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</si>
  <si>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</si>
  <si>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</si>
  <si>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</si>
  <si>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</si>
  <si>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</si>
  <si>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</si>
  <si>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</si>
  <si>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</si>
  <si>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</si>
  <si>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</si>
  <si>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</si>
  <si>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</si>
  <si>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</si>
  <si>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</si>
  <si>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</si>
  <si>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</si>
  <si>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</si>
  <si>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</si>
  <si>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</si>
  <si>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</si>
  <si>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</si>
  <si>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</si>
  <si>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</si>
  <si>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</si>
  <si>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</si>
  <si>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</si>
  <si>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</si>
  <si>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</si>
  <si>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</si>
  <si>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</si>
  <si>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</si>
  <si>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</si>
  <si>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</si>
  <si>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</si>
  <si>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</si>
  <si>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</si>
  <si>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</si>
  <si>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</si>
  <si>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</si>
  <si>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</si>
  <si>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</si>
  <si>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</si>
  <si>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</si>
  <si>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</si>
  <si>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</si>
  <si>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</si>
  <si>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</si>
  <si>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</si>
  <si>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</si>
  <si>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</si>
  <si>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</si>
  <si>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</si>
  <si>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</si>
  <si>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</si>
  <si>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</si>
  <si>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</si>
  <si>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</si>
  <si>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</si>
  <si>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</si>
  <si>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</si>
  <si>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</si>
  <si>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</si>
  <si>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</si>
  <si>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</si>
  <si>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</si>
  <si>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</si>
  <si>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</si>
  <si>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</si>
  <si>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</si>
  <si>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</si>
  <si>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</si>
  <si>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</si>
  <si>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</si>
  <si>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</si>
  <si>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</si>
  <si>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</si>
  <si>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</si>
  <si>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</si>
  <si>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</si>
  <si>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</si>
  <si>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</si>
  <si>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</si>
  <si>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</si>
  <si>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</si>
  <si>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</si>
  <si>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</si>
  <si>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</si>
  <si>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</si>
  <si>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</si>
  <si>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</si>
  <si>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</si>
  <si>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</si>
  <si>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</si>
  <si>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</si>
  <si>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</si>
  <si>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</si>
  <si>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</si>
  <si>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</si>
  <si>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</si>
  <si>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</si>
  <si>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</si>
  <si>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</si>
  <si>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</si>
  <si>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</si>
  <si>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</si>
  <si>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</si>
  <si>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</si>
  <si>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</si>
  <si>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</si>
  <si>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</si>
  <si>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</si>
  <si>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</si>
  <si>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</si>
  <si>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</si>
  <si>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</si>
  <si>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</si>
  <si>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</si>
  <si>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</si>
  <si>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</si>
  <si>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</si>
  <si>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</si>
  <si>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</si>
  <si>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</si>
  <si>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</si>
  <si>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</si>
  <si>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</si>
  <si>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</si>
  <si>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</si>
  <si>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</si>
  <si>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</si>
  <si>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</si>
  <si>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</si>
  <si>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</si>
  <si>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</si>
  <si>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</si>
  <si>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</si>
  <si>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</si>
  <si>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</si>
  <si>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</si>
  <si>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</si>
  <si>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</si>
  <si>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</si>
  <si>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</si>
  <si>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</si>
  <si>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</si>
  <si>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</si>
  <si>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</si>
  <si>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</si>
  <si>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</si>
  <si>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</si>
  <si>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</si>
  <si>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</si>
  <si>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</si>
  <si>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</si>
  <si>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</si>
  <si>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</si>
  <si>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</si>
  <si>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</si>
  <si>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</si>
  <si>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</si>
  <si>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</si>
  <si>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</si>
  <si>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</si>
  <si>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</si>
  <si>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</si>
  <si>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</si>
  <si>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</si>
  <si>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</si>
  <si>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</si>
  <si>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</si>
  <si>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</si>
  <si>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</si>
  <si>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</si>
  <si>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</si>
  <si>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</si>
  <si>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</si>
  <si>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</si>
  <si>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</si>
  <si>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</si>
  <si>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</si>
  <si>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</si>
  <si>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</si>
  <si>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</si>
  <si>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</si>
  <si>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</si>
  <si>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</si>
  <si>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</si>
  <si>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</si>
  <si>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</si>
  <si>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</si>
  <si>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</si>
  <si>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</si>
  <si>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</si>
  <si>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</si>
  <si>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</si>
  <si>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</si>
  <si>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</si>
  <si>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</si>
  <si>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</si>
  <si>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</si>
  <si>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</si>
  <si>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</si>
  <si>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</si>
  <si>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</si>
  <si>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</si>
  <si>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</si>
  <si>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</si>
  <si>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</si>
  <si>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</si>
  <si>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</si>
  <si>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</si>
  <si>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</si>
  <si>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</si>
  <si>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</si>
  <si>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</si>
  <si>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</si>
  <si>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</si>
  <si>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</si>
  <si>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</si>
  <si>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</si>
  <si>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</si>
  <si>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</si>
  <si>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</si>
  <si>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</si>
  <si>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</si>
  <si>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</si>
  <si>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</si>
  <si>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</si>
  <si>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</si>
  <si>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</si>
  <si>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</si>
  <si>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</si>
  <si>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</si>
  <si>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</si>
  <si>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</si>
  <si>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</si>
  <si>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</si>
  <si>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</si>
  <si>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</si>
  <si>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</si>
  <si>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</si>
  <si>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</si>
  <si>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</si>
  <si>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</si>
  <si>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</si>
  <si>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</si>
  <si>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</si>
  <si>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</si>
  <si>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</si>
  <si>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</si>
  <si>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</si>
  <si>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</si>
  <si>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</si>
  <si>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</si>
  <si>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</si>
  <si>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</si>
  <si>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</si>
  <si>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</si>
  <si>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</si>
  <si>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</si>
  <si>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</si>
  <si>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</si>
  <si>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</si>
  <si>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</si>
  <si>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</si>
  <si>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</si>
  <si>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</si>
  <si>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</si>
  <si>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</si>
  <si>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</si>
  <si>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</si>
  <si>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</si>
  <si>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</si>
  <si>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</si>
  <si>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</si>
  <si>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</si>
  <si>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</si>
  <si>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</si>
  <si>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</si>
  <si>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</si>
  <si>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</si>
  <si>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</si>
  <si>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</si>
  <si>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</si>
  <si>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</si>
  <si>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</si>
  <si>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</si>
  <si>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</si>
  <si>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</si>
  <si>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</si>
  <si>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</si>
  <si>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</si>
  <si>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</si>
  <si>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</si>
  <si>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</si>
  <si>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</si>
  <si>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</si>
  <si>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</si>
  <si>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</si>
  <si>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</si>
  <si>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</si>
  <si>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</si>
  <si>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</si>
  <si>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</si>
  <si>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</si>
  <si>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</si>
  <si>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</si>
  <si>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</si>
  <si>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</si>
  <si>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</si>
  <si>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</si>
  <si>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</si>
  <si>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</si>
  <si>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</si>
  <si>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</si>
  <si>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</si>
  <si>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</si>
  <si>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</si>
  <si>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</si>
  <si>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</si>
  <si>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</si>
  <si>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</si>
  <si>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</si>
  <si>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</si>
  <si>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</si>
  <si>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</si>
  <si>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</si>
  <si>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</si>
  <si>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</si>
  <si>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</si>
  <si>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</si>
  <si>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</si>
  <si>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</si>
  <si>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</si>
  <si>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</si>
  <si>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</si>
  <si>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</si>
  <si>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</si>
  <si>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</si>
  <si>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</si>
  <si>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</si>
  <si>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</si>
  <si>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</si>
  <si>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</si>
  <si>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</si>
  <si>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</si>
  <si>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</si>
  <si>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</si>
  <si>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</si>
  <si>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</si>
  <si>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</si>
  <si>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</si>
  <si>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</si>
  <si>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</si>
  <si>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</si>
  <si>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</si>
  <si>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</si>
  <si>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</si>
  <si>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</si>
  <si>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</si>
  <si>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</si>
  <si>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</si>
  <si>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</si>
  <si>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</si>
  <si>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</si>
  <si>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</si>
  <si>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</si>
  <si>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</si>
  <si>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</si>
  <si>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</si>
  <si>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</si>
  <si>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</si>
  <si>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</si>
  <si>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</si>
  <si>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</si>
  <si>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</si>
  <si>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</si>
  <si>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</si>
  <si>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</si>
  <si>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</si>
  <si>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</si>
  <si>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</si>
  <si>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</si>
  <si>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</si>
  <si>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</si>
  <si>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</si>
  <si>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</si>
  <si>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</si>
  <si>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</si>
  <si>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</si>
  <si>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</si>
  <si>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</si>
  <si>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</si>
  <si>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</si>
  <si>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</si>
  <si>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</si>
  <si>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</si>
  <si>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</si>
  <si>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</si>
  <si>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</si>
  <si>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</si>
  <si>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</si>
  <si>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</si>
  <si>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</si>
  <si>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</si>
  <si>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</si>
  <si>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</si>
  <si>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</si>
  <si>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</si>
  <si>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</si>
  <si>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</si>
  <si>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</si>
  <si>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</si>
  <si>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</si>
  <si>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</si>
  <si>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</si>
  <si>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</si>
  <si>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</si>
  <si>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</si>
  <si>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</si>
  <si>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</si>
  <si>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</si>
  <si>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</si>
  <si>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</si>
  <si>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</si>
  <si>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</si>
  <si>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</si>
  <si>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</si>
  <si>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</si>
  <si>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</si>
  <si>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</si>
  <si>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</si>
  <si>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</si>
  <si>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</si>
  <si>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</si>
  <si>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</si>
  <si>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</si>
  <si>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</si>
  <si>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</si>
  <si>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</si>
  <si>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</si>
  <si>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</si>
  <si>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</si>
  <si>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</si>
  <si>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</si>
  <si>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</si>
  <si>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</si>
  <si>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</si>
  <si>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</si>
  <si>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</si>
  <si>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</si>
  <si>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</si>
  <si>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</si>
  <si>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</si>
  <si>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</si>
  <si>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</si>
  <si>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</si>
  <si>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</si>
  <si>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</si>
  <si>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</si>
  <si>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</si>
  <si>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</si>
  <si>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</si>
  <si>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</si>
  <si>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</si>
  <si>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</si>
  <si>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</si>
  <si>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</si>
  <si>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</si>
  <si>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</si>
  <si>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</si>
  <si>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</si>
  <si>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</si>
  <si>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</si>
  <si>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</si>
  <si>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</si>
  <si>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</si>
  <si>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</si>
  <si>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</si>
  <si>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</si>
  <si>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</si>
  <si>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</si>
  <si>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</si>
  <si>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</si>
  <si>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</si>
  <si>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</si>
  <si>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</si>
  <si>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</si>
  <si>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</si>
  <si>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</si>
  <si>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</si>
  <si>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</si>
  <si>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</si>
  <si>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</si>
  <si>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</si>
  <si>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</si>
  <si>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</si>
  <si>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</si>
  <si>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</si>
  <si>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</si>
  <si>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</si>
  <si>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</si>
  <si>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</si>
  <si>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</si>
  <si>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</si>
  <si>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</si>
  <si>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</si>
  <si>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</si>
  <si>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</si>
  <si>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</si>
  <si>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</si>
  <si>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</si>
  <si>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</si>
  <si>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</si>
  <si>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</si>
  <si>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</si>
  <si>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</si>
  <si>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</si>
  <si>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</si>
  <si>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</si>
  <si>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</si>
  <si>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</si>
  <si>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</si>
  <si>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</si>
  <si>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</si>
  <si>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</si>
  <si>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</si>
  <si>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</si>
  <si>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</si>
  <si>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</si>
  <si>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</si>
  <si>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</si>
  <si>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</si>
  <si>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</si>
  <si>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</si>
  <si>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</si>
  <si>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</si>
  <si>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</si>
  <si>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</si>
  <si>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</si>
  <si>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</si>
  <si>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</si>
  <si>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</si>
  <si>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</si>
  <si>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</si>
  <si>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</si>
  <si>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</si>
  <si>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</si>
  <si>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</si>
  <si>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</si>
  <si>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</si>
  <si>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</si>
  <si>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</si>
  <si>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</si>
  <si>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</si>
  <si>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</si>
  <si>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</si>
  <si>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</si>
  <si>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</si>
  <si>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</si>
  <si>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</si>
  <si>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</si>
  <si>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</si>
  <si>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</si>
  <si>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</si>
  <si>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</si>
  <si>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</si>
  <si>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</si>
  <si>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</si>
  <si>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</si>
  <si>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</si>
  <si>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</si>
  <si>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</si>
  <si>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</si>
  <si>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</si>
  <si>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</si>
  <si>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</si>
  <si>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</si>
  <si>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</si>
  <si>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</si>
  <si>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</si>
  <si>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</si>
  <si>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</si>
  <si>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</si>
  <si>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</si>
  <si>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</si>
  <si>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</si>
  <si>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</si>
  <si>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</si>
  <si>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</si>
  <si>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</si>
  <si>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</si>
  <si>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</si>
  <si>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</si>
  <si>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</si>
  <si>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</si>
  <si>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</si>
  <si>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</si>
  <si>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</si>
  <si>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</si>
  <si>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</si>
  <si>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</si>
  <si>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</si>
  <si>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</si>
  <si>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</si>
  <si>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</si>
  <si>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</si>
  <si>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</si>
  <si>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</si>
  <si>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</si>
  <si>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</si>
  <si>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</si>
  <si>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</si>
  <si>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</si>
  <si>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</si>
  <si>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</si>
  <si>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</si>
  <si>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</si>
  <si>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</si>
  <si>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</si>
  <si>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</si>
  <si>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</si>
  <si>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</si>
  <si>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</si>
  <si>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</si>
  <si>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</si>
  <si>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</si>
  <si>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</si>
  <si>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</si>
  <si>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</si>
  <si>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</si>
  <si>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</si>
  <si>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</si>
  <si>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</si>
  <si>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</si>
  <si>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</si>
  <si>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</si>
  <si>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</si>
  <si>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</si>
  <si>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</si>
  <si>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</si>
  <si>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</si>
  <si>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</si>
  <si>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</si>
  <si>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</si>
  <si>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</si>
  <si>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</si>
  <si>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</si>
  <si>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</si>
  <si>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</si>
  <si>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</si>
  <si>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</si>
  <si>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</si>
  <si>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</si>
  <si>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</si>
  <si>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</si>
  <si>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</si>
  <si>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</si>
  <si>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</si>
  <si>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</si>
  <si>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</si>
  <si>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</si>
  <si>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</si>
  <si>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</si>
  <si>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</si>
  <si>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</si>
  <si>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</si>
  <si>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</si>
  <si>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</si>
  <si>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</si>
  <si>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</si>
  <si>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</si>
  <si>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</si>
  <si>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</si>
  <si>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</si>
  <si>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</si>
  <si>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</si>
  <si>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</si>
  <si>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</si>
  <si>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</si>
  <si>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</si>
  <si>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</si>
  <si>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</si>
  <si>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</si>
  <si>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</si>
  <si>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</si>
  <si>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</si>
  <si>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</si>
  <si>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</si>
  <si>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</si>
  <si>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</si>
  <si>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</si>
  <si>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</si>
  <si>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</si>
  <si>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</si>
  <si>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</si>
  <si>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</si>
  <si>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</si>
  <si>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</si>
  <si>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</si>
  <si>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</si>
  <si>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</si>
  <si>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</si>
  <si>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</si>
  <si>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</si>
  <si>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</si>
  <si>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</si>
  <si>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</si>
  <si>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</si>
  <si>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</si>
  <si>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</si>
  <si>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</si>
  <si>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</si>
  <si>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</si>
  <si>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</si>
  <si>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</si>
  <si>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</si>
  <si>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</si>
  <si>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</si>
  <si>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</si>
  <si>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</si>
  <si>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</si>
  <si>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</si>
  <si>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</si>
  <si>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</si>
  <si>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</si>
  <si>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</si>
  <si>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</si>
  <si>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</si>
  <si>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</si>
  <si>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</si>
  <si>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</si>
  <si>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</si>
  <si>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</si>
  <si>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</si>
  <si>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</si>
  <si>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</si>
  <si>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</si>
  <si>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</si>
  <si>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</si>
  <si>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</si>
  <si>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</si>
  <si>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</si>
  <si>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</si>
  <si>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</si>
  <si>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</si>
  <si>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</si>
  <si>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</si>
  <si>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</si>
  <si>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</si>
  <si>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</si>
  <si>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</si>
  <si>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</si>
  <si>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</si>
  <si>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</si>
  <si>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</si>
  <si>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</si>
  <si>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</si>
  <si>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</si>
  <si>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</si>
  <si>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</si>
  <si>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</si>
  <si>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</si>
  <si>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</si>
  <si>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</si>
  <si>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</si>
  <si>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</si>
  <si>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</si>
  <si>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</si>
  <si>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</si>
  <si>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</si>
  <si>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</si>
  <si>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</si>
  <si>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</si>
  <si>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</si>
  <si>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</si>
  <si>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</si>
  <si>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</si>
  <si>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</si>
  <si>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</si>
  <si>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</si>
  <si>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</si>
  <si>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</si>
  <si>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</si>
  <si>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</si>
  <si>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</si>
  <si>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</si>
  <si>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</si>
  <si>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</si>
  <si>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</si>
  <si>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</si>
  <si>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</si>
  <si>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</si>
  <si>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</si>
  <si>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</si>
  <si>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</si>
  <si>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</si>
  <si>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</si>
  <si>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</si>
  <si>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</si>
  <si>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</si>
  <si>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</si>
  <si>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</si>
  <si>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</si>
  <si>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</si>
  <si>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</si>
  <si>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</si>
  <si>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</si>
  <si>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</si>
  <si>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</si>
  <si>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</si>
  <si>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</si>
  <si>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</si>
  <si>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</si>
  <si>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</si>
  <si>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</si>
  <si>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</si>
  <si>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</si>
  <si>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</si>
  <si>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</si>
  <si>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</si>
  <si>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</si>
  <si>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</si>
  <si>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</si>
  <si>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</si>
  <si>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</si>
  <si>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</si>
  <si>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</si>
  <si>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</si>
  <si>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</si>
  <si>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</si>
  <si>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</si>
  <si>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</si>
  <si>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</si>
  <si>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</si>
  <si>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</si>
  <si>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</si>
  <si>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</si>
  <si>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</si>
  <si>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</si>
  <si>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</si>
  <si>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</si>
  <si>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</si>
  <si>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</si>
  <si>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</si>
  <si>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</si>
  <si>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</si>
  <si>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</si>
  <si>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</si>
  <si>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</si>
  <si>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</si>
  <si>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</si>
  <si>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</si>
  <si>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</si>
  <si>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</si>
  <si>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</si>
  <si>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</si>
  <si>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</si>
  <si>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</si>
  <si>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</si>
  <si>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</si>
  <si>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</si>
  <si>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</si>
  <si>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</si>
  <si>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</si>
  <si>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</si>
  <si>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</si>
  <si>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</si>
  <si>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</si>
  <si>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</si>
  <si>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</si>
  <si>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</si>
  <si>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</si>
  <si>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</si>
  <si>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</si>
  <si>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</si>
  <si>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</si>
  <si>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</si>
  <si>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</si>
  <si>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</si>
  <si>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</si>
  <si>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</si>
  <si>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</si>
  <si>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</si>
  <si>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</si>
  <si>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</si>
  <si>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</si>
  <si>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</si>
  <si>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</si>
  <si>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</si>
  <si>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</si>
  <si>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</si>
  <si>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</si>
  <si>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</si>
  <si>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</si>
  <si>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</si>
  <si>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</si>
  <si>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</si>
  <si>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</si>
  <si>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</si>
  <si>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</si>
  <si>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</si>
  <si>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</si>
  <si>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</si>
  <si>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</si>
  <si>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</si>
  <si>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</si>
  <si>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</si>
  <si>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</si>
  <si>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</si>
  <si>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</si>
  <si>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</si>
  <si>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</si>
  <si>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</si>
  <si>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</si>
  <si>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</si>
  <si>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</si>
  <si>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</si>
  <si>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</si>
  <si>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</si>
  <si>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</si>
  <si>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</si>
  <si>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</si>
  <si>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</si>
  <si>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</si>
  <si>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</si>
  <si>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</si>
  <si>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</si>
  <si>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</si>
  <si>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</si>
  <si>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</si>
  <si>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</si>
  <si>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</si>
  <si>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</si>
  <si>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</si>
  <si>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</si>
  <si>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</si>
  <si>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</si>
  <si>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</si>
  <si>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</si>
  <si>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</si>
  <si>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</si>
  <si>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</si>
  <si>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</si>
  <si>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</si>
  <si>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</si>
  <si>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</si>
  <si>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</si>
  <si>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</si>
  <si>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</si>
  <si>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</si>
  <si>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</si>
  <si>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</si>
  <si>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</si>
  <si>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</si>
  <si>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</si>
  <si>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</si>
  <si>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</si>
  <si>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</si>
  <si>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</si>
  <si>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</si>
  <si>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</si>
  <si>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</si>
  <si>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</si>
  <si>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</si>
  <si>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</si>
  <si>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</si>
  <si>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</si>
  <si>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</si>
  <si>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</si>
  <si>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</si>
  <si>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</si>
  <si>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</si>
  <si>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</si>
  <si>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</si>
  <si>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</si>
  <si>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</si>
  <si>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</si>
  <si>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</si>
  <si>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</si>
  <si>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</si>
  <si>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</si>
  <si>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</si>
  <si>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</si>
  <si>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</si>
  <si>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</si>
  <si>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</si>
  <si>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</si>
  <si>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</si>
  <si>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</si>
  <si>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</si>
  <si>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</si>
  <si>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</si>
  <si>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</si>
  <si>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</si>
  <si>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</si>
  <si>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</si>
  <si>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</si>
  <si>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</si>
  <si>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</si>
  <si>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</si>
  <si>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</si>
  <si>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</si>
  <si>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</si>
  <si>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</si>
  <si>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</si>
  <si>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</si>
  <si>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</si>
  <si>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</si>
  <si>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</si>
  <si>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</si>
  <si>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</si>
  <si>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</si>
  <si>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</si>
  <si>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</si>
  <si>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</si>
  <si>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</si>
  <si>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</si>
  <si>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</si>
  <si>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</si>
  <si>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</si>
  <si>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</si>
  <si>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</si>
  <si>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</si>
  <si>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</si>
  <si>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</si>
  <si>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</si>
  <si>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</si>
  <si>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</si>
  <si>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</si>
  <si>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</si>
  <si>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</si>
  <si>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</si>
  <si>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</si>
  <si>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</si>
  <si>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</si>
  <si>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</si>
  <si>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</si>
  <si>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</si>
  <si>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</si>
  <si>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</si>
  <si>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</si>
  <si>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</si>
  <si>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</si>
  <si>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</si>
  <si>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</si>
  <si>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</si>
  <si>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</si>
  <si>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</si>
  <si>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</si>
  <si>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</si>
  <si>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</si>
  <si>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</si>
  <si>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</si>
  <si>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</si>
  <si>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</si>
  <si>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</si>
  <si>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</si>
  <si>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</si>
  <si>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</si>
  <si>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</si>
  <si>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</si>
  <si>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</si>
  <si>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</si>
  <si>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</si>
  <si>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</si>
  <si>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</si>
  <si>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</si>
  <si>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</si>
  <si>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</si>
  <si>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</si>
  <si>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</si>
  <si>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</si>
  <si>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</si>
  <si>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</si>
  <si>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</si>
  <si>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</si>
  <si>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</si>
  <si>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</si>
  <si>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</si>
  <si>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</si>
  <si>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</si>
  <si>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</si>
  <si>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</si>
  <si>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</si>
  <si>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</si>
  <si>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</si>
  <si>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</si>
  <si>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</si>
  <si>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</si>
  <si>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</si>
  <si>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</si>
  <si>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</si>
  <si>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</si>
  <si>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</si>
  <si>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</si>
  <si>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</si>
  <si>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</si>
  <si>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</si>
  <si>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</si>
  <si>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</si>
  <si>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</si>
  <si>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</si>
  <si>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</si>
  <si>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</si>
  <si>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</si>
  <si>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</si>
  <si>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</si>
  <si>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</si>
  <si>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</si>
  <si>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</si>
  <si>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</si>
  <si>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</si>
  <si>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</si>
  <si>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</si>
  <si>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</si>
  <si>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</si>
  <si>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</si>
  <si>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</si>
  <si>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</si>
  <si>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</si>
  <si>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</si>
  <si>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</si>
  <si>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</si>
  <si>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</si>
  <si>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</si>
  <si>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</si>
  <si>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</si>
  <si>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</si>
  <si>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</si>
  <si>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</si>
  <si>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</si>
  <si>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</si>
  <si>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</si>
  <si>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</si>
  <si>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</si>
  <si>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</si>
  <si>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</si>
  <si>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</si>
  <si>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</si>
  <si>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</si>
  <si>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</si>
  <si>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</si>
  <si>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</si>
  <si>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</si>
  <si>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</si>
  <si>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</si>
  <si>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</si>
  <si>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</si>
  <si>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</si>
  <si>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</si>
  <si>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</si>
  <si>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</si>
  <si>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</si>
  <si>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</si>
  <si>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</si>
  <si>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</si>
  <si>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</si>
  <si>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</si>
  <si>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</si>
  <si>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</si>
  <si>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</si>
  <si>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</si>
  <si>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</si>
  <si>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</si>
  <si>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</si>
  <si>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</si>
  <si>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</si>
  <si>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</si>
  <si>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</si>
  <si>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</si>
  <si>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</si>
  <si>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</si>
  <si>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</si>
  <si>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</si>
  <si>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</si>
  <si>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</si>
  <si>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</si>
  <si>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</si>
  <si>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</si>
  <si>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</si>
  <si>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</si>
  <si>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</si>
  <si>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</si>
  <si>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</si>
  <si>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</si>
  <si>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</si>
  <si>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</si>
  <si>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</si>
  <si>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</si>
  <si>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</si>
  <si>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</si>
  <si>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</si>
  <si>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</si>
  <si>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</si>
  <si>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</si>
  <si>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</si>
  <si>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</si>
  <si>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</si>
  <si>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</si>
  <si>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</si>
  <si>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</si>
  <si>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</si>
  <si>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</si>
  <si>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</si>
  <si>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</si>
  <si>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</si>
  <si>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</si>
  <si>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</si>
  <si>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</si>
  <si>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</si>
  <si>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</si>
  <si>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</si>
  <si>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</si>
  <si>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</si>
  <si>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</si>
  <si>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</si>
  <si>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</si>
  <si>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</si>
  <si>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</si>
  <si>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</si>
  <si>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</si>
  <si>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</si>
  <si>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</si>
  <si>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</si>
  <si>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</si>
  <si>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</si>
  <si>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</si>
  <si>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</si>
  <si>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</si>
  <si>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</si>
  <si>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</si>
  <si>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</si>
  <si>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</si>
  <si>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</si>
  <si>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</si>
  <si>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</si>
  <si>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</si>
  <si>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</si>
  <si>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</si>
  <si>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</si>
  <si>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</si>
  <si>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</si>
  <si>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</si>
  <si>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</si>
  <si>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</si>
  <si>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</si>
  <si>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</si>
  <si>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</si>
  <si>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</si>
  <si>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</si>
  <si>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</si>
  <si>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</si>
  <si>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</si>
  <si>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</si>
  <si>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</si>
  <si>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</si>
  <si>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</si>
  <si>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</si>
  <si>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</si>
  <si>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</si>
  <si>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</si>
  <si>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</si>
  <si>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</si>
  <si>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</si>
  <si>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</si>
  <si>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</si>
  <si>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</si>
  <si>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</si>
  <si>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</si>
  <si>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</si>
  <si>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</si>
  <si>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</si>
  <si>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</si>
  <si>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</si>
  <si>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</si>
  <si>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</si>
  <si>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</si>
  <si>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</si>
  <si>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</si>
  <si>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</si>
  <si>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</si>
  <si>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</si>
  <si>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</si>
  <si>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</si>
  <si>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</si>
  <si>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</si>
  <si>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</si>
  <si>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</si>
  <si>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</si>
  <si>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</si>
  <si>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</si>
  <si>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</si>
  <si>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</si>
  <si>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</si>
  <si>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</si>
  <si>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</si>
  <si>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</si>
  <si>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</si>
  <si>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</si>
  <si>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</si>
  <si>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</si>
  <si>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</si>
  <si>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</si>
  <si>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</si>
  <si>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</si>
  <si>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</si>
  <si>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</si>
  <si>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</si>
  <si>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</si>
  <si>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</si>
  <si>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</si>
  <si>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</si>
  <si>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</si>
  <si>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</si>
  <si>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</si>
  <si>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</si>
  <si>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</si>
  <si>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</si>
  <si>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</si>
  <si>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</si>
  <si>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</si>
  <si>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</si>
  <si>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</si>
  <si>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</si>
  <si>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</si>
  <si>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</si>
  <si>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</si>
  <si>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</si>
  <si>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</si>
  <si>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</si>
  <si>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</si>
  <si>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</si>
  <si>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</si>
  <si>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</si>
  <si>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</si>
  <si>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</si>
  <si>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</si>
  <si>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</si>
  <si>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</si>
  <si>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</si>
  <si>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</si>
  <si>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</si>
  <si>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</si>
  <si>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</si>
  <si>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</si>
  <si>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</si>
  <si>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</si>
  <si>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</si>
  <si>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</si>
  <si>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</si>
  <si>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</si>
  <si>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</si>
  <si>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</si>
  <si>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</si>
  <si>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</si>
  <si>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</si>
  <si>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</si>
  <si>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</si>
  <si>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</si>
  <si>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</si>
  <si>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</si>
  <si>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</si>
  <si>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</si>
  <si>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</si>
  <si>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</si>
  <si>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</si>
  <si>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</si>
  <si>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</si>
  <si>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</si>
  <si>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</si>
  <si>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</si>
  <si>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</si>
  <si>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</si>
  <si>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</si>
  <si>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</si>
  <si>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</si>
  <si>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</si>
  <si>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</si>
  <si>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</si>
  <si>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</si>
  <si>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</si>
  <si>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</si>
  <si>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</si>
  <si>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</si>
  <si>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</si>
  <si>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</si>
  <si>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</si>
  <si>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</si>
  <si>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</si>
  <si>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</si>
  <si>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</si>
  <si>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</si>
  <si>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</si>
  <si>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</si>
  <si>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</si>
  <si>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</si>
  <si>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</si>
  <si>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</si>
  <si>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</si>
  <si>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</si>
  <si>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</si>
  <si>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</si>
  <si>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</si>
  <si>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</si>
  <si>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</si>
  <si>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</si>
  <si>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</si>
  <si>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</si>
  <si>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</si>
  <si>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</si>
  <si>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</si>
  <si>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</si>
  <si>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</si>
  <si>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</si>
  <si>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</si>
  <si>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</si>
  <si>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</si>
  <si>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</si>
  <si>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</si>
  <si>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</si>
  <si>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</si>
  <si>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</si>
  <si>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</si>
  <si>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</si>
  <si>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</si>
  <si>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</si>
  <si>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</si>
  <si>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</si>
  <si>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</si>
  <si>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</si>
  <si>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</si>
  <si>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</si>
  <si>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</si>
  <si>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</si>
  <si>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</si>
  <si>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</si>
  <si>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</si>
  <si>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</si>
  <si>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</si>
  <si>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</si>
  <si>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</si>
  <si>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</si>
  <si>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</si>
  <si>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</si>
  <si>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</si>
  <si>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</si>
  <si>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</si>
  <si>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</si>
  <si>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</si>
  <si>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</si>
  <si>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</si>
  <si>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</si>
  <si>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</si>
  <si>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</si>
  <si>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</si>
  <si>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</si>
  <si>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</si>
  <si>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</si>
  <si>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</si>
  <si>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</si>
  <si>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</si>
  <si>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</si>
  <si>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</si>
  <si>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</si>
  <si>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</si>
  <si>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</si>
  <si>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</si>
  <si>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</si>
  <si>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</si>
  <si>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</si>
  <si>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</si>
  <si>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</si>
  <si>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</si>
  <si>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</si>
  <si>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</si>
  <si>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</si>
  <si>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</si>
  <si>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</si>
  <si>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</si>
  <si>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</si>
  <si>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</si>
  <si>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</si>
  <si>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</si>
  <si>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</si>
  <si>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</si>
  <si>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</si>
  <si>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</si>
  <si>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</si>
  <si>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</si>
  <si>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</si>
  <si>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</si>
  <si>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</si>
  <si>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</si>
  <si>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</si>
  <si>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</si>
  <si>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</si>
  <si>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</si>
  <si>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</si>
  <si>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</si>
  <si>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</si>
  <si>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</si>
  <si>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</si>
  <si>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</si>
  <si>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</si>
  <si>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</si>
  <si>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</si>
  <si>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</si>
  <si>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</si>
  <si>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</si>
  <si>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</si>
  <si>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</si>
  <si>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</si>
  <si>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</si>
  <si>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</si>
  <si>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</si>
  <si>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</si>
  <si>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</si>
  <si>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</si>
  <si>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</si>
  <si>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</si>
  <si>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</si>
  <si>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</si>
  <si>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</si>
  <si>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</si>
  <si>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</si>
  <si>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</si>
  <si>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</si>
  <si>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</si>
  <si>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</si>
  <si>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</si>
  <si>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</si>
  <si>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</si>
  <si>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</si>
  <si>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</si>
  <si>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</si>
  <si>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</si>
  <si>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</si>
  <si>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</si>
  <si>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</si>
  <si>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</si>
  <si>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</si>
  <si>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</si>
  <si>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</si>
  <si>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</si>
  <si>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</si>
  <si>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</si>
  <si>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</si>
  <si>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</si>
  <si>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</si>
  <si>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</si>
  <si>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</si>
  <si>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</si>
  <si>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</si>
  <si>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</si>
  <si>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</si>
  <si>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</si>
  <si>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</si>
  <si>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</si>
  <si>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</si>
  <si>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</si>
  <si>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</si>
  <si>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</si>
  <si>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</si>
  <si>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</si>
  <si>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</si>
  <si>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</si>
  <si>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</si>
  <si>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</si>
  <si>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</si>
  <si>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</si>
  <si>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</si>
  <si>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</si>
  <si>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</si>
  <si>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</si>
  <si>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</si>
  <si>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</si>
  <si>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</si>
  <si>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</si>
  <si>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</si>
  <si>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</si>
  <si>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</si>
  <si>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</si>
  <si>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</si>
  <si>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</si>
  <si>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</si>
  <si>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</si>
  <si>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</si>
  <si>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</si>
  <si>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</si>
  <si>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</si>
  <si>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</si>
  <si>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</si>
  <si>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</si>
  <si>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</si>
  <si>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</si>
  <si>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</si>
  <si>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</si>
  <si>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</si>
  <si>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</si>
  <si>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</si>
  <si>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</si>
  <si>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</si>
  <si>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</si>
  <si>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</si>
  <si>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</si>
  <si>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</si>
  <si>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</si>
  <si>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</si>
  <si>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</si>
  <si>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</si>
  <si>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</si>
  <si>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</si>
  <si>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</si>
  <si>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</si>
  <si>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</si>
  <si>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</si>
  <si>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</si>
  <si>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</si>
  <si>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</si>
  <si>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</si>
  <si>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</si>
  <si>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</si>
  <si>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</si>
  <si>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</si>
  <si>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</si>
  <si>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</si>
  <si>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</si>
  <si>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</si>
  <si>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</si>
  <si>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</si>
  <si>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</si>
  <si>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</si>
  <si>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</si>
  <si>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</si>
  <si>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</si>
  <si>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</si>
  <si>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</si>
  <si>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</si>
  <si>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</si>
  <si>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</si>
  <si>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</si>
  <si>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</si>
  <si>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</si>
  <si>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</si>
  <si>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</si>
  <si>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</si>
  <si>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</si>
  <si>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</si>
  <si>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</si>
  <si>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</si>
  <si>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</si>
  <si>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</si>
  <si>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</si>
  <si>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</si>
  <si>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</si>
  <si>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</si>
  <si>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</si>
  <si>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</si>
  <si>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</si>
  <si>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</si>
  <si>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</si>
  <si>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</si>
  <si>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</si>
  <si>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</si>
  <si>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</si>
  <si>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</si>
  <si>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</si>
  <si>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</si>
  <si>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</si>
  <si>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</si>
  <si>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</si>
  <si>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</si>
  <si>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</si>
  <si>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</si>
  <si>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</si>
  <si>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</si>
  <si>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</si>
  <si>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</si>
  <si>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</si>
  <si>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</si>
  <si>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</si>
  <si>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</si>
  <si>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</si>
  <si>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</si>
  <si>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</si>
  <si>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</si>
  <si>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</si>
  <si>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</si>
  <si>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</si>
  <si>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</si>
  <si>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</si>
  <si>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</si>
  <si>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</si>
  <si>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</si>
  <si>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</si>
  <si>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</si>
  <si>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</si>
  <si>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</si>
  <si>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</si>
  <si>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</si>
  <si>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</si>
  <si>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</si>
  <si>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</si>
  <si>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</si>
  <si>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</si>
  <si>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</si>
  <si>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</si>
  <si>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</si>
  <si>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</si>
  <si>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</si>
  <si>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</si>
  <si>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</si>
  <si>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</si>
  <si>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</si>
  <si>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</si>
  <si>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</si>
  <si>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</si>
  <si>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</si>
  <si>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</si>
  <si>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</si>
  <si>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</si>
  <si>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</si>
  <si>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</si>
  <si>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</si>
  <si>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</si>
  <si>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</si>
  <si>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</si>
  <si>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</si>
  <si>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</si>
  <si>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</si>
  <si>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</si>
  <si>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</si>
  <si>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</si>
  <si>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</si>
  <si>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</si>
  <si>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</si>
  <si>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</si>
  <si>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</si>
  <si>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</si>
  <si>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</si>
  <si>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</si>
  <si>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</si>
  <si>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</si>
  <si>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</si>
  <si>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</si>
  <si>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</si>
  <si>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</si>
  <si>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</si>
  <si>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</si>
  <si>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</si>
  <si>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</si>
  <si>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</si>
  <si>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</si>
  <si>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</si>
  <si>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</si>
  <si>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</si>
  <si>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</si>
  <si>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</si>
  <si>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</si>
  <si>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</si>
  <si>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</si>
  <si>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</si>
  <si>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</si>
  <si>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</si>
  <si>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</si>
  <si>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</si>
  <si>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</si>
  <si>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</si>
  <si>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</si>
  <si>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</si>
  <si>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</si>
  <si>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</si>
  <si>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</si>
  <si>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</si>
  <si>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</si>
  <si>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</si>
  <si>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</si>
  <si>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</si>
  <si>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</si>
  <si>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</si>
  <si>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</si>
  <si>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</si>
  <si>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</si>
  <si>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</si>
  <si>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</si>
  <si>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</si>
  <si>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</si>
  <si>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</si>
  <si>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</si>
  <si>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</si>
  <si>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</si>
  <si>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</si>
  <si>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</si>
  <si>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</si>
  <si>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</si>
  <si>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</si>
  <si>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</si>
  <si>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</si>
  <si>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</si>
  <si>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</si>
  <si>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</si>
  <si>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</si>
  <si>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</si>
  <si>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</si>
  <si>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</si>
  <si>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</si>
  <si>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</si>
  <si>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</si>
  <si>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</si>
  <si>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</si>
  <si>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</si>
  <si>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</si>
  <si>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</si>
  <si>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</si>
  <si>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</si>
  <si>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</si>
  <si>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</si>
  <si>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</si>
  <si>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</si>
  <si>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</si>
  <si>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</si>
  <si>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</si>
  <si>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</si>
  <si>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</si>
  <si>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</si>
  <si>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</si>
  <si>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</si>
  <si>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</si>
  <si>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</si>
  <si>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</si>
  <si>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</si>
  <si>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</si>
  <si>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</si>
  <si>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</si>
  <si>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</si>
  <si>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</si>
  <si>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</si>
  <si>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</si>
  <si>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</si>
  <si>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</si>
  <si>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</si>
  <si>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</si>
  <si>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</si>
  <si>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</si>
  <si>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</si>
  <si>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</si>
  <si>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</si>
  <si>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</si>
  <si>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</si>
  <si>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</si>
  <si>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</si>
  <si>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</si>
  <si>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</si>
  <si>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</si>
  <si>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</si>
  <si>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</si>
  <si>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</si>
  <si>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</si>
  <si>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</si>
  <si>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</si>
  <si>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</si>
  <si>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</si>
  <si>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</si>
  <si>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</si>
  <si>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</si>
  <si>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</si>
  <si>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</si>
  <si>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</si>
  <si>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</si>
  <si>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</si>
  <si>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</si>
  <si>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</si>
  <si>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</si>
  <si>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</si>
  <si>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</si>
  <si>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</si>
  <si>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</si>
  <si>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</si>
  <si>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</si>
  <si>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</si>
  <si>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</si>
  <si>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</si>
  <si>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</si>
  <si>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</si>
  <si>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</si>
  <si>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</si>
  <si>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</si>
  <si>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</si>
  <si>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</si>
  <si>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</si>
  <si>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</si>
  <si>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</si>
  <si>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</si>
  <si>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</si>
  <si>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</si>
  <si>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</si>
  <si>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</si>
  <si>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</si>
  <si>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</si>
  <si>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</si>
  <si>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</si>
  <si>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</si>
  <si>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</si>
  <si>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</si>
  <si>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</si>
  <si>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</si>
  <si>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</si>
  <si>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</si>
  <si>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</si>
  <si>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</si>
  <si>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</si>
  <si>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</si>
  <si>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</si>
  <si>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</si>
  <si>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</si>
  <si>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</si>
  <si>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</si>
  <si>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</si>
  <si>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</si>
  <si>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</si>
  <si>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</si>
  <si>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</si>
  <si>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</si>
  <si>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</si>
  <si>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</si>
  <si>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</si>
  <si>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</si>
  <si>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</si>
  <si>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</si>
  <si>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</si>
  <si>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</si>
  <si>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</si>
  <si>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</si>
  <si>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</si>
  <si>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</si>
  <si>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</si>
  <si>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</si>
  <si>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</si>
  <si>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</si>
  <si>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</si>
  <si>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</si>
  <si>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</si>
  <si>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</si>
  <si>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</si>
  <si>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</si>
  <si>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</si>
  <si>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</si>
  <si>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</si>
  <si>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</si>
  <si>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</si>
  <si>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</si>
  <si>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</si>
  <si>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</si>
  <si>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</si>
  <si>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</si>
  <si>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</si>
  <si>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</si>
  <si>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</si>
  <si>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</si>
  <si>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</si>
  <si>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</si>
  <si>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</si>
  <si>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</si>
  <si>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</si>
  <si>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</si>
  <si>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</si>
  <si>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</si>
  <si>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</si>
  <si>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</si>
  <si>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</si>
  <si>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</si>
  <si>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</si>
  <si>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</si>
  <si>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</si>
  <si>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</si>
  <si>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</si>
  <si>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</si>
  <si>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</si>
  <si>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</si>
  <si>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</si>
  <si>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</si>
  <si>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</si>
  <si>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</si>
  <si>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</si>
  <si>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</si>
  <si>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</si>
  <si>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</si>
  <si>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</si>
  <si>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</si>
  <si>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</si>
  <si>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</si>
  <si>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</si>
  <si>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</si>
  <si>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</si>
  <si>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</si>
  <si>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</si>
  <si>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</si>
  <si>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</si>
  <si>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</si>
  <si>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</si>
  <si>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</si>
  <si>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</si>
  <si>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</si>
  <si>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</si>
  <si>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</si>
  <si>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</si>
  <si>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</si>
  <si>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</si>
  <si>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</si>
  <si>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</si>
  <si>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</si>
  <si>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</si>
  <si>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</si>
  <si>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</si>
  <si>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</si>
  <si>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</si>
  <si>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</si>
  <si>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</si>
  <si>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</si>
  <si>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</si>
  <si>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</si>
  <si>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</si>
  <si>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</si>
  <si>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</si>
  <si>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</si>
  <si>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</si>
  <si>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</si>
  <si>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</si>
  <si>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</si>
  <si>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</si>
  <si>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</si>
  <si>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</si>
  <si>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</si>
  <si>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</si>
  <si>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</si>
  <si>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</si>
  <si>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</si>
  <si>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</si>
  <si>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</si>
  <si>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</si>
  <si>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</si>
  <si>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</si>
  <si>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</si>
  <si>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</si>
  <si>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</si>
  <si>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</si>
  <si>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</si>
  <si>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</si>
  <si>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</si>
  <si>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</si>
  <si>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</si>
  <si>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</si>
  <si>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</si>
  <si>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</si>
  <si>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</si>
  <si>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</si>
  <si>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</si>
  <si>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</si>
  <si>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</si>
  <si>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</si>
  <si>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</si>
  <si>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</si>
  <si>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</si>
  <si>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</si>
  <si>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</si>
  <si>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</si>
  <si>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</si>
  <si>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</si>
  <si>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</si>
  <si>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</si>
  <si>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</si>
  <si>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</si>
  <si>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</si>
  <si>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</si>
  <si>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</si>
  <si>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</si>
  <si>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</si>
  <si>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</si>
  <si>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</si>
  <si>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</si>
  <si>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</si>
  <si>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</si>
  <si>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</si>
  <si>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</si>
  <si>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</si>
  <si>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</si>
  <si>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</si>
  <si>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</si>
  <si>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</si>
  <si>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</si>
  <si>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</si>
  <si>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</si>
  <si>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</si>
  <si>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</si>
  <si>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</si>
  <si>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</si>
  <si>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</si>
  <si>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</si>
  <si>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</si>
  <si>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</si>
  <si>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</si>
  <si>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</si>
  <si>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</si>
  <si>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</si>
  <si>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</si>
  <si>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</si>
  <si>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</si>
  <si>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</si>
  <si>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</si>
  <si>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</si>
  <si>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</si>
  <si>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</si>
  <si>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</si>
  <si>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</si>
  <si>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</si>
  <si>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</si>
  <si>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</si>
  <si>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</si>
  <si>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</si>
  <si>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</si>
  <si>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</si>
  <si>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</si>
  <si>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</si>
  <si>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</si>
  <si>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</si>
  <si>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</si>
  <si>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</si>
  <si>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</si>
  <si>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</si>
  <si>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</si>
  <si>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</si>
  <si>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</si>
  <si>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</si>
  <si>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</si>
  <si>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</si>
  <si>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</si>
  <si>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</si>
  <si>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</si>
  <si>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</si>
  <si>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</si>
  <si>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</si>
  <si>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</si>
  <si>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</si>
  <si>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</si>
  <si>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</si>
  <si>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</si>
  <si>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</si>
  <si>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</si>
  <si>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</si>
  <si>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</si>
  <si>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</si>
  <si>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</si>
  <si>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</si>
  <si>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</si>
  <si>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</si>
  <si>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</si>
  <si>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</si>
  <si>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</si>
  <si>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</si>
  <si>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</si>
  <si>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</si>
  <si>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</si>
  <si>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</si>
  <si>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</si>
  <si>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</si>
  <si>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</si>
  <si>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</si>
  <si>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</si>
  <si>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</si>
  <si>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</si>
  <si>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</si>
  <si>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</si>
  <si>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</si>
  <si>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</si>
  <si>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</si>
  <si>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</si>
  <si>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</si>
  <si>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</si>
  <si>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</si>
  <si>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</si>
  <si>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</si>
  <si>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</si>
  <si>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</si>
  <si>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</si>
  <si>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</si>
  <si>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</si>
  <si>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</si>
  <si>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</si>
  <si>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</si>
  <si>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</si>
  <si>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</si>
  <si>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</si>
  <si>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</si>
  <si>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</si>
  <si>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</si>
  <si>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</si>
  <si>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</si>
  <si>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</si>
  <si>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</si>
  <si>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</si>
  <si>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</si>
  <si>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</si>
  <si>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</si>
  <si>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</si>
  <si>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</si>
  <si>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</si>
  <si>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</si>
  <si>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</si>
  <si>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</si>
  <si>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</si>
  <si>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</si>
  <si>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</si>
  <si>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</si>
  <si>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</si>
  <si>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</si>
  <si>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</si>
  <si>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</si>
  <si>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</si>
  <si>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</si>
  <si>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</si>
  <si>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</si>
  <si>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</si>
  <si>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</si>
  <si>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</si>
  <si>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</si>
  <si>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</si>
  <si>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</si>
  <si>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</si>
  <si>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</si>
  <si>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</si>
  <si>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</si>
  <si>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</si>
  <si>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</si>
  <si>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</si>
  <si>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</si>
  <si>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</si>
  <si>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</si>
  <si>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</si>
  <si>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</si>
  <si>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</si>
  <si>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</si>
  <si>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</si>
  <si>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</si>
  <si>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</si>
  <si>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</si>
  <si>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</si>
  <si>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</si>
  <si>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</si>
  <si>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</si>
  <si>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</si>
  <si>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</si>
  <si>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</si>
  <si>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</si>
  <si>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</si>
  <si>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</si>
  <si>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</si>
  <si>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</si>
  <si>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</si>
  <si>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</si>
  <si>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</si>
  <si>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</si>
  <si>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</si>
  <si>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</si>
  <si>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</si>
  <si>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</si>
  <si>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</si>
  <si>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</si>
  <si>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</si>
  <si>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</si>
  <si>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</si>
  <si>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</si>
  <si>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</si>
  <si>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</si>
  <si>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</si>
  <si>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</si>
  <si>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</si>
  <si>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</si>
  <si>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</si>
  <si>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</si>
  <si>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</si>
  <si>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</si>
  <si>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</si>
  <si>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</si>
  <si>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</si>
  <si>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</si>
  <si>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</si>
  <si>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</si>
  <si>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</si>
  <si>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</si>
  <si>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</si>
  <si>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</si>
  <si>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</si>
  <si>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</si>
  <si>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</si>
  <si>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</si>
  <si>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</si>
  <si>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</si>
  <si>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</si>
  <si>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</si>
  <si>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</si>
  <si>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</si>
  <si>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</si>
  <si>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</si>
  <si>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</si>
  <si>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</si>
  <si>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</si>
  <si>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</si>
  <si>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</si>
  <si>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</si>
  <si>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</si>
  <si>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</si>
  <si>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</si>
  <si>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</si>
  <si>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</si>
  <si>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</si>
  <si>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</si>
  <si>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</si>
  <si>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</si>
  <si>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</si>
  <si>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</si>
  <si>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</si>
  <si>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</si>
  <si>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</si>
  <si>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</si>
  <si>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</si>
  <si>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</si>
  <si>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</si>
  <si>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</si>
  <si>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</si>
  <si>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</si>
  <si>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</si>
  <si>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</si>
  <si>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</si>
  <si>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</si>
  <si>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</si>
  <si>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</si>
  <si>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</si>
  <si>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</si>
  <si>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</si>
  <si>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</si>
  <si>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</si>
  <si>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</si>
  <si>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</si>
  <si>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</si>
  <si>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</si>
  <si>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</si>
  <si>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</si>
  <si>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</si>
  <si>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</si>
  <si>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</si>
  <si>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</si>
  <si>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</si>
  <si>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</si>
  <si>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</si>
  <si>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</si>
  <si>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</si>
  <si>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</si>
  <si>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</si>
  <si>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</si>
  <si>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</si>
  <si>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</si>
  <si>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</si>
  <si>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</si>
  <si>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</si>
  <si>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</si>
  <si>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</si>
  <si>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</si>
  <si>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</si>
  <si>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</si>
  <si>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</si>
  <si>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</si>
  <si>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</si>
  <si>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</si>
  <si>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</si>
  <si>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</si>
  <si>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</si>
  <si>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</si>
  <si>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</si>
  <si>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</si>
  <si>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</si>
  <si>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</si>
  <si>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</si>
  <si>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</si>
  <si>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</si>
  <si>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</si>
  <si>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</si>
  <si>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</si>
  <si>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</si>
  <si>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</si>
  <si>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</si>
  <si>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</si>
  <si>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</si>
  <si>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</si>
  <si>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</si>
  <si>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</si>
  <si>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</si>
  <si>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</si>
  <si>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</si>
  <si>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</si>
  <si>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</si>
  <si>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</si>
  <si>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</si>
  <si>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</si>
  <si>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</si>
  <si>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</si>
  <si>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</si>
  <si>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</si>
  <si>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</si>
  <si>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</si>
  <si>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</si>
  <si>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</si>
  <si>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</si>
  <si>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</si>
  <si>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</si>
  <si>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</si>
  <si>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</si>
  <si>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</si>
  <si>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</si>
  <si>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</si>
  <si>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</si>
  <si>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</si>
  <si>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</si>
  <si>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</si>
  <si>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</si>
  <si>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</si>
  <si>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</si>
  <si>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</si>
  <si>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</si>
  <si>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</si>
  <si>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</si>
  <si>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</si>
  <si>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</si>
  <si>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</si>
  <si>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</si>
  <si>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</si>
  <si>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</si>
  <si>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</si>
  <si>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</si>
  <si>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</si>
  <si>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</si>
  <si>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</si>
  <si>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</si>
  <si>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</si>
  <si>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</si>
  <si>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</si>
  <si>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</si>
  <si>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</si>
  <si>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</si>
  <si>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</si>
  <si>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</si>
  <si>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</si>
  <si>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</si>
  <si>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</si>
  <si>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</si>
  <si>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</si>
  <si>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</si>
  <si>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</si>
  <si>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</si>
  <si>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</si>
  <si>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</si>
  <si>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</si>
  <si>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</si>
  <si>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</si>
  <si>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</si>
  <si>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</si>
  <si>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</si>
  <si>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</si>
  <si>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</si>
  <si>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</si>
  <si>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</si>
  <si>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</si>
  <si>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</si>
  <si>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</si>
  <si>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</si>
  <si>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</si>
  <si>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</si>
  <si>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</si>
  <si>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</si>
  <si>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</si>
  <si>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</si>
  <si>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</si>
  <si>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</si>
  <si>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</si>
  <si>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</si>
  <si>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</si>
  <si>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</si>
  <si>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</si>
  <si>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</si>
  <si>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</si>
  <si>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</si>
  <si>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</si>
  <si>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</si>
  <si>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</si>
  <si>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</si>
  <si>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</si>
  <si>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</si>
  <si>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</si>
  <si>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</si>
  <si>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</si>
  <si>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</si>
  <si>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</si>
  <si>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</si>
  <si>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</si>
  <si>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</si>
  <si>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</si>
  <si>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</si>
  <si>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</si>
  <si>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</si>
  <si>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</si>
  <si>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</si>
  <si>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</si>
  <si>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</si>
  <si>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</si>
  <si>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</si>
  <si>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</si>
  <si>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</si>
  <si>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</si>
  <si>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</si>
  <si>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</si>
  <si>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</si>
  <si>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</si>
  <si>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</si>
  <si>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</si>
  <si>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</si>
  <si>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</si>
  <si>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</si>
  <si>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</si>
  <si>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</si>
  <si>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</si>
  <si>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</si>
  <si>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</si>
  <si>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</si>
  <si>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</si>
  <si>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</si>
  <si>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</si>
  <si>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</si>
  <si>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</si>
  <si>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</si>
  <si>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</si>
  <si>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</si>
  <si>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</si>
  <si>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</si>
  <si>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</si>
  <si>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</si>
  <si>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</si>
  <si>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</si>
  <si>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</si>
  <si>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</si>
  <si>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</si>
  <si>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</si>
  <si>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</si>
  <si>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</si>
  <si>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</si>
  <si>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</si>
  <si>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</si>
  <si>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</si>
  <si>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</si>
  <si>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</si>
  <si>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</si>
  <si>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</si>
  <si>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</si>
  <si>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</si>
  <si>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</si>
  <si>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</si>
  <si>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</si>
  <si>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</si>
  <si>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</si>
  <si>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</si>
  <si>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</si>
  <si>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</si>
  <si>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</si>
  <si>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</si>
  <si>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</si>
  <si>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</si>
  <si>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</si>
  <si>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</si>
  <si>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</si>
  <si>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</si>
  <si>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</si>
  <si>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</si>
  <si>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</si>
  <si>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</si>
  <si>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</si>
  <si>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</si>
  <si>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</si>
  <si>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</si>
  <si>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</si>
  <si>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</si>
  <si>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</si>
  <si>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</si>
  <si>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</si>
  <si>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</si>
  <si>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</si>
  <si>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</si>
  <si>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</si>
  <si>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</si>
  <si>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</si>
  <si>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</si>
  <si>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</si>
  <si>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</si>
  <si>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</si>
  <si>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</si>
  <si>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</si>
  <si>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</si>
  <si>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</si>
  <si>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</si>
  <si>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</si>
  <si>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</si>
  <si>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</si>
  <si>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</si>
  <si>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</si>
  <si>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</si>
  <si>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</si>
  <si>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</si>
  <si>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</si>
  <si>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</si>
  <si>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</si>
  <si>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</si>
  <si>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</si>
  <si>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</si>
  <si>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</si>
  <si>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</si>
  <si>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</si>
  <si>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</si>
  <si>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</si>
  <si>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</si>
  <si>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</si>
  <si>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</si>
  <si>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</si>
  <si>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</si>
  <si>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</si>
  <si>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</si>
  <si>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</si>
  <si>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</si>
  <si>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</si>
  <si>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</si>
  <si>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</si>
  <si>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</si>
  <si>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</si>
  <si>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</si>
  <si>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</si>
  <si>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</si>
  <si>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</si>
  <si>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</si>
  <si>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</si>
  <si>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</si>
  <si>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</si>
  <si>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</si>
  <si>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</si>
  <si>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</si>
  <si>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</si>
  <si>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</si>
  <si>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</si>
  <si>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</si>
  <si>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</si>
  <si>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</si>
  <si>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</si>
  <si>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</si>
  <si>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</si>
  <si>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</si>
  <si>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</si>
  <si>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</si>
  <si>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</si>
  <si>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</si>
  <si>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</si>
  <si>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</si>
  <si>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</si>
  <si>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</si>
  <si>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</si>
  <si>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</si>
  <si>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</si>
  <si>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</si>
  <si>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</si>
  <si>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</si>
  <si>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</si>
  <si>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</si>
  <si>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</si>
  <si>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</si>
  <si>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</si>
  <si>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</si>
  <si>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</si>
  <si>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</si>
  <si>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</si>
  <si>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</si>
  <si>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</si>
  <si>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</si>
  <si>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</si>
  <si>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</si>
  <si>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</si>
  <si>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</si>
  <si>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</si>
  <si>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</si>
  <si>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</si>
  <si>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</si>
  <si>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</si>
  <si>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</si>
  <si>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</si>
  <si>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</si>
  <si>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</si>
  <si>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</si>
  <si>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</si>
  <si>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</si>
  <si>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</si>
  <si>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</si>
  <si>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</si>
  <si>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</si>
  <si>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</si>
  <si>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</si>
  <si>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</si>
  <si>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</si>
  <si>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</si>
  <si>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</si>
  <si>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</si>
  <si>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</si>
  <si>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</si>
  <si>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</si>
  <si>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</si>
  <si>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</si>
  <si>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</si>
  <si>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</si>
  <si>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</si>
  <si>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</si>
  <si>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</si>
  <si>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</si>
  <si>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</si>
  <si>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</si>
  <si>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</si>
  <si>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</si>
  <si>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</si>
  <si>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</si>
  <si>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</si>
  <si>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</si>
  <si>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</si>
  <si>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</si>
  <si>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</si>
  <si>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</si>
  <si>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</si>
  <si>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</si>
  <si>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</si>
  <si>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</si>
  <si>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</si>
  <si>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</si>
  <si>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</si>
  <si>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</si>
  <si>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</si>
  <si>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</si>
  <si>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</si>
  <si>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</si>
  <si>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</si>
  <si>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</si>
  <si>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</si>
  <si>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</si>
  <si>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</si>
  <si>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</si>
  <si>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</si>
  <si>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</si>
  <si>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</si>
  <si>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</si>
  <si>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</si>
  <si>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</si>
  <si>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</si>
  <si>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</si>
  <si>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</si>
  <si>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</si>
  <si>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</si>
  <si>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</si>
  <si>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</si>
  <si>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</si>
  <si>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</si>
  <si>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</si>
  <si>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</si>
  <si>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</si>
  <si>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</si>
  <si>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</si>
  <si>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</si>
  <si>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</si>
  <si>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</si>
  <si>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</si>
  <si>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</si>
  <si>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</si>
  <si>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</si>
  <si>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</si>
  <si>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</si>
  <si>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</si>
  <si>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</si>
  <si>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</si>
  <si>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</si>
  <si>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</si>
  <si>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</si>
  <si>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</si>
  <si>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</si>
  <si>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</si>
  <si>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</si>
  <si>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</si>
  <si>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</si>
  <si>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</si>
  <si>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</si>
  <si>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</si>
  <si>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</si>
  <si>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</si>
  <si>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</si>
  <si>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</si>
  <si>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</si>
  <si>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</si>
  <si>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</si>
  <si>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</si>
  <si>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</si>
  <si>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</si>
  <si>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</si>
  <si>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</si>
  <si>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</si>
  <si>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</si>
  <si>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</si>
  <si>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</si>
  <si>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</si>
  <si>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</si>
  <si>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</si>
  <si>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</si>
  <si>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</si>
  <si>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</si>
  <si>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</si>
  <si>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</si>
  <si>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</si>
  <si>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</si>
  <si>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</si>
  <si>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</si>
  <si>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</si>
  <si>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</si>
  <si>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</si>
  <si>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</si>
  <si>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</si>
  <si>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</si>
  <si>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</si>
  <si>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</si>
  <si>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</si>
  <si>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</si>
  <si>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</si>
  <si>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</si>
  <si>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</si>
  <si>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</si>
  <si>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</si>
  <si>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</si>
  <si>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</si>
  <si>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</si>
  <si>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</si>
  <si>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</si>
  <si>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</si>
  <si>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</si>
  <si>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</si>
  <si>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</si>
  <si>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</si>
  <si>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</si>
  <si>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</si>
  <si>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</si>
  <si>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</si>
  <si>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</si>
  <si>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</si>
  <si>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</si>
  <si>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</si>
  <si>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</si>
  <si>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</si>
  <si>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</si>
  <si>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</si>
  <si>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</si>
  <si>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</si>
  <si>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</si>
  <si>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</si>
  <si>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</si>
  <si>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</si>
  <si>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</si>
  <si>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</si>
  <si>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</si>
  <si>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</si>
  <si>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</si>
  <si>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</si>
  <si>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</si>
  <si>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</si>
  <si>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</si>
  <si>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</si>
  <si>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</si>
  <si>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</si>
  <si>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</si>
  <si>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</si>
  <si>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</si>
  <si>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</si>
  <si>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</si>
  <si>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</si>
  <si>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</si>
  <si>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</si>
  <si>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</si>
  <si>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</si>
  <si>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</si>
  <si>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</si>
  <si>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</si>
  <si>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</si>
  <si>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</si>
  <si>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</si>
  <si>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</si>
  <si>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</si>
  <si>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</si>
  <si>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</si>
  <si>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</si>
  <si>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</si>
  <si>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</si>
  <si>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</si>
  <si>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</si>
  <si>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</si>
  <si>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</si>
  <si>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</si>
  <si>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</si>
  <si>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</si>
  <si>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</si>
  <si>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</si>
  <si>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</si>
  <si>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</si>
  <si>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</si>
  <si>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</si>
  <si>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</si>
  <si>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</si>
  <si>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</si>
  <si>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</si>
  <si>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</si>
  <si>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</si>
  <si>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</si>
  <si>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</si>
  <si>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</si>
  <si>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</si>
  <si>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</si>
  <si>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</si>
  <si>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</si>
  <si>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</si>
  <si>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</si>
  <si>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</si>
  <si>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</si>
  <si>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</si>
  <si>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</si>
  <si>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</si>
  <si>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</si>
  <si>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</si>
  <si>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</si>
  <si>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</si>
  <si>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</si>
  <si>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</si>
  <si>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</si>
  <si>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</si>
  <si>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</si>
  <si>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</si>
  <si>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</si>
  <si>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</si>
  <si>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</si>
  <si>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</si>
  <si>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</si>
  <si>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</si>
  <si>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</si>
  <si>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</si>
  <si>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</si>
  <si>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</si>
  <si>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</si>
  <si>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</si>
  <si>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</si>
  <si>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</si>
  <si>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</si>
  <si>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</si>
  <si>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</si>
  <si>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</si>
  <si>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</si>
  <si>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</si>
  <si>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</si>
  <si>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</si>
  <si>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</si>
  <si>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</si>
  <si>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</si>
  <si>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</si>
  <si>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</si>
  <si>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</si>
  <si>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</si>
  <si>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</si>
  <si>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</si>
  <si>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</si>
  <si>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</si>
  <si>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</si>
  <si>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</si>
  <si>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</si>
  <si>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</si>
  <si>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</si>
  <si>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</si>
  <si>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</si>
  <si>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</si>
  <si>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</si>
  <si>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</si>
  <si>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</si>
  <si>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</si>
  <si>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</si>
  <si>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</si>
  <si>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</si>
  <si>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</si>
  <si>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</si>
  <si>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</si>
  <si>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</si>
  <si>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</si>
  <si>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</si>
  <si>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</si>
  <si>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</si>
  <si>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</si>
  <si>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</si>
  <si>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</si>
  <si>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</si>
  <si>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</si>
  <si>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</si>
  <si>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</si>
  <si>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</si>
  <si>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</si>
  <si>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</si>
  <si>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</si>
  <si>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</si>
  <si>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</si>
  <si>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</si>
  <si>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</si>
  <si>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</si>
  <si>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</si>
  <si>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</si>
  <si>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</si>
  <si>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</si>
  <si>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</si>
  <si>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</si>
  <si>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</si>
  <si>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</si>
  <si>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</si>
  <si>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</si>
  <si>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</si>
  <si>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</si>
  <si>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</si>
  <si>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</si>
  <si>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</si>
  <si>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</si>
  <si>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</si>
  <si>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</si>
  <si>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</si>
  <si>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</si>
  <si>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</si>
  <si>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</si>
  <si>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</si>
  <si>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</si>
  <si>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</si>
  <si>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</si>
  <si>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</si>
  <si>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</si>
  <si>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</si>
  <si>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</si>
  <si>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</si>
  <si>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</si>
  <si>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</si>
  <si>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</si>
  <si>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</si>
  <si>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</si>
  <si>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</si>
  <si>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</si>
  <si>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</si>
  <si>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</si>
  <si>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</si>
  <si>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</si>
  <si>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</si>
  <si>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</si>
  <si>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</si>
  <si>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</si>
  <si>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</si>
  <si>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</si>
  <si>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</si>
  <si>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</si>
  <si>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</si>
  <si>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</si>
  <si>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</si>
  <si>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</si>
  <si>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</si>
  <si>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</si>
  <si>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</si>
  <si>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</si>
  <si>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</si>
  <si>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</si>
  <si>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</si>
  <si>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</si>
  <si>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</si>
  <si>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</si>
  <si>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</si>
  <si>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</si>
  <si>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</si>
  <si>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</si>
  <si>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</si>
  <si>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</si>
  <si>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</si>
  <si>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</si>
  <si>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</si>
  <si>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</si>
  <si>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</si>
  <si>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</si>
  <si>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</si>
  <si>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</si>
  <si>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</si>
  <si>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</si>
  <si>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</si>
  <si>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</si>
  <si>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</si>
  <si>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</si>
  <si>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</si>
  <si>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</si>
  <si>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</si>
  <si>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</si>
  <si>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</si>
  <si>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</si>
  <si>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</si>
  <si>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</si>
  <si>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</si>
  <si>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</si>
  <si>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</si>
  <si>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</si>
  <si>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</si>
  <si>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</si>
  <si>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</si>
  <si>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</si>
  <si>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</si>
  <si>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</si>
  <si>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</si>
  <si>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</si>
  <si>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</si>
  <si>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</si>
  <si>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</si>
  <si>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</si>
  <si>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</si>
  <si>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</si>
  <si>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</si>
  <si>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</si>
  <si>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</si>
  <si>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</si>
  <si>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</si>
  <si>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</si>
  <si>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</si>
  <si>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</si>
  <si>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</si>
  <si>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</si>
  <si>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</si>
  <si>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</si>
  <si>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</si>
  <si>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</si>
  <si>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</si>
  <si>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</si>
  <si>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</si>
  <si>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</si>
  <si>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</si>
  <si>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</si>
  <si>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</si>
  <si>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</si>
  <si>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</si>
  <si>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</si>
  <si>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</si>
  <si>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</si>
  <si>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</si>
  <si>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</si>
  <si>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</si>
  <si>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</si>
  <si>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</si>
  <si>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</si>
  <si>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</si>
  <si>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</si>
  <si>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</si>
  <si>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</si>
  <si>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</si>
  <si>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</si>
  <si>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</si>
  <si>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</si>
  <si>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</si>
  <si>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</si>
  <si>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</si>
  <si>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</si>
  <si>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</si>
  <si>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</si>
  <si>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</si>
  <si>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</si>
  <si>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</si>
  <si>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</si>
  <si>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</si>
  <si>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</si>
  <si>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</si>
  <si>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</si>
  <si>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Montego</t>
  </si>
  <si>
    <t>Aviso</t>
  </si>
  <si>
    <t>Prot_Yield</t>
  </si>
  <si>
    <t>Oil_Yield</t>
  </si>
  <si>
    <t>CROP</t>
  </si>
  <si>
    <t>Crop</t>
  </si>
  <si>
    <t>Seed_Impurities</t>
  </si>
  <si>
    <t>Glucosinolates</t>
  </si>
  <si>
    <t>temoin_1</t>
  </si>
  <si>
    <t>temoin_2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</si>
  <si>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</si>
  <si>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</si>
  <si>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</si>
  <si>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</si>
  <si>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</si>
  <si>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</si>
  <si>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</si>
  <si>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</si>
  <si>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</si>
  <si>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</si>
  <si>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</si>
  <si>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</si>
  <si>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</si>
  <si>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</si>
  <si>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</si>
  <si>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</si>
  <si>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</si>
  <si>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</si>
  <si>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</si>
  <si>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</si>
  <si>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</si>
  <si>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</si>
  <si>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</si>
  <si>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</si>
  <si>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</si>
  <si>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</si>
  <si>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</si>
  <si>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</si>
  <si>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</si>
  <si>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</si>
  <si>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</si>
  <si>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</si>
  <si>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</si>
  <si>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</si>
  <si>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</si>
  <si>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</si>
  <si>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</si>
  <si>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</si>
  <si>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</si>
  <si>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</si>
  <si>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</si>
  <si>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</si>
  <si>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</si>
  <si>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</si>
  <si>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</si>
  <si>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</si>
  <si>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</si>
  <si>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</si>
  <si>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</si>
  <si>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</si>
  <si>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</si>
  <si>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</si>
  <si>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</si>
  <si>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</si>
  <si>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</si>
  <si>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</si>
  <si>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</si>
  <si>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</si>
  <si>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</si>
  <si>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</si>
  <si>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</si>
  <si>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</si>
  <si>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</si>
  <si>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</si>
  <si>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</si>
  <si>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</si>
  <si>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</si>
  <si>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</si>
  <si>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</si>
  <si>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</si>
  <si>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</si>
  <si>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</si>
  <si>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</si>
  <si>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</si>
  <si>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</si>
  <si>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</si>
  <si>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</si>
  <si>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</si>
  <si>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</si>
  <si>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</si>
  <si>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</si>
  <si>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</si>
  <si>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</si>
  <si>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</si>
  <si>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</si>
  <si>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</si>
  <si>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</si>
  <si>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</si>
  <si>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</si>
  <si>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</si>
  <si>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</si>
  <si>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</si>
  <si>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</si>
  <si>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</si>
  <si>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</si>
  <si>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</si>
  <si>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</si>
  <si>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</si>
  <si>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</si>
  <si>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</si>
  <si>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</si>
  <si>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</si>
  <si>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</si>
  <si>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</si>
  <si>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</si>
  <si>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</si>
  <si>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</si>
  <si>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</si>
  <si>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</si>
  <si>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</si>
  <si>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</si>
  <si>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</si>
  <si>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</si>
  <si>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</si>
  <si>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</si>
  <si>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</si>
  <si>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</si>
  <si>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</si>
  <si>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</si>
  <si>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</si>
  <si>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</si>
  <si>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</si>
  <si>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</si>
  <si>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</si>
  <si>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</si>
  <si>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</si>
  <si>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</si>
  <si>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</si>
  <si>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</si>
  <si>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</si>
  <si>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</si>
  <si>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</si>
  <si>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</si>
  <si>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</si>
  <si>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</si>
  <si>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</si>
  <si>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</si>
  <si>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</si>
  <si>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</si>
  <si>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</si>
  <si>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</si>
  <si>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</si>
  <si>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</si>
  <si>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</si>
  <si>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</si>
  <si>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</si>
  <si>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</si>
  <si>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</si>
  <si>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</si>
  <si>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</si>
  <si>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</si>
  <si>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</si>
  <si>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</si>
  <si>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</si>
  <si>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</si>
  <si>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</si>
  <si>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</si>
  <si>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</si>
  <si>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</si>
  <si>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</si>
  <si>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</si>
  <si>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</si>
  <si>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</si>
  <si>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</si>
  <si>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</si>
  <si>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</si>
  <si>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</si>
  <si>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</si>
  <si>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</si>
  <si>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</si>
  <si>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</si>
  <si>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</si>
  <si>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</si>
  <si>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</si>
  <si>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</si>
  <si>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</si>
  <si>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</si>
  <si>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</si>
  <si>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</si>
  <si>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</si>
  <si>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</si>
  <si>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</si>
  <si>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</si>
  <si>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</si>
  <si>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</si>
  <si>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</si>
  <si>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</si>
  <si>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</si>
  <si>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</si>
  <si>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</si>
  <si>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</si>
  <si>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</si>
  <si>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</si>
  <si>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</si>
  <si>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</si>
  <si>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</si>
  <si>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</si>
  <si>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</si>
  <si>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</si>
  <si>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</si>
  <si>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</si>
  <si>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</si>
  <si>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</si>
  <si>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</si>
  <si>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</si>
  <si>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</si>
  <si>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</si>
  <si>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</si>
  <si>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</si>
  <si>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</si>
  <si>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</si>
  <si>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</si>
  <si>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</si>
  <si>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</si>
  <si>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</si>
  <si>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</si>
  <si>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</si>
  <si>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</si>
  <si>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</si>
  <si>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</si>
  <si>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</si>
  <si>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</si>
  <si>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</si>
  <si>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rep</t>
  </si>
  <si>
    <t>répétition</t>
  </si>
  <si>
    <t>Nom de la demande</t>
  </si>
  <si>
    <t>Pas de temps</t>
  </si>
  <si>
    <t>Journalier</t>
  </si>
  <si>
    <t>Date de début</t>
  </si>
  <si>
    <t>Date de fin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</si>
  <si>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</si>
  <si>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</si>
  <si>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</si>
  <si>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</si>
  <si>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</si>
  <si>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</si>
  <si>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</si>
  <si>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</si>
  <si>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</si>
  <si>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</si>
  <si>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INN3</t>
  </si>
  <si>
    <t>INN2</t>
  </si>
  <si>
    <t>INN1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</si>
  <si>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</si>
  <si>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</si>
  <si>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</si>
  <si>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</si>
  <si>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</si>
  <si>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</si>
  <si>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</si>
  <si>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</si>
  <si>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</si>
  <si>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</si>
  <si>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</si>
  <si>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</si>
  <si>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</si>
  <si>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</si>
  <si>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</si>
  <si>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Action</t>
  </si>
  <si>
    <t>Produits</t>
  </si>
  <si>
    <t>Cibles</t>
  </si>
  <si>
    <t>Détails</t>
  </si>
  <si>
    <t>Meteo_data</t>
  </si>
  <si>
    <t>Soil_data</t>
  </si>
  <si>
    <t>INN_data</t>
  </si>
  <si>
    <t>Parcellaire_data</t>
  </si>
  <si>
    <t>ITK_data</t>
  </si>
  <si>
    <t>Excel</t>
  </si>
  <si>
    <t>See tab</t>
  </si>
  <si>
    <t>NA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</si>
  <si>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</si>
  <si>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</si>
  <si>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</si>
  <si>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</si>
  <si>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</si>
  <si>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</si>
  <si>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</si>
  <si>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</si>
  <si>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</si>
  <si>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</si>
  <si>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</si>
  <si>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AM_Dij13</t>
  </si>
  <si>
    <t>AM13DIJ</t>
  </si>
  <si>
    <t>Nesi</t>
  </si>
  <si>
    <t>Nathalie</t>
  </si>
  <si>
    <t>nathalie.nesi@rennes.inra.fr</t>
  </si>
  <si>
    <t>IGEPP</t>
  </si>
  <si>
    <t>RAPSODYN</t>
  </si>
  <si>
    <t>jolly</t>
  </si>
  <si>
    <t>guillaume</t>
  </si>
  <si>
    <t>jolly@cetiom.fr</t>
  </si>
  <si>
    <t>CETIOM</t>
  </si>
  <si>
    <t>Epoisses</t>
  </si>
  <si>
    <t>FRA_21_EPOI</t>
  </si>
  <si>
    <t>CET</t>
  </si>
  <si>
    <t>pinochet</t>
  </si>
  <si>
    <t>xavier</t>
  </si>
  <si>
    <t>pinochet@cetiom.fr</t>
  </si>
  <si>
    <t>Le sol a une texture argile limoneuse et une profondeur de 60cm en dessous on tombe sur un sol de graviers.</t>
  </si>
  <si>
    <t>Analyse réalisé par SAS Laboratoire</t>
  </si>
  <si>
    <t>Horizons</t>
  </si>
  <si>
    <t>0-30</t>
  </si>
  <si>
    <t>30-60</t>
  </si>
  <si>
    <t>Analyse granulométrique  après décarbonatation</t>
  </si>
  <si>
    <t>argile</t>
  </si>
  <si>
    <t>32.4</t>
  </si>
  <si>
    <t>33.9</t>
  </si>
  <si>
    <t>limons fins</t>
  </si>
  <si>
    <t>31.2</t>
  </si>
  <si>
    <t>28.9</t>
  </si>
  <si>
    <t>limons grossiers</t>
  </si>
  <si>
    <t>28.1</t>
  </si>
  <si>
    <t>24.3</t>
  </si>
  <si>
    <t>sables fins</t>
  </si>
  <si>
    <t>3.0</t>
  </si>
  <si>
    <t>2.9</t>
  </si>
  <si>
    <t>sables grossiers</t>
  </si>
  <si>
    <t>2.0</t>
  </si>
  <si>
    <t>2.3</t>
  </si>
  <si>
    <t>Analyse chimique</t>
  </si>
  <si>
    <t>CEC</t>
  </si>
  <si>
    <t>18.9</t>
  </si>
  <si>
    <t>17.6</t>
  </si>
  <si>
    <t>pHeau</t>
  </si>
  <si>
    <t>7.8</t>
  </si>
  <si>
    <t>8.3</t>
  </si>
  <si>
    <t>pH kcl</t>
  </si>
  <si>
    <t>8.2</t>
  </si>
  <si>
    <t>CaCO3 (%)</t>
  </si>
  <si>
    <t>1.2</t>
  </si>
  <si>
    <t>5.5</t>
  </si>
  <si>
    <t>MO (%)</t>
  </si>
  <si>
    <t>2.2</t>
  </si>
  <si>
    <t>Prélèvement du 05/09/12</t>
  </si>
  <si>
    <t>0-30cm</t>
  </si>
  <si>
    <t>30-60cm</t>
  </si>
  <si>
    <t>% humidité du sol brut</t>
  </si>
  <si>
    <t>azote ammoniacal</t>
  </si>
  <si>
    <t>(NH4-N) en kg/ha</t>
  </si>
  <si>
    <t>Azote nitrique</t>
  </si>
  <si>
    <t>(NO3-N) en kg/ha</t>
  </si>
  <si>
    <t>Azote minéral total</t>
  </si>
  <si>
    <t>en kg/ha</t>
  </si>
  <si>
    <t>prélèvement du 12/02/13</t>
  </si>
  <si>
    <t>10/09/2013</t>
  </si>
  <si>
    <t>B2</t>
  </si>
  <si>
    <t>B3</t>
  </si>
  <si>
    <t>N2 B1</t>
  </si>
  <si>
    <t>N2 B2</t>
  </si>
  <si>
    <t>N2 B3</t>
  </si>
  <si>
    <t>N1 B1</t>
  </si>
  <si>
    <t>N1 B2</t>
  </si>
  <si>
    <t>N1 B3</t>
  </si>
  <si>
    <r>
      <t xml:space="preserve">Deux échantillons différents sont identifiés : 1/5 des plantes et 4/5 des plantes </t>
    </r>
    <r>
      <rPr>
        <b/>
        <sz val="10"/>
        <color rgb="FFFF0000"/>
        <rFont val="Arial"/>
        <family val="2"/>
      </rPr>
      <t>==&gt; Ici ce n'est pas le cas</t>
    </r>
  </si>
  <si>
    <t>α plan</t>
  </si>
  <si>
    <t>AM014</t>
  </si>
  <si>
    <t>AM015</t>
  </si>
  <si>
    <t>AM016</t>
  </si>
  <si>
    <t>AM018</t>
  </si>
  <si>
    <t>AM019</t>
  </si>
  <si>
    <t>AM020</t>
  </si>
  <si>
    <t>AM022</t>
  </si>
  <si>
    <t>AM027</t>
  </si>
  <si>
    <t>AM028</t>
  </si>
  <si>
    <t>AM030</t>
  </si>
  <si>
    <t>AM032</t>
  </si>
  <si>
    <t>AM034</t>
  </si>
  <si>
    <t>AM037</t>
  </si>
  <si>
    <t>AM038</t>
  </si>
  <si>
    <t>AM040</t>
  </si>
  <si>
    <t>AM046</t>
  </si>
  <si>
    <t>AM048</t>
  </si>
  <si>
    <t>AM050</t>
  </si>
  <si>
    <t>AM052</t>
  </si>
  <si>
    <t>AM053</t>
  </si>
  <si>
    <t>AM055</t>
  </si>
  <si>
    <t>AM056</t>
  </si>
  <si>
    <t>AM057</t>
  </si>
  <si>
    <t>AM059</t>
  </si>
  <si>
    <t>AM060</t>
  </si>
  <si>
    <t>AM061</t>
  </si>
  <si>
    <t>AM062</t>
  </si>
  <si>
    <t>AM067</t>
  </si>
  <si>
    <t>AM068</t>
  </si>
  <si>
    <t>AM069</t>
  </si>
  <si>
    <t>AM073</t>
  </si>
  <si>
    <t>AM074</t>
  </si>
  <si>
    <t>AM078</t>
  </si>
  <si>
    <t>AM080</t>
  </si>
  <si>
    <t>AM082</t>
  </si>
  <si>
    <t>AM084</t>
  </si>
  <si>
    <t>AM086</t>
  </si>
  <si>
    <t>AM087</t>
  </si>
  <si>
    <t>AM088</t>
  </si>
  <si>
    <t>AM090</t>
  </si>
  <si>
    <t>AM091</t>
  </si>
  <si>
    <t>AM092</t>
  </si>
  <si>
    <t>AM093</t>
  </si>
  <si>
    <t>AM094</t>
  </si>
  <si>
    <t>AM096</t>
  </si>
  <si>
    <t>AM098</t>
  </si>
  <si>
    <t>AM101</t>
  </si>
  <si>
    <t>AM106</t>
  </si>
  <si>
    <t>AM107</t>
  </si>
  <si>
    <t>AM109</t>
  </si>
  <si>
    <t>AM111</t>
  </si>
  <si>
    <t>AM120</t>
  </si>
  <si>
    <t>AM125</t>
  </si>
  <si>
    <t>AM127</t>
  </si>
  <si>
    <t>AM129</t>
  </si>
  <si>
    <t>AM130</t>
  </si>
  <si>
    <t>AM131</t>
  </si>
  <si>
    <t>AM133</t>
  </si>
  <si>
    <t>AM138</t>
  </si>
  <si>
    <t>AM139</t>
  </si>
  <si>
    <t>AM143</t>
  </si>
  <si>
    <t>AM146</t>
  </si>
  <si>
    <t>AM147</t>
  </si>
  <si>
    <t>AM148</t>
  </si>
  <si>
    <t>AM156</t>
  </si>
  <si>
    <t>AM158</t>
  </si>
  <si>
    <t>AM161</t>
  </si>
  <si>
    <t>AM167</t>
  </si>
  <si>
    <t>AM168</t>
  </si>
  <si>
    <t>AM169</t>
  </si>
  <si>
    <t>AM170</t>
  </si>
  <si>
    <t>AM171</t>
  </si>
  <si>
    <t>AM174</t>
  </si>
  <si>
    <t>AM183</t>
  </si>
  <si>
    <t>AM185</t>
  </si>
  <si>
    <t>AM189</t>
  </si>
  <si>
    <t>AM195</t>
  </si>
  <si>
    <t>AM197</t>
  </si>
  <si>
    <t>AVISO</t>
  </si>
  <si>
    <t>MONTEGO</t>
  </si>
  <si>
    <t>CetiomBilan12-13</t>
  </si>
  <si>
    <t>01/08/2012</t>
  </si>
  <si>
    <t>11/08/2013</t>
  </si>
  <si>
    <t>RG</t>
  </si>
  <si>
    <t>RAYONNEMENT GLOBAL (JOULES/CM2)</t>
  </si>
  <si>
    <t>RR</t>
  </si>
  <si>
    <t>HAUTEUR DES PRECIPITATIONS (MILLIMETRES)</t>
  </si>
  <si>
    <t>TM</t>
  </si>
  <si>
    <t>TEMPERATURE MOYENNE (DEGRES CELSIUS)</t>
  </si>
  <si>
    <t>TMC</t>
  </si>
  <si>
    <t>TEMPERATURE MOYENNE CALCULEE (DEGRES CELSIUS)</t>
  </si>
  <si>
    <t>TN</t>
  </si>
  <si>
    <t>TEMPERATURE MINIMALE (DEGRES CELSIUS)</t>
  </si>
  <si>
    <t>TX</t>
  </si>
  <si>
    <t>TEMPERATURE MAXIMALE (DEGRES CELSIUS)</t>
  </si>
  <si>
    <t>PAR</t>
  </si>
  <si>
    <t>RAYONNEMENT PAR (JOULES/CM2)</t>
  </si>
  <si>
    <t>AN</t>
  </si>
  <si>
    <t>MOIS</t>
  </si>
  <si>
    <t>JOUR</t>
  </si>
  <si>
    <t>ENGRAIS</t>
  </si>
  <si>
    <t xml:space="preserve">200 kg/ha ; 42 (P) , 46 (K) </t>
  </si>
  <si>
    <t>DECOMPACTAGE</t>
  </si>
  <si>
    <t>TRAVAIL SOL</t>
  </si>
  <si>
    <t>LABOUR</t>
  </si>
  <si>
    <t>HERBICIDE</t>
  </si>
  <si>
    <t>2 L/HA  1,5 L/HA   3 L/HA</t>
  </si>
  <si>
    <t>IRRIGATION</t>
  </si>
  <si>
    <t>12-13/09/2012</t>
  </si>
  <si>
    <t>37 mm</t>
  </si>
  <si>
    <t>INSECTICIDE</t>
  </si>
  <si>
    <t>Karate Zeon</t>
  </si>
  <si>
    <t>0.050 l/ha</t>
  </si>
  <si>
    <t>Split expert</t>
  </si>
  <si>
    <t>ANTILIMACE</t>
  </si>
  <si>
    <t>COPALIM</t>
  </si>
  <si>
    <t>5.000 kg/ha</t>
  </si>
  <si>
    <t>Molluscicides / hélicide</t>
  </si>
  <si>
    <t>CLAMEUR</t>
  </si>
  <si>
    <t>0.050 kg/ha</t>
  </si>
  <si>
    <t>N33.5BigBag</t>
  </si>
  <si>
    <t>Sulfonitrate-26</t>
  </si>
  <si>
    <t>269.000 kg/ha ; 70 (N), 94 (S)</t>
  </si>
  <si>
    <t xml:space="preserve">FURY 10 EW/MINUET 10 </t>
  </si>
  <si>
    <t xml:space="preserve">0.100 l/ha </t>
  </si>
  <si>
    <t xml:space="preserve">Bore </t>
  </si>
  <si>
    <t>3.000 l/ha  Substances de croissance</t>
  </si>
  <si>
    <t>NAPRAMID 450/NAPROP  Novall                         TYPY</t>
  </si>
  <si>
    <t>NURELLE D 550/GEOTIO</t>
  </si>
  <si>
    <t>CALANQUE</t>
  </si>
  <si>
    <t>0.500 l/ha</t>
  </si>
  <si>
    <t>0.400 l/ha , Adjuvants</t>
  </si>
  <si>
    <t>N33.5 sac</t>
  </si>
  <si>
    <t>150.000 kg/ha ; 50 (N)</t>
  </si>
  <si>
    <t>FONGICIDE</t>
  </si>
  <si>
    <t>Pictor pro</t>
  </si>
  <si>
    <t>Joao</t>
  </si>
  <si>
    <t>0.200 kg/ha</t>
  </si>
  <si>
    <t>0.300 l/ha</t>
  </si>
  <si>
    <t>0.400 kg/ha</t>
  </si>
  <si>
    <t xml:space="preserve">Basta                 </t>
  </si>
  <si>
    <t>Actirob</t>
  </si>
  <si>
    <t>5,00 l/ha</t>
  </si>
  <si>
    <t>1,00 l/ha Adjuvants</t>
  </si>
  <si>
    <t>N1 = 120U</t>
  </si>
  <si>
    <t>N2 = 180U</t>
  </si>
  <si>
    <t>bordure</t>
  </si>
  <si>
    <t>départ</t>
  </si>
  <si>
    <t>BI
N2</t>
  </si>
  <si>
    <t>BI
N1</t>
  </si>
  <si>
    <t xml:space="preserve">
32
</t>
  </si>
  <si>
    <t xml:space="preserve">
66
</t>
  </si>
  <si>
    <t xml:space="preserve">
9
</t>
  </si>
  <si>
    <t xml:space="preserve">
30
</t>
  </si>
  <si>
    <t xml:space="preserve">
44
</t>
  </si>
  <si>
    <t xml:space="preserve">
80
</t>
  </si>
  <si>
    <t xml:space="preserve">
60
</t>
  </si>
  <si>
    <t xml:space="preserve">
50
</t>
  </si>
  <si>
    <t xml:space="preserve">
65
</t>
  </si>
  <si>
    <t xml:space="preserve">
51
</t>
  </si>
  <si>
    <t xml:space="preserve">
78
</t>
  </si>
  <si>
    <t xml:space="preserve">
18
</t>
  </si>
  <si>
    <t xml:space="preserve">
33
</t>
  </si>
  <si>
    <t xml:space="preserve">
64
</t>
  </si>
  <si>
    <t xml:space="preserve">
76
</t>
  </si>
  <si>
    <t xml:space="preserve">
70
</t>
  </si>
  <si>
    <t xml:space="preserve">
11
</t>
  </si>
  <si>
    <t xml:space="preserve">
25
</t>
  </si>
  <si>
    <t xml:space="preserve">
81
</t>
  </si>
  <si>
    <t xml:space="preserve">
77
</t>
  </si>
  <si>
    <t xml:space="preserve">
45
</t>
  </si>
  <si>
    <t xml:space="preserve">
37
</t>
  </si>
  <si>
    <t xml:space="preserve">
26
</t>
  </si>
  <si>
    <t xml:space="preserve">
74
</t>
  </si>
  <si>
    <t xml:space="preserve">
84
</t>
  </si>
  <si>
    <t xml:space="preserve">
55
</t>
  </si>
  <si>
    <t xml:space="preserve">
31
</t>
  </si>
  <si>
    <t xml:space="preserve">
54
</t>
  </si>
  <si>
    <t xml:space="preserve">
79
</t>
  </si>
  <si>
    <t xml:space="preserve">
46
</t>
  </si>
  <si>
    <t xml:space="preserve">
36
</t>
  </si>
  <si>
    <t xml:space="preserve">
13
</t>
  </si>
  <si>
    <t xml:space="preserve">
42
</t>
  </si>
  <si>
    <t xml:space="preserve">
8
</t>
  </si>
  <si>
    <t xml:space="preserve">
71
</t>
  </si>
  <si>
    <t xml:space="preserve">
83
</t>
  </si>
  <si>
    <t xml:space="preserve">
15
</t>
  </si>
  <si>
    <t xml:space="preserve">zone de prélèvement </t>
  </si>
  <si>
    <t xml:space="preserve">
40
</t>
  </si>
  <si>
    <t xml:space="preserve">
41
</t>
  </si>
  <si>
    <t xml:space="preserve">
6
</t>
  </si>
  <si>
    <t xml:space="preserve">
28
</t>
  </si>
  <si>
    <t xml:space="preserve">
39
</t>
  </si>
  <si>
    <t xml:space="preserve">
29
</t>
  </si>
  <si>
    <t xml:space="preserve">
63
</t>
  </si>
  <si>
    <t xml:space="preserve">
38
</t>
  </si>
  <si>
    <t xml:space="preserve">
22
</t>
  </si>
  <si>
    <t xml:space="preserve">
19
</t>
  </si>
  <si>
    <t xml:space="preserve">
3
</t>
  </si>
  <si>
    <t xml:space="preserve">
12
</t>
  </si>
  <si>
    <t>N1=120U</t>
  </si>
  <si>
    <t xml:space="preserve">
75
</t>
  </si>
  <si>
    <t xml:space="preserve">
61
</t>
  </si>
  <si>
    <t xml:space="preserve">
2
</t>
  </si>
  <si>
    <t xml:space="preserve">
48
</t>
  </si>
  <si>
    <t xml:space="preserve">
20
</t>
  </si>
  <si>
    <t xml:space="preserve">
59
</t>
  </si>
  <si>
    <t xml:space="preserve">
35
</t>
  </si>
  <si>
    <t xml:space="preserve">
7
</t>
  </si>
  <si>
    <t xml:space="preserve">
58
</t>
  </si>
  <si>
    <t xml:space="preserve">
52
</t>
  </si>
  <si>
    <t xml:space="preserve">
57
</t>
  </si>
  <si>
    <t xml:space="preserve">
73
</t>
  </si>
  <si>
    <t xml:space="preserve">
23
</t>
  </si>
  <si>
    <t xml:space="preserve">
53
</t>
  </si>
  <si>
    <t xml:space="preserve">
67
</t>
  </si>
  <si>
    <t xml:space="preserve">
56
</t>
  </si>
  <si>
    <t xml:space="preserve">
49
</t>
  </si>
  <si>
    <t xml:space="preserve">
4
</t>
  </si>
  <si>
    <t xml:space="preserve">
47
</t>
  </si>
  <si>
    <t xml:space="preserve">
16
</t>
  </si>
  <si>
    <t xml:space="preserve">
68
</t>
  </si>
  <si>
    <t xml:space="preserve">
21
</t>
  </si>
  <si>
    <t xml:space="preserve">
5
</t>
  </si>
  <si>
    <t xml:space="preserve">
82
</t>
  </si>
  <si>
    <t xml:space="preserve">
69
</t>
  </si>
  <si>
    <t xml:space="preserve">
43
</t>
  </si>
  <si>
    <t xml:space="preserve">
27
</t>
  </si>
  <si>
    <t xml:space="preserve">
34
</t>
  </si>
  <si>
    <t xml:space="preserve">
17
</t>
  </si>
  <si>
    <t xml:space="preserve">
10
</t>
  </si>
  <si>
    <t xml:space="preserve">
14
</t>
  </si>
  <si>
    <t xml:space="preserve">
24
</t>
  </si>
  <si>
    <t xml:space="preserve">
72
</t>
  </si>
  <si>
    <t xml:space="preserve">
1
</t>
  </si>
  <si>
    <t xml:space="preserve">
62
</t>
  </si>
  <si>
    <t>BII
N1</t>
  </si>
  <si>
    <t>BII
N2</t>
  </si>
  <si>
    <t>BIII
N2</t>
  </si>
  <si>
    <t>BIII
N1</t>
  </si>
  <si>
    <t>Chemin</t>
  </si>
  <si>
    <t>Gel (% moyen de feuilles comportant des dégâts de gel)</t>
  </si>
  <si>
    <t>Fertilisation limitante (120U)</t>
  </si>
  <si>
    <t>Fertilisation optimale (180U)</t>
  </si>
  <si>
    <t>2012-2013</t>
  </si>
  <si>
    <t>12/09/2012</t>
  </si>
  <si>
    <t xml:space="preserve">N 47.234781, </t>
  </si>
  <si>
    <t>E 5.104821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</si>
</sst>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dd/mm/yy"/>
    <numFmt numFmtId="165" formatCode="d/mm/yyyy;@"/>
    <numFmt numFmtId="166" formatCode="0.0000"/>
  </numFmts>
  <fonts count="73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Geneva"/>
    </font>
    <font>
      <u/>
      <sz val="10"/>
      <color indexed="12"/>
      <name val="Arial"/>
      <family val="2"/>
    </font>
    <font>
      <sz val="8"/>
      <color indexed="8"/>
      <name val="Calibri"/>
      <family val="2"/>
      <charset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indexed="13"/>
        <bgColor indexed="64"/>
      </patternFill>
    </fill>
    <fill>
      <patternFill patternType="lightUp">
        <bgColor rgb="FF92D050"/>
      </patternFill>
    </fill>
    <fill>
      <patternFill patternType="lightUp">
        <bgColor rgb="FFFF0000"/>
      </patternFill>
    </fill>
  </fills>
  <borders count="10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double">
        <color rgb="FF000000"/>
      </right>
      <top style="thin">
        <color indexed="64"/>
      </top>
      <bottom style="double">
        <color indexed="64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08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29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1" fillId="27" borderId="24" applyNumberFormat="0" applyFont="0" applyAlignment="0" applyProtection="0"/>
    <xf numFmtId="0" fontId="26" fillId="27" borderId="24" applyNumberFormat="0" applyFont="0" applyAlignment="0" applyProtection="0"/>
    <xf numFmtId="0" fontId="46" fillId="13" borderId="22" applyNumberFormat="0" applyAlignment="0" applyProtection="0"/>
    <xf numFmtId="0" fontId="46" fillId="13" borderId="22" applyNumberFormat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43" fontId="26" fillId="0" borderId="0" applyFont="0" applyFill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49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26" borderId="5" applyNumberFormat="0" applyAlignment="0" applyProtection="0"/>
    <xf numFmtId="0" fontId="51" fillId="26" borderId="5" applyNumberForma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6" fillId="0" borderId="27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8" fillId="29" borderId="29" applyNumberFormat="0" applyAlignment="0" applyProtection="0"/>
    <xf numFmtId="0" fontId="58" fillId="29" borderId="29" applyNumberFormat="0" applyAlignment="0" applyProtection="0"/>
  </cellStyleXfs>
  <cellXfs count="425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4" fillId="3" borderId="11" xfId="0" applyFont="1" applyFill="1" applyBorder="1" applyAlignment="1">
      <alignment vertical="center"/>
    </xf>
    <xf numFmtId="0" fontId="24" fillId="0" borderId="12" xfId="0" applyFont="1" applyFill="1" applyBorder="1"/>
    <xf numFmtId="0" fontId="25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 applyProtection="1">
      <protection locked="0"/>
    </xf>
    <xf numFmtId="0" fontId="25" fillId="0" borderId="0" xfId="0" applyFont="1" applyFill="1"/>
    <xf numFmtId="0" fontId="27" fillId="0" borderId="0" xfId="0" applyFont="1"/>
    <xf numFmtId="0" fontId="22" fillId="6" borderId="12" xfId="5" applyFont="1" applyFill="1" applyBorder="1"/>
    <xf numFmtId="0" fontId="28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65" fontId="25" fillId="0" borderId="0" xfId="0" applyNumberFormat="1" applyFont="1" applyAlignment="1">
      <alignment horizontal="right"/>
    </xf>
    <xf numFmtId="0" fontId="1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 wrapText="1"/>
    </xf>
    <xf numFmtId="0" fontId="26" fillId="0" borderId="14" xfId="9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7" fillId="3" borderId="20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49" fontId="0" fillId="0" borderId="0" xfId="0" applyNumberFormat="1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9" fillId="0" borderId="0" xfId="0" applyFont="1"/>
    <xf numFmtId="0" fontId="38" fillId="0" borderId="0" xfId="0" applyFont="1"/>
    <xf numFmtId="0" fontId="39" fillId="0" borderId="0" xfId="0" applyFont="1" applyAlignment="1"/>
    <xf numFmtId="0" fontId="36" fillId="0" borderId="0" xfId="0" applyFont="1" applyAlignment="1"/>
    <xf numFmtId="0" fontId="38" fillId="0" borderId="0" xfId="0" applyFont="1" applyAlignment="1"/>
    <xf numFmtId="0" fontId="0" fillId="0" borderId="0" xfId="0" applyFont="1" applyProtection="1">
      <protection locked="0"/>
    </xf>
    <xf numFmtId="0" fontId="2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0" fillId="0" borderId="0" xfId="0" applyFont="1"/>
    <xf numFmtId="14" fontId="0" fillId="0" borderId="0" xfId="0" applyNumberFormat="1"/>
    <xf numFmtId="0" fontId="23" fillId="0" borderId="0" xfId="13"/>
    <xf numFmtId="0" fontId="1" fillId="0" borderId="0" xfId="87"/>
    <xf numFmtId="0" fontId="1" fillId="0" borderId="0" xfId="87" applyAlignment="1">
      <alignment horizontal="center"/>
    </xf>
    <xf numFmtId="0" fontId="26" fillId="0" borderId="0" xfId="77"/>
    <xf numFmtId="0" fontId="26" fillId="0" borderId="0" xfId="77" applyFont="1"/>
    <xf numFmtId="0" fontId="59" fillId="0" borderId="0" xfId="77" applyFont="1"/>
    <xf numFmtId="1" fontId="26" fillId="0" borderId="0" xfId="77" applyNumberFormat="1"/>
    <xf numFmtId="166" fontId="23" fillId="0" borderId="17" xfId="13" applyNumberFormat="1" applyBorder="1" applyAlignment="1">
      <alignment horizontal="center"/>
    </xf>
    <xf numFmtId="0" fontId="26" fillId="0" borderId="36" xfId="77" applyBorder="1" applyAlignment="1">
      <alignment horizontal="center"/>
    </xf>
    <xf numFmtId="0" fontId="26" fillId="0" borderId="36" xfId="77" applyFont="1" applyBorder="1" applyAlignment="1">
      <alignment horizontal="center"/>
    </xf>
    <xf numFmtId="14" fontId="26" fillId="0" borderId="36" xfId="77" applyNumberFormat="1" applyFont="1" applyBorder="1" applyAlignment="1">
      <alignment horizontal="center"/>
    </xf>
    <xf numFmtId="166" fontId="23" fillId="0" borderId="17" xfId="13" applyNumberFormat="1" applyFill="1" applyBorder="1" applyAlignment="1">
      <alignment horizontal="center"/>
    </xf>
    <xf numFmtId="0" fontId="59" fillId="33" borderId="39" xfId="77" applyFont="1" applyFill="1" applyBorder="1" applyAlignment="1">
      <alignment horizontal="center"/>
    </xf>
    <xf numFmtId="0" fontId="59" fillId="33" borderId="36" xfId="77" applyFont="1" applyFill="1" applyBorder="1" applyAlignment="1">
      <alignment horizontal="center"/>
    </xf>
    <xf numFmtId="0" fontId="26" fillId="0" borderId="0" xfId="77" applyAlignment="1">
      <alignment horizontal="center"/>
    </xf>
    <xf numFmtId="0" fontId="13" fillId="34" borderId="14" xfId="9" applyFont="1" applyFill="1" applyBorder="1" applyAlignment="1">
      <alignment horizontal="center"/>
    </xf>
    <xf numFmtId="0" fontId="26" fillId="0" borderId="37" xfId="77" applyBorder="1" applyAlignment="1">
      <alignment horizontal="center"/>
    </xf>
    <xf numFmtId="0" fontId="59" fillId="33" borderId="51" xfId="77" applyFont="1" applyFill="1" applyBorder="1" applyAlignment="1">
      <alignment horizontal="center"/>
    </xf>
    <xf numFmtId="0" fontId="26" fillId="0" borderId="52" xfId="77" applyBorder="1" applyAlignment="1">
      <alignment horizontal="center"/>
    </xf>
    <xf numFmtId="0" fontId="26" fillId="0" borderId="17" xfId="77" applyBorder="1" applyAlignment="1">
      <alignment horizontal="center"/>
    </xf>
    <xf numFmtId="0" fontId="59" fillId="33" borderId="53" xfId="77" applyFont="1" applyFill="1" applyBorder="1" applyAlignment="1">
      <alignment horizontal="center"/>
    </xf>
    <xf numFmtId="0" fontId="26" fillId="0" borderId="53" xfId="77" applyBorder="1" applyAlignment="1">
      <alignment horizontal="center"/>
    </xf>
    <xf numFmtId="2" fontId="26" fillId="0" borderId="36" xfId="77" applyNumberFormat="1" applyBorder="1" applyAlignment="1">
      <alignment horizontal="center"/>
    </xf>
    <xf numFmtId="0" fontId="59" fillId="33" borderId="59" xfId="77" applyFont="1" applyFill="1" applyBorder="1" applyAlignment="1">
      <alignment horizontal="center"/>
    </xf>
    <xf numFmtId="2" fontId="26" fillId="0" borderId="38" xfId="77" applyNumberFormat="1" applyBorder="1" applyAlignment="1">
      <alignment horizontal="center"/>
    </xf>
    <xf numFmtId="0" fontId="59" fillId="33" borderId="60" xfId="77" applyFont="1" applyFill="1" applyBorder="1" applyAlignment="1">
      <alignment horizontal="center"/>
    </xf>
    <xf numFmtId="0" fontId="59" fillId="33" borderId="61" xfId="77" applyFont="1" applyFill="1" applyBorder="1" applyAlignment="1">
      <alignment horizontal="center"/>
    </xf>
    <xf numFmtId="0" fontId="26" fillId="0" borderId="60" xfId="77" applyBorder="1" applyAlignment="1">
      <alignment horizontal="center"/>
    </xf>
    <xf numFmtId="0" fontId="59" fillId="33" borderId="49" xfId="77" applyFont="1" applyFill="1" applyBorder="1" applyAlignment="1">
      <alignment horizontal="center"/>
    </xf>
    <xf numFmtId="0" fontId="23" fillId="0" borderId="17" xfId="13" applyBorder="1"/>
    <xf numFmtId="0" fontId="59" fillId="33" borderId="17" xfId="77" applyFont="1" applyFill="1" applyBorder="1" applyAlignment="1">
      <alignment horizontal="center"/>
    </xf>
    <xf numFmtId="0" fontId="59" fillId="32" borderId="17" xfId="77" applyFont="1" applyFill="1" applyBorder="1" applyAlignment="1">
      <alignment horizontal="center"/>
    </xf>
    <xf numFmtId="0" fontId="26" fillId="0" borderId="36" xfId="77" applyNumberFormat="1" applyBorder="1" applyAlignment="1">
      <alignment horizontal="center"/>
    </xf>
    <xf numFmtId="0" fontId="26" fillId="0" borderId="37" xfId="77" applyBorder="1" applyAlignment="1">
      <alignment horizontal="center"/>
    </xf>
    <xf numFmtId="0" fontId="26" fillId="0" borderId="48" xfId="77" applyBorder="1" applyAlignment="1">
      <alignment horizontal="center"/>
    </xf>
    <xf numFmtId="0" fontId="65" fillId="0" borderId="0" xfId="1" applyNumberFormat="1" applyFont="1" applyFill="1" applyBorder="1" applyAlignment="1" applyProtection="1">
      <protection locked="0"/>
    </xf>
    <xf numFmtId="0" fontId="23" fillId="0" borderId="0" xfId="0" applyFont="1" applyAlignment="1">
      <alignment wrapText="1"/>
    </xf>
    <xf numFmtId="0" fontId="66" fillId="0" borderId="1" xfId="0" applyFont="1" applyBorder="1"/>
    <xf numFmtId="0" fontId="68" fillId="0" borderId="62" xfId="0" applyFont="1" applyBorder="1" applyAlignment="1">
      <alignment horizontal="center" vertical="center" wrapText="1"/>
    </xf>
    <xf numFmtId="0" fontId="68" fillId="0" borderId="63" xfId="0" applyFont="1" applyBorder="1" applyAlignment="1">
      <alignment horizontal="center" vertical="center" wrapText="1"/>
    </xf>
    <xf numFmtId="0" fontId="68" fillId="0" borderId="66" xfId="0" applyFont="1" applyBorder="1" applyAlignment="1">
      <alignment horizontal="center" vertical="center" wrapText="1"/>
    </xf>
    <xf numFmtId="0" fontId="70" fillId="35" borderId="62" xfId="0" applyFont="1" applyFill="1" applyBorder="1" applyAlignment="1">
      <alignment horizontal="center" vertical="center"/>
    </xf>
    <xf numFmtId="0" fontId="70" fillId="35" borderId="63" xfId="0" applyFont="1" applyFill="1" applyBorder="1" applyAlignment="1">
      <alignment horizontal="center" vertical="center"/>
    </xf>
    <xf numFmtId="0" fontId="70" fillId="0" borderId="69" xfId="0" applyFont="1" applyBorder="1" applyAlignment="1">
      <alignment horizontal="left" vertical="center"/>
    </xf>
    <xf numFmtId="0" fontId="70" fillId="0" borderId="66" xfId="0" applyFont="1" applyBorder="1" applyAlignment="1">
      <alignment horizontal="center" vertical="center"/>
    </xf>
    <xf numFmtId="0" fontId="70" fillId="30" borderId="66" xfId="0" applyFont="1" applyFill="1" applyBorder="1" applyAlignment="1">
      <alignment horizontal="center" vertical="center"/>
    </xf>
    <xf numFmtId="0" fontId="70" fillId="0" borderId="65" xfId="0" applyFont="1" applyBorder="1" applyAlignment="1">
      <alignment horizontal="left" vertical="center" wrapText="1"/>
    </xf>
    <xf numFmtId="0" fontId="70" fillId="0" borderId="69" xfId="0" applyFont="1" applyBorder="1" applyAlignment="1">
      <alignment horizontal="left" vertical="center" wrapText="1"/>
    </xf>
    <xf numFmtId="0" fontId="70" fillId="35" borderId="62" xfId="0" applyFont="1" applyFill="1" applyBorder="1" applyAlignment="1">
      <alignment horizontal="left" vertical="center"/>
    </xf>
    <xf numFmtId="0" fontId="26" fillId="0" borderId="51" xfId="77" applyFont="1" applyBorder="1" applyAlignment="1">
      <alignment horizontal="center"/>
    </xf>
    <xf numFmtId="14" fontId="26" fillId="0" borderId="51" xfId="77" applyNumberFormat="1" applyFont="1" applyBorder="1" applyAlignment="1">
      <alignment horizontal="center"/>
    </xf>
    <xf numFmtId="0" fontId="26" fillId="0" borderId="51" xfId="77" applyBorder="1" applyAlignment="1">
      <alignment horizontal="center"/>
    </xf>
    <xf numFmtId="0" fontId="26" fillId="0" borderId="61" xfId="77" applyBorder="1" applyAlignment="1">
      <alignment horizontal="center"/>
    </xf>
    <xf numFmtId="0" fontId="26" fillId="0" borderId="43" xfId="77" applyBorder="1" applyAlignment="1">
      <alignment horizontal="center"/>
    </xf>
    <xf numFmtId="2" fontId="26" fillId="0" borderId="59" xfId="77" applyNumberFormat="1" applyBorder="1" applyAlignment="1">
      <alignment horizontal="center"/>
    </xf>
    <xf numFmtId="2" fontId="26" fillId="0" borderId="51" xfId="77" applyNumberFormat="1" applyBorder="1" applyAlignment="1">
      <alignment horizontal="center"/>
    </xf>
    <xf numFmtId="166" fontId="23" fillId="0" borderId="43" xfId="13" applyNumberFormat="1" applyBorder="1" applyAlignment="1">
      <alignment horizontal="center"/>
    </xf>
    <xf numFmtId="0" fontId="26" fillId="0" borderId="52" xfId="77" applyFont="1" applyBorder="1" applyAlignment="1">
      <alignment horizontal="center"/>
    </xf>
    <xf numFmtId="14" fontId="26" fillId="0" borderId="52" xfId="77" applyNumberFormat="1" applyFont="1" applyBorder="1" applyAlignment="1">
      <alignment horizontal="center"/>
    </xf>
    <xf numFmtId="0" fontId="26" fillId="0" borderId="52" xfId="77" applyNumberFormat="1" applyBorder="1" applyAlignment="1">
      <alignment horizontal="center"/>
    </xf>
    <xf numFmtId="0" fontId="26" fillId="0" borderId="72" xfId="77" applyBorder="1" applyAlignment="1">
      <alignment horizontal="center"/>
    </xf>
    <xf numFmtId="0" fontId="26" fillId="0" borderId="73" xfId="77" applyBorder="1" applyAlignment="1">
      <alignment horizontal="center"/>
    </xf>
    <xf numFmtId="0" fontId="26" fillId="0" borderId="42" xfId="77" applyBorder="1" applyAlignment="1">
      <alignment horizontal="center"/>
    </xf>
    <xf numFmtId="2" fontId="26" fillId="0" borderId="74" xfId="77" applyNumberFormat="1" applyBorder="1" applyAlignment="1">
      <alignment horizontal="center"/>
    </xf>
    <xf numFmtId="166" fontId="23" fillId="0" borderId="42" xfId="13" applyNumberFormat="1" applyBorder="1" applyAlignment="1">
      <alignment horizontal="center"/>
    </xf>
    <xf numFmtId="0" fontId="26" fillId="0" borderId="75" xfId="77" applyFont="1" applyBorder="1" applyAlignment="1">
      <alignment horizontal="center"/>
    </xf>
    <xf numFmtId="14" fontId="26" fillId="0" borderId="75" xfId="77" applyNumberFormat="1" applyFont="1" applyBorder="1" applyAlignment="1">
      <alignment horizontal="center"/>
    </xf>
    <xf numFmtId="0" fontId="26" fillId="0" borderId="75" xfId="77" applyBorder="1" applyAlignment="1">
      <alignment horizontal="center"/>
    </xf>
    <xf numFmtId="0" fontId="26" fillId="0" borderId="77" xfId="77" applyBorder="1" applyAlignment="1">
      <alignment horizontal="center"/>
    </xf>
    <xf numFmtId="0" fontId="26" fillId="0" borderId="70" xfId="77" applyBorder="1" applyAlignment="1">
      <alignment horizontal="center"/>
    </xf>
    <xf numFmtId="0" fontId="26" fillId="0" borderId="79" xfId="77" applyBorder="1" applyAlignment="1">
      <alignment horizontal="center"/>
    </xf>
    <xf numFmtId="2" fontId="26" fillId="0" borderId="81" xfId="77" applyNumberFormat="1" applyBorder="1" applyAlignment="1">
      <alignment horizontal="center"/>
    </xf>
    <xf numFmtId="2" fontId="26" fillId="0" borderId="75" xfId="77" applyNumberFormat="1" applyBorder="1" applyAlignment="1">
      <alignment horizontal="center"/>
    </xf>
    <xf numFmtId="166" fontId="23" fillId="0" borderId="79" xfId="13" applyNumberFormat="1" applyBorder="1" applyAlignment="1">
      <alignment horizontal="center"/>
    </xf>
    <xf numFmtId="0" fontId="23" fillId="0" borderId="76" xfId="13" applyBorder="1"/>
    <xf numFmtId="0" fontId="26" fillId="0" borderId="51" xfId="77" applyNumberFormat="1" applyBorder="1" applyAlignment="1">
      <alignment horizontal="center"/>
    </xf>
    <xf numFmtId="0" fontId="26" fillId="0" borderId="82" xfId="77" applyBorder="1" applyAlignment="1">
      <alignment horizontal="center"/>
    </xf>
    <xf numFmtId="0" fontId="26" fillId="0" borderId="75" xfId="77" applyNumberFormat="1" applyBorder="1" applyAlignment="1">
      <alignment horizontal="center"/>
    </xf>
    <xf numFmtId="0" fontId="26" fillId="0" borderId="83" xfId="77" applyBorder="1" applyAlignment="1">
      <alignment horizontal="center"/>
    </xf>
    <xf numFmtId="0" fontId="26" fillId="0" borderId="84" xfId="77" applyBorder="1" applyAlignment="1">
      <alignment horizontal="center"/>
    </xf>
    <xf numFmtId="0" fontId="26" fillId="0" borderId="85" xfId="77" applyBorder="1" applyAlignment="1">
      <alignment horizontal="center"/>
    </xf>
    <xf numFmtId="0" fontId="26" fillId="0" borderId="54" xfId="77" applyBorder="1" applyAlignment="1">
      <alignment horizontal="center"/>
    </xf>
    <xf numFmtId="0" fontId="26" fillId="0" borderId="86" xfId="77" applyBorder="1" applyAlignment="1">
      <alignment horizontal="center"/>
    </xf>
    <xf numFmtId="0" fontId="26" fillId="0" borderId="17" xfId="77" applyBorder="1"/>
    <xf numFmtId="0" fontId="26" fillId="0" borderId="79" xfId="77" applyBorder="1"/>
    <xf numFmtId="0" fontId="26" fillId="0" borderId="42" xfId="77" applyBorder="1"/>
    <xf numFmtId="2" fontId="26" fillId="0" borderId="17" xfId="77" applyNumberFormat="1" applyBorder="1" applyAlignment="1">
      <alignment horizontal="center"/>
    </xf>
    <xf numFmtId="2" fontId="26" fillId="0" borderId="42" xfId="77" applyNumberFormat="1" applyBorder="1" applyAlignment="1">
      <alignment horizontal="center"/>
    </xf>
    <xf numFmtId="2" fontId="26" fillId="0" borderId="79" xfId="77" applyNumberFormat="1" applyBorder="1" applyAlignment="1">
      <alignment horizontal="center"/>
    </xf>
    <xf numFmtId="0" fontId="26" fillId="0" borderId="89" xfId="77" applyFont="1" applyBorder="1" applyAlignment="1">
      <alignment horizontal="center"/>
    </xf>
    <xf numFmtId="14" fontId="26" fillId="0" borderId="89" xfId="77" applyNumberFormat="1" applyFont="1" applyBorder="1" applyAlignment="1">
      <alignment horizontal="center"/>
    </xf>
    <xf numFmtId="0" fontId="26" fillId="0" borderId="89" xfId="77" applyNumberFormat="1" applyBorder="1" applyAlignment="1">
      <alignment horizontal="center"/>
    </xf>
    <xf numFmtId="0" fontId="26" fillId="0" borderId="89" xfId="77" applyBorder="1" applyAlignment="1">
      <alignment horizontal="center"/>
    </xf>
    <xf numFmtId="0" fontId="26" fillId="0" borderId="87" xfId="77" applyBorder="1" applyAlignment="1">
      <alignment horizontal="center"/>
    </xf>
    <xf numFmtId="0" fontId="26" fillId="0" borderId="90" xfId="77" applyBorder="1" applyAlignment="1">
      <alignment horizontal="center"/>
    </xf>
    <xf numFmtId="0" fontId="26" fillId="0" borderId="91" xfId="77" applyBorder="1" applyAlignment="1">
      <alignment horizontal="center"/>
    </xf>
    <xf numFmtId="2" fontId="26" fillId="0" borderId="92" xfId="77" applyNumberFormat="1" applyBorder="1" applyAlignment="1">
      <alignment horizontal="center"/>
    </xf>
    <xf numFmtId="0" fontId="23" fillId="0" borderId="93" xfId="13" applyBorder="1"/>
    <xf numFmtId="0" fontId="26" fillId="0" borderId="94" xfId="77" applyBorder="1" applyAlignment="1">
      <alignment horizontal="center"/>
    </xf>
    <xf numFmtId="0" fontId="70" fillId="0" borderId="0" xfId="0" applyFont="1"/>
    <xf numFmtId="0" fontId="26" fillId="0" borderId="0" xfId="82" applyNumberFormat="1" applyFont="1" applyFill="1" applyBorder="1" applyAlignment="1"/>
    <xf numFmtId="0" fontId="62" fillId="33" borderId="17" xfId="13" applyFont="1" applyFill="1" applyBorder="1" applyAlignment="1">
      <alignment horizontal="center" vertical="center"/>
    </xf>
    <xf numFmtId="0" fontId="23" fillId="0" borderId="0" xfId="13" applyAlignment="1">
      <alignment vertical="center"/>
    </xf>
    <xf numFmtId="14" fontId="63" fillId="31" borderId="17" xfId="13" applyNumberFormat="1" applyFont="1" applyFill="1" applyBorder="1" applyAlignment="1">
      <alignment horizontal="center" vertical="center"/>
    </xf>
    <xf numFmtId="14" fontId="63" fillId="0" borderId="17" xfId="13" applyNumberFormat="1" applyFont="1" applyBorder="1" applyAlignment="1">
      <alignment horizontal="center" vertical="center"/>
    </xf>
    <xf numFmtId="0" fontId="63" fillId="0" borderId="17" xfId="13" applyFont="1" applyBorder="1" applyAlignment="1">
      <alignment horizontal="center" vertical="center"/>
    </xf>
    <xf numFmtId="0" fontId="63" fillId="0" borderId="17" xfId="13" applyFont="1" applyBorder="1" applyAlignment="1">
      <alignment horizontal="center" vertical="center" wrapText="1"/>
    </xf>
    <xf numFmtId="0" fontId="63" fillId="0" borderId="17" xfId="13" applyFont="1" applyFill="1" applyBorder="1" applyAlignment="1">
      <alignment horizontal="center" vertical="center"/>
    </xf>
    <xf numFmtId="0" fontId="23" fillId="0" borderId="0" xfId="13" applyAlignment="1">
      <alignment horizontal="center" vertical="center"/>
    </xf>
    <xf numFmtId="14" fontId="63" fillId="0" borderId="17" xfId="13" applyNumberFormat="1" applyFont="1" applyBorder="1" applyAlignment="1">
      <alignment horizontal="center" vertical="center" wrapText="1"/>
    </xf>
    <xf numFmtId="0" fontId="63" fillId="0" borderId="17" xfId="13" applyFont="1" applyFill="1" applyBorder="1" applyAlignment="1">
      <alignment horizontal="center" vertical="center" wrapText="1"/>
    </xf>
    <xf numFmtId="0" fontId="0" fillId="34" borderId="0" xfId="0" applyFill="1"/>
    <xf numFmtId="0" fontId="0" fillId="0" borderId="0" xfId="0" applyFill="1" applyBorder="1" applyAlignment="1"/>
    <xf numFmtId="0" fontId="59" fillId="0" borderId="0" xfId="0" applyFont="1" applyFill="1" applyBorder="1" applyAlignment="1">
      <alignment horizontal="left" vertical="center"/>
    </xf>
    <xf numFmtId="0" fontId="0" fillId="30" borderId="43" xfId="0" applyFill="1" applyBorder="1"/>
    <xf numFmtId="0" fontId="0" fillId="30" borderId="97" xfId="0" applyFill="1" applyBorder="1"/>
    <xf numFmtId="0" fontId="0" fillId="30" borderId="42" xfId="0" applyFill="1" applyBorder="1"/>
    <xf numFmtId="0" fontId="0" fillId="32" borderId="43" xfId="0" applyFill="1" applyBorder="1"/>
    <xf numFmtId="0" fontId="0" fillId="32" borderId="97" xfId="0" applyFill="1" applyBorder="1"/>
    <xf numFmtId="0" fontId="0" fillId="32" borderId="42" xfId="0" applyFill="1" applyBorder="1"/>
    <xf numFmtId="14" fontId="0" fillId="0" borderId="0" xfId="0" applyNumberFormat="1" applyFill="1" applyBorder="1"/>
    <xf numFmtId="0" fontId="25" fillId="0" borderId="0" xfId="0" applyNumberFormat="1" applyFont="1" applyAlignment="1">
      <alignment horizontal="right"/>
    </xf>
    <xf numFmtId="0" fontId="26" fillId="0" borderId="0" xfId="0" applyNumberFormat="1" applyFont="1" applyAlignment="1" applyProtection="1"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67" fillId="0" borderId="0" xfId="0" applyFont="1" applyAlignment="1">
      <alignment horizontal="center"/>
    </xf>
    <xf numFmtId="0" fontId="70" fillId="0" borderId="67" xfId="0" applyFont="1" applyBorder="1" applyAlignment="1">
      <alignment horizontal="center" vertical="center"/>
    </xf>
    <xf numFmtId="0" fontId="70" fillId="0" borderId="69" xfId="0" applyFont="1" applyBorder="1" applyAlignment="1">
      <alignment horizontal="center" vertical="center"/>
    </xf>
    <xf numFmtId="0" fontId="70" fillId="30" borderId="67" xfId="0" applyFont="1" applyFill="1" applyBorder="1" applyAlignment="1">
      <alignment horizontal="center" vertical="center"/>
    </xf>
    <xf numFmtId="0" fontId="70" fillId="30" borderId="69" xfId="0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 wrapText="1"/>
    </xf>
    <xf numFmtId="0" fontId="69" fillId="0" borderId="65" xfId="0" applyFont="1" applyBorder="1" applyAlignment="1">
      <alignment horizontal="center" vertical="center" wrapText="1"/>
    </xf>
    <xf numFmtId="0" fontId="69" fillId="0" borderId="64" xfId="0" applyFont="1" applyBorder="1" applyAlignment="1">
      <alignment horizontal="center" vertical="center" wrapText="1"/>
    </xf>
    <xf numFmtId="0" fontId="70" fillId="0" borderId="68" xfId="0" applyFont="1" applyBorder="1" applyAlignment="1">
      <alignment horizontal="center" vertical="center" wrapText="1"/>
    </xf>
    <xf numFmtId="0" fontId="70" fillId="0" borderId="65" xfId="0" applyFont="1" applyBorder="1" applyAlignment="1">
      <alignment horizontal="center" vertical="center" wrapText="1"/>
    </xf>
    <xf numFmtId="0" fontId="70" fillId="0" borderId="64" xfId="0" applyFont="1" applyBorder="1" applyAlignment="1">
      <alignment horizontal="center" vertical="center" wrapText="1"/>
    </xf>
    <xf numFmtId="0" fontId="26" fillId="0" borderId="37" xfId="77" applyBorder="1" applyAlignment="1">
      <alignment horizontal="center"/>
    </xf>
    <xf numFmtId="0" fontId="26" fillId="0" borderId="47" xfId="77" applyBorder="1" applyAlignment="1">
      <alignment horizontal="center"/>
    </xf>
    <xf numFmtId="0" fontId="26" fillId="0" borderId="87" xfId="77" applyBorder="1" applyAlignment="1">
      <alignment horizontal="center"/>
    </xf>
    <xf numFmtId="0" fontId="26" fillId="0" borderId="88" xfId="77" applyBorder="1" applyAlignment="1">
      <alignment horizontal="center"/>
    </xf>
    <xf numFmtId="0" fontId="26" fillId="0" borderId="41" xfId="77" applyBorder="1" applyAlignment="1">
      <alignment horizontal="center"/>
    </xf>
    <xf numFmtId="0" fontId="26" fillId="0" borderId="57" xfId="77" applyBorder="1" applyAlignment="1">
      <alignment horizontal="center"/>
    </xf>
    <xf numFmtId="0" fontId="26" fillId="0" borderId="80" xfId="77" applyBorder="1" applyAlignment="1">
      <alignment horizontal="center"/>
    </xf>
    <xf numFmtId="0" fontId="26" fillId="0" borderId="81" xfId="77" applyBorder="1" applyAlignment="1">
      <alignment horizontal="center"/>
    </xf>
    <xf numFmtId="0" fontId="26" fillId="0" borderId="72" xfId="77" applyBorder="1" applyAlignment="1">
      <alignment horizontal="center"/>
    </xf>
    <xf numFmtId="0" fontId="26" fillId="0" borderId="55" xfId="77" applyBorder="1" applyAlignment="1">
      <alignment horizontal="center"/>
    </xf>
    <xf numFmtId="0" fontId="26" fillId="0" borderId="48" xfId="77" applyBorder="1" applyAlignment="1">
      <alignment horizontal="center"/>
    </xf>
    <xf numFmtId="0" fontId="26" fillId="0" borderId="58" xfId="77" applyBorder="1" applyAlignment="1">
      <alignment horizontal="center"/>
    </xf>
    <xf numFmtId="0" fontId="26" fillId="0" borderId="70" xfId="77" applyBorder="1" applyAlignment="1">
      <alignment horizontal="center"/>
    </xf>
    <xf numFmtId="0" fontId="26" fillId="0" borderId="78" xfId="77" applyBorder="1" applyAlignment="1">
      <alignment horizontal="center"/>
    </xf>
    <xf numFmtId="0" fontId="23" fillId="0" borderId="17" xfId="13" applyBorder="1" applyAlignment="1">
      <alignment horizontal="center"/>
    </xf>
    <xf numFmtId="0" fontId="23" fillId="0" borderId="79" xfId="13" applyBorder="1" applyAlignment="1">
      <alignment horizontal="center"/>
    </xf>
    <xf numFmtId="0" fontId="23" fillId="0" borderId="42" xfId="13" applyBorder="1" applyAlignment="1">
      <alignment horizontal="center"/>
    </xf>
    <xf numFmtId="0" fontId="26" fillId="0" borderId="30" xfId="77" applyBorder="1" applyAlignment="1">
      <alignment horizontal="center"/>
    </xf>
    <xf numFmtId="0" fontId="26" fillId="0" borderId="71" xfId="77" applyBorder="1" applyAlignment="1">
      <alignment horizontal="center"/>
    </xf>
    <xf numFmtId="0" fontId="23" fillId="0" borderId="43" xfId="13" applyBorder="1" applyAlignment="1">
      <alignment horizontal="center"/>
    </xf>
    <xf numFmtId="49" fontId="60" fillId="31" borderId="56" xfId="77" applyNumberFormat="1" applyFont="1" applyFill="1" applyBorder="1" applyAlignment="1">
      <alignment horizontal="center"/>
    </xf>
    <xf numFmtId="49" fontId="60" fillId="31" borderId="40" xfId="77" applyNumberFormat="1" applyFont="1" applyFill="1" applyBorder="1" applyAlignment="1">
      <alignment horizontal="center"/>
    </xf>
    <xf numFmtId="49" fontId="60" fillId="31" borderId="54" xfId="77" applyNumberFormat="1" applyFont="1" applyFill="1" applyBorder="1" applyAlignment="1">
      <alignment horizontal="center"/>
    </xf>
    <xf numFmtId="49" fontId="60" fillId="31" borderId="37" xfId="77" applyNumberFormat="1" applyFont="1" applyFill="1" applyBorder="1" applyAlignment="1">
      <alignment horizontal="center"/>
    </xf>
    <xf numFmtId="0" fontId="64" fillId="31" borderId="50" xfId="13" applyFont="1" applyFill="1" applyBorder="1" applyAlignment="1">
      <alignment horizontal="center"/>
    </xf>
    <xf numFmtId="0" fontId="64" fillId="31" borderId="55" xfId="13" applyFont="1" applyFill="1" applyBorder="1" applyAlignment="1">
      <alignment horizontal="center"/>
    </xf>
    <xf numFmtId="0" fontId="34" fillId="31" borderId="17" xfId="13" applyFont="1" applyFill="1" applyBorder="1" applyAlignment="1">
      <alignment horizontal="center"/>
    </xf>
    <xf numFmtId="0" fontId="34" fillId="31" borderId="41" xfId="13" applyFont="1" applyFill="1" applyBorder="1" applyAlignment="1">
      <alignment horizontal="center"/>
    </xf>
    <xf numFmtId="0" fontId="26" fillId="0" borderId="46" xfId="0" applyFont="1" applyBorder="1" applyAlignment="1">
      <alignment horizontal="center"/>
    </xf>
    <xf numFmtId="1" fontId="72" fillId="0" borderId="43" xfId="0" applyNumberFormat="1" applyFont="1" applyFill="1" applyBorder="1" applyAlignment="1">
      <alignment horizontal="center" vertical="center" wrapText="1"/>
    </xf>
    <xf numFmtId="1" fontId="72" fillId="0" borderId="97" xfId="0" applyNumberFormat="1" applyFont="1" applyFill="1" applyBorder="1" applyAlignment="1">
      <alignment horizontal="center" vertical="center" wrapText="1"/>
    </xf>
    <xf numFmtId="1" fontId="72" fillId="0" borderId="42" xfId="0" applyNumberFormat="1" applyFont="1" applyFill="1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0" fillId="0" borderId="102" xfId="0" applyBorder="1" applyAlignment="1">
      <alignment horizontal="center" vertical="center" wrapText="1"/>
    </xf>
    <xf numFmtId="0" fontId="0" fillId="0" borderId="107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1" fontId="72" fillId="36" borderId="43" xfId="0" applyNumberFormat="1" applyFont="1" applyFill="1" applyBorder="1" applyAlignment="1">
      <alignment horizontal="center" vertical="center" wrapText="1"/>
    </xf>
    <xf numFmtId="1" fontId="72" fillId="0" borderId="97" xfId="0" applyNumberFormat="1" applyFont="1" applyBorder="1" applyAlignment="1">
      <alignment horizontal="center" vertical="center" wrapText="1"/>
    </xf>
    <xf numFmtId="1" fontId="72" fillId="0" borderId="42" xfId="0" applyNumberFormat="1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" fontId="72" fillId="32" borderId="43" xfId="0" applyNumberFormat="1" applyFont="1" applyFill="1" applyBorder="1" applyAlignment="1">
      <alignment horizontal="center" vertical="center" wrapText="1"/>
    </xf>
    <xf numFmtId="1" fontId="72" fillId="32" borderId="97" xfId="0" applyNumberFormat="1" applyFont="1" applyFill="1" applyBorder="1" applyAlignment="1">
      <alignment horizontal="center" vertical="center" wrapText="1"/>
    </xf>
    <xf numFmtId="1" fontId="72" fillId="32" borderId="42" xfId="0" applyNumberFormat="1" applyFont="1" applyFill="1" applyBorder="1" applyAlignment="1">
      <alignment horizontal="center" vertical="center" wrapText="1"/>
    </xf>
    <xf numFmtId="1" fontId="72" fillId="30" borderId="43" xfId="0" applyNumberFormat="1" applyFont="1" applyFill="1" applyBorder="1" applyAlignment="1">
      <alignment horizontal="center" vertical="center" wrapText="1"/>
    </xf>
    <xf numFmtId="1" fontId="72" fillId="30" borderId="97" xfId="0" applyNumberFormat="1" applyFont="1" applyFill="1" applyBorder="1" applyAlignment="1">
      <alignment horizontal="center" vertical="center" wrapText="1"/>
    </xf>
    <xf numFmtId="1" fontId="72" fillId="30" borderId="42" xfId="0" applyNumberFormat="1" applyFont="1" applyFill="1" applyBorder="1" applyAlignment="1">
      <alignment horizontal="center" vertical="center" wrapText="1"/>
    </xf>
    <xf numFmtId="1" fontId="72" fillId="38" borderId="43" xfId="0" applyNumberFormat="1" applyFont="1" applyFill="1" applyBorder="1" applyAlignment="1">
      <alignment horizontal="center" vertical="center" wrapText="1"/>
    </xf>
    <xf numFmtId="1" fontId="72" fillId="38" borderId="97" xfId="0" applyNumberFormat="1" applyFont="1" applyFill="1" applyBorder="1" applyAlignment="1">
      <alignment horizontal="center" vertical="center" wrapText="1"/>
    </xf>
    <xf numFmtId="1" fontId="72" fillId="38" borderId="42" xfId="0" applyNumberFormat="1" applyFont="1" applyFill="1" applyBorder="1" applyAlignment="1">
      <alignment horizontal="center" vertical="center" wrapText="1"/>
    </xf>
    <xf numFmtId="1" fontId="72" fillId="37" borderId="43" xfId="0" applyNumberFormat="1" applyFont="1" applyFill="1" applyBorder="1" applyAlignment="1">
      <alignment horizontal="center" vertical="center" wrapText="1"/>
    </xf>
    <xf numFmtId="1" fontId="72" fillId="37" borderId="97" xfId="0" applyNumberFormat="1" applyFont="1" applyFill="1" applyBorder="1" applyAlignment="1">
      <alignment horizontal="center" vertical="center" wrapText="1"/>
    </xf>
    <xf numFmtId="1" fontId="72" fillId="37" borderId="42" xfId="0" applyNumberFormat="1" applyFont="1" applyFill="1" applyBorder="1" applyAlignment="1">
      <alignment horizontal="center" vertical="center" wrapText="1"/>
    </xf>
    <xf numFmtId="1" fontId="72" fillId="0" borderId="0" xfId="0" applyNumberFormat="1" applyFont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26" fillId="34" borderId="17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" fontId="72" fillId="36" borderId="98" xfId="0" applyNumberFormat="1" applyFont="1" applyFill="1" applyBorder="1" applyAlignment="1">
      <alignment horizontal="center" vertical="center" wrapText="1"/>
    </xf>
    <xf numFmtId="1" fontId="72" fillId="0" borderId="101" xfId="0" applyNumberFormat="1" applyFont="1" applyBorder="1"/>
    <xf numFmtId="1" fontId="72" fillId="0" borderId="103" xfId="0" applyNumberFormat="1" applyFont="1" applyBorder="1"/>
    <xf numFmtId="1" fontId="72" fillId="0" borderId="97" xfId="0" applyNumberFormat="1" applyFont="1" applyBorder="1"/>
    <xf numFmtId="1" fontId="72" fillId="0" borderId="42" xfId="0" applyNumberFormat="1" applyFont="1" applyBorder="1"/>
    <xf numFmtId="1" fontId="72" fillId="0" borderId="99" xfId="0" applyNumberFormat="1" applyFont="1" applyFill="1" applyBorder="1" applyAlignment="1">
      <alignment horizontal="center" vertical="center" wrapText="1"/>
    </xf>
    <xf numFmtId="1" fontId="72" fillId="0" borderId="102" xfId="0" applyNumberFormat="1" applyFont="1" applyBorder="1"/>
    <xf numFmtId="1" fontId="72" fillId="0" borderId="104" xfId="0" applyNumberFormat="1" applyFont="1" applyBorder="1"/>
    <xf numFmtId="0" fontId="0" fillId="0" borderId="100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0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72" fillId="36" borderId="31" xfId="0" applyNumberFormat="1" applyFont="1" applyFill="1" applyBorder="1" applyAlignment="1">
      <alignment horizontal="center" vertical="center" wrapText="1"/>
    </xf>
    <xf numFmtId="1" fontId="72" fillId="0" borderId="33" xfId="0" applyNumberFormat="1" applyFont="1" applyBorder="1" applyAlignment="1">
      <alignment horizontal="center" vertical="center" wrapText="1"/>
    </xf>
    <xf numFmtId="1" fontId="72" fillId="0" borderId="35" xfId="0" applyNumberFormat="1" applyFont="1" applyBorder="1" applyAlignment="1">
      <alignment horizontal="center" vertical="center" wrapText="1"/>
    </xf>
    <xf numFmtId="1" fontId="72" fillId="30" borderId="30" xfId="0" applyNumberFormat="1" applyFont="1" applyFill="1" applyBorder="1" applyAlignment="1">
      <alignment horizontal="center" vertical="center" wrapText="1"/>
    </xf>
    <xf numFmtId="1" fontId="72" fillId="30" borderId="32" xfId="0" applyNumberFormat="1" applyFont="1" applyFill="1" applyBorder="1" applyAlignment="1">
      <alignment horizontal="center" vertical="center" wrapText="1"/>
    </xf>
    <xf numFmtId="1" fontId="72" fillId="30" borderId="34" xfId="0" applyNumberFormat="1" applyFont="1" applyFill="1" applyBorder="1" applyAlignment="1">
      <alignment horizontal="center" vertical="center" wrapText="1"/>
    </xf>
    <xf numFmtId="0" fontId="26" fillId="0" borderId="0" xfId="0" applyFont="1" applyFill="1"/>
    <xf numFmtId="0" fontId="26" fillId="0" borderId="12" xfId="0" applyFont="1" applyBorder="1"/>
  </cellXfs>
  <cellStyles count="108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ny 2" xfId="11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sz="1600" b="1" i="0" u="none" strike="noStrike" baseline="0">
                <a:effectLst/>
              </a:rPr>
              <a:t>% moyen de feuilles comportant des dégâts de gel (notation les 19 et 23/11/2012 au stade B6) suite aux gels du 28/10/2012 au 31/10/2012 sur des colza au stade B5</a:t>
            </a:r>
            <a:endParaRPr lang="fr-FR" sz="16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8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</c:strLit>
          </c:cat>
          <c:val>
            <c:numLit>
              <c:formatCode>General</c:formatCode>
              <c:ptCount val="84"/>
              <c:pt idx="0">
                <c:v>5.833333333333333</c:v>
              </c:pt>
              <c:pt idx="1">
                <c:v>5.833333333333333</c:v>
              </c:pt>
              <c:pt idx="2">
                <c:v>6</c:v>
              </c:pt>
              <c:pt idx="3">
                <c:v>23.333333333333332</c:v>
              </c:pt>
              <c:pt idx="4">
                <c:v>21.666666666666668</c:v>
              </c:pt>
              <c:pt idx="5">
                <c:v>28.333333333333332</c:v>
              </c:pt>
              <c:pt idx="6">
                <c:v>4.333333333333333</c:v>
              </c:pt>
              <c:pt idx="7">
                <c:v>23.333333333333332</c:v>
              </c:pt>
              <c:pt idx="8">
                <c:v>20</c:v>
              </c:pt>
              <c:pt idx="9">
                <c:v>4.333333333333333</c:v>
              </c:pt>
              <c:pt idx="10">
                <c:v>25</c:v>
              </c:pt>
              <c:pt idx="11">
                <c:v>20</c:v>
              </c:pt>
              <c:pt idx="12">
                <c:v>18.333333333333332</c:v>
              </c:pt>
              <c:pt idx="13">
                <c:v>20</c:v>
              </c:pt>
              <c:pt idx="14">
                <c:v>3.8333333333333335</c:v>
              </c:pt>
              <c:pt idx="15">
                <c:v>13.333333333333334</c:v>
              </c:pt>
              <c:pt idx="16">
                <c:v>16.666666666666668</c:v>
              </c:pt>
              <c:pt idx="17">
                <c:v>6</c:v>
              </c:pt>
              <c:pt idx="18">
                <c:v>6</c:v>
              </c:pt>
              <c:pt idx="19">
                <c:v>21.666666666666668</c:v>
              </c:pt>
              <c:pt idx="20">
                <c:v>15</c:v>
              </c:pt>
              <c:pt idx="21">
                <c:v>5.333333333333333</c:v>
              </c:pt>
              <c:pt idx="22">
                <c:v>6.666666666666667</c:v>
              </c:pt>
              <c:pt idx="23">
                <c:v>28.333333333333332</c:v>
              </c:pt>
              <c:pt idx="24">
                <c:v>25</c:v>
              </c:pt>
              <c:pt idx="25">
                <c:v>15</c:v>
              </c:pt>
              <c:pt idx="26">
                <c:v>20</c:v>
              </c:pt>
              <c:pt idx="27">
                <c:v>21.666666666666668</c:v>
              </c:pt>
              <c:pt idx="28">
                <c:v>6.666666666666667</c:v>
              </c:pt>
              <c:pt idx="29">
                <c:v>21.666666666666668</c:v>
              </c:pt>
              <c:pt idx="30">
                <c:v>15</c:v>
              </c:pt>
              <c:pt idx="31">
                <c:v>25</c:v>
              </c:pt>
              <c:pt idx="32">
                <c:v>7.5</c:v>
              </c:pt>
              <c:pt idx="33">
                <c:v>20</c:v>
              </c:pt>
              <c:pt idx="34">
                <c:v>14.166666666666666</c:v>
              </c:pt>
              <c:pt idx="35">
                <c:v>18.333333333333332</c:v>
              </c:pt>
              <c:pt idx="36">
                <c:v>5.833333333333333</c:v>
              </c:pt>
              <c:pt idx="37">
                <c:v>21.666666666666668</c:v>
              </c:pt>
              <c:pt idx="38">
                <c:v>17.5</c:v>
              </c:pt>
              <c:pt idx="39">
                <c:v>6</c:v>
              </c:pt>
              <c:pt idx="40">
                <c:v>21.666666666666668</c:v>
              </c:pt>
              <c:pt idx="41">
                <c:v>15.833333333333334</c:v>
              </c:pt>
              <c:pt idx="42">
                <c:v>21.666666666666668</c:v>
              </c:pt>
              <c:pt idx="43">
                <c:v>23.333333333333332</c:v>
              </c:pt>
              <c:pt idx="44">
                <c:v>4.5</c:v>
              </c:pt>
              <c:pt idx="45">
                <c:v>23.333333333333332</c:v>
              </c:pt>
              <c:pt idx="46">
                <c:v>6.666666666666667</c:v>
              </c:pt>
              <c:pt idx="47">
                <c:v>5.833333333333333</c:v>
              </c:pt>
              <c:pt idx="48">
                <c:v>9.1666666666666661</c:v>
              </c:pt>
              <c:pt idx="49">
                <c:v>20</c:v>
              </c:pt>
              <c:pt idx="50">
                <c:v>25</c:v>
              </c:pt>
              <c:pt idx="51">
                <c:v>23.333333333333332</c:v>
              </c:pt>
              <c:pt idx="52">
                <c:v>13.333333333333334</c:v>
              </c:pt>
              <c:pt idx="53">
                <c:v>21.666666666666668</c:v>
              </c:pt>
              <c:pt idx="54">
                <c:v>20</c:v>
              </c:pt>
              <c:pt idx="55">
                <c:v>6.666666666666667</c:v>
              </c:pt>
              <c:pt idx="56">
                <c:v>20</c:v>
              </c:pt>
              <c:pt idx="57">
                <c:v>7.5</c:v>
              </c:pt>
              <c:pt idx="58">
                <c:v>15.833333333333334</c:v>
              </c:pt>
              <c:pt idx="59">
                <c:v>20</c:v>
              </c:pt>
              <c:pt idx="60">
                <c:v>18.333333333333332</c:v>
              </c:pt>
              <c:pt idx="61">
                <c:v>26.666666666666668</c:v>
              </c:pt>
              <c:pt idx="62">
                <c:v>9.1666666666666661</c:v>
              </c:pt>
              <c:pt idx="63">
                <c:v>26.666666666666668</c:v>
              </c:pt>
              <c:pt idx="64">
                <c:v>16.666666666666668</c:v>
              </c:pt>
              <c:pt idx="65">
                <c:v>3.6666666666666665</c:v>
              </c:pt>
              <c:pt idx="66">
                <c:v>20</c:v>
              </c:pt>
              <c:pt idx="67">
                <c:v>6.666666666666667</c:v>
              </c:pt>
              <c:pt idx="68">
                <c:v>18.333333333333332</c:v>
              </c:pt>
              <c:pt idx="69">
                <c:v>3</c:v>
              </c:pt>
              <c:pt idx="70">
                <c:v>5.833333333333333</c:v>
              </c:pt>
              <c:pt idx="71">
                <c:v>6.666666666666667</c:v>
              </c:pt>
              <c:pt idx="72">
                <c:v>15</c:v>
              </c:pt>
              <c:pt idx="73">
                <c:v>21.666666666666668</c:v>
              </c:pt>
              <c:pt idx="74">
                <c:v>5.166666666666667</c:v>
              </c:pt>
              <c:pt idx="75">
                <c:v>23.333333333333332</c:v>
              </c:pt>
              <c:pt idx="76">
                <c:v>26.666666666666668</c:v>
              </c:pt>
              <c:pt idx="77">
                <c:v>2.3333333333333335</c:v>
              </c:pt>
              <c:pt idx="78">
                <c:v>7.5</c:v>
              </c:pt>
              <c:pt idx="79">
                <c:v>23.333333333333332</c:v>
              </c:pt>
              <c:pt idx="80">
                <c:v>20</c:v>
              </c:pt>
              <c:pt idx="81">
                <c:v>16.666666666666668</c:v>
              </c:pt>
              <c:pt idx="82">
                <c:v>5</c:v>
              </c:pt>
              <c:pt idx="83">
                <c:v>20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839232"/>
        <c:axId val="87896000"/>
      </c:barChart>
      <c:catAx>
        <c:axId val="11983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87896000"/>
        <c:crosses val="autoZero"/>
        <c:auto val="1"/>
        <c:lblAlgn val="ctr"/>
        <c:lblOffset val="100"/>
        <c:noMultiLvlLbl val="0"/>
      </c:catAx>
      <c:valAx>
        <c:axId val="8789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839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125950</xdr:colOff>
      <xdr:row>0</xdr:row>
      <xdr:rowOff>62976</xdr:rowOff>
    </xdr:from>
    <xdr:to>
      <xdr:col>20</xdr:col>
      <xdr:colOff>2519</xdr:colOff>
      <xdr:row>28</xdr:row>
      <xdr:rowOff>13068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10</xdr:col>
      <xdr:colOff>638175</xdr:colOff>
      <xdr:row>11</xdr:row>
      <xdr:rowOff>66675</xdr:rowOff>
    </xdr:to>
    <xdr:pic>
      <xdr:nvPicPr>
        <xdr:cNvPr id="18" name="Picture 5" descr="http://static.freepik.com/photos-libre/orientation-fleche-indiquant-le-nord_17-1210081811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925402">
          <a:off x="6686550" y="542925"/>
          <a:ext cx="4476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49" zoomScale="90" zoomScaleNormal="90" workbookViewId="0">
      <selection activeCell="C76" sqref="C76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21" t="s">
        <v>5</v>
      </c>
      <c r="B5" s="321"/>
      <c r="C5" s="321"/>
      <c r="D5" s="321"/>
      <c r="E5" s="321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22" t="s">
        <v>6</v>
      </c>
      <c r="B7" s="323" t="s">
        <v>7</v>
      </c>
      <c r="C7" s="323"/>
      <c r="D7" s="323"/>
      <c r="E7" s="323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22"/>
      <c r="B8" s="324" t="s">
        <v>8</v>
      </c>
      <c r="C8" s="324"/>
      <c r="D8" s="324"/>
      <c r="E8" s="324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22"/>
      <c r="B9" s="325" t="s">
        <v>9</v>
      </c>
      <c r="C9" s="325"/>
      <c r="D9" s="325"/>
      <c r="E9" s="325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26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26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27" t="s">
        <v>29</v>
      </c>
      <c r="B69" s="328" t="s">
        <v>196</v>
      </c>
      <c r="C69" s="87" t="s">
        <v>197</v>
      </c>
      <c r="D69" s="87" t="s">
        <v>198</v>
      </c>
      <c r="E69" s="320" t="s">
        <v>199</v>
      </c>
      <c r="F69" s="320" t="s">
        <v>200</v>
      </c>
      <c r="G69" s="320" t="s">
        <v>201</v>
      </c>
      <c r="H69" s="320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27"/>
      <c r="B70" s="328"/>
      <c r="C70" s="90" t="s">
        <v>204</v>
      </c>
      <c r="D70" s="90" t="s">
        <v>205</v>
      </c>
      <c r="E70" s="320"/>
      <c r="F70" s="320"/>
      <c r="G70" s="320"/>
      <c r="H70" s="320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W4"/>
  <sheetViews>
    <sheetView zoomScale="95" zoomScaleNormal="95" workbookViewId="0">
      <selection activeCell="C3" sqref="C3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 ht="13.5" thickBot="1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212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 ht="15">
      <c r="A2" s="111" t="s">
        <v>7730</v>
      </c>
      <c r="B2" s="111" t="s">
        <v>7731</v>
      </c>
      <c r="C2" s="180" t="s">
        <v>8049</v>
      </c>
      <c r="D2" s="180" t="s">
        <v>7793</v>
      </c>
      <c r="G2" s="112" t="s">
        <v>8048</v>
      </c>
      <c r="I2" s="113" t="s">
        <v>55</v>
      </c>
      <c r="J2" s="113" t="s">
        <v>54</v>
      </c>
      <c r="L2" s="296" t="s">
        <v>7803</v>
      </c>
      <c r="N2" s="112" t="s">
        <v>7736</v>
      </c>
    </row>
    <row r="3" spans="1:23">
      <c r="R3" s="181"/>
      <c r="S3" s="181"/>
      <c r="T3" s="182"/>
      <c r="U3" s="182"/>
      <c r="V3" s="182"/>
      <c r="W3" s="182"/>
    </row>
    <row r="4" spans="1:23">
      <c r="R4" s="183"/>
      <c r="S4" s="183"/>
      <c r="T4" s="183"/>
      <c r="U4" s="183"/>
      <c r="V4" s="183"/>
      <c r="W4" s="183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J8" sqref="J8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7741</v>
      </c>
      <c r="B2" s="423" t="s">
        <v>8050</v>
      </c>
      <c r="C2" s="424" t="s">
        <v>8051</v>
      </c>
      <c r="G2" s="117" t="s">
        <v>7742</v>
      </c>
      <c r="H2" s="234"/>
      <c r="I2" s="234"/>
      <c r="J2" s="423" t="s">
        <v>7743</v>
      </c>
      <c r="K2" s="42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X10"/>
  <sheetViews>
    <sheetView zoomScale="95" zoomScaleNormal="95" workbookViewId="0">
      <selection activeCell="B7" sqref="B7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A2" s="125" t="s">
        <v>113</v>
      </c>
      <c r="B2" s="125" t="s">
        <v>7732</v>
      </c>
      <c r="C2" s="125" t="s">
        <v>7733</v>
      </c>
      <c r="F2" s="232" t="s">
        <v>7734</v>
      </c>
      <c r="G2" s="125" t="s">
        <v>119</v>
      </c>
      <c r="H2" s="233" t="s">
        <v>7735</v>
      </c>
    </row>
    <row r="3" spans="1:24">
      <c r="B3" s="123" t="s">
        <v>7737</v>
      </c>
      <c r="C3" s="123" t="s">
        <v>7738</v>
      </c>
      <c r="D3"/>
      <c r="E3"/>
      <c r="F3" s="123" t="s">
        <v>7739</v>
      </c>
      <c r="G3" s="123" t="s">
        <v>7740</v>
      </c>
      <c r="H3" s="191"/>
    </row>
    <row r="4" spans="1:24">
      <c r="B4" s="123" t="s">
        <v>7744</v>
      </c>
      <c r="C4" s="123" t="s">
        <v>7745</v>
      </c>
      <c r="D4" s="194"/>
      <c r="E4"/>
      <c r="F4" s="123" t="s">
        <v>7746</v>
      </c>
      <c r="G4" s="123" t="s">
        <v>7740</v>
      </c>
      <c r="H4" s="191"/>
    </row>
    <row r="8" spans="1:24">
      <c r="K8" s="184"/>
      <c r="L8" s="185"/>
      <c r="M8" s="185"/>
      <c r="N8" s="185"/>
      <c r="O8" s="182"/>
      <c r="P8" s="186"/>
      <c r="Q8" s="187"/>
      <c r="R8" s="188"/>
      <c r="S8" s="188"/>
      <c r="T8" s="188"/>
      <c r="U8" s="187"/>
      <c r="V8" s="188"/>
      <c r="W8" s="188"/>
      <c r="X8" s="187"/>
    </row>
    <row r="9" spans="1:24">
      <c r="L9" s="189"/>
      <c r="M9" s="189"/>
      <c r="N9" s="190"/>
      <c r="Q9" s="191"/>
      <c r="R9" s="191"/>
      <c r="S9" s="191"/>
      <c r="T9" s="192"/>
      <c r="U9" s="191"/>
      <c r="V9" s="191"/>
      <c r="W9" s="191"/>
      <c r="X9" s="193"/>
    </row>
    <row r="10" spans="1:24">
      <c r="K10" s="194"/>
      <c r="L10" s="189"/>
      <c r="M10" s="189"/>
      <c r="N10" s="190"/>
      <c r="O10" s="194"/>
      <c r="Q10" s="191"/>
      <c r="R10" s="191"/>
      <c r="S10" s="191"/>
      <c r="T10" s="192"/>
      <c r="U10" s="191"/>
      <c r="V10" s="191"/>
      <c r="W10" s="191"/>
      <c r="X10" s="193"/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8"/>
  <sheetViews>
    <sheetView topLeftCell="B1" zoomScale="70" zoomScaleNormal="70" workbookViewId="0">
      <selection activeCell="H43" sqref="H43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6" t="s">
        <v>126</v>
      </c>
      <c r="B1" s="156" t="s">
        <v>127</v>
      </c>
      <c r="C1" s="157" t="s">
        <v>128</v>
      </c>
      <c r="D1" s="158" t="s">
        <v>29</v>
      </c>
      <c r="E1" s="158" t="s">
        <v>129</v>
      </c>
      <c r="F1" s="158" t="s">
        <v>130</v>
      </c>
      <c r="G1" s="159" t="s">
        <v>131</v>
      </c>
      <c r="H1" s="159" t="s">
        <v>74</v>
      </c>
    </row>
    <row r="2" spans="1:8" s="138" customFormat="1" ht="90" thickBot="1">
      <c r="A2" s="167" t="s">
        <v>244</v>
      </c>
      <c r="B2" s="167" t="s">
        <v>7449</v>
      </c>
      <c r="C2" s="168" t="s">
        <v>7450</v>
      </c>
      <c r="D2" s="169" t="s">
        <v>7451</v>
      </c>
      <c r="E2" s="169" t="s">
        <v>7452</v>
      </c>
      <c r="F2" s="169" t="s">
        <v>7453</v>
      </c>
      <c r="G2" s="170"/>
      <c r="H2" s="170"/>
    </row>
    <row r="3" spans="1:8" ht="38.25">
      <c r="A3" s="160" t="s">
        <v>244</v>
      </c>
      <c r="B3" s="160" t="s">
        <v>7454</v>
      </c>
      <c r="C3" s="161" t="s">
        <v>7455</v>
      </c>
      <c r="D3" s="162" t="s">
        <v>7456</v>
      </c>
      <c r="E3" s="162" t="s">
        <v>7457</v>
      </c>
      <c r="F3" s="163" t="s">
        <v>7458</v>
      </c>
      <c r="G3" s="164"/>
      <c r="H3" s="164"/>
    </row>
    <row r="4" spans="1:8" ht="38.25">
      <c r="A4" s="160" t="s">
        <v>244</v>
      </c>
      <c r="B4" s="160" t="s">
        <v>7459</v>
      </c>
      <c r="C4" s="161" t="s">
        <v>7460</v>
      </c>
      <c r="D4" s="162" t="s">
        <v>7461</v>
      </c>
      <c r="E4" s="162" t="s">
        <v>246</v>
      </c>
      <c r="F4" s="163" t="s">
        <v>7462</v>
      </c>
      <c r="G4" s="164"/>
      <c r="H4" s="164"/>
    </row>
    <row r="5" spans="1:8" ht="63.75">
      <c r="A5" s="160" t="s">
        <v>244</v>
      </c>
      <c r="B5" s="160" t="s">
        <v>7463</v>
      </c>
      <c r="C5" s="161" t="s">
        <v>7464</v>
      </c>
      <c r="D5" s="162" t="s">
        <v>7465</v>
      </c>
      <c r="E5" s="162" t="s">
        <v>247</v>
      </c>
      <c r="F5" s="163" t="s">
        <v>7466</v>
      </c>
      <c r="G5" s="164"/>
      <c r="H5" s="164"/>
    </row>
    <row r="6" spans="1:8" ht="38.25">
      <c r="A6" s="160" t="s">
        <v>244</v>
      </c>
      <c r="B6" s="160" t="s">
        <v>7467</v>
      </c>
      <c r="C6" s="161" t="s">
        <v>7468</v>
      </c>
      <c r="D6" s="162" t="s">
        <v>7469</v>
      </c>
      <c r="E6" s="162" t="s">
        <v>247</v>
      </c>
      <c r="F6" s="163" t="s">
        <v>7470</v>
      </c>
      <c r="G6" s="164"/>
      <c r="H6" s="164"/>
    </row>
    <row r="7" spans="1:8">
      <c r="A7" s="160" t="s">
        <v>244</v>
      </c>
      <c r="B7" s="160" t="s">
        <v>254</v>
      </c>
      <c r="C7" s="161" t="s">
        <v>7442</v>
      </c>
      <c r="D7" s="162" t="s">
        <v>7471</v>
      </c>
      <c r="E7" s="162" t="s">
        <v>7472</v>
      </c>
      <c r="F7" s="163" t="s">
        <v>7473</v>
      </c>
      <c r="G7" s="164"/>
      <c r="H7" s="164"/>
    </row>
    <row r="8" spans="1:8" ht="38.25">
      <c r="A8" s="160" t="s">
        <v>244</v>
      </c>
      <c r="B8" s="160" t="s">
        <v>7474</v>
      </c>
      <c r="C8" s="161" t="s">
        <v>7475</v>
      </c>
      <c r="D8" s="162" t="s">
        <v>7476</v>
      </c>
      <c r="E8" s="162" t="s">
        <v>245</v>
      </c>
      <c r="F8" s="163" t="s">
        <v>7477</v>
      </c>
      <c r="G8" s="164"/>
      <c r="H8" s="164"/>
    </row>
    <row r="9" spans="1:8" ht="25.5">
      <c r="A9" s="160" t="s">
        <v>244</v>
      </c>
      <c r="B9" s="160" t="s">
        <v>7478</v>
      </c>
      <c r="C9" s="161" t="s">
        <v>7479</v>
      </c>
      <c r="D9" s="162" t="s">
        <v>7480</v>
      </c>
      <c r="E9" s="162" t="s">
        <v>7457</v>
      </c>
      <c r="F9" s="163" t="s">
        <v>7481</v>
      </c>
      <c r="G9" s="164"/>
      <c r="H9" s="164"/>
    </row>
    <row r="10" spans="1:8">
      <c r="A10" s="160" t="s">
        <v>244</v>
      </c>
      <c r="B10" s="160" t="s">
        <v>253</v>
      </c>
      <c r="C10" s="161" t="s">
        <v>7441</v>
      </c>
      <c r="D10" s="162" t="s">
        <v>7482</v>
      </c>
      <c r="E10" s="162" t="s">
        <v>7472</v>
      </c>
      <c r="F10" s="163" t="s">
        <v>7483</v>
      </c>
      <c r="G10" s="164"/>
      <c r="H10" s="164"/>
    </row>
    <row r="11" spans="1:8">
      <c r="A11" s="160" t="s">
        <v>244</v>
      </c>
      <c r="B11" s="160" t="s">
        <v>251</v>
      </c>
      <c r="C11" s="161" t="s">
        <v>7484</v>
      </c>
      <c r="D11" s="162" t="s">
        <v>7485</v>
      </c>
      <c r="E11" s="162" t="s">
        <v>7486</v>
      </c>
      <c r="F11" s="163" t="s">
        <v>7487</v>
      </c>
      <c r="G11" s="164"/>
      <c r="H11" s="164"/>
    </row>
    <row r="12" spans="1:8" ht="25.5">
      <c r="A12" s="160" t="s">
        <v>244</v>
      </c>
      <c r="B12" s="160" t="s">
        <v>248</v>
      </c>
      <c r="C12" s="161" t="s">
        <v>7488</v>
      </c>
      <c r="D12" s="162" t="s">
        <v>7489</v>
      </c>
      <c r="E12" s="162" t="s">
        <v>7472</v>
      </c>
      <c r="F12" s="163" t="s">
        <v>7490</v>
      </c>
      <c r="G12" s="164"/>
      <c r="H12" s="164"/>
    </row>
    <row r="13" spans="1:8" ht="38.25">
      <c r="A13" s="160" t="s">
        <v>244</v>
      </c>
      <c r="B13" s="160" t="s">
        <v>7491</v>
      </c>
      <c r="C13" s="161" t="s">
        <v>7492</v>
      </c>
      <c r="D13" s="162" t="s">
        <v>7493</v>
      </c>
      <c r="E13" s="162" t="s">
        <v>7472</v>
      </c>
      <c r="F13" s="163" t="s">
        <v>7494</v>
      </c>
      <c r="G13" s="164"/>
      <c r="H13" s="164"/>
    </row>
    <row r="14" spans="1:8" ht="60.75" customHeight="1">
      <c r="A14" s="160" t="s">
        <v>244</v>
      </c>
      <c r="B14" s="160" t="s">
        <v>249</v>
      </c>
      <c r="C14" s="161" t="s">
        <v>7495</v>
      </c>
      <c r="D14" s="162" t="s">
        <v>7496</v>
      </c>
      <c r="E14" s="162" t="s">
        <v>250</v>
      </c>
      <c r="F14" s="163" t="s">
        <v>7601</v>
      </c>
      <c r="G14" s="164"/>
      <c r="H14" s="164"/>
    </row>
    <row r="15" spans="1:8" ht="25.5">
      <c r="A15" s="160" t="s">
        <v>244</v>
      </c>
      <c r="B15" s="160" t="s">
        <v>7602</v>
      </c>
      <c r="C15" s="161" t="s">
        <v>7497</v>
      </c>
      <c r="D15" s="162" t="s">
        <v>7498</v>
      </c>
      <c r="E15" s="162" t="s">
        <v>143</v>
      </c>
      <c r="F15" s="163" t="s">
        <v>7499</v>
      </c>
      <c r="G15" s="164"/>
      <c r="H15" s="164"/>
    </row>
    <row r="16" spans="1:8" ht="60">
      <c r="A16" s="160" t="s">
        <v>244</v>
      </c>
      <c r="B16" s="160" t="s">
        <v>7500</v>
      </c>
      <c r="C16" s="161" t="s">
        <v>7501</v>
      </c>
      <c r="D16" s="162" t="s">
        <v>7502</v>
      </c>
      <c r="E16" s="162" t="s">
        <v>7503</v>
      </c>
      <c r="F16" s="163" t="s">
        <v>7504</v>
      </c>
      <c r="G16" s="164"/>
      <c r="H16" s="165"/>
    </row>
    <row r="17" spans="1:8" ht="36">
      <c r="A17" s="160" t="s">
        <v>244</v>
      </c>
      <c r="B17" s="160" t="s">
        <v>7505</v>
      </c>
      <c r="C17" s="161" t="s">
        <v>7506</v>
      </c>
      <c r="D17" s="162" t="s">
        <v>7507</v>
      </c>
      <c r="E17" s="162" t="s">
        <v>7508</v>
      </c>
      <c r="F17" s="163" t="s">
        <v>7504</v>
      </c>
      <c r="G17" s="164"/>
      <c r="H17" s="164"/>
    </row>
    <row r="18" spans="1:8" ht="36">
      <c r="A18" s="160" t="s">
        <v>244</v>
      </c>
      <c r="B18" s="160" t="s">
        <v>7509</v>
      </c>
      <c r="C18" s="161" t="s">
        <v>7510</v>
      </c>
      <c r="D18" s="162" t="s">
        <v>7511</v>
      </c>
      <c r="E18" s="162" t="s">
        <v>7508</v>
      </c>
      <c r="F18" s="163" t="s">
        <v>7504</v>
      </c>
      <c r="G18" s="164"/>
      <c r="H18" s="164"/>
    </row>
    <row r="19" spans="1:8" ht="114.75">
      <c r="A19" s="171" t="s">
        <v>244</v>
      </c>
      <c r="B19" s="171" t="s">
        <v>7512</v>
      </c>
      <c r="C19" s="172" t="s">
        <v>7513</v>
      </c>
      <c r="D19" s="173" t="s">
        <v>7514</v>
      </c>
      <c r="E19" s="173" t="s">
        <v>7508</v>
      </c>
      <c r="F19" s="174" t="s">
        <v>7515</v>
      </c>
      <c r="G19" s="175"/>
      <c r="H19" s="175"/>
    </row>
    <row r="20" spans="1:8" ht="36">
      <c r="A20" s="160" t="s">
        <v>244</v>
      </c>
      <c r="B20" s="160" t="s">
        <v>7516</v>
      </c>
      <c r="C20" s="161" t="s">
        <v>7517</v>
      </c>
      <c r="D20" s="166" t="s">
        <v>7518</v>
      </c>
      <c r="E20" s="162" t="s">
        <v>7508</v>
      </c>
      <c r="F20" s="163" t="s">
        <v>7504</v>
      </c>
      <c r="G20" s="164"/>
      <c r="H20" s="164"/>
    </row>
    <row r="21" spans="1:8" ht="36">
      <c r="A21" s="160" t="s">
        <v>244</v>
      </c>
      <c r="B21" s="160" t="s">
        <v>7519</v>
      </c>
      <c r="C21" s="161" t="s">
        <v>7520</v>
      </c>
      <c r="D21" s="162" t="s">
        <v>7521</v>
      </c>
      <c r="E21" s="162" t="s">
        <v>7508</v>
      </c>
      <c r="F21" s="163" t="s">
        <v>7504</v>
      </c>
      <c r="G21" s="164"/>
      <c r="H21" s="164"/>
    </row>
    <row r="22" spans="1:8" ht="36">
      <c r="A22" s="160" t="s">
        <v>244</v>
      </c>
      <c r="B22" s="160" t="s">
        <v>7522</v>
      </c>
      <c r="C22" s="161" t="s">
        <v>7523</v>
      </c>
      <c r="D22" s="162" t="s">
        <v>7524</v>
      </c>
      <c r="E22" s="162" t="s">
        <v>7508</v>
      </c>
      <c r="F22" s="163" t="s">
        <v>7504</v>
      </c>
      <c r="G22" s="164"/>
      <c r="H22" s="164"/>
    </row>
    <row r="23" spans="1:8" ht="76.5">
      <c r="A23" s="160" t="s">
        <v>244</v>
      </c>
      <c r="B23" s="160" t="s">
        <v>7525</v>
      </c>
      <c r="C23" s="161" t="s">
        <v>7526</v>
      </c>
      <c r="D23" s="162" t="s">
        <v>7527</v>
      </c>
      <c r="E23" s="162" t="s">
        <v>7508</v>
      </c>
      <c r="F23" s="163" t="s">
        <v>7528</v>
      </c>
      <c r="G23" s="164"/>
      <c r="H23" s="164"/>
    </row>
    <row r="24" spans="1:8" ht="36">
      <c r="A24" s="160" t="s">
        <v>244</v>
      </c>
      <c r="B24" s="160" t="s">
        <v>7529</v>
      </c>
      <c r="C24" s="161" t="s">
        <v>7530</v>
      </c>
      <c r="D24" s="162" t="s">
        <v>7531</v>
      </c>
      <c r="E24" s="162" t="s">
        <v>7508</v>
      </c>
      <c r="F24" s="163" t="s">
        <v>7504</v>
      </c>
      <c r="G24" s="164"/>
      <c r="H24" s="165"/>
    </row>
    <row r="25" spans="1:8" ht="89.25">
      <c r="A25" s="160" t="s">
        <v>244</v>
      </c>
      <c r="B25" s="160" t="s">
        <v>7532</v>
      </c>
      <c r="C25" s="161" t="s">
        <v>7533</v>
      </c>
      <c r="D25" s="162" t="s">
        <v>7534</v>
      </c>
      <c r="E25" s="162" t="s">
        <v>7508</v>
      </c>
      <c r="F25" s="163" t="s">
        <v>7535</v>
      </c>
      <c r="G25" s="164"/>
      <c r="H25" s="165"/>
    </row>
    <row r="26" spans="1:8" ht="38.25">
      <c r="A26" s="160" t="s">
        <v>244</v>
      </c>
      <c r="B26" s="160" t="s">
        <v>7536</v>
      </c>
      <c r="C26" s="161" t="s">
        <v>7537</v>
      </c>
      <c r="D26" s="162" t="s">
        <v>7538</v>
      </c>
      <c r="E26" s="162" t="s">
        <v>247</v>
      </c>
      <c r="F26" s="163" t="s">
        <v>7539</v>
      </c>
      <c r="G26" s="164"/>
      <c r="H26" s="165"/>
    </row>
    <row r="27" spans="1:8">
      <c r="A27" s="160" t="s">
        <v>244</v>
      </c>
      <c r="B27" s="160" t="s">
        <v>7540</v>
      </c>
      <c r="C27" s="161" t="s">
        <v>7541</v>
      </c>
      <c r="D27" s="162" t="s">
        <v>7542</v>
      </c>
      <c r="E27" s="162" t="s">
        <v>7543</v>
      </c>
      <c r="F27" s="163" t="s">
        <v>7544</v>
      </c>
      <c r="G27" s="164"/>
      <c r="H27" s="165"/>
    </row>
    <row r="28" spans="1:8">
      <c r="A28" s="160" t="s">
        <v>244</v>
      </c>
      <c r="B28" s="160" t="s">
        <v>7545</v>
      </c>
      <c r="C28" s="161" t="s">
        <v>7546</v>
      </c>
      <c r="D28" s="162" t="s">
        <v>7547</v>
      </c>
      <c r="E28" s="162" t="s">
        <v>7543</v>
      </c>
      <c r="F28" s="163" t="s">
        <v>7544</v>
      </c>
      <c r="G28" s="164"/>
      <c r="H28" s="165"/>
    </row>
    <row r="29" spans="1:8">
      <c r="A29" s="160" t="s">
        <v>244</v>
      </c>
      <c r="B29" s="160" t="s">
        <v>7548</v>
      </c>
      <c r="C29" s="161" t="s">
        <v>7549</v>
      </c>
      <c r="D29" s="162" t="s">
        <v>7550</v>
      </c>
      <c r="E29" s="162" t="s">
        <v>7543</v>
      </c>
      <c r="F29" s="163" t="s">
        <v>7544</v>
      </c>
      <c r="G29" s="164"/>
      <c r="H29" s="165"/>
    </row>
    <row r="30" spans="1:8">
      <c r="A30" s="160" t="s">
        <v>244</v>
      </c>
      <c r="B30" s="160" t="s">
        <v>7551</v>
      </c>
      <c r="C30" s="161" t="s">
        <v>7552</v>
      </c>
      <c r="D30" s="162" t="s">
        <v>7553</v>
      </c>
      <c r="E30" s="162" t="s">
        <v>7543</v>
      </c>
      <c r="F30" s="163" t="s">
        <v>7544</v>
      </c>
      <c r="G30" s="164"/>
      <c r="H30" s="165"/>
    </row>
    <row r="31" spans="1:8">
      <c r="A31" s="160" t="s">
        <v>244</v>
      </c>
      <c r="B31" s="160" t="s">
        <v>7554</v>
      </c>
      <c r="C31" s="161" t="s">
        <v>7555</v>
      </c>
      <c r="D31" s="162" t="s">
        <v>7556</v>
      </c>
      <c r="E31" s="162" t="s">
        <v>7543</v>
      </c>
      <c r="F31" s="163" t="s">
        <v>7544</v>
      </c>
      <c r="G31" s="164"/>
      <c r="H31" s="165"/>
    </row>
    <row r="32" spans="1:8">
      <c r="A32" s="160" t="s">
        <v>244</v>
      </c>
      <c r="B32" s="160" t="s">
        <v>7557</v>
      </c>
      <c r="C32" s="161" t="s">
        <v>7558</v>
      </c>
      <c r="D32" s="162" t="s">
        <v>7559</v>
      </c>
      <c r="E32" s="162" t="s">
        <v>7543</v>
      </c>
      <c r="F32" s="163" t="s">
        <v>7544</v>
      </c>
      <c r="G32" s="164"/>
      <c r="H32" s="165"/>
    </row>
    <row r="33" spans="1:8" ht="24">
      <c r="A33" s="160" t="s">
        <v>244</v>
      </c>
      <c r="B33" s="160" t="s">
        <v>252</v>
      </c>
      <c r="C33" s="161" t="s">
        <v>7560</v>
      </c>
      <c r="D33" s="162" t="s">
        <v>7561</v>
      </c>
      <c r="E33" s="162" t="s">
        <v>7562</v>
      </c>
      <c r="F33" s="163" t="s">
        <v>7544</v>
      </c>
      <c r="G33" s="164"/>
      <c r="H33" s="165"/>
    </row>
    <row r="34" spans="1:8" ht="24">
      <c r="A34" s="160" t="s">
        <v>244</v>
      </c>
      <c r="B34" s="160" t="s">
        <v>7563</v>
      </c>
      <c r="C34" s="161" t="s">
        <v>7564</v>
      </c>
      <c r="D34" s="162" t="s">
        <v>7565</v>
      </c>
      <c r="E34" s="162" t="s">
        <v>7562</v>
      </c>
      <c r="F34" s="163" t="s">
        <v>7544</v>
      </c>
      <c r="G34" s="164"/>
      <c r="H34" s="165"/>
    </row>
    <row r="35" spans="1:8">
      <c r="A35" s="160" t="s">
        <v>244</v>
      </c>
      <c r="B35" s="160" t="s">
        <v>7566</v>
      </c>
      <c r="C35" s="161" t="s">
        <v>7446</v>
      </c>
      <c r="D35" s="162" t="s">
        <v>7567</v>
      </c>
      <c r="E35" s="162" t="s">
        <v>7568</v>
      </c>
      <c r="F35" s="163" t="s">
        <v>7544</v>
      </c>
      <c r="G35" s="164"/>
      <c r="H35" s="165"/>
    </row>
    <row r="36" spans="1:8">
      <c r="A36" s="160" t="s">
        <v>244</v>
      </c>
      <c r="B36" s="160" t="s">
        <v>7569</v>
      </c>
      <c r="C36" s="161" t="s">
        <v>7570</v>
      </c>
      <c r="D36" s="162" t="s">
        <v>7571</v>
      </c>
      <c r="E36" s="162" t="s">
        <v>247</v>
      </c>
      <c r="F36" s="163" t="s">
        <v>7544</v>
      </c>
      <c r="G36" s="164"/>
      <c r="H36" s="164"/>
    </row>
    <row r="37" spans="1:8" ht="24">
      <c r="A37" s="160" t="s">
        <v>244</v>
      </c>
      <c r="B37" s="160" t="s">
        <v>7572</v>
      </c>
      <c r="C37" s="161" t="s">
        <v>7573</v>
      </c>
      <c r="D37" s="162" t="s">
        <v>7574</v>
      </c>
      <c r="E37" s="162" t="s">
        <v>7562</v>
      </c>
      <c r="F37" s="163" t="s">
        <v>7544</v>
      </c>
      <c r="G37" s="164"/>
      <c r="H37" s="164"/>
    </row>
    <row r="38" spans="1:8">
      <c r="A38" s="160" t="s">
        <v>244</v>
      </c>
      <c r="B38" s="160" t="s">
        <v>7575</v>
      </c>
      <c r="C38" s="161" t="s">
        <v>7576</v>
      </c>
      <c r="D38" s="162" t="s">
        <v>7577</v>
      </c>
      <c r="E38" s="162" t="s">
        <v>247</v>
      </c>
      <c r="F38" s="163" t="s">
        <v>7578</v>
      </c>
      <c r="G38" s="164"/>
      <c r="H38" s="164"/>
    </row>
    <row r="39" spans="1:8" ht="63.75">
      <c r="A39" s="160" t="s">
        <v>244</v>
      </c>
      <c r="B39" s="160" t="s">
        <v>7579</v>
      </c>
      <c r="C39" s="161" t="s">
        <v>7580</v>
      </c>
      <c r="D39" s="162" t="s">
        <v>7581</v>
      </c>
      <c r="E39" s="162" t="s">
        <v>247</v>
      </c>
      <c r="F39" s="163" t="s">
        <v>7582</v>
      </c>
      <c r="G39" s="164"/>
      <c r="H39" s="164"/>
    </row>
    <row r="40" spans="1:8" ht="63.75">
      <c r="A40" s="160" t="s">
        <v>244</v>
      </c>
      <c r="B40" s="160" t="s">
        <v>7583</v>
      </c>
      <c r="C40" s="161" t="s">
        <v>7445</v>
      </c>
      <c r="D40" s="162" t="s">
        <v>7584</v>
      </c>
      <c r="E40" s="162" t="s">
        <v>247</v>
      </c>
      <c r="F40" s="163" t="s">
        <v>7585</v>
      </c>
      <c r="G40" s="164"/>
      <c r="H40" s="164"/>
    </row>
    <row r="41" spans="1:8" ht="36">
      <c r="A41" s="160" t="s">
        <v>244</v>
      </c>
      <c r="B41" s="160" t="s">
        <v>7586</v>
      </c>
      <c r="C41" s="161" t="s">
        <v>7587</v>
      </c>
      <c r="D41" s="162" t="s">
        <v>7588</v>
      </c>
      <c r="E41" s="162" t="s">
        <v>7589</v>
      </c>
      <c r="F41" s="163" t="s">
        <v>7590</v>
      </c>
      <c r="G41" s="164"/>
      <c r="H41" s="164"/>
    </row>
    <row r="42" spans="1:8" ht="36">
      <c r="A42" s="160" t="s">
        <v>244</v>
      </c>
      <c r="B42" s="160" t="s">
        <v>7443</v>
      </c>
      <c r="C42" s="161" t="s">
        <v>7444</v>
      </c>
      <c r="D42" s="162" t="s">
        <v>7591</v>
      </c>
      <c r="E42" s="162" t="s">
        <v>7592</v>
      </c>
      <c r="F42" s="163" t="s">
        <v>7590</v>
      </c>
      <c r="G42" s="164"/>
      <c r="H42" s="164"/>
    </row>
    <row r="43" spans="1:8" ht="36">
      <c r="A43" s="160" t="s">
        <v>244</v>
      </c>
      <c r="B43" s="160" t="s">
        <v>7593</v>
      </c>
      <c r="C43" s="161" t="s">
        <v>7594</v>
      </c>
      <c r="D43" s="162" t="s">
        <v>7595</v>
      </c>
      <c r="E43" s="162" t="s">
        <v>7596</v>
      </c>
      <c r="F43" s="163" t="s">
        <v>7590</v>
      </c>
      <c r="G43" s="164"/>
      <c r="H43" s="164" t="s">
        <v>8045</v>
      </c>
    </row>
    <row r="44" spans="1:8" ht="102">
      <c r="A44" s="160" t="s">
        <v>244</v>
      </c>
      <c r="B44" s="160" t="s">
        <v>7597</v>
      </c>
      <c r="C44" s="161" t="s">
        <v>7598</v>
      </c>
      <c r="D44" s="162" t="s">
        <v>7599</v>
      </c>
      <c r="E44" s="162" t="s">
        <v>7457</v>
      </c>
      <c r="F44" s="163" t="s">
        <v>7600</v>
      </c>
      <c r="G44" s="176"/>
      <c r="H44" s="176"/>
    </row>
    <row r="45" spans="1:8">
      <c r="A45" s="177"/>
      <c r="B45" s="177"/>
      <c r="C45" s="178"/>
      <c r="D45" s="178"/>
      <c r="E45" s="178"/>
      <c r="F45" s="178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81"/>
  <sheetViews>
    <sheetView zoomScale="95" zoomScaleNormal="95" workbookViewId="0">
      <selection activeCell="D78" sqref="D78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16384" width="12.7109375" style="129"/>
  </cols>
  <sheetData>
    <row r="1" spans="1:5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5">
      <c r="A2" s="132" t="s">
        <v>255</v>
      </c>
      <c r="B2" s="123" t="s">
        <v>7804</v>
      </c>
      <c r="C2" s="125" t="s">
        <v>7804</v>
      </c>
      <c r="D2" s="133"/>
      <c r="E2" s="125" t="s">
        <v>7804</v>
      </c>
    </row>
    <row r="3" spans="1:5">
      <c r="A3" s="132" t="s">
        <v>255</v>
      </c>
      <c r="B3" s="123" t="s">
        <v>7805</v>
      </c>
      <c r="C3" s="123" t="s">
        <v>7805</v>
      </c>
      <c r="E3" s="123" t="s">
        <v>7805</v>
      </c>
    </row>
    <row r="4" spans="1:5">
      <c r="A4" s="132" t="s">
        <v>255</v>
      </c>
      <c r="B4" s="123" t="s">
        <v>7806</v>
      </c>
      <c r="C4" s="123" t="s">
        <v>7806</v>
      </c>
      <c r="E4" s="123" t="s">
        <v>7806</v>
      </c>
    </row>
    <row r="5" spans="1:5">
      <c r="A5" s="132" t="s">
        <v>255</v>
      </c>
      <c r="B5" s="123" t="s">
        <v>7807</v>
      </c>
      <c r="C5" s="123" t="s">
        <v>7807</v>
      </c>
      <c r="E5" s="123" t="s">
        <v>7807</v>
      </c>
    </row>
    <row r="6" spans="1:5">
      <c r="A6" s="132" t="s">
        <v>255</v>
      </c>
      <c r="B6" s="123" t="s">
        <v>7808</v>
      </c>
      <c r="C6" s="123" t="s">
        <v>7808</v>
      </c>
      <c r="E6" s="123" t="s">
        <v>7808</v>
      </c>
    </row>
    <row r="7" spans="1:5">
      <c r="A7" s="132" t="s">
        <v>255</v>
      </c>
      <c r="B7" s="123" t="s">
        <v>7809</v>
      </c>
      <c r="C7" s="123" t="s">
        <v>7809</v>
      </c>
      <c r="E7" s="123" t="s">
        <v>7809</v>
      </c>
    </row>
    <row r="8" spans="1:5">
      <c r="A8" s="132" t="s">
        <v>255</v>
      </c>
      <c r="B8" s="123" t="s">
        <v>7810</v>
      </c>
      <c r="C8" s="123" t="s">
        <v>7810</v>
      </c>
      <c r="E8" s="123" t="s">
        <v>7810</v>
      </c>
    </row>
    <row r="9" spans="1:5">
      <c r="A9" s="132" t="s">
        <v>255</v>
      </c>
      <c r="B9" s="123" t="s">
        <v>7811</v>
      </c>
      <c r="C9" s="123" t="s">
        <v>7811</v>
      </c>
      <c r="E9" s="123" t="s">
        <v>7811</v>
      </c>
    </row>
    <row r="10" spans="1:5">
      <c r="A10" s="132" t="s">
        <v>255</v>
      </c>
      <c r="B10" s="123" t="s">
        <v>7812</v>
      </c>
      <c r="C10" s="123" t="s">
        <v>7812</v>
      </c>
      <c r="E10" s="123" t="s">
        <v>7812</v>
      </c>
    </row>
    <row r="11" spans="1:5">
      <c r="A11" s="132" t="s">
        <v>255</v>
      </c>
      <c r="B11" s="123" t="s">
        <v>7813</v>
      </c>
      <c r="C11" s="123" t="s">
        <v>7813</v>
      </c>
      <c r="E11" s="123" t="s">
        <v>7813</v>
      </c>
    </row>
    <row r="12" spans="1:5">
      <c r="A12" s="132" t="s">
        <v>255</v>
      </c>
      <c r="B12" s="123" t="s">
        <v>7814</v>
      </c>
      <c r="C12" s="123" t="s">
        <v>7814</v>
      </c>
      <c r="E12" s="123" t="s">
        <v>7814</v>
      </c>
    </row>
    <row r="13" spans="1:5">
      <c r="A13" s="132" t="s">
        <v>255</v>
      </c>
      <c r="B13" s="123" t="s">
        <v>7815</v>
      </c>
      <c r="C13" s="123" t="s">
        <v>7815</v>
      </c>
      <c r="E13" s="123" t="s">
        <v>7815</v>
      </c>
    </row>
    <row r="14" spans="1:5">
      <c r="A14" s="132" t="s">
        <v>255</v>
      </c>
      <c r="B14" s="123" t="s">
        <v>7816</v>
      </c>
      <c r="C14" s="123" t="s">
        <v>7816</v>
      </c>
      <c r="E14" s="123" t="s">
        <v>7816</v>
      </c>
    </row>
    <row r="15" spans="1:5">
      <c r="A15" s="132" t="s">
        <v>255</v>
      </c>
      <c r="B15" s="123" t="s">
        <v>7817</v>
      </c>
      <c r="C15" s="123" t="s">
        <v>7817</v>
      </c>
      <c r="E15" s="123" t="s">
        <v>7817</v>
      </c>
    </row>
    <row r="16" spans="1:5">
      <c r="A16" s="132" t="s">
        <v>255</v>
      </c>
      <c r="B16" s="123" t="s">
        <v>7818</v>
      </c>
      <c r="C16" s="123" t="s">
        <v>7818</v>
      </c>
      <c r="E16" s="123" t="s">
        <v>7818</v>
      </c>
    </row>
    <row r="17" spans="1:5">
      <c r="A17" s="132" t="s">
        <v>255</v>
      </c>
      <c r="B17" s="123" t="s">
        <v>7819</v>
      </c>
      <c r="C17" s="123" t="s">
        <v>7819</v>
      </c>
      <c r="E17" s="123" t="s">
        <v>7819</v>
      </c>
    </row>
    <row r="18" spans="1:5">
      <c r="A18" s="132" t="s">
        <v>255</v>
      </c>
      <c r="B18" s="123" t="s">
        <v>7820</v>
      </c>
      <c r="C18" s="123" t="s">
        <v>7820</v>
      </c>
      <c r="E18" s="123" t="s">
        <v>7820</v>
      </c>
    </row>
    <row r="19" spans="1:5">
      <c r="A19" s="132" t="s">
        <v>255</v>
      </c>
      <c r="B19" s="123" t="s">
        <v>7821</v>
      </c>
      <c r="C19" s="123" t="s">
        <v>7821</v>
      </c>
      <c r="E19" s="123" t="s">
        <v>7821</v>
      </c>
    </row>
    <row r="20" spans="1:5">
      <c r="A20" s="132" t="s">
        <v>255</v>
      </c>
      <c r="B20" s="123" t="s">
        <v>7822</v>
      </c>
      <c r="C20" s="123" t="s">
        <v>7822</v>
      </c>
      <c r="E20" s="123" t="s">
        <v>7822</v>
      </c>
    </row>
    <row r="21" spans="1:5">
      <c r="A21" s="132" t="s">
        <v>255</v>
      </c>
      <c r="B21" s="123" t="s">
        <v>7823</v>
      </c>
      <c r="C21" s="123" t="s">
        <v>7823</v>
      </c>
      <c r="E21" s="123" t="s">
        <v>7823</v>
      </c>
    </row>
    <row r="22" spans="1:5">
      <c r="A22" s="132" t="s">
        <v>255</v>
      </c>
      <c r="B22" s="123" t="s">
        <v>7824</v>
      </c>
      <c r="C22" s="123" t="s">
        <v>7824</v>
      </c>
      <c r="E22" s="123" t="s">
        <v>7824</v>
      </c>
    </row>
    <row r="23" spans="1:5">
      <c r="A23" s="132" t="s">
        <v>255</v>
      </c>
      <c r="B23" s="123" t="s">
        <v>7825</v>
      </c>
      <c r="C23" s="123" t="s">
        <v>7825</v>
      </c>
      <c r="E23" s="123" t="s">
        <v>7825</v>
      </c>
    </row>
    <row r="24" spans="1:5">
      <c r="A24" s="132" t="s">
        <v>255</v>
      </c>
      <c r="B24" s="123" t="s">
        <v>7826</v>
      </c>
      <c r="C24" s="123" t="s">
        <v>7826</v>
      </c>
      <c r="E24" s="123" t="s">
        <v>7826</v>
      </c>
    </row>
    <row r="25" spans="1:5">
      <c r="A25" s="132" t="s">
        <v>255</v>
      </c>
      <c r="B25" s="123" t="s">
        <v>7827</v>
      </c>
      <c r="C25" s="123" t="s">
        <v>7827</v>
      </c>
      <c r="E25" s="123" t="s">
        <v>7827</v>
      </c>
    </row>
    <row r="26" spans="1:5">
      <c r="A26" s="132" t="s">
        <v>255</v>
      </c>
      <c r="B26" s="123" t="s">
        <v>7828</v>
      </c>
      <c r="C26" s="123" t="s">
        <v>7828</v>
      </c>
      <c r="E26" s="123" t="s">
        <v>7828</v>
      </c>
    </row>
    <row r="27" spans="1:5">
      <c r="A27" s="132" t="s">
        <v>255</v>
      </c>
      <c r="B27" s="123" t="s">
        <v>7829</v>
      </c>
      <c r="C27" s="123" t="s">
        <v>7829</v>
      </c>
      <c r="E27" s="123" t="s">
        <v>7829</v>
      </c>
    </row>
    <row r="28" spans="1:5">
      <c r="A28" s="132" t="s">
        <v>255</v>
      </c>
      <c r="B28" s="123" t="s">
        <v>7830</v>
      </c>
      <c r="C28" s="123" t="s">
        <v>7830</v>
      </c>
      <c r="E28" s="123" t="s">
        <v>7830</v>
      </c>
    </row>
    <row r="29" spans="1:5">
      <c r="A29" s="132" t="s">
        <v>255</v>
      </c>
      <c r="B29" s="123" t="s">
        <v>7831</v>
      </c>
      <c r="C29" s="123" t="s">
        <v>7831</v>
      </c>
      <c r="E29" s="123" t="s">
        <v>7831</v>
      </c>
    </row>
    <row r="30" spans="1:5">
      <c r="A30" s="132" t="s">
        <v>255</v>
      </c>
      <c r="B30" s="123" t="s">
        <v>7832</v>
      </c>
      <c r="C30" s="123" t="s">
        <v>7832</v>
      </c>
      <c r="E30" s="123" t="s">
        <v>7832</v>
      </c>
    </row>
    <row r="31" spans="1:5">
      <c r="A31" s="132" t="s">
        <v>255</v>
      </c>
      <c r="B31" s="123" t="s">
        <v>7833</v>
      </c>
      <c r="C31" s="123" t="s">
        <v>7833</v>
      </c>
      <c r="E31" s="123" t="s">
        <v>7833</v>
      </c>
    </row>
    <row r="32" spans="1:5">
      <c r="A32" s="132" t="s">
        <v>255</v>
      </c>
      <c r="B32" s="123" t="s">
        <v>7834</v>
      </c>
      <c r="C32" s="123" t="s">
        <v>7834</v>
      </c>
      <c r="E32" s="123" t="s">
        <v>7834</v>
      </c>
    </row>
    <row r="33" spans="1:5">
      <c r="A33" s="132" t="s">
        <v>255</v>
      </c>
      <c r="B33" s="123" t="s">
        <v>7835</v>
      </c>
      <c r="C33" s="123" t="s">
        <v>7835</v>
      </c>
      <c r="E33" s="123" t="s">
        <v>7835</v>
      </c>
    </row>
    <row r="34" spans="1:5">
      <c r="A34" s="132" t="s">
        <v>255</v>
      </c>
      <c r="B34" s="123" t="s">
        <v>7836</v>
      </c>
      <c r="C34" s="123" t="s">
        <v>7836</v>
      </c>
      <c r="E34" s="123" t="s">
        <v>7836</v>
      </c>
    </row>
    <row r="35" spans="1:5">
      <c r="A35" s="132" t="s">
        <v>255</v>
      </c>
      <c r="B35" s="123" t="s">
        <v>7837</v>
      </c>
      <c r="C35" s="123" t="s">
        <v>7837</v>
      </c>
      <c r="E35" s="123" t="s">
        <v>7837</v>
      </c>
    </row>
    <row r="36" spans="1:5">
      <c r="A36" s="132" t="s">
        <v>255</v>
      </c>
      <c r="B36" s="123" t="s">
        <v>7838</v>
      </c>
      <c r="C36" s="123" t="s">
        <v>7838</v>
      </c>
      <c r="E36" s="123" t="s">
        <v>7838</v>
      </c>
    </row>
    <row r="37" spans="1:5">
      <c r="A37" s="132" t="s">
        <v>255</v>
      </c>
      <c r="B37" s="123" t="s">
        <v>7839</v>
      </c>
      <c r="C37" s="123" t="s">
        <v>7839</v>
      </c>
      <c r="E37" s="123" t="s">
        <v>7839</v>
      </c>
    </row>
    <row r="38" spans="1:5">
      <c r="A38" s="132" t="s">
        <v>255</v>
      </c>
      <c r="B38" s="123" t="s">
        <v>7840</v>
      </c>
      <c r="C38" s="123" t="s">
        <v>7840</v>
      </c>
      <c r="E38" s="123" t="s">
        <v>7840</v>
      </c>
    </row>
    <row r="39" spans="1:5">
      <c r="A39" s="132" t="s">
        <v>255</v>
      </c>
      <c r="B39" s="123" t="s">
        <v>7841</v>
      </c>
      <c r="C39" s="123" t="s">
        <v>7841</v>
      </c>
      <c r="E39" s="123" t="s">
        <v>7841</v>
      </c>
    </row>
    <row r="40" spans="1:5">
      <c r="A40" s="132" t="s">
        <v>255</v>
      </c>
      <c r="B40" s="123" t="s">
        <v>7842</v>
      </c>
      <c r="C40" s="123" t="s">
        <v>7842</v>
      </c>
      <c r="E40" s="123" t="s">
        <v>7842</v>
      </c>
    </row>
    <row r="41" spans="1:5">
      <c r="A41" s="132" t="s">
        <v>255</v>
      </c>
      <c r="B41" s="123" t="s">
        <v>7843</v>
      </c>
      <c r="C41" s="123" t="s">
        <v>7843</v>
      </c>
      <c r="E41" s="123" t="s">
        <v>7843</v>
      </c>
    </row>
    <row r="42" spans="1:5">
      <c r="A42" s="132" t="s">
        <v>255</v>
      </c>
      <c r="B42" s="123" t="s">
        <v>7844</v>
      </c>
      <c r="C42" s="123" t="s">
        <v>7844</v>
      </c>
      <c r="E42" s="123" t="s">
        <v>7844</v>
      </c>
    </row>
    <row r="43" spans="1:5">
      <c r="A43" s="132" t="s">
        <v>255</v>
      </c>
      <c r="B43" s="123" t="s">
        <v>7845</v>
      </c>
      <c r="C43" s="123" t="s">
        <v>7845</v>
      </c>
      <c r="E43" s="123" t="s">
        <v>7845</v>
      </c>
    </row>
    <row r="44" spans="1:5">
      <c r="A44" s="132" t="s">
        <v>255</v>
      </c>
      <c r="B44" s="123" t="s">
        <v>7846</v>
      </c>
      <c r="C44" s="123" t="s">
        <v>7846</v>
      </c>
      <c r="E44" s="123" t="s">
        <v>7846</v>
      </c>
    </row>
    <row r="45" spans="1:5">
      <c r="A45" s="132" t="s">
        <v>255</v>
      </c>
      <c r="B45" s="123" t="s">
        <v>7847</v>
      </c>
      <c r="C45" s="123" t="s">
        <v>7847</v>
      </c>
      <c r="E45" s="123" t="s">
        <v>7847</v>
      </c>
    </row>
    <row r="46" spans="1:5">
      <c r="A46" s="132" t="s">
        <v>255</v>
      </c>
      <c r="B46" s="123" t="s">
        <v>7848</v>
      </c>
      <c r="C46" s="123" t="s">
        <v>7848</v>
      </c>
      <c r="E46" s="123" t="s">
        <v>7848</v>
      </c>
    </row>
    <row r="47" spans="1:5">
      <c r="A47" s="132" t="s">
        <v>255</v>
      </c>
      <c r="B47" s="123" t="s">
        <v>7849</v>
      </c>
      <c r="C47" s="123" t="s">
        <v>7849</v>
      </c>
      <c r="E47" s="123" t="s">
        <v>7849</v>
      </c>
    </row>
    <row r="48" spans="1:5">
      <c r="A48" s="132" t="s">
        <v>255</v>
      </c>
      <c r="B48" s="123" t="s">
        <v>7850</v>
      </c>
      <c r="C48" s="123" t="s">
        <v>7850</v>
      </c>
      <c r="E48" s="123" t="s">
        <v>7850</v>
      </c>
    </row>
    <row r="49" spans="1:5">
      <c r="A49" s="132" t="s">
        <v>255</v>
      </c>
      <c r="B49" s="123" t="s">
        <v>7851</v>
      </c>
      <c r="C49" s="123" t="s">
        <v>7851</v>
      </c>
      <c r="E49" s="123" t="s">
        <v>7851</v>
      </c>
    </row>
    <row r="50" spans="1:5">
      <c r="A50" s="132" t="s">
        <v>255</v>
      </c>
      <c r="B50" s="123" t="s">
        <v>7852</v>
      </c>
      <c r="C50" s="123" t="s">
        <v>7852</v>
      </c>
      <c r="E50" s="123" t="s">
        <v>7852</v>
      </c>
    </row>
    <row r="51" spans="1:5">
      <c r="A51" s="132" t="s">
        <v>255</v>
      </c>
      <c r="B51" s="123" t="s">
        <v>7853</v>
      </c>
      <c r="C51" s="123" t="s">
        <v>7853</v>
      </c>
      <c r="E51" s="123" t="s">
        <v>7853</v>
      </c>
    </row>
    <row r="52" spans="1:5">
      <c r="A52" s="132" t="s">
        <v>255</v>
      </c>
      <c r="B52" s="123" t="s">
        <v>7854</v>
      </c>
      <c r="C52" s="123" t="s">
        <v>7854</v>
      </c>
      <c r="E52" s="123" t="s">
        <v>7854</v>
      </c>
    </row>
    <row r="53" spans="1:5">
      <c r="A53" s="132" t="s">
        <v>255</v>
      </c>
      <c r="B53" s="123" t="s">
        <v>7855</v>
      </c>
      <c r="C53" s="123" t="s">
        <v>7855</v>
      </c>
      <c r="E53" s="123" t="s">
        <v>7855</v>
      </c>
    </row>
    <row r="54" spans="1:5">
      <c r="A54" s="132" t="s">
        <v>255</v>
      </c>
      <c r="B54" s="123" t="s">
        <v>7856</v>
      </c>
      <c r="C54" s="123" t="s">
        <v>7856</v>
      </c>
      <c r="E54" s="123" t="s">
        <v>7856</v>
      </c>
    </row>
    <row r="55" spans="1:5">
      <c r="A55" s="132" t="s">
        <v>255</v>
      </c>
      <c r="B55" s="123" t="s">
        <v>7857</v>
      </c>
      <c r="C55" s="123" t="s">
        <v>7857</v>
      </c>
      <c r="E55" s="123" t="s">
        <v>7857</v>
      </c>
    </row>
    <row r="56" spans="1:5">
      <c r="A56" s="132" t="s">
        <v>255</v>
      </c>
      <c r="B56" s="123" t="s">
        <v>7858</v>
      </c>
      <c r="C56" s="123" t="s">
        <v>7858</v>
      </c>
      <c r="E56" s="123" t="s">
        <v>7858</v>
      </c>
    </row>
    <row r="57" spans="1:5">
      <c r="A57" s="132" t="s">
        <v>255</v>
      </c>
      <c r="B57" s="123" t="s">
        <v>7859</v>
      </c>
      <c r="C57" s="123" t="s">
        <v>7859</v>
      </c>
      <c r="E57" s="123" t="s">
        <v>7859</v>
      </c>
    </row>
    <row r="58" spans="1:5">
      <c r="A58" s="132" t="s">
        <v>255</v>
      </c>
      <c r="B58" s="123" t="s">
        <v>7860</v>
      </c>
      <c r="C58" s="123" t="s">
        <v>7860</v>
      </c>
      <c r="E58" s="123" t="s">
        <v>7860</v>
      </c>
    </row>
    <row r="59" spans="1:5">
      <c r="A59" s="132" t="s">
        <v>255</v>
      </c>
      <c r="B59" s="123" t="s">
        <v>7861</v>
      </c>
      <c r="C59" s="123" t="s">
        <v>7861</v>
      </c>
      <c r="E59" s="123" t="s">
        <v>7861</v>
      </c>
    </row>
    <row r="60" spans="1:5">
      <c r="A60" s="132" t="s">
        <v>255</v>
      </c>
      <c r="B60" s="123" t="s">
        <v>7862</v>
      </c>
      <c r="C60" s="123" t="s">
        <v>7862</v>
      </c>
      <c r="E60" s="123" t="s">
        <v>7862</v>
      </c>
    </row>
    <row r="61" spans="1:5">
      <c r="A61" s="132" t="s">
        <v>255</v>
      </c>
      <c r="B61" s="123" t="s">
        <v>7863</v>
      </c>
      <c r="C61" s="123" t="s">
        <v>7863</v>
      </c>
      <c r="E61" s="123" t="s">
        <v>7863</v>
      </c>
    </row>
    <row r="62" spans="1:5">
      <c r="A62" s="132" t="s">
        <v>255</v>
      </c>
      <c r="B62" s="123" t="s">
        <v>7864</v>
      </c>
      <c r="C62" s="123" t="s">
        <v>7864</v>
      </c>
      <c r="E62" s="123" t="s">
        <v>7864</v>
      </c>
    </row>
    <row r="63" spans="1:5">
      <c r="A63" s="132" t="s">
        <v>255</v>
      </c>
      <c r="B63" s="123" t="s">
        <v>7865</v>
      </c>
      <c r="C63" s="123" t="s">
        <v>7865</v>
      </c>
      <c r="E63" s="123" t="s">
        <v>7865</v>
      </c>
    </row>
    <row r="64" spans="1:5">
      <c r="A64" s="132" t="s">
        <v>255</v>
      </c>
      <c r="B64" s="123" t="s">
        <v>7866</v>
      </c>
      <c r="C64" s="123" t="s">
        <v>7866</v>
      </c>
      <c r="E64" s="123" t="s">
        <v>7866</v>
      </c>
    </row>
    <row r="65" spans="1:5">
      <c r="A65" s="132" t="s">
        <v>255</v>
      </c>
      <c r="B65" s="123" t="s">
        <v>7867</v>
      </c>
      <c r="C65" s="123" t="s">
        <v>7867</v>
      </c>
      <c r="E65" s="123" t="s">
        <v>7867</v>
      </c>
    </row>
    <row r="66" spans="1:5">
      <c r="A66" s="132" t="s">
        <v>255</v>
      </c>
      <c r="B66" s="123" t="s">
        <v>7868</v>
      </c>
      <c r="C66" s="123" t="s">
        <v>7868</v>
      </c>
      <c r="E66" s="123" t="s">
        <v>7868</v>
      </c>
    </row>
    <row r="67" spans="1:5">
      <c r="A67" s="132" t="s">
        <v>255</v>
      </c>
      <c r="B67" s="123" t="s">
        <v>7869</v>
      </c>
      <c r="C67" s="123" t="s">
        <v>7869</v>
      </c>
      <c r="E67" s="123" t="s">
        <v>7869</v>
      </c>
    </row>
    <row r="68" spans="1:5">
      <c r="A68" s="132" t="s">
        <v>255</v>
      </c>
      <c r="B68" s="123" t="s">
        <v>7870</v>
      </c>
      <c r="C68" s="123" t="s">
        <v>7870</v>
      </c>
      <c r="E68" s="123" t="s">
        <v>7870</v>
      </c>
    </row>
    <row r="69" spans="1:5">
      <c r="A69" s="132" t="s">
        <v>255</v>
      </c>
      <c r="B69" s="123" t="s">
        <v>7871</v>
      </c>
      <c r="C69" s="123" t="s">
        <v>7871</v>
      </c>
      <c r="E69" s="123" t="s">
        <v>7871</v>
      </c>
    </row>
    <row r="70" spans="1:5">
      <c r="A70" s="132" t="s">
        <v>255</v>
      </c>
      <c r="B70" s="123" t="s">
        <v>7872</v>
      </c>
      <c r="C70" s="123" t="s">
        <v>7872</v>
      </c>
      <c r="E70" s="123" t="s">
        <v>7872</v>
      </c>
    </row>
    <row r="71" spans="1:5">
      <c r="A71" s="132" t="s">
        <v>255</v>
      </c>
      <c r="B71" s="123" t="s">
        <v>7873</v>
      </c>
      <c r="C71" s="123" t="s">
        <v>7873</v>
      </c>
      <c r="E71" s="123" t="s">
        <v>7873</v>
      </c>
    </row>
    <row r="72" spans="1:5">
      <c r="A72" s="132" t="s">
        <v>255</v>
      </c>
      <c r="B72" s="123" t="s">
        <v>7874</v>
      </c>
      <c r="C72" s="123" t="s">
        <v>7874</v>
      </c>
      <c r="E72" s="123" t="s">
        <v>7874</v>
      </c>
    </row>
    <row r="73" spans="1:5">
      <c r="A73" s="132" t="s">
        <v>255</v>
      </c>
      <c r="B73" s="123" t="s">
        <v>7875</v>
      </c>
      <c r="C73" s="123" t="s">
        <v>7875</v>
      </c>
      <c r="E73" s="123" t="s">
        <v>7875</v>
      </c>
    </row>
    <row r="74" spans="1:5">
      <c r="A74" s="132" t="s">
        <v>255</v>
      </c>
      <c r="B74" s="123" t="s">
        <v>7876</v>
      </c>
      <c r="C74" s="123" t="s">
        <v>7876</v>
      </c>
      <c r="E74" s="123" t="s">
        <v>7876</v>
      </c>
    </row>
    <row r="75" spans="1:5">
      <c r="A75" s="132" t="s">
        <v>255</v>
      </c>
      <c r="B75" s="123" t="s">
        <v>7877</v>
      </c>
      <c r="C75" s="123" t="s">
        <v>7877</v>
      </c>
      <c r="E75" s="123" t="s">
        <v>7877</v>
      </c>
    </row>
    <row r="76" spans="1:5">
      <c r="A76" s="132" t="s">
        <v>255</v>
      </c>
      <c r="B76" s="123" t="s">
        <v>7878</v>
      </c>
      <c r="C76" s="123" t="s">
        <v>7878</v>
      </c>
      <c r="E76" s="123" t="s">
        <v>7878</v>
      </c>
    </row>
    <row r="77" spans="1:5">
      <c r="A77" s="132" t="s">
        <v>255</v>
      </c>
      <c r="B77" s="123" t="s">
        <v>7879</v>
      </c>
      <c r="C77" s="123" t="s">
        <v>7879</v>
      </c>
      <c r="E77" s="123" t="s">
        <v>7879</v>
      </c>
    </row>
    <row r="78" spans="1:5">
      <c r="A78" s="132" t="s">
        <v>255</v>
      </c>
      <c r="B78" s="123" t="s">
        <v>7880</v>
      </c>
      <c r="C78" s="123" t="s">
        <v>7880</v>
      </c>
      <c r="E78" s="123" t="s">
        <v>7880</v>
      </c>
    </row>
    <row r="79" spans="1:5">
      <c r="A79" s="132" t="s">
        <v>255</v>
      </c>
      <c r="B79" s="123" t="s">
        <v>7881</v>
      </c>
      <c r="C79" s="123" t="s">
        <v>7881</v>
      </c>
      <c r="E79" s="123" t="s">
        <v>7881</v>
      </c>
    </row>
    <row r="80" spans="1:5">
      <c r="A80" s="132" t="s">
        <v>255</v>
      </c>
      <c r="B80" s="123" t="s">
        <v>7447</v>
      </c>
      <c r="C80" s="123" t="s">
        <v>7882</v>
      </c>
      <c r="E80" s="123" t="s">
        <v>7447</v>
      </c>
    </row>
    <row r="81" spans="1:5">
      <c r="A81" s="132" t="s">
        <v>255</v>
      </c>
      <c r="B81" s="123" t="s">
        <v>7448</v>
      </c>
      <c r="C81" s="123" t="s">
        <v>7883</v>
      </c>
      <c r="E81" s="123" t="s">
        <v>7448</v>
      </c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81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J6"/>
  <sheetViews>
    <sheetView zoomScale="89" zoomScaleNormal="89" workbookViewId="0">
      <selection activeCell="D4" sqref="D4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95"/>
      <c r="H1" s="195"/>
      <c r="I1" s="182"/>
      <c r="J1" s="195"/>
    </row>
    <row r="2" spans="1:10">
      <c r="A2" s="125" t="s">
        <v>256</v>
      </c>
      <c r="B2" s="125" t="s">
        <v>257</v>
      </c>
      <c r="C2" s="125" t="s">
        <v>258</v>
      </c>
      <c r="D2" s="112" t="s">
        <v>8046</v>
      </c>
      <c r="J2" s="196"/>
    </row>
    <row r="3" spans="1:10">
      <c r="A3" s="123" t="s">
        <v>256</v>
      </c>
      <c r="B3" s="123" t="s">
        <v>259</v>
      </c>
      <c r="C3" s="123" t="s">
        <v>260</v>
      </c>
      <c r="D3" s="112" t="s">
        <v>8047</v>
      </c>
      <c r="J3" s="196"/>
    </row>
    <row r="4" spans="1:10">
      <c r="J4" s="196"/>
    </row>
    <row r="5" spans="1:10">
      <c r="G5" s="140"/>
      <c r="H5" s="140"/>
      <c r="J5" s="196"/>
    </row>
    <row r="6" spans="1:10">
      <c r="G6" s="195"/>
      <c r="H6" s="195"/>
      <c r="I6" s="182"/>
      <c r="J6" s="19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4"/>
  <sheetViews>
    <sheetView zoomScale="95" zoomScaleNormal="95" workbookViewId="0">
      <selection activeCell="B5" sqref="B5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261</v>
      </c>
      <c r="B2" s="112" t="s">
        <v>261</v>
      </c>
    </row>
    <row r="3" spans="1:4">
      <c r="A3" s="134" t="s">
        <v>262</v>
      </c>
      <c r="B3" s="135" t="s">
        <v>263</v>
      </c>
      <c r="D3" s="112" t="s">
        <v>261</v>
      </c>
    </row>
    <row r="4" spans="1:4">
      <c r="A4" s="123" t="s">
        <v>7672</v>
      </c>
      <c r="B4" s="112" t="s">
        <v>7673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505"/>
  <sheetViews>
    <sheetView zoomScale="95" zoomScaleNormal="9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CK3" sqref="CK3"/>
    </sheetView>
  </sheetViews>
  <sheetFormatPr baseColWidth="10" defaultColWidth="11.28515625" defaultRowHeight="12.75"/>
  <cols>
    <col min="1" max="1" width="12.140625" style="154" bestFit="1" customWidth="1"/>
    <col min="2" max="2" width="8.140625" bestFit="1" customWidth="1"/>
    <col min="3" max="3" width="5.28515625" bestFit="1" customWidth="1"/>
    <col min="4" max="4" width="9" bestFit="1" customWidth="1"/>
    <col min="5" max="5" width="7.140625" style="113" bestFit="1" customWidth="1"/>
    <col min="6" max="6" width="7" style="113" bestFit="1" customWidth="1"/>
    <col min="7" max="7" width="5.42578125" style="113" bestFit="1" customWidth="1"/>
    <col min="8" max="8" width="5.28515625" style="113" bestFit="1" customWidth="1"/>
    <col min="9" max="9" width="18.140625" style="112" bestFit="1" customWidth="1"/>
    <col min="10" max="10" width="17.5703125" style="112" bestFit="1" customWidth="1"/>
    <col min="11" max="11" width="17.28515625" style="112" bestFit="1" customWidth="1"/>
    <col min="12" max="12" width="16.7109375" style="179" bestFit="1" customWidth="1"/>
    <col min="13" max="13" width="20.85546875" style="136" bestFit="1" customWidth="1"/>
    <col min="14" max="14" width="20.28515625" style="136" bestFit="1" customWidth="1"/>
    <col min="15" max="15" width="12.140625" style="136" bestFit="1" customWidth="1"/>
    <col min="16" max="16" width="7.7109375" style="153" bestFit="1" customWidth="1"/>
    <col min="17" max="17" width="9.5703125" style="153" bestFit="1" customWidth="1"/>
    <col min="18" max="18" width="9" style="153" bestFit="1" customWidth="1"/>
    <col min="19" max="19" width="9.28515625" style="153" bestFit="1" customWidth="1"/>
    <col min="20" max="20" width="11.140625" style="153" bestFit="1" customWidth="1"/>
    <col min="21" max="21" width="16.85546875" style="136" bestFit="1" customWidth="1"/>
    <col min="22" max="22" width="16.28515625" style="136" bestFit="1" customWidth="1"/>
    <col min="23" max="23" width="16" style="153" bestFit="1" customWidth="1"/>
    <col min="24" max="24" width="15.28515625" style="153" bestFit="1" customWidth="1"/>
    <col min="25" max="25" width="9.7109375" style="136" bestFit="1" customWidth="1"/>
    <col min="26" max="26" width="9.140625" style="136" bestFit="1" customWidth="1"/>
    <col min="27" max="27" width="12.28515625" style="153" bestFit="1" customWidth="1"/>
    <col min="28" max="28" width="11" style="153" bestFit="1" customWidth="1"/>
    <col min="29" max="29" width="10" style="136" bestFit="1" customWidth="1"/>
    <col min="30" max="30" width="10.5703125" style="136" bestFit="1" customWidth="1"/>
    <col min="31" max="31" width="15.140625" style="318" bestFit="1" customWidth="1"/>
    <col min="32" max="32" width="14.42578125" style="153" bestFit="1" customWidth="1"/>
    <col min="33" max="33" width="16.7109375" style="136" bestFit="1" customWidth="1"/>
    <col min="34" max="34" width="10.28515625" style="136" bestFit="1" customWidth="1"/>
    <col min="35" max="35" width="17" style="153" bestFit="1" customWidth="1"/>
    <col min="36" max="36" width="16.42578125" style="153" bestFit="1" customWidth="1"/>
    <col min="37" max="37" width="18.85546875" style="136" bestFit="1" customWidth="1"/>
    <col min="38" max="38" width="18.140625" style="136" bestFit="1" customWidth="1"/>
    <col min="39" max="39" width="18.5703125" style="153" bestFit="1" customWidth="1"/>
    <col min="40" max="40" width="18" style="153" bestFit="1" customWidth="1"/>
    <col min="41" max="41" width="18.5703125" style="136" bestFit="1" customWidth="1"/>
    <col min="42" max="42" width="18" style="136" bestFit="1" customWidth="1"/>
    <col min="43" max="43" width="20.28515625" style="153" bestFit="1" customWidth="1"/>
    <col min="44" max="44" width="19.7109375" style="153" bestFit="1" customWidth="1"/>
    <col min="45" max="45" width="24.5703125" style="136" bestFit="1" customWidth="1"/>
    <col min="46" max="46" width="23.7109375" style="136" bestFit="1" customWidth="1"/>
    <col min="47" max="47" width="19" style="153" bestFit="1" customWidth="1"/>
    <col min="48" max="48" width="18.28515625" style="153" bestFit="1" customWidth="1"/>
    <col min="49" max="49" width="19" style="136" bestFit="1" customWidth="1"/>
    <col min="50" max="50" width="18.28515625" style="136" bestFit="1" customWidth="1"/>
    <col min="51" max="51" width="25" style="153" bestFit="1" customWidth="1"/>
    <col min="52" max="52" width="24.28515625" style="153" bestFit="1" customWidth="1"/>
    <col min="53" max="53" width="19" style="136" bestFit="1" customWidth="1"/>
    <col min="54" max="54" width="18.28515625" style="136" bestFit="1" customWidth="1"/>
    <col min="55" max="55" width="30.7109375" style="153" bestFit="1" customWidth="1"/>
    <col min="56" max="56" width="30" style="153" bestFit="1" customWidth="1"/>
    <col min="57" max="57" width="13.7109375" style="153" bestFit="1" customWidth="1"/>
    <col min="58" max="58" width="13.140625" style="153" bestFit="1" customWidth="1"/>
    <col min="59" max="59" width="13.7109375" style="153" bestFit="1" customWidth="1"/>
    <col min="60" max="60" width="13.140625" style="153" bestFit="1" customWidth="1"/>
    <col min="61" max="61" width="15.28515625" style="153" bestFit="1" customWidth="1"/>
    <col min="62" max="62" width="14.140625" style="153" bestFit="1" customWidth="1"/>
    <col min="63" max="63" width="14.85546875" style="153" bestFit="1" customWidth="1"/>
    <col min="64" max="64" width="14.140625" style="153" bestFit="1" customWidth="1"/>
    <col min="65" max="65" width="12.140625" style="136" bestFit="1" customWidth="1"/>
    <col min="66" max="66" width="11.5703125" style="136" bestFit="1" customWidth="1"/>
    <col min="67" max="67" width="15.140625" style="153" bestFit="1" customWidth="1"/>
    <col min="68" max="68" width="14.42578125" style="153" bestFit="1" customWidth="1"/>
    <col min="69" max="69" width="16.5703125" style="136" bestFit="1" customWidth="1"/>
    <col min="70" max="70" width="16" style="136" bestFit="1" customWidth="1"/>
    <col min="71" max="71" width="10.7109375" style="153" bestFit="1" customWidth="1"/>
    <col min="72" max="72" width="9.85546875" style="153" bestFit="1" customWidth="1"/>
    <col min="73" max="74" width="10.28515625" style="136" bestFit="1" customWidth="1"/>
    <col min="75" max="75" width="14.42578125" style="136" bestFit="1" customWidth="1"/>
    <col min="76" max="76" width="9.7109375" style="136" bestFit="1" customWidth="1"/>
    <col min="77" max="77" width="21.7109375" style="136" bestFit="1" customWidth="1"/>
    <col min="78" max="78" width="21" style="136" bestFit="1" customWidth="1"/>
    <col min="79" max="79" width="14.7109375" style="136" bestFit="1" customWidth="1"/>
    <col min="80" max="80" width="14" style="136" bestFit="1" customWidth="1"/>
    <col min="81" max="81" width="22.5703125" style="136" bestFit="1" customWidth="1"/>
    <col min="82" max="82" width="22" style="136" bestFit="1" customWidth="1"/>
    <col min="83" max="83" width="20.85546875" style="136" bestFit="1" customWidth="1"/>
    <col min="84" max="84" width="20.28515625" style="136" bestFit="1" customWidth="1"/>
    <col min="85" max="85" width="18.140625" style="136" bestFit="1" customWidth="1"/>
    <col min="86" max="86" width="17.5703125" style="136" bestFit="1" customWidth="1"/>
    <col min="87" max="87" width="7.140625" style="136" bestFit="1" customWidth="1"/>
    <col min="88" max="88" width="6.5703125" style="136" bestFit="1" customWidth="1"/>
    <col min="89" max="89" width="9.7109375" style="136" bestFit="1" customWidth="1"/>
    <col min="90" max="90" width="15.28515625" style="136" bestFit="1" customWidth="1"/>
    <col min="91" max="91" width="14.7109375" style="136" bestFit="1" customWidth="1"/>
    <col min="92" max="16384" width="11.28515625" style="137"/>
  </cols>
  <sheetData>
    <row r="1" spans="1:91" s="139" customFormat="1" ht="13.5" thickBot="1">
      <c r="A1" s="155" t="s">
        <v>150</v>
      </c>
      <c r="B1" s="115" t="s">
        <v>171</v>
      </c>
      <c r="C1" s="115" t="s">
        <v>187</v>
      </c>
      <c r="D1" s="115" t="s">
        <v>264</v>
      </c>
      <c r="E1" s="113" t="s">
        <v>21</v>
      </c>
      <c r="F1" s="113" t="s">
        <v>22</v>
      </c>
      <c r="G1" s="116" t="s">
        <v>192</v>
      </c>
      <c r="H1" s="116" t="s">
        <v>193</v>
      </c>
      <c r="I1" s="138" t="s">
        <v>7603</v>
      </c>
      <c r="J1" s="138" t="s">
        <v>7604</v>
      </c>
      <c r="K1" s="138" t="s">
        <v>7605</v>
      </c>
      <c r="L1" s="138" t="s">
        <v>7606</v>
      </c>
      <c r="M1" s="138" t="s">
        <v>7607</v>
      </c>
      <c r="N1" s="138" t="s">
        <v>7608</v>
      </c>
      <c r="O1" s="138" t="s">
        <v>7609</v>
      </c>
      <c r="P1" s="138" t="s">
        <v>7610</v>
      </c>
      <c r="Q1" s="138" t="s">
        <v>7611</v>
      </c>
      <c r="R1" s="138" t="s">
        <v>7612</v>
      </c>
      <c r="S1" s="138" t="s">
        <v>274</v>
      </c>
      <c r="T1" s="138" t="s">
        <v>275</v>
      </c>
      <c r="U1" s="138" t="s">
        <v>7613</v>
      </c>
      <c r="V1" s="138" t="s">
        <v>7614</v>
      </c>
      <c r="W1" s="138" t="s">
        <v>7615</v>
      </c>
      <c r="X1" s="138" t="s">
        <v>7616</v>
      </c>
      <c r="Y1" s="138" t="s">
        <v>272</v>
      </c>
      <c r="Z1" s="138" t="s">
        <v>273</v>
      </c>
      <c r="AA1" s="138" t="s">
        <v>268</v>
      </c>
      <c r="AB1" s="138" t="s">
        <v>269</v>
      </c>
      <c r="AC1" s="138" t="s">
        <v>265</v>
      </c>
      <c r="AD1" s="138" t="s">
        <v>7617</v>
      </c>
      <c r="AE1" s="319" t="s">
        <v>7618</v>
      </c>
      <c r="AF1" s="138" t="s">
        <v>7619</v>
      </c>
      <c r="AG1" s="138" t="s">
        <v>266</v>
      </c>
      <c r="AH1" s="138" t="s">
        <v>267</v>
      </c>
      <c r="AI1" s="138" t="s">
        <v>7620</v>
      </c>
      <c r="AJ1" s="138" t="s">
        <v>7621</v>
      </c>
      <c r="AK1" s="138" t="s">
        <v>7623</v>
      </c>
      <c r="AL1" s="138" t="s">
        <v>7622</v>
      </c>
      <c r="AM1" s="138" t="s">
        <v>7624</v>
      </c>
      <c r="AN1" s="138" t="s">
        <v>7625</v>
      </c>
      <c r="AO1" s="138" t="s">
        <v>7626</v>
      </c>
      <c r="AP1" s="138" t="s">
        <v>7627</v>
      </c>
      <c r="AQ1" s="138" t="s">
        <v>7628</v>
      </c>
      <c r="AR1" s="138" t="s">
        <v>7629</v>
      </c>
      <c r="AS1" s="138" t="s">
        <v>7630</v>
      </c>
      <c r="AT1" s="138" t="s">
        <v>7631</v>
      </c>
      <c r="AU1" s="138" t="s">
        <v>7632</v>
      </c>
      <c r="AV1" s="138" t="s">
        <v>7633</v>
      </c>
      <c r="AW1" s="138" t="s">
        <v>7634</v>
      </c>
      <c r="AX1" s="138" t="s">
        <v>7635</v>
      </c>
      <c r="AY1" s="138" t="s">
        <v>7636</v>
      </c>
      <c r="AZ1" s="138" t="s">
        <v>7637</v>
      </c>
      <c r="BA1" s="138" t="s">
        <v>7639</v>
      </c>
      <c r="BB1" s="138" t="s">
        <v>7638</v>
      </c>
      <c r="BC1" s="138" t="s">
        <v>7640</v>
      </c>
      <c r="BD1" s="138" t="s">
        <v>7641</v>
      </c>
      <c r="BE1" s="138" t="s">
        <v>7642</v>
      </c>
      <c r="BF1" s="138" t="s">
        <v>7643</v>
      </c>
      <c r="BG1" s="138" t="s">
        <v>7644</v>
      </c>
      <c r="BH1" s="138" t="s">
        <v>7645</v>
      </c>
      <c r="BI1" s="138" t="s">
        <v>7646</v>
      </c>
      <c r="BJ1" s="138" t="s">
        <v>7647</v>
      </c>
      <c r="BK1" s="138" t="s">
        <v>7648</v>
      </c>
      <c r="BL1" s="138" t="s">
        <v>7649</v>
      </c>
      <c r="BM1" s="138" t="s">
        <v>7650</v>
      </c>
      <c r="BN1" s="138" t="s">
        <v>7651</v>
      </c>
      <c r="BO1" s="138" t="s">
        <v>7652</v>
      </c>
      <c r="BP1" s="138" t="s">
        <v>7653</v>
      </c>
      <c r="BQ1" s="138" t="s">
        <v>7654</v>
      </c>
      <c r="BR1" s="138" t="s">
        <v>7655</v>
      </c>
      <c r="BS1" s="138" t="s">
        <v>270</v>
      </c>
      <c r="BT1" s="138" t="s">
        <v>271</v>
      </c>
      <c r="BU1" s="138" t="s">
        <v>7656</v>
      </c>
      <c r="BV1" s="138" t="s">
        <v>7657</v>
      </c>
      <c r="BW1" s="138" t="s">
        <v>7658</v>
      </c>
      <c r="BX1" s="138" t="s">
        <v>7659</v>
      </c>
      <c r="BY1" s="138" t="s">
        <v>7660</v>
      </c>
      <c r="BZ1" s="138" t="s">
        <v>7661</v>
      </c>
      <c r="CA1" s="138" t="s">
        <v>7662</v>
      </c>
      <c r="CB1" s="138" t="s">
        <v>7663</v>
      </c>
      <c r="CC1" s="138" t="s">
        <v>7664</v>
      </c>
      <c r="CD1" s="138" t="s">
        <v>7665</v>
      </c>
      <c r="CE1" s="138" t="s">
        <v>7666</v>
      </c>
      <c r="CF1" s="138" t="s">
        <v>7667</v>
      </c>
      <c r="CG1" s="138" t="s">
        <v>7668</v>
      </c>
      <c r="CH1" s="138" t="s">
        <v>7669</v>
      </c>
      <c r="CI1" s="138" t="s">
        <v>7586</v>
      </c>
      <c r="CJ1" s="138" t="s">
        <v>7443</v>
      </c>
      <c r="CK1" s="138" t="s">
        <v>7593</v>
      </c>
      <c r="CL1" s="138" t="s">
        <v>7670</v>
      </c>
      <c r="CM1" s="138" t="s">
        <v>7671</v>
      </c>
    </row>
    <row r="2" spans="1:91">
      <c r="A2" s="154" t="s">
        <v>7447</v>
      </c>
      <c r="B2" t="s">
        <v>257</v>
      </c>
      <c r="C2" t="s">
        <v>405</v>
      </c>
      <c r="D2">
        <v>1</v>
      </c>
      <c r="E2" s="113">
        <v>6</v>
      </c>
      <c r="F2" s="113">
        <v>2</v>
      </c>
      <c r="K2" s="112">
        <v>5</v>
      </c>
      <c r="L2" s="317">
        <v>41569</v>
      </c>
      <c r="S2" s="318">
        <v>1743.0450000000001</v>
      </c>
      <c r="T2" s="153">
        <v>41527</v>
      </c>
      <c r="U2" s="136">
        <v>10.8</v>
      </c>
      <c r="Y2" s="136">
        <v>809.41399999999999</v>
      </c>
      <c r="Z2" s="153">
        <v>41527</v>
      </c>
      <c r="AA2" s="318" t="s">
        <v>7718</v>
      </c>
      <c r="AB2" s="153">
        <v>41527</v>
      </c>
      <c r="AE2">
        <v>40.07</v>
      </c>
      <c r="AF2" s="153">
        <v>41527</v>
      </c>
      <c r="AG2" s="136" t="s">
        <v>7718</v>
      </c>
      <c r="AH2" s="153">
        <v>41527</v>
      </c>
      <c r="AI2" s="318">
        <v>140</v>
      </c>
      <c r="AJ2" s="153">
        <v>41527</v>
      </c>
      <c r="BS2" s="318">
        <v>43.5</v>
      </c>
      <c r="BT2" s="153">
        <v>41527</v>
      </c>
      <c r="BU2">
        <v>20.2</v>
      </c>
      <c r="BV2" s="153">
        <v>41527</v>
      </c>
      <c r="CC2" s="136">
        <v>12.1</v>
      </c>
      <c r="CD2" s="153">
        <v>41527</v>
      </c>
      <c r="CG2" s="136">
        <v>3.35</v>
      </c>
      <c r="CH2" s="153">
        <v>41527</v>
      </c>
      <c r="CK2" s="136">
        <v>5</v>
      </c>
    </row>
    <row r="3" spans="1:91">
      <c r="A3" s="154" t="s">
        <v>7447</v>
      </c>
      <c r="B3" t="s">
        <v>259</v>
      </c>
      <c r="C3" t="s">
        <v>405</v>
      </c>
      <c r="D3">
        <v>1</v>
      </c>
      <c r="E3" s="113">
        <v>2</v>
      </c>
      <c r="F3" s="113">
        <v>29</v>
      </c>
      <c r="K3" s="112">
        <v>5</v>
      </c>
      <c r="L3" s="317">
        <v>41569</v>
      </c>
      <c r="S3" s="318">
        <v>2164.8690000000001</v>
      </c>
      <c r="T3" s="153">
        <v>41527</v>
      </c>
      <c r="U3" s="136">
        <v>10.8</v>
      </c>
      <c r="Y3" s="136">
        <v>1030.8900000000001</v>
      </c>
      <c r="Z3" s="153">
        <v>41527</v>
      </c>
      <c r="AA3" s="318" t="s">
        <v>7718</v>
      </c>
      <c r="AB3" s="153">
        <v>41527</v>
      </c>
      <c r="AE3">
        <v>49.09</v>
      </c>
      <c r="AF3" s="153">
        <v>41527</v>
      </c>
      <c r="AG3" s="136" t="s">
        <v>7718</v>
      </c>
      <c r="AH3" s="153">
        <v>41527</v>
      </c>
      <c r="AI3" s="318">
        <v>150</v>
      </c>
      <c r="AJ3" s="153">
        <v>41527</v>
      </c>
      <c r="BS3" s="318">
        <v>44.1</v>
      </c>
      <c r="BT3" s="153">
        <v>41527</v>
      </c>
      <c r="BU3">
        <v>21</v>
      </c>
      <c r="BV3" s="153">
        <v>41527</v>
      </c>
      <c r="CC3" s="136">
        <v>12.9</v>
      </c>
      <c r="CD3" s="153">
        <v>41527</v>
      </c>
      <c r="CG3" s="136">
        <v>2.16</v>
      </c>
      <c r="CH3" s="153">
        <v>41527</v>
      </c>
      <c r="CK3" s="136">
        <v>10</v>
      </c>
    </row>
    <row r="4" spans="1:91">
      <c r="A4" s="154" t="s">
        <v>7447</v>
      </c>
      <c r="B4" t="s">
        <v>257</v>
      </c>
      <c r="C4" t="s">
        <v>7794</v>
      </c>
      <c r="D4">
        <v>1</v>
      </c>
      <c r="E4" s="113">
        <v>1</v>
      </c>
      <c r="F4" s="113">
        <v>45</v>
      </c>
      <c r="K4" s="112">
        <v>5</v>
      </c>
      <c r="L4" s="317">
        <v>41569</v>
      </c>
      <c r="S4" s="318">
        <v>1920.848</v>
      </c>
      <c r="T4" s="153">
        <v>41527</v>
      </c>
      <c r="U4" s="136">
        <v>10.8</v>
      </c>
      <c r="Y4" s="136">
        <v>819.50400000000002</v>
      </c>
      <c r="Z4" s="153">
        <v>41527</v>
      </c>
      <c r="AA4" s="318" t="s">
        <v>7718</v>
      </c>
      <c r="AB4" s="153">
        <v>41527</v>
      </c>
      <c r="AE4">
        <v>43.36</v>
      </c>
      <c r="AF4" s="153">
        <v>41527</v>
      </c>
      <c r="AG4" s="136" t="s">
        <v>7718</v>
      </c>
      <c r="AH4" s="153">
        <v>41527</v>
      </c>
      <c r="AI4" s="318">
        <v>150</v>
      </c>
      <c r="AJ4" s="153">
        <v>41527</v>
      </c>
      <c r="BS4" s="318">
        <v>44.3</v>
      </c>
      <c r="BT4" s="153">
        <v>41527</v>
      </c>
      <c r="BU4">
        <v>18.899999999999999</v>
      </c>
      <c r="BV4" s="153">
        <v>41527</v>
      </c>
      <c r="CC4" s="136">
        <v>8.1</v>
      </c>
      <c r="CD4" s="153">
        <v>41527</v>
      </c>
      <c r="CG4" s="136">
        <v>1.63</v>
      </c>
      <c r="CH4" s="153">
        <v>41527</v>
      </c>
      <c r="CK4" s="136">
        <v>5</v>
      </c>
    </row>
    <row r="5" spans="1:91">
      <c r="A5" s="154" t="s">
        <v>7447</v>
      </c>
      <c r="B5" t="s">
        <v>259</v>
      </c>
      <c r="C5" t="s">
        <v>7794</v>
      </c>
      <c r="D5">
        <v>1</v>
      </c>
      <c r="E5" s="113">
        <v>5</v>
      </c>
      <c r="F5" s="113">
        <v>44</v>
      </c>
      <c r="K5" s="112">
        <v>3</v>
      </c>
      <c r="L5" s="317">
        <v>41569</v>
      </c>
      <c r="S5" s="318">
        <v>2146.998</v>
      </c>
      <c r="T5" s="153">
        <v>41527</v>
      </c>
      <c r="U5" s="136">
        <v>10.8</v>
      </c>
      <c r="Y5" s="136">
        <v>1004.241</v>
      </c>
      <c r="Z5" s="153">
        <v>41527</v>
      </c>
      <c r="AA5" s="318" t="s">
        <v>7718</v>
      </c>
      <c r="AB5" s="153">
        <v>41527</v>
      </c>
      <c r="AE5">
        <v>49.47</v>
      </c>
      <c r="AF5" s="153">
        <v>41527</v>
      </c>
      <c r="AG5" s="136" t="s">
        <v>7718</v>
      </c>
      <c r="AH5" s="153">
        <v>41527</v>
      </c>
      <c r="AI5" s="318">
        <v>155</v>
      </c>
      <c r="AJ5" s="153">
        <v>41527</v>
      </c>
      <c r="BS5" s="318">
        <v>43.4</v>
      </c>
      <c r="BT5" s="153">
        <v>41527</v>
      </c>
      <c r="BU5">
        <v>20.3</v>
      </c>
      <c r="BV5" s="153">
        <v>41527</v>
      </c>
      <c r="CC5" s="136">
        <v>7.5</v>
      </c>
      <c r="CD5" s="153">
        <v>41527</v>
      </c>
      <c r="CG5" s="136">
        <v>0.77</v>
      </c>
      <c r="CH5" s="153">
        <v>41527</v>
      </c>
      <c r="CK5" s="136">
        <v>5</v>
      </c>
    </row>
    <row r="6" spans="1:91">
      <c r="A6" s="154" t="s">
        <v>7447</v>
      </c>
      <c r="B6" t="s">
        <v>257</v>
      </c>
      <c r="C6" t="s">
        <v>7795</v>
      </c>
      <c r="D6">
        <v>1</v>
      </c>
      <c r="E6" s="113">
        <v>6</v>
      </c>
      <c r="F6" s="113">
        <v>78</v>
      </c>
      <c r="K6" s="112">
        <v>5</v>
      </c>
      <c r="L6" s="317">
        <v>41569</v>
      </c>
      <c r="S6" s="318">
        <v>1701.5630000000001</v>
      </c>
      <c r="T6" s="153">
        <v>41527</v>
      </c>
      <c r="U6" s="136">
        <v>10.8</v>
      </c>
      <c r="Y6" s="136">
        <v>733.63099999999997</v>
      </c>
      <c r="Z6" s="153">
        <v>41527</v>
      </c>
      <c r="AA6" s="318">
        <v>79854.469849999994</v>
      </c>
      <c r="AB6" s="153">
        <v>41527</v>
      </c>
      <c r="AE6">
        <v>38.409999999999997</v>
      </c>
      <c r="AF6" s="153">
        <v>41527</v>
      </c>
      <c r="AG6" s="136">
        <v>4.8099999999999996</v>
      </c>
      <c r="AH6" s="153">
        <v>41527</v>
      </c>
      <c r="AI6" s="318">
        <v>135</v>
      </c>
      <c r="AJ6" s="153">
        <v>41527</v>
      </c>
      <c r="BS6" s="318">
        <v>44.3</v>
      </c>
      <c r="BT6" s="153">
        <v>41527</v>
      </c>
      <c r="BU6">
        <v>19.100000000000001</v>
      </c>
      <c r="BV6" s="153">
        <v>41527</v>
      </c>
      <c r="CC6" s="136">
        <v>6.5</v>
      </c>
      <c r="CD6" s="153">
        <v>41527</v>
      </c>
      <c r="CG6" s="136">
        <v>0.9</v>
      </c>
      <c r="CH6" s="153">
        <v>41527</v>
      </c>
      <c r="CK6" s="136">
        <v>5</v>
      </c>
    </row>
    <row r="7" spans="1:91">
      <c r="A7" s="154" t="s">
        <v>7447</v>
      </c>
      <c r="B7" t="s">
        <v>259</v>
      </c>
      <c r="C7" t="s">
        <v>7795</v>
      </c>
      <c r="D7">
        <v>1</v>
      </c>
      <c r="E7" s="113">
        <v>2</v>
      </c>
      <c r="F7" s="113">
        <v>65</v>
      </c>
      <c r="K7" s="112">
        <v>5</v>
      </c>
      <c r="L7" s="317">
        <v>41569</v>
      </c>
      <c r="S7" s="318">
        <v>2520.2559999999999</v>
      </c>
      <c r="T7" s="153">
        <v>41527</v>
      </c>
      <c r="U7" s="136">
        <v>10.8</v>
      </c>
      <c r="Y7" s="136">
        <v>1283.904</v>
      </c>
      <c r="Z7" s="153">
        <v>41527</v>
      </c>
      <c r="AA7" s="318">
        <v>126468.0851</v>
      </c>
      <c r="AB7" s="153">
        <v>41527</v>
      </c>
      <c r="AE7">
        <v>59.44</v>
      </c>
      <c r="AF7" s="153">
        <v>41527</v>
      </c>
      <c r="AG7" s="136">
        <v>4.7</v>
      </c>
      <c r="AH7" s="153">
        <v>41527</v>
      </c>
      <c r="AI7" s="318">
        <v>150</v>
      </c>
      <c r="AJ7" s="153">
        <v>41527</v>
      </c>
      <c r="BS7" s="318">
        <v>42.4</v>
      </c>
      <c r="BT7" s="153">
        <v>41527</v>
      </c>
      <c r="BU7">
        <v>21.6</v>
      </c>
      <c r="BV7" s="153">
        <v>41527</v>
      </c>
      <c r="CC7" s="136">
        <v>8.9</v>
      </c>
      <c r="CD7" s="153">
        <v>41527</v>
      </c>
      <c r="CG7" s="136">
        <v>4.1500000000000004</v>
      </c>
      <c r="CH7" s="153">
        <v>41527</v>
      </c>
      <c r="CK7" s="136">
        <v>5</v>
      </c>
    </row>
    <row r="8" spans="1:91">
      <c r="A8" s="154" t="s">
        <v>7447</v>
      </c>
      <c r="B8" t="s">
        <v>257</v>
      </c>
      <c r="C8" t="s">
        <v>405</v>
      </c>
      <c r="D8">
        <v>2</v>
      </c>
      <c r="E8" s="113">
        <v>6</v>
      </c>
      <c r="F8" s="113">
        <v>13</v>
      </c>
      <c r="K8" s="112">
        <v>5</v>
      </c>
      <c r="L8" s="317">
        <v>41569</v>
      </c>
      <c r="S8" s="318">
        <v>1725.126</v>
      </c>
      <c r="T8" s="153">
        <v>41527</v>
      </c>
      <c r="U8" s="136">
        <v>10.8</v>
      </c>
      <c r="Y8" s="136">
        <v>757.18200000000002</v>
      </c>
      <c r="Z8" s="153">
        <v>41527</v>
      </c>
      <c r="AA8" s="318" t="s">
        <v>7718</v>
      </c>
      <c r="AB8" s="153">
        <v>41527</v>
      </c>
      <c r="AE8">
        <v>39.03</v>
      </c>
      <c r="AF8" s="153">
        <v>41527</v>
      </c>
      <c r="AG8" s="136" t="s">
        <v>7718</v>
      </c>
      <c r="AH8" s="153">
        <v>41527</v>
      </c>
      <c r="AI8" s="318">
        <v>145</v>
      </c>
      <c r="AJ8" s="153">
        <v>41527</v>
      </c>
      <c r="BS8" s="318">
        <v>44.2</v>
      </c>
      <c r="BT8" s="153">
        <v>41527</v>
      </c>
      <c r="BU8">
        <v>19.399999999999999</v>
      </c>
      <c r="BV8" s="153">
        <v>41527</v>
      </c>
      <c r="CC8" s="136">
        <v>7.1</v>
      </c>
      <c r="CD8" s="153">
        <v>41527</v>
      </c>
      <c r="CG8" s="136">
        <v>2.4500000000000002</v>
      </c>
      <c r="CH8" s="153">
        <v>41527</v>
      </c>
      <c r="CK8" s="136">
        <v>5</v>
      </c>
    </row>
    <row r="9" spans="1:91">
      <c r="A9" s="154" t="s">
        <v>7447</v>
      </c>
      <c r="B9" t="s">
        <v>259</v>
      </c>
      <c r="C9" t="s">
        <v>405</v>
      </c>
      <c r="D9">
        <v>2</v>
      </c>
      <c r="E9" s="113">
        <v>2</v>
      </c>
      <c r="F9" s="113">
        <v>18</v>
      </c>
      <c r="K9" s="112">
        <v>5</v>
      </c>
      <c r="L9" s="317">
        <v>41569</v>
      </c>
      <c r="S9" s="318">
        <v>2078.2820000000002</v>
      </c>
      <c r="T9" s="153">
        <v>41527</v>
      </c>
      <c r="U9" s="136">
        <v>10.8</v>
      </c>
      <c r="Y9" s="136">
        <v>998.154</v>
      </c>
      <c r="Z9" s="153">
        <v>41527</v>
      </c>
      <c r="AA9" s="318" t="s">
        <v>7718</v>
      </c>
      <c r="AB9" s="153">
        <v>41527</v>
      </c>
      <c r="AE9">
        <v>48.22</v>
      </c>
      <c r="AF9" s="153">
        <v>41527</v>
      </c>
      <c r="AG9" s="136" t="s">
        <v>7718</v>
      </c>
      <c r="AH9" s="153">
        <v>41527</v>
      </c>
      <c r="AI9" s="318">
        <v>145</v>
      </c>
      <c r="AJ9" s="153">
        <v>41527</v>
      </c>
      <c r="BS9" s="318">
        <v>43.1</v>
      </c>
      <c r="BT9" s="153">
        <v>41527</v>
      </c>
      <c r="BU9">
        <v>20.7</v>
      </c>
      <c r="BV9" s="153">
        <v>41527</v>
      </c>
      <c r="CC9" s="136">
        <v>7.2</v>
      </c>
      <c r="CD9" s="153">
        <v>41527</v>
      </c>
      <c r="CG9" s="136">
        <v>1.34</v>
      </c>
      <c r="CH9" s="153">
        <v>41527</v>
      </c>
      <c r="CK9" s="136">
        <v>5</v>
      </c>
    </row>
    <row r="10" spans="1:91">
      <c r="A10" s="154" t="s">
        <v>7447</v>
      </c>
      <c r="B10" t="s">
        <v>257</v>
      </c>
      <c r="C10" t="s">
        <v>7794</v>
      </c>
      <c r="D10">
        <v>2</v>
      </c>
      <c r="E10" s="113">
        <v>3</v>
      </c>
      <c r="F10" s="113">
        <v>35</v>
      </c>
      <c r="K10" s="112">
        <v>5</v>
      </c>
      <c r="L10" s="317">
        <v>41569</v>
      </c>
      <c r="S10" s="318">
        <v>1936.7280000000001</v>
      </c>
      <c r="T10" s="153">
        <v>41527</v>
      </c>
      <c r="U10" s="136">
        <v>10.8</v>
      </c>
      <c r="Y10" s="136">
        <v>833.14200000000005</v>
      </c>
      <c r="Z10" s="153">
        <v>41527</v>
      </c>
      <c r="AA10" s="318" t="s">
        <v>7718</v>
      </c>
      <c r="AB10" s="153">
        <v>41527</v>
      </c>
      <c r="AE10">
        <v>43.62</v>
      </c>
      <c r="AF10" s="153">
        <v>41527</v>
      </c>
      <c r="AG10" s="136" t="s">
        <v>7718</v>
      </c>
      <c r="AH10" s="153">
        <v>41527</v>
      </c>
      <c r="AI10" s="318">
        <v>160</v>
      </c>
      <c r="AJ10" s="153">
        <v>41527</v>
      </c>
      <c r="BS10" s="318">
        <v>44.4</v>
      </c>
      <c r="BT10" s="153">
        <v>41527</v>
      </c>
      <c r="BU10">
        <v>19.100000000000001</v>
      </c>
      <c r="BV10" s="153">
        <v>41527</v>
      </c>
      <c r="CC10" s="136">
        <v>9.6</v>
      </c>
      <c r="CD10" s="153">
        <v>41527</v>
      </c>
      <c r="CG10" s="136">
        <v>2.85</v>
      </c>
      <c r="CH10" s="153">
        <v>41527</v>
      </c>
      <c r="CK10" s="136">
        <v>10</v>
      </c>
    </row>
    <row r="11" spans="1:91">
      <c r="A11" s="154" t="s">
        <v>7447</v>
      </c>
      <c r="B11" t="s">
        <v>259</v>
      </c>
      <c r="C11" t="s">
        <v>7794</v>
      </c>
      <c r="D11">
        <v>2</v>
      </c>
      <c r="E11" s="113">
        <v>5</v>
      </c>
      <c r="F11" s="113">
        <v>49</v>
      </c>
      <c r="K11" s="112">
        <v>5</v>
      </c>
      <c r="L11" s="317">
        <v>41569</v>
      </c>
      <c r="S11" s="318">
        <v>2209.6799999999998</v>
      </c>
      <c r="T11" s="153">
        <v>41527</v>
      </c>
      <c r="U11" s="136">
        <v>10.8</v>
      </c>
      <c r="Y11" s="136">
        <v>1053.69</v>
      </c>
      <c r="Z11" s="153">
        <v>41527</v>
      </c>
      <c r="AA11" s="318" t="s">
        <v>7718</v>
      </c>
      <c r="AB11" s="153">
        <v>41527</v>
      </c>
      <c r="AE11">
        <v>51.15</v>
      </c>
      <c r="AF11" s="153">
        <v>41527</v>
      </c>
      <c r="AG11" s="136" t="s">
        <v>7718</v>
      </c>
      <c r="AH11" s="153">
        <v>41527</v>
      </c>
      <c r="AI11" s="318">
        <v>150</v>
      </c>
      <c r="AJ11" s="153">
        <v>41527</v>
      </c>
      <c r="BS11" s="318">
        <v>43.2</v>
      </c>
      <c r="BT11" s="153">
        <v>41527</v>
      </c>
      <c r="BU11">
        <v>20.6</v>
      </c>
      <c r="BV11" s="153">
        <v>41527</v>
      </c>
      <c r="CC11" s="136">
        <v>7.5</v>
      </c>
      <c r="CD11" s="153">
        <v>41527</v>
      </c>
      <c r="CG11" s="136">
        <v>1.2</v>
      </c>
      <c r="CH11" s="153">
        <v>41527</v>
      </c>
      <c r="CK11" s="136">
        <v>5</v>
      </c>
    </row>
    <row r="12" spans="1:91">
      <c r="A12" s="154" t="s">
        <v>7447</v>
      </c>
      <c r="B12" t="s">
        <v>257</v>
      </c>
      <c r="C12" t="s">
        <v>7795</v>
      </c>
      <c r="D12">
        <v>2</v>
      </c>
      <c r="E12" s="113">
        <v>4</v>
      </c>
      <c r="F12" s="113">
        <v>79</v>
      </c>
      <c r="K12" s="112">
        <v>5</v>
      </c>
      <c r="L12" s="317">
        <v>41569</v>
      </c>
      <c r="S12" s="318">
        <v>2001.4739999999999</v>
      </c>
      <c r="T12" s="153">
        <v>41527</v>
      </c>
      <c r="U12" s="136">
        <v>10.8</v>
      </c>
      <c r="Y12" s="136">
        <v>849.38400000000001</v>
      </c>
      <c r="Z12" s="153">
        <v>41527</v>
      </c>
      <c r="AA12" s="318">
        <v>94125</v>
      </c>
      <c r="AB12" s="153">
        <v>41527</v>
      </c>
      <c r="AE12">
        <v>45.18</v>
      </c>
      <c r="AF12" s="153">
        <v>41527</v>
      </c>
      <c r="AG12" s="136">
        <v>4.8</v>
      </c>
      <c r="AH12" s="153">
        <v>41527</v>
      </c>
      <c r="AI12" s="318">
        <v>140</v>
      </c>
      <c r="AJ12" s="153">
        <v>41527</v>
      </c>
      <c r="BS12" s="318">
        <v>44.3</v>
      </c>
      <c r="BT12" s="153">
        <v>41527</v>
      </c>
      <c r="BU12">
        <v>18.8</v>
      </c>
      <c r="BV12" s="153">
        <v>41527</v>
      </c>
      <c r="CC12" s="136">
        <v>6.6</v>
      </c>
      <c r="CD12" s="153">
        <v>41527</v>
      </c>
      <c r="CG12" s="136">
        <v>1.37</v>
      </c>
      <c r="CH12" s="153">
        <v>41527</v>
      </c>
      <c r="CK12" s="136">
        <v>5</v>
      </c>
    </row>
    <row r="13" spans="1:91">
      <c r="A13" s="154" t="s">
        <v>7447</v>
      </c>
      <c r="B13" t="s">
        <v>259</v>
      </c>
      <c r="C13" t="s">
        <v>7795</v>
      </c>
      <c r="D13">
        <v>2</v>
      </c>
      <c r="E13" s="113">
        <v>2</v>
      </c>
      <c r="F13" s="113">
        <v>66</v>
      </c>
      <c r="K13" s="112">
        <v>5</v>
      </c>
      <c r="L13" s="317">
        <v>41569</v>
      </c>
      <c r="S13" s="318">
        <v>2155.9859999999999</v>
      </c>
      <c r="T13" s="153">
        <v>41527</v>
      </c>
      <c r="U13" s="136">
        <v>10.8</v>
      </c>
      <c r="Y13" s="136">
        <v>1037.5050000000001</v>
      </c>
      <c r="Z13" s="153">
        <v>41527</v>
      </c>
      <c r="AA13" s="318">
        <v>108838.70970000001</v>
      </c>
      <c r="AB13" s="153">
        <v>41527</v>
      </c>
      <c r="AE13">
        <v>50.61</v>
      </c>
      <c r="AF13" s="153">
        <v>41527</v>
      </c>
      <c r="AG13" s="136">
        <v>4.6500000000000004</v>
      </c>
      <c r="AH13" s="153">
        <v>41527</v>
      </c>
      <c r="AI13" s="318">
        <v>140</v>
      </c>
      <c r="AJ13" s="153">
        <v>41527</v>
      </c>
      <c r="BS13" s="318">
        <v>42.6</v>
      </c>
      <c r="BT13" s="153">
        <v>41527</v>
      </c>
      <c r="BU13">
        <v>20.5</v>
      </c>
      <c r="BV13" s="153">
        <v>41527</v>
      </c>
      <c r="CC13" s="136">
        <v>8.6</v>
      </c>
      <c r="CD13" s="153">
        <v>41527</v>
      </c>
      <c r="CG13" s="136">
        <v>2.02</v>
      </c>
      <c r="CH13" s="153">
        <v>41527</v>
      </c>
      <c r="CK13" s="136">
        <v>5</v>
      </c>
    </row>
    <row r="14" spans="1:91">
      <c r="A14" s="154" t="s">
        <v>7447</v>
      </c>
      <c r="B14" t="s">
        <v>257</v>
      </c>
      <c r="C14" t="s">
        <v>405</v>
      </c>
      <c r="D14">
        <v>3</v>
      </c>
      <c r="E14" s="113">
        <v>4</v>
      </c>
      <c r="F14" s="113">
        <v>15</v>
      </c>
      <c r="K14" s="112">
        <v>5</v>
      </c>
      <c r="L14" s="317">
        <v>41569</v>
      </c>
      <c r="S14" s="318">
        <v>1991.8320000000001</v>
      </c>
      <c r="T14" s="153">
        <v>41527</v>
      </c>
      <c r="U14" s="136">
        <v>10.8</v>
      </c>
      <c r="Y14" s="136">
        <v>828.81600000000003</v>
      </c>
      <c r="Z14" s="153">
        <v>41527</v>
      </c>
      <c r="AA14" s="318" t="s">
        <v>7718</v>
      </c>
      <c r="AB14" s="153">
        <v>41527</v>
      </c>
      <c r="AE14">
        <v>44.56</v>
      </c>
      <c r="AF14" s="153">
        <v>41527</v>
      </c>
      <c r="AG14" s="136" t="s">
        <v>7718</v>
      </c>
      <c r="AH14" s="153">
        <v>41527</v>
      </c>
      <c r="AI14" s="318">
        <v>145</v>
      </c>
      <c r="AJ14" s="153">
        <v>41527</v>
      </c>
      <c r="BS14" s="318">
        <v>44.7</v>
      </c>
      <c r="BT14" s="153">
        <v>41527</v>
      </c>
      <c r="BU14">
        <v>18.600000000000001</v>
      </c>
      <c r="BV14" s="153">
        <v>41527</v>
      </c>
      <c r="CC14" s="136">
        <v>6.7</v>
      </c>
      <c r="CD14" s="153">
        <v>41527</v>
      </c>
      <c r="CG14" s="136">
        <v>1.27</v>
      </c>
      <c r="CH14" s="153">
        <v>41527</v>
      </c>
      <c r="CK14" s="136">
        <v>5</v>
      </c>
    </row>
    <row r="15" spans="1:91">
      <c r="A15" s="154" t="s">
        <v>7447</v>
      </c>
      <c r="B15" t="s">
        <v>259</v>
      </c>
      <c r="C15" t="s">
        <v>405</v>
      </c>
      <c r="D15">
        <v>3</v>
      </c>
      <c r="E15" s="113">
        <v>3</v>
      </c>
      <c r="F15" s="113">
        <v>12</v>
      </c>
      <c r="K15" s="112">
        <v>5</v>
      </c>
      <c r="L15" s="317">
        <v>41569</v>
      </c>
      <c r="S15" s="318">
        <v>2171.7359999999999</v>
      </c>
      <c r="T15" s="153">
        <v>41527</v>
      </c>
      <c r="U15" s="136">
        <v>10.8</v>
      </c>
      <c r="Y15" s="136">
        <v>1030.8240000000001</v>
      </c>
      <c r="Z15" s="153">
        <v>41527</v>
      </c>
      <c r="AA15" s="318" t="s">
        <v>7718</v>
      </c>
      <c r="AB15" s="153">
        <v>41527</v>
      </c>
      <c r="AE15">
        <v>50.04</v>
      </c>
      <c r="AF15" s="153">
        <v>41527</v>
      </c>
      <c r="AG15" s="136" t="s">
        <v>7718</v>
      </c>
      <c r="AH15" s="153">
        <v>41527</v>
      </c>
      <c r="AI15" s="318">
        <v>155</v>
      </c>
      <c r="AJ15" s="153">
        <v>41527</v>
      </c>
      <c r="BS15" s="318">
        <v>43.4</v>
      </c>
      <c r="BT15" s="153">
        <v>41527</v>
      </c>
      <c r="BU15">
        <v>20.6</v>
      </c>
      <c r="BV15" s="153">
        <v>41527</v>
      </c>
      <c r="CC15" s="136">
        <v>7.8</v>
      </c>
      <c r="CD15" s="153">
        <v>41527</v>
      </c>
      <c r="CG15" s="136">
        <v>2.91</v>
      </c>
      <c r="CH15" s="153">
        <v>41527</v>
      </c>
      <c r="CK15" s="136">
        <v>1</v>
      </c>
    </row>
    <row r="16" spans="1:91">
      <c r="A16" s="154" t="s">
        <v>7447</v>
      </c>
      <c r="B16" t="s">
        <v>257</v>
      </c>
      <c r="C16" t="s">
        <v>7794</v>
      </c>
      <c r="D16">
        <v>3</v>
      </c>
      <c r="E16" s="113">
        <v>3</v>
      </c>
      <c r="F16" s="113">
        <v>38</v>
      </c>
      <c r="K16" s="112">
        <v>5</v>
      </c>
      <c r="L16" s="317">
        <v>41569</v>
      </c>
      <c r="S16" s="318">
        <v>1991.586</v>
      </c>
      <c r="T16" s="153">
        <v>41527</v>
      </c>
      <c r="U16" s="136">
        <v>10.8</v>
      </c>
      <c r="Y16" s="136">
        <v>882.11800000000005</v>
      </c>
      <c r="Z16" s="153">
        <v>41527</v>
      </c>
      <c r="AA16" s="318" t="s">
        <v>7718</v>
      </c>
      <c r="AB16" s="153">
        <v>41527</v>
      </c>
      <c r="AE16">
        <v>45.47</v>
      </c>
      <c r="AF16" s="153">
        <v>41527</v>
      </c>
      <c r="AG16" s="136" t="s">
        <v>7718</v>
      </c>
      <c r="AH16" s="153">
        <v>41527</v>
      </c>
      <c r="AI16" s="318">
        <v>160</v>
      </c>
      <c r="AJ16" s="153">
        <v>41527</v>
      </c>
      <c r="BS16" s="318">
        <v>43.8</v>
      </c>
      <c r="BT16" s="153">
        <v>41527</v>
      </c>
      <c r="BU16">
        <v>19.399999999999999</v>
      </c>
      <c r="BV16" s="153">
        <v>41527</v>
      </c>
      <c r="CC16" s="136">
        <v>9.1</v>
      </c>
      <c r="CD16" s="153">
        <v>41527</v>
      </c>
      <c r="CG16" s="136">
        <v>2.91</v>
      </c>
      <c r="CH16" s="153">
        <v>41527</v>
      </c>
      <c r="CK16" s="136">
        <v>10</v>
      </c>
    </row>
    <row r="17" spans="1:89">
      <c r="A17" s="154" t="s">
        <v>7447</v>
      </c>
      <c r="B17" t="s">
        <v>259</v>
      </c>
      <c r="C17" t="s">
        <v>7794</v>
      </c>
      <c r="D17">
        <v>3</v>
      </c>
      <c r="E17" s="113">
        <v>4</v>
      </c>
      <c r="F17" s="113">
        <v>43</v>
      </c>
      <c r="K17" s="112">
        <v>5</v>
      </c>
      <c r="L17" s="317">
        <v>41569</v>
      </c>
      <c r="S17" s="318" t="s">
        <v>7718</v>
      </c>
      <c r="T17" s="153">
        <v>41527</v>
      </c>
      <c r="U17" s="136">
        <v>10.8</v>
      </c>
      <c r="Y17" s="136" t="s">
        <v>7718</v>
      </c>
      <c r="Z17" s="153">
        <v>41527</v>
      </c>
      <c r="AA17" s="318" t="s">
        <v>7718</v>
      </c>
      <c r="AB17" s="153">
        <v>41527</v>
      </c>
      <c r="AE17" t="s">
        <v>7718</v>
      </c>
      <c r="AF17" s="153">
        <v>41527</v>
      </c>
      <c r="AG17" s="136" t="s">
        <v>7718</v>
      </c>
      <c r="AH17" s="153">
        <v>41527</v>
      </c>
      <c r="AI17" s="318">
        <v>150</v>
      </c>
      <c r="AJ17" s="153">
        <v>41527</v>
      </c>
      <c r="BS17" s="318">
        <v>43.1</v>
      </c>
      <c r="BT17" s="153">
        <v>41527</v>
      </c>
      <c r="BU17">
        <v>20.6</v>
      </c>
      <c r="BV17" s="153">
        <v>41527</v>
      </c>
      <c r="CC17" s="136">
        <v>7.8</v>
      </c>
      <c r="CD17" s="153">
        <v>41527</v>
      </c>
      <c r="CG17" s="136">
        <v>1.0900000000000001</v>
      </c>
      <c r="CH17" s="153">
        <v>41527</v>
      </c>
      <c r="CK17" s="136">
        <v>10</v>
      </c>
    </row>
    <row r="18" spans="1:89">
      <c r="A18" s="154" t="s">
        <v>7447</v>
      </c>
      <c r="B18" t="s">
        <v>257</v>
      </c>
      <c r="C18" t="s">
        <v>7795</v>
      </c>
      <c r="D18">
        <v>3</v>
      </c>
      <c r="E18" s="113">
        <v>4</v>
      </c>
      <c r="F18" s="113">
        <v>63</v>
      </c>
      <c r="K18" s="112">
        <v>5</v>
      </c>
      <c r="L18" s="317">
        <v>41569</v>
      </c>
      <c r="S18" s="318">
        <v>2130.9119999999998</v>
      </c>
      <c r="T18" s="153">
        <v>41527</v>
      </c>
      <c r="U18" s="136">
        <v>10.8</v>
      </c>
      <c r="Y18" s="136">
        <v>927.74400000000003</v>
      </c>
      <c r="Z18" s="153">
        <v>41527</v>
      </c>
      <c r="AA18" s="318">
        <v>98612.244900000005</v>
      </c>
      <c r="AB18" s="153">
        <v>41527</v>
      </c>
      <c r="AE18">
        <v>48.32</v>
      </c>
      <c r="AF18" s="153">
        <v>41527</v>
      </c>
      <c r="AG18" s="136">
        <v>4.9000000000000004</v>
      </c>
      <c r="AH18" s="153">
        <v>41527</v>
      </c>
      <c r="AI18" s="318">
        <v>155</v>
      </c>
      <c r="AJ18" s="153">
        <v>41527</v>
      </c>
      <c r="BS18" s="318">
        <v>44.1</v>
      </c>
      <c r="BT18" s="153">
        <v>41527</v>
      </c>
      <c r="BU18">
        <v>19.2</v>
      </c>
      <c r="BV18" s="153">
        <v>41527</v>
      </c>
      <c r="CC18" s="136">
        <v>7.7</v>
      </c>
      <c r="CD18" s="153">
        <v>41527</v>
      </c>
      <c r="CG18" s="136">
        <v>1.48</v>
      </c>
      <c r="CH18" s="153">
        <v>41527</v>
      </c>
      <c r="CK18" s="136">
        <v>5</v>
      </c>
    </row>
    <row r="19" spans="1:89">
      <c r="A19" s="154" t="s">
        <v>7447</v>
      </c>
      <c r="B19" t="s">
        <v>259</v>
      </c>
      <c r="C19" t="s">
        <v>7795</v>
      </c>
      <c r="D19">
        <v>3</v>
      </c>
      <c r="E19" s="113">
        <v>2</v>
      </c>
      <c r="F19" s="113">
        <v>81</v>
      </c>
      <c r="K19" s="112">
        <v>5</v>
      </c>
      <c r="L19" s="317">
        <v>41569</v>
      </c>
      <c r="S19" s="318">
        <v>1934.4949999999999</v>
      </c>
      <c r="T19" s="153">
        <v>41527</v>
      </c>
      <c r="U19" s="136">
        <v>10.8</v>
      </c>
      <c r="Y19" s="136">
        <v>969.54499999999996</v>
      </c>
      <c r="Z19" s="153">
        <v>41527</v>
      </c>
      <c r="AA19" s="318">
        <v>97145.877380000005</v>
      </c>
      <c r="AB19" s="153">
        <v>41527</v>
      </c>
      <c r="AE19">
        <v>45.95</v>
      </c>
      <c r="AF19" s="153">
        <v>41527</v>
      </c>
      <c r="AG19" s="136">
        <v>4.7300000000000004</v>
      </c>
      <c r="AH19" s="153">
        <v>41527</v>
      </c>
      <c r="AI19" s="318">
        <v>145</v>
      </c>
      <c r="AJ19" s="153">
        <v>41527</v>
      </c>
      <c r="BS19" s="318">
        <v>42.1</v>
      </c>
      <c r="BT19" s="153">
        <v>41527</v>
      </c>
      <c r="BU19">
        <v>21.1</v>
      </c>
      <c r="BV19" s="153">
        <v>41527</v>
      </c>
      <c r="CC19" s="136">
        <v>7.5</v>
      </c>
      <c r="CD19" s="153">
        <v>41527</v>
      </c>
      <c r="CG19" s="136">
        <v>1.9</v>
      </c>
      <c r="CH19" s="153">
        <v>41527</v>
      </c>
      <c r="CK19" s="136">
        <v>5</v>
      </c>
    </row>
    <row r="20" spans="1:89">
      <c r="A20" s="154" t="s">
        <v>7448</v>
      </c>
      <c r="B20" t="s">
        <v>257</v>
      </c>
      <c r="C20" t="s">
        <v>405</v>
      </c>
      <c r="D20">
        <v>4</v>
      </c>
      <c r="E20" s="113">
        <v>5</v>
      </c>
      <c r="F20" s="113">
        <v>29</v>
      </c>
      <c r="K20" s="112">
        <v>3</v>
      </c>
      <c r="L20" s="317">
        <v>41569</v>
      </c>
      <c r="S20" s="318">
        <v>1322.3320000000001</v>
      </c>
      <c r="T20" s="153">
        <v>41527</v>
      </c>
      <c r="U20" s="136">
        <v>10.8</v>
      </c>
      <c r="Y20" s="136">
        <v>577.60400000000004</v>
      </c>
      <c r="Z20" s="153">
        <v>41527</v>
      </c>
      <c r="AA20" s="318" t="s">
        <v>7718</v>
      </c>
      <c r="AB20" s="153">
        <v>41527</v>
      </c>
      <c r="AE20">
        <v>29.32</v>
      </c>
      <c r="AF20" s="153">
        <v>41527</v>
      </c>
      <c r="AG20" s="136" t="s">
        <v>7718</v>
      </c>
      <c r="AH20" s="153">
        <v>41527</v>
      </c>
      <c r="AI20" s="318">
        <v>120</v>
      </c>
      <c r="AJ20" s="153">
        <v>41527</v>
      </c>
      <c r="BS20" s="318">
        <v>45.1</v>
      </c>
      <c r="BT20" s="153">
        <v>41527</v>
      </c>
      <c r="BU20">
        <v>19.7</v>
      </c>
      <c r="BV20" s="153">
        <v>41527</v>
      </c>
      <c r="CC20" s="136">
        <v>11.4</v>
      </c>
      <c r="CD20" s="153">
        <v>41527</v>
      </c>
      <c r="CG20" s="136">
        <v>4.92</v>
      </c>
      <c r="CH20" s="153">
        <v>41527</v>
      </c>
      <c r="CK20" s="136">
        <v>30</v>
      </c>
    </row>
    <row r="21" spans="1:89">
      <c r="A21" s="154" t="s">
        <v>7448</v>
      </c>
      <c r="B21" t="s">
        <v>259</v>
      </c>
      <c r="C21" t="s">
        <v>405</v>
      </c>
      <c r="D21">
        <v>4</v>
      </c>
      <c r="E21" s="113">
        <v>1</v>
      </c>
      <c r="F21" s="113">
        <v>20</v>
      </c>
      <c r="K21" s="112">
        <v>7</v>
      </c>
      <c r="L21" s="317">
        <v>41569</v>
      </c>
      <c r="S21" s="318">
        <v>1984.28</v>
      </c>
      <c r="T21" s="153">
        <v>41527</v>
      </c>
      <c r="U21" s="136">
        <v>10.8</v>
      </c>
      <c r="Y21" s="136">
        <v>953.72</v>
      </c>
      <c r="Z21" s="153">
        <v>41527</v>
      </c>
      <c r="AA21" s="318" t="s">
        <v>7718</v>
      </c>
      <c r="AB21" s="153">
        <v>41527</v>
      </c>
      <c r="AE21">
        <v>45.2</v>
      </c>
      <c r="AF21" s="153">
        <v>41527</v>
      </c>
      <c r="AG21" s="136" t="s">
        <v>7718</v>
      </c>
      <c r="AH21" s="153">
        <v>41527</v>
      </c>
      <c r="AI21" s="318">
        <v>125</v>
      </c>
      <c r="AJ21" s="153">
        <v>41527</v>
      </c>
      <c r="BS21" s="318">
        <v>43.9</v>
      </c>
      <c r="BT21" s="153">
        <v>41527</v>
      </c>
      <c r="BU21">
        <v>21.1</v>
      </c>
      <c r="BV21" s="153">
        <v>41527</v>
      </c>
      <c r="CC21" s="136">
        <v>8.6999999999999993</v>
      </c>
      <c r="CD21" s="153">
        <v>41527</v>
      </c>
      <c r="CG21" s="136">
        <v>4.0199999999999996</v>
      </c>
      <c r="CH21" s="153">
        <v>41527</v>
      </c>
      <c r="CK21" s="136">
        <v>20</v>
      </c>
    </row>
    <row r="22" spans="1:89">
      <c r="A22" s="154" t="s">
        <v>7448</v>
      </c>
      <c r="B22" t="s">
        <v>257</v>
      </c>
      <c r="C22" t="s">
        <v>7794</v>
      </c>
      <c r="D22">
        <v>4</v>
      </c>
      <c r="E22" s="113">
        <v>3</v>
      </c>
      <c r="F22" s="113">
        <v>49</v>
      </c>
      <c r="K22" s="112">
        <v>5</v>
      </c>
      <c r="L22" s="317">
        <v>41569</v>
      </c>
      <c r="S22" s="318">
        <v>1804.86</v>
      </c>
      <c r="T22" s="153">
        <v>41527</v>
      </c>
      <c r="U22" s="136">
        <v>10.8</v>
      </c>
      <c r="Y22" s="136">
        <v>817.06500000000005</v>
      </c>
      <c r="Z22" s="153">
        <v>41527</v>
      </c>
      <c r="AA22" s="318" t="s">
        <v>7718</v>
      </c>
      <c r="AB22" s="153">
        <v>41527</v>
      </c>
      <c r="AE22">
        <v>40.65</v>
      </c>
      <c r="AF22" s="153">
        <v>41527</v>
      </c>
      <c r="AG22" s="136" t="s">
        <v>7718</v>
      </c>
      <c r="AH22" s="153">
        <v>41527</v>
      </c>
      <c r="AI22" s="318">
        <v>125</v>
      </c>
      <c r="AJ22" s="153">
        <v>41527</v>
      </c>
      <c r="BS22" s="318">
        <v>44.4</v>
      </c>
      <c r="BT22" s="153">
        <v>41527</v>
      </c>
      <c r="BU22">
        <v>20.100000000000001</v>
      </c>
      <c r="BV22" s="153">
        <v>41527</v>
      </c>
      <c r="CC22" s="136">
        <v>11.8</v>
      </c>
      <c r="CD22" s="153">
        <v>41527</v>
      </c>
      <c r="CG22" s="136">
        <v>11.2</v>
      </c>
      <c r="CH22" s="153">
        <v>41527</v>
      </c>
      <c r="CK22" s="136">
        <v>20</v>
      </c>
    </row>
    <row r="23" spans="1:89">
      <c r="A23" s="154" t="s">
        <v>7448</v>
      </c>
      <c r="B23" t="s">
        <v>259</v>
      </c>
      <c r="C23" t="s">
        <v>7794</v>
      </c>
      <c r="D23">
        <v>4</v>
      </c>
      <c r="E23" s="113">
        <v>6</v>
      </c>
      <c r="F23" s="113">
        <v>52</v>
      </c>
      <c r="K23" s="112">
        <v>5</v>
      </c>
      <c r="L23" s="317">
        <v>41569</v>
      </c>
      <c r="S23" s="318">
        <v>1898.7750000000001</v>
      </c>
      <c r="T23" s="153">
        <v>41527</v>
      </c>
      <c r="U23" s="136">
        <v>10.8</v>
      </c>
      <c r="Y23" s="136">
        <v>942.84</v>
      </c>
      <c r="Z23" s="153">
        <v>41527</v>
      </c>
      <c r="AA23" s="318" t="s">
        <v>7718</v>
      </c>
      <c r="AB23" s="153">
        <v>41527</v>
      </c>
      <c r="AE23">
        <v>43.65</v>
      </c>
      <c r="AF23" s="153">
        <v>41527</v>
      </c>
      <c r="AG23" s="136" t="s">
        <v>7718</v>
      </c>
      <c r="AH23" s="153">
        <v>41527</v>
      </c>
      <c r="AI23" s="318">
        <v>110</v>
      </c>
      <c r="AJ23" s="153">
        <v>41527</v>
      </c>
      <c r="BS23" s="318">
        <v>43.5</v>
      </c>
      <c r="BT23" s="153">
        <v>41527</v>
      </c>
      <c r="BU23">
        <v>21.6</v>
      </c>
      <c r="BV23" s="153">
        <v>41527</v>
      </c>
      <c r="CC23" s="136">
        <v>7.8</v>
      </c>
      <c r="CD23" s="153">
        <v>41527</v>
      </c>
      <c r="CG23" s="136">
        <v>3.85</v>
      </c>
      <c r="CH23" s="153">
        <v>41527</v>
      </c>
      <c r="CK23" s="136">
        <v>20</v>
      </c>
    </row>
    <row r="24" spans="1:89">
      <c r="A24" s="154" t="s">
        <v>7448</v>
      </c>
      <c r="B24" t="s">
        <v>257</v>
      </c>
      <c r="C24" t="s">
        <v>7795</v>
      </c>
      <c r="D24">
        <v>4</v>
      </c>
      <c r="E24" s="113">
        <v>5</v>
      </c>
      <c r="F24" s="113">
        <v>84</v>
      </c>
      <c r="K24" s="112">
        <v>5</v>
      </c>
      <c r="L24" s="317">
        <v>41569</v>
      </c>
      <c r="S24" s="318">
        <v>1663.8689999999999</v>
      </c>
      <c r="T24" s="153">
        <v>41527</v>
      </c>
      <c r="U24" s="136">
        <v>10.8</v>
      </c>
      <c r="Y24" s="136">
        <v>712.56200000000001</v>
      </c>
      <c r="Z24" s="153">
        <v>41527</v>
      </c>
      <c r="AA24" s="318">
        <v>80725.274730000005</v>
      </c>
      <c r="AB24" s="153">
        <v>41527</v>
      </c>
      <c r="AE24">
        <v>36.729999999999997</v>
      </c>
      <c r="AF24" s="153">
        <v>41527</v>
      </c>
      <c r="AG24" s="136">
        <v>4.55</v>
      </c>
      <c r="AH24" s="153">
        <v>41527</v>
      </c>
      <c r="AI24" s="318">
        <v>120</v>
      </c>
      <c r="AJ24" s="153">
        <v>41527</v>
      </c>
      <c r="BS24" s="318">
        <v>45.3</v>
      </c>
      <c r="BT24" s="153">
        <v>41527</v>
      </c>
      <c r="BU24">
        <v>19.399999999999999</v>
      </c>
      <c r="BV24" s="153">
        <v>41527</v>
      </c>
      <c r="CC24" s="136">
        <v>7.4</v>
      </c>
      <c r="CD24" s="153">
        <v>41527</v>
      </c>
      <c r="CG24" s="136">
        <v>2.29</v>
      </c>
      <c r="CH24" s="153">
        <v>41527</v>
      </c>
      <c r="CK24" s="136">
        <v>20</v>
      </c>
    </row>
    <row r="25" spans="1:89">
      <c r="A25" s="154" t="s">
        <v>7448</v>
      </c>
      <c r="B25" t="s">
        <v>259</v>
      </c>
      <c r="C25" t="s">
        <v>7795</v>
      </c>
      <c r="D25">
        <v>4</v>
      </c>
      <c r="E25" s="113">
        <v>1</v>
      </c>
      <c r="F25" s="113">
        <v>65</v>
      </c>
      <c r="K25" s="112">
        <v>5</v>
      </c>
      <c r="L25" s="317">
        <v>41569</v>
      </c>
      <c r="S25" s="318">
        <v>1782</v>
      </c>
      <c r="T25" s="153">
        <v>41527</v>
      </c>
      <c r="U25" s="136">
        <v>10.8</v>
      </c>
      <c r="Y25" s="136">
        <v>895.125</v>
      </c>
      <c r="Z25" s="153">
        <v>41527</v>
      </c>
      <c r="AA25" s="318">
        <v>90859.030840000007</v>
      </c>
      <c r="AB25" s="153">
        <v>41527</v>
      </c>
      <c r="AE25">
        <v>41.25</v>
      </c>
      <c r="AF25" s="153">
        <v>41527</v>
      </c>
      <c r="AG25" s="136">
        <v>4.54</v>
      </c>
      <c r="AH25" s="153">
        <v>41527</v>
      </c>
      <c r="AI25" s="318">
        <v>125</v>
      </c>
      <c r="AJ25" s="153">
        <v>41527</v>
      </c>
      <c r="BS25" s="318">
        <v>43.2</v>
      </c>
      <c r="BT25" s="153">
        <v>41527</v>
      </c>
      <c r="BU25">
        <v>21.7</v>
      </c>
      <c r="BV25" s="153">
        <v>41527</v>
      </c>
      <c r="CC25" s="136">
        <v>8.5</v>
      </c>
      <c r="CD25" s="153">
        <v>41527</v>
      </c>
      <c r="CG25" s="136">
        <v>3.96</v>
      </c>
      <c r="CH25" s="153">
        <v>41527</v>
      </c>
      <c r="CK25" s="136">
        <v>30</v>
      </c>
    </row>
    <row r="26" spans="1:89">
      <c r="A26" s="154" t="s">
        <v>7448</v>
      </c>
      <c r="B26" t="s">
        <v>257</v>
      </c>
      <c r="C26" t="s">
        <v>405</v>
      </c>
      <c r="D26">
        <v>5</v>
      </c>
      <c r="E26" s="113">
        <v>6</v>
      </c>
      <c r="F26" s="113">
        <v>20</v>
      </c>
      <c r="K26" s="112">
        <v>5</v>
      </c>
      <c r="L26" s="317">
        <v>41569</v>
      </c>
      <c r="S26" s="318">
        <v>1453.2239999999999</v>
      </c>
      <c r="T26" s="153">
        <v>41527</v>
      </c>
      <c r="U26" s="136">
        <v>10.8</v>
      </c>
      <c r="Y26" s="136">
        <v>628.76800000000003</v>
      </c>
      <c r="Z26" s="153">
        <v>41527</v>
      </c>
      <c r="AA26" s="318" t="s">
        <v>7718</v>
      </c>
      <c r="AB26" s="153">
        <v>41527</v>
      </c>
      <c r="AE26">
        <v>32.08</v>
      </c>
      <c r="AF26" s="153">
        <v>41527</v>
      </c>
      <c r="AG26" s="136" t="s">
        <v>7718</v>
      </c>
      <c r="AH26" s="153">
        <v>41527</v>
      </c>
      <c r="AI26" s="318">
        <v>110</v>
      </c>
      <c r="AJ26" s="153">
        <v>41527</v>
      </c>
      <c r="BS26" s="318">
        <v>45.3</v>
      </c>
      <c r="BT26" s="153">
        <v>41527</v>
      </c>
      <c r="BU26">
        <v>19.600000000000001</v>
      </c>
      <c r="BV26" s="153">
        <v>41527</v>
      </c>
      <c r="CC26" s="136">
        <v>7.5</v>
      </c>
      <c r="CD26" s="153">
        <v>41527</v>
      </c>
      <c r="CG26" s="136">
        <v>8.9700000000000006</v>
      </c>
      <c r="CH26" s="153">
        <v>41527</v>
      </c>
      <c r="CK26" s="136">
        <v>20</v>
      </c>
    </row>
    <row r="27" spans="1:89">
      <c r="A27" s="154" t="s">
        <v>7448</v>
      </c>
      <c r="B27" t="s">
        <v>259</v>
      </c>
      <c r="C27" t="s">
        <v>405</v>
      </c>
      <c r="D27">
        <v>5</v>
      </c>
      <c r="E27" s="113">
        <v>1</v>
      </c>
      <c r="F27" s="113">
        <v>21</v>
      </c>
      <c r="K27" s="112">
        <v>7</v>
      </c>
      <c r="L27" s="317">
        <v>41569</v>
      </c>
      <c r="S27" s="318">
        <v>2023.308</v>
      </c>
      <c r="T27" s="153">
        <v>41527</v>
      </c>
      <c r="U27" s="136">
        <v>10.8</v>
      </c>
      <c r="Y27" s="136">
        <v>975.19799999999998</v>
      </c>
      <c r="Z27" s="153">
        <v>41527</v>
      </c>
      <c r="AA27" s="318" t="s">
        <v>7718</v>
      </c>
      <c r="AB27" s="153">
        <v>41527</v>
      </c>
      <c r="AE27">
        <v>45.57</v>
      </c>
      <c r="AF27" s="153">
        <v>41527</v>
      </c>
      <c r="AG27" s="136" t="s">
        <v>7718</v>
      </c>
      <c r="AH27" s="153">
        <v>41527</v>
      </c>
      <c r="AI27" s="318">
        <v>130</v>
      </c>
      <c r="AJ27" s="153">
        <v>41527</v>
      </c>
      <c r="BS27" s="318">
        <v>44.4</v>
      </c>
      <c r="BT27" s="153">
        <v>41527</v>
      </c>
      <c r="BU27">
        <v>21.4</v>
      </c>
      <c r="BV27" s="153">
        <v>41527</v>
      </c>
      <c r="CC27" s="136">
        <v>8.6</v>
      </c>
      <c r="CD27" s="153">
        <v>41527</v>
      </c>
      <c r="CG27" s="136">
        <v>2.2599999999999998</v>
      </c>
      <c r="CH27" s="153">
        <v>41527</v>
      </c>
      <c r="CK27" s="136">
        <v>30</v>
      </c>
    </row>
    <row r="28" spans="1:89">
      <c r="A28" s="154" t="s">
        <v>7448</v>
      </c>
      <c r="B28" t="s">
        <v>257</v>
      </c>
      <c r="C28" t="s">
        <v>7794</v>
      </c>
      <c r="D28">
        <v>5</v>
      </c>
      <c r="E28" s="113">
        <v>3</v>
      </c>
      <c r="F28" s="113">
        <v>40</v>
      </c>
      <c r="K28" s="112">
        <v>5</v>
      </c>
      <c r="L28" s="317">
        <v>41569</v>
      </c>
      <c r="S28" s="318">
        <v>1725.71</v>
      </c>
      <c r="T28" s="153">
        <v>41527</v>
      </c>
      <c r="U28" s="136">
        <v>10.8</v>
      </c>
      <c r="Y28" s="136">
        <v>779.47799999999995</v>
      </c>
      <c r="Z28" s="153">
        <v>41527</v>
      </c>
      <c r="AA28" s="318" t="s">
        <v>7718</v>
      </c>
      <c r="AB28" s="153">
        <v>41527</v>
      </c>
      <c r="AE28">
        <v>38.78</v>
      </c>
      <c r="AF28" s="153">
        <v>41527</v>
      </c>
      <c r="AG28" s="136" t="s">
        <v>7718</v>
      </c>
      <c r="AH28" s="153">
        <v>41527</v>
      </c>
      <c r="AI28" s="318">
        <v>125</v>
      </c>
      <c r="AJ28" s="153">
        <v>41527</v>
      </c>
      <c r="BS28" s="318">
        <v>44.5</v>
      </c>
      <c r="BT28" s="153">
        <v>41527</v>
      </c>
      <c r="BU28">
        <v>20.100000000000001</v>
      </c>
      <c r="BV28" s="153">
        <v>41527</v>
      </c>
      <c r="CC28" s="136">
        <v>10.3</v>
      </c>
      <c r="CD28" s="153">
        <v>41527</v>
      </c>
      <c r="CG28" s="136">
        <v>5.8</v>
      </c>
      <c r="CH28" s="153">
        <v>41527</v>
      </c>
      <c r="CK28" s="136">
        <v>20</v>
      </c>
    </row>
    <row r="29" spans="1:89">
      <c r="A29" s="154" t="s">
        <v>7448</v>
      </c>
      <c r="B29" t="s">
        <v>259</v>
      </c>
      <c r="C29" t="s">
        <v>7794</v>
      </c>
      <c r="D29">
        <v>5</v>
      </c>
      <c r="E29" s="113">
        <v>4</v>
      </c>
      <c r="F29" s="113">
        <v>55</v>
      </c>
      <c r="K29" s="112">
        <v>5</v>
      </c>
      <c r="L29" s="317">
        <v>41569</v>
      </c>
      <c r="S29" s="318">
        <v>1757.98</v>
      </c>
      <c r="T29" s="153">
        <v>41527</v>
      </c>
      <c r="U29" s="136">
        <v>10.8</v>
      </c>
      <c r="Y29" s="136">
        <v>881.02</v>
      </c>
      <c r="Z29" s="153">
        <v>41527</v>
      </c>
      <c r="AA29" s="318" t="s">
        <v>7718</v>
      </c>
      <c r="AB29" s="153">
        <v>41527</v>
      </c>
      <c r="AE29">
        <v>40.6</v>
      </c>
      <c r="AF29" s="153">
        <v>41527</v>
      </c>
      <c r="AG29" s="136" t="s">
        <v>7718</v>
      </c>
      <c r="AH29" s="153">
        <v>41527</v>
      </c>
      <c r="AI29" s="318">
        <v>130</v>
      </c>
      <c r="AJ29" s="153">
        <v>41527</v>
      </c>
      <c r="BS29" s="318">
        <v>43.3</v>
      </c>
      <c r="BT29" s="153">
        <v>41527</v>
      </c>
      <c r="BU29">
        <v>21.7</v>
      </c>
      <c r="BV29" s="153">
        <v>41527</v>
      </c>
      <c r="CC29" s="136">
        <v>5.8</v>
      </c>
      <c r="CD29" s="153">
        <v>41527</v>
      </c>
      <c r="CG29" s="136">
        <v>4.54</v>
      </c>
      <c r="CH29" s="153">
        <v>41527</v>
      </c>
      <c r="CK29" s="136">
        <v>20</v>
      </c>
    </row>
    <row r="30" spans="1:89">
      <c r="A30" s="154" t="s">
        <v>7448</v>
      </c>
      <c r="B30" t="s">
        <v>257</v>
      </c>
      <c r="C30" t="s">
        <v>7795</v>
      </c>
      <c r="D30">
        <v>5</v>
      </c>
      <c r="E30" s="113">
        <v>6</v>
      </c>
      <c r="F30" s="113">
        <v>65</v>
      </c>
      <c r="K30" s="112">
        <v>5</v>
      </c>
      <c r="L30" s="317">
        <v>41569</v>
      </c>
      <c r="S30" s="318">
        <v>1571.31</v>
      </c>
      <c r="T30" s="153">
        <v>41527</v>
      </c>
      <c r="U30" s="136">
        <v>10.8</v>
      </c>
      <c r="Y30" s="136">
        <v>725.22</v>
      </c>
      <c r="Z30" s="153">
        <v>41527</v>
      </c>
      <c r="AA30" s="318">
        <v>83647.058820000006</v>
      </c>
      <c r="AB30" s="153">
        <v>41527</v>
      </c>
      <c r="AE30">
        <v>35.549999999999997</v>
      </c>
      <c r="AF30" s="153">
        <v>41527</v>
      </c>
      <c r="AG30" s="136">
        <v>4.25</v>
      </c>
      <c r="AH30" s="153">
        <v>41527</v>
      </c>
      <c r="AI30" s="318">
        <v>115</v>
      </c>
      <c r="AJ30" s="153">
        <v>41527</v>
      </c>
      <c r="BS30" s="318">
        <v>44.2</v>
      </c>
      <c r="BT30" s="153">
        <v>41527</v>
      </c>
      <c r="BU30">
        <v>20.399999999999999</v>
      </c>
      <c r="BV30" s="153">
        <v>41527</v>
      </c>
      <c r="CC30" s="136">
        <v>7.9</v>
      </c>
      <c r="CD30" s="153">
        <v>41527</v>
      </c>
      <c r="CG30" s="136">
        <v>2.17</v>
      </c>
      <c r="CH30" s="153">
        <v>41527</v>
      </c>
      <c r="CK30" s="136">
        <v>20</v>
      </c>
    </row>
    <row r="31" spans="1:89">
      <c r="A31" s="154" t="s">
        <v>7448</v>
      </c>
      <c r="B31" t="s">
        <v>259</v>
      </c>
      <c r="C31" t="s">
        <v>7795</v>
      </c>
      <c r="D31">
        <v>5</v>
      </c>
      <c r="E31" s="113">
        <v>3</v>
      </c>
      <c r="F31" s="113">
        <v>75</v>
      </c>
      <c r="K31" s="112">
        <v>5</v>
      </c>
      <c r="L31" s="317">
        <v>41569</v>
      </c>
      <c r="S31" s="318">
        <v>1974.03</v>
      </c>
      <c r="T31" s="153">
        <v>41527</v>
      </c>
      <c r="U31" s="136">
        <v>10.8</v>
      </c>
      <c r="Y31" s="136">
        <v>962.05600000000004</v>
      </c>
      <c r="Z31" s="153">
        <v>41527</v>
      </c>
      <c r="AA31" s="318">
        <v>106276.3466</v>
      </c>
      <c r="AB31" s="153">
        <v>41527</v>
      </c>
      <c r="AE31">
        <v>45.38</v>
      </c>
      <c r="AF31" s="153">
        <v>41527</v>
      </c>
      <c r="AG31" s="136">
        <v>4.2699999999999996</v>
      </c>
      <c r="AH31" s="153">
        <v>41527</v>
      </c>
      <c r="AI31" s="318">
        <v>130</v>
      </c>
      <c r="AJ31" s="153">
        <v>41527</v>
      </c>
      <c r="BS31" s="318">
        <v>43.5</v>
      </c>
      <c r="BT31" s="153">
        <v>41527</v>
      </c>
      <c r="BU31">
        <v>21.2</v>
      </c>
      <c r="BV31" s="153">
        <v>41527</v>
      </c>
      <c r="CC31" s="136">
        <v>9.1</v>
      </c>
      <c r="CD31" s="153">
        <v>41527</v>
      </c>
      <c r="CG31" s="136">
        <v>6.85</v>
      </c>
      <c r="CH31" s="153">
        <v>41527</v>
      </c>
      <c r="CK31" s="136">
        <v>20</v>
      </c>
    </row>
    <row r="32" spans="1:89">
      <c r="A32" s="154" t="s">
        <v>7448</v>
      </c>
      <c r="B32" t="s">
        <v>257</v>
      </c>
      <c r="C32" t="s">
        <v>405</v>
      </c>
      <c r="D32">
        <v>6</v>
      </c>
      <c r="E32" s="113">
        <v>4</v>
      </c>
      <c r="F32" s="113">
        <v>24</v>
      </c>
      <c r="K32" s="112">
        <v>5</v>
      </c>
      <c r="L32" s="317">
        <v>41569</v>
      </c>
      <c r="S32" s="318">
        <v>1344.5250000000001</v>
      </c>
      <c r="T32" s="153">
        <v>41527</v>
      </c>
      <c r="U32" s="136">
        <v>10.8</v>
      </c>
      <c r="Y32" s="136">
        <v>593.95500000000004</v>
      </c>
      <c r="Z32" s="153">
        <v>41527</v>
      </c>
      <c r="AA32" s="318" t="s">
        <v>7718</v>
      </c>
      <c r="AB32" s="153">
        <v>41527</v>
      </c>
      <c r="AE32">
        <v>29.55</v>
      </c>
      <c r="AF32" s="153">
        <v>41527</v>
      </c>
      <c r="AG32" s="136" t="s">
        <v>7718</v>
      </c>
      <c r="AH32" s="153">
        <v>41527</v>
      </c>
      <c r="AI32" s="318">
        <v>120</v>
      </c>
      <c r="AJ32" s="153">
        <v>41527</v>
      </c>
      <c r="BS32" s="318">
        <v>45.5</v>
      </c>
      <c r="BT32" s="153">
        <v>41527</v>
      </c>
      <c r="BU32">
        <v>20.100000000000001</v>
      </c>
      <c r="BV32" s="153">
        <v>41527</v>
      </c>
      <c r="CC32" s="136">
        <v>7.8</v>
      </c>
      <c r="CD32" s="153">
        <v>41527</v>
      </c>
      <c r="CG32" s="136">
        <v>2.91</v>
      </c>
      <c r="CH32" s="153">
        <v>41527</v>
      </c>
      <c r="CK32" s="136">
        <v>30</v>
      </c>
    </row>
    <row r="33" spans="1:89">
      <c r="A33" s="154" t="s">
        <v>7448</v>
      </c>
      <c r="B33" t="s">
        <v>259</v>
      </c>
      <c r="C33" t="s">
        <v>405</v>
      </c>
      <c r="D33">
        <v>6</v>
      </c>
      <c r="E33" s="113">
        <v>3</v>
      </c>
      <c r="F33" s="113">
        <v>10</v>
      </c>
      <c r="K33" s="112">
        <v>5</v>
      </c>
      <c r="L33" s="317">
        <v>41569</v>
      </c>
      <c r="S33" s="318">
        <v>1820.972</v>
      </c>
      <c r="T33" s="153">
        <v>41527</v>
      </c>
      <c r="U33" s="136">
        <v>10.8</v>
      </c>
      <c r="Y33" s="136">
        <v>879.37599999999998</v>
      </c>
      <c r="Z33" s="153">
        <v>41527</v>
      </c>
      <c r="AA33" s="318" t="s">
        <v>7718</v>
      </c>
      <c r="AB33" s="153">
        <v>41527</v>
      </c>
      <c r="AE33">
        <v>41.48</v>
      </c>
      <c r="AF33" s="153">
        <v>41527</v>
      </c>
      <c r="AG33" s="136" t="s">
        <v>7718</v>
      </c>
      <c r="AH33" s="153">
        <v>41527</v>
      </c>
      <c r="AI33" s="318">
        <v>130</v>
      </c>
      <c r="AJ33" s="153">
        <v>41527</v>
      </c>
      <c r="BS33" s="318">
        <v>43.9</v>
      </c>
      <c r="BT33" s="153">
        <v>41527</v>
      </c>
      <c r="BU33">
        <v>21.2</v>
      </c>
      <c r="BV33" s="153">
        <v>41527</v>
      </c>
      <c r="CC33" s="136">
        <v>8.4</v>
      </c>
      <c r="CD33" s="153">
        <v>41527</v>
      </c>
      <c r="CG33" s="136">
        <v>4.03</v>
      </c>
      <c r="CH33" s="153">
        <v>41527</v>
      </c>
      <c r="CK33" s="136">
        <v>30</v>
      </c>
    </row>
    <row r="34" spans="1:89">
      <c r="A34" s="154" t="s">
        <v>7448</v>
      </c>
      <c r="B34" t="s">
        <v>257</v>
      </c>
      <c r="C34" t="s">
        <v>7794</v>
      </c>
      <c r="D34">
        <v>6</v>
      </c>
      <c r="E34" s="113">
        <v>2</v>
      </c>
      <c r="F34" s="113">
        <v>34</v>
      </c>
      <c r="K34" s="112">
        <v>7</v>
      </c>
      <c r="L34" s="317">
        <v>41569</v>
      </c>
      <c r="S34" s="318">
        <v>1834.02</v>
      </c>
      <c r="T34" s="153">
        <v>41527</v>
      </c>
      <c r="U34" s="136">
        <v>10.8</v>
      </c>
      <c r="Y34" s="136">
        <v>815.58</v>
      </c>
      <c r="Z34" s="153">
        <v>41527</v>
      </c>
      <c r="AA34" s="318" t="s">
        <v>7718</v>
      </c>
      <c r="AB34" s="153">
        <v>41527</v>
      </c>
      <c r="AE34">
        <v>41.4</v>
      </c>
      <c r="AF34" s="153">
        <v>41527</v>
      </c>
      <c r="AG34" s="136" t="s">
        <v>7718</v>
      </c>
      <c r="AH34" s="153">
        <v>41527</v>
      </c>
      <c r="AI34" s="318">
        <v>120</v>
      </c>
      <c r="AJ34" s="153">
        <v>41527</v>
      </c>
      <c r="BS34" s="318">
        <v>44.3</v>
      </c>
      <c r="BT34" s="153">
        <v>41527</v>
      </c>
      <c r="BU34">
        <v>19.7</v>
      </c>
      <c r="BV34" s="153">
        <v>41527</v>
      </c>
      <c r="CC34" s="136">
        <v>8.4</v>
      </c>
      <c r="CD34" s="153">
        <v>41527</v>
      </c>
      <c r="CG34" s="136">
        <v>3.07</v>
      </c>
      <c r="CH34" s="153">
        <v>41527</v>
      </c>
      <c r="CK34" s="136">
        <v>30</v>
      </c>
    </row>
    <row r="35" spans="1:89">
      <c r="A35" s="154" t="s">
        <v>7448</v>
      </c>
      <c r="B35" t="s">
        <v>259</v>
      </c>
      <c r="C35" t="s">
        <v>7794</v>
      </c>
      <c r="D35">
        <v>6</v>
      </c>
      <c r="E35" s="113">
        <v>5</v>
      </c>
      <c r="F35" s="113">
        <v>43</v>
      </c>
      <c r="K35" s="112">
        <v>5</v>
      </c>
      <c r="L35" s="317">
        <v>41569</v>
      </c>
      <c r="S35" s="318">
        <v>1896.912</v>
      </c>
      <c r="T35" s="153">
        <v>41527</v>
      </c>
      <c r="U35" s="136">
        <v>10.8</v>
      </c>
      <c r="Y35" s="136">
        <v>935.28300000000002</v>
      </c>
      <c r="Z35" s="153">
        <v>41527</v>
      </c>
      <c r="AA35" s="318" t="s">
        <v>7718</v>
      </c>
      <c r="AB35" s="153">
        <v>41527</v>
      </c>
      <c r="AE35">
        <v>43.91</v>
      </c>
      <c r="AF35" s="153">
        <v>41527</v>
      </c>
      <c r="AG35" s="136" t="s">
        <v>7718</v>
      </c>
      <c r="AH35" s="153">
        <v>41527</v>
      </c>
      <c r="AI35" s="318">
        <v>125</v>
      </c>
      <c r="AJ35" s="153">
        <v>41527</v>
      </c>
      <c r="BS35" s="318">
        <v>43.2</v>
      </c>
      <c r="BT35" s="153">
        <v>41527</v>
      </c>
      <c r="BU35">
        <v>21.3</v>
      </c>
      <c r="BV35" s="153">
        <v>41527</v>
      </c>
      <c r="CC35" s="136">
        <v>7.9</v>
      </c>
      <c r="CD35" s="153">
        <v>41527</v>
      </c>
      <c r="CG35" s="136">
        <v>2.81</v>
      </c>
      <c r="CH35" s="153">
        <v>41527</v>
      </c>
      <c r="CK35" s="136">
        <v>30</v>
      </c>
    </row>
    <row r="36" spans="1:89">
      <c r="A36" s="154" t="s">
        <v>7448</v>
      </c>
      <c r="B36" t="s">
        <v>257</v>
      </c>
      <c r="C36" t="s">
        <v>7795</v>
      </c>
      <c r="D36">
        <v>6</v>
      </c>
      <c r="E36" s="113">
        <v>6</v>
      </c>
      <c r="F36" s="113">
        <v>69</v>
      </c>
      <c r="K36" s="112">
        <v>5</v>
      </c>
      <c r="L36" s="317">
        <v>41569</v>
      </c>
      <c r="S36" s="318">
        <v>1500.3</v>
      </c>
      <c r="T36" s="153">
        <v>41527</v>
      </c>
      <c r="U36" s="136">
        <v>10.8</v>
      </c>
      <c r="Y36" s="136">
        <v>686.80399999999997</v>
      </c>
      <c r="Z36" s="153">
        <v>41527</v>
      </c>
      <c r="AA36" s="318">
        <v>77175.925929999998</v>
      </c>
      <c r="AB36" s="153">
        <v>41527</v>
      </c>
      <c r="AE36">
        <v>33.340000000000003</v>
      </c>
      <c r="AF36" s="153">
        <v>41527</v>
      </c>
      <c r="AG36" s="136">
        <v>4.32</v>
      </c>
      <c r="AH36" s="153">
        <v>41527</v>
      </c>
      <c r="AI36" s="318">
        <v>110</v>
      </c>
      <c r="AJ36" s="153">
        <v>41527</v>
      </c>
      <c r="BS36" s="318">
        <v>45</v>
      </c>
      <c r="BT36" s="153">
        <v>41527</v>
      </c>
      <c r="BU36">
        <v>20.6</v>
      </c>
      <c r="BV36" s="153">
        <v>41527</v>
      </c>
      <c r="CC36" s="136">
        <v>5.9</v>
      </c>
      <c r="CD36" s="153">
        <v>41527</v>
      </c>
      <c r="CG36" s="136">
        <v>2.3199999999999998</v>
      </c>
      <c r="CH36" s="153">
        <v>41527</v>
      </c>
      <c r="CK36" s="136">
        <v>20</v>
      </c>
    </row>
    <row r="37" spans="1:89">
      <c r="A37" s="154" t="s">
        <v>7448</v>
      </c>
      <c r="B37" t="s">
        <v>259</v>
      </c>
      <c r="C37" t="s">
        <v>7795</v>
      </c>
      <c r="D37">
        <v>6</v>
      </c>
      <c r="E37" s="113">
        <v>2</v>
      </c>
      <c r="F37" s="113">
        <v>79</v>
      </c>
      <c r="K37" s="112">
        <v>5</v>
      </c>
      <c r="L37" s="317">
        <v>41569</v>
      </c>
      <c r="S37" s="318">
        <v>1952.83</v>
      </c>
      <c r="T37" s="153">
        <v>41527</v>
      </c>
      <c r="U37" s="136">
        <v>10.8</v>
      </c>
      <c r="Y37" s="136">
        <v>983.18</v>
      </c>
      <c r="Z37" s="153">
        <v>41527</v>
      </c>
      <c r="AA37" s="318">
        <v>102968.0365</v>
      </c>
      <c r="AB37" s="153">
        <v>41527</v>
      </c>
      <c r="AE37">
        <v>45.1</v>
      </c>
      <c r="AF37" s="153">
        <v>41527</v>
      </c>
      <c r="AG37" s="136">
        <v>4.38</v>
      </c>
      <c r="AH37" s="153">
        <v>41527</v>
      </c>
      <c r="AI37" s="318">
        <v>125</v>
      </c>
      <c r="AJ37" s="153">
        <v>41527</v>
      </c>
      <c r="BS37" s="318">
        <v>43.3</v>
      </c>
      <c r="BT37" s="153">
        <v>41527</v>
      </c>
      <c r="BU37">
        <v>21.8</v>
      </c>
      <c r="BV37" s="153">
        <v>41527</v>
      </c>
      <c r="CC37" s="136">
        <v>8.3000000000000007</v>
      </c>
      <c r="CD37" s="153">
        <v>41527</v>
      </c>
      <c r="CG37" s="136">
        <v>5.5</v>
      </c>
      <c r="CH37" s="153">
        <v>41527</v>
      </c>
      <c r="CK37" s="136">
        <v>30</v>
      </c>
    </row>
    <row r="38" spans="1:89">
      <c r="A38" s="154" t="s">
        <v>7804</v>
      </c>
      <c r="B38" t="s">
        <v>257</v>
      </c>
      <c r="C38" t="s">
        <v>405</v>
      </c>
      <c r="D38">
        <v>7</v>
      </c>
      <c r="E38" s="113">
        <v>5</v>
      </c>
      <c r="F38" s="113">
        <v>16</v>
      </c>
      <c r="K38" s="112">
        <v>5</v>
      </c>
      <c r="L38" s="317">
        <v>41569</v>
      </c>
      <c r="S38" s="318">
        <v>1369.3889999999999</v>
      </c>
      <c r="T38" s="153">
        <v>41527</v>
      </c>
      <c r="U38" s="136">
        <v>10.8</v>
      </c>
      <c r="Y38" s="136">
        <v>673.47</v>
      </c>
      <c r="Z38" s="153">
        <v>41527</v>
      </c>
      <c r="AA38" s="318" t="s">
        <v>7718</v>
      </c>
      <c r="AB38" s="153">
        <v>41527</v>
      </c>
      <c r="AE38">
        <v>32.07</v>
      </c>
      <c r="AF38" s="153">
        <v>41527</v>
      </c>
      <c r="AG38" s="136" t="s">
        <v>7718</v>
      </c>
      <c r="AH38" s="153">
        <v>41527</v>
      </c>
      <c r="AI38" s="318">
        <v>125</v>
      </c>
      <c r="AJ38" s="153">
        <v>41527</v>
      </c>
      <c r="BS38" s="318">
        <v>42.7</v>
      </c>
      <c r="BT38" s="153">
        <v>41527</v>
      </c>
      <c r="BU38">
        <v>21</v>
      </c>
      <c r="BV38" s="153">
        <v>41527</v>
      </c>
      <c r="CC38" s="136">
        <v>6.7</v>
      </c>
      <c r="CD38" s="153">
        <v>41527</v>
      </c>
      <c r="CG38" s="136">
        <v>6.79</v>
      </c>
      <c r="CH38" s="153">
        <v>41527</v>
      </c>
      <c r="CK38" s="136">
        <v>5</v>
      </c>
    </row>
    <row r="39" spans="1:89">
      <c r="A39" s="154" t="s">
        <v>7804</v>
      </c>
      <c r="B39" t="s">
        <v>259</v>
      </c>
      <c r="C39" t="s">
        <v>405</v>
      </c>
      <c r="D39">
        <v>7</v>
      </c>
      <c r="E39" s="113">
        <v>2</v>
      </c>
      <c r="F39" s="113">
        <v>27</v>
      </c>
      <c r="K39" s="112">
        <v>7</v>
      </c>
      <c r="L39" s="317">
        <v>41569</v>
      </c>
      <c r="S39" s="318">
        <v>1555.13</v>
      </c>
      <c r="T39" s="153">
        <v>41527</v>
      </c>
      <c r="U39" s="136">
        <v>10.8</v>
      </c>
      <c r="Y39" s="136">
        <v>887.56200000000001</v>
      </c>
      <c r="Z39" s="153">
        <v>41527</v>
      </c>
      <c r="AA39" s="318" t="s">
        <v>7718</v>
      </c>
      <c r="AB39" s="153">
        <v>41527</v>
      </c>
      <c r="AE39">
        <v>37.93</v>
      </c>
      <c r="AF39" s="153">
        <v>41527</v>
      </c>
      <c r="AG39" s="136" t="s">
        <v>7718</v>
      </c>
      <c r="AH39" s="153">
        <v>41527</v>
      </c>
      <c r="AI39" s="318">
        <v>125</v>
      </c>
      <c r="AJ39" s="153">
        <v>41527</v>
      </c>
      <c r="BS39" s="318">
        <v>41</v>
      </c>
      <c r="BT39" s="153">
        <v>41527</v>
      </c>
      <c r="BU39">
        <v>23.4</v>
      </c>
      <c r="BV39" s="153">
        <v>41527</v>
      </c>
      <c r="CC39" s="136">
        <v>13.8</v>
      </c>
      <c r="CD39" s="153">
        <v>41527</v>
      </c>
      <c r="CG39" s="136">
        <v>5.84</v>
      </c>
      <c r="CH39" s="153">
        <v>41527</v>
      </c>
      <c r="CK39" s="136">
        <v>5</v>
      </c>
    </row>
    <row r="40" spans="1:89">
      <c r="A40" s="154" t="s">
        <v>7804</v>
      </c>
      <c r="B40" t="s">
        <v>257</v>
      </c>
      <c r="C40" t="s">
        <v>7794</v>
      </c>
      <c r="D40">
        <v>7</v>
      </c>
      <c r="E40" s="113">
        <v>1</v>
      </c>
      <c r="F40" s="113">
        <v>48</v>
      </c>
      <c r="K40" s="112">
        <v>7</v>
      </c>
      <c r="L40" s="317">
        <v>41569</v>
      </c>
      <c r="S40" s="318">
        <v>1735.0309999999999</v>
      </c>
      <c r="T40" s="153">
        <v>41527</v>
      </c>
      <c r="U40" s="136">
        <v>10.8</v>
      </c>
      <c r="Y40" s="136">
        <v>829.44899999999996</v>
      </c>
      <c r="Z40" s="153">
        <v>41527</v>
      </c>
      <c r="AA40" s="318" t="s">
        <v>7718</v>
      </c>
      <c r="AB40" s="153">
        <v>41527</v>
      </c>
      <c r="AE40">
        <v>40.07</v>
      </c>
      <c r="AF40" s="153">
        <v>41527</v>
      </c>
      <c r="AG40" s="136" t="s">
        <v>7718</v>
      </c>
      <c r="AH40" s="153">
        <v>41527</v>
      </c>
      <c r="AI40" s="318">
        <v>130</v>
      </c>
      <c r="AJ40" s="153">
        <v>41527</v>
      </c>
      <c r="BS40" s="318">
        <v>43.3</v>
      </c>
      <c r="BT40" s="153">
        <v>41527</v>
      </c>
      <c r="BU40">
        <v>20.7</v>
      </c>
      <c r="BV40" s="153">
        <v>41527</v>
      </c>
      <c r="CC40" s="136">
        <v>8.6999999999999993</v>
      </c>
      <c r="CD40" s="153">
        <v>41527</v>
      </c>
      <c r="CG40" s="136">
        <v>3.04</v>
      </c>
      <c r="CH40" s="153">
        <v>41527</v>
      </c>
      <c r="CK40" s="136">
        <v>1</v>
      </c>
    </row>
    <row r="41" spans="1:89">
      <c r="A41" s="154" t="s">
        <v>7804</v>
      </c>
      <c r="B41" t="s">
        <v>259</v>
      </c>
      <c r="C41" t="s">
        <v>7794</v>
      </c>
      <c r="D41">
        <v>7</v>
      </c>
      <c r="E41" s="113">
        <v>4</v>
      </c>
      <c r="F41" s="113">
        <v>46</v>
      </c>
      <c r="K41" s="112">
        <v>5</v>
      </c>
      <c r="L41" s="317">
        <v>41569</v>
      </c>
      <c r="S41" s="318">
        <v>1889.4949999999999</v>
      </c>
      <c r="T41" s="153">
        <v>41527</v>
      </c>
      <c r="U41" s="136">
        <v>10.8</v>
      </c>
      <c r="Y41" s="136">
        <v>1028.9780000000001</v>
      </c>
      <c r="Z41" s="153">
        <v>41527</v>
      </c>
      <c r="AA41" s="318" t="s">
        <v>7718</v>
      </c>
      <c r="AB41" s="153">
        <v>41527</v>
      </c>
      <c r="AE41">
        <v>45.53</v>
      </c>
      <c r="AF41" s="153">
        <v>41527</v>
      </c>
      <c r="AG41" s="136" t="s">
        <v>7718</v>
      </c>
      <c r="AH41" s="153">
        <v>41527</v>
      </c>
      <c r="AI41" s="318">
        <v>135</v>
      </c>
      <c r="AJ41" s="153">
        <v>41527</v>
      </c>
      <c r="BS41" s="318">
        <v>41.5</v>
      </c>
      <c r="BT41" s="153">
        <v>41527</v>
      </c>
      <c r="BU41">
        <v>22.6</v>
      </c>
      <c r="BV41" s="153">
        <v>41527</v>
      </c>
      <c r="CC41" s="136">
        <v>8</v>
      </c>
      <c r="CD41" s="153">
        <v>41527</v>
      </c>
      <c r="CG41" s="136">
        <v>4.76</v>
      </c>
      <c r="CH41" s="153">
        <v>41527</v>
      </c>
      <c r="CK41" s="136">
        <v>5</v>
      </c>
    </row>
    <row r="42" spans="1:89">
      <c r="A42" s="154" t="s">
        <v>7804</v>
      </c>
      <c r="B42" t="s">
        <v>257</v>
      </c>
      <c r="C42" t="s">
        <v>7795</v>
      </c>
      <c r="D42">
        <v>7</v>
      </c>
      <c r="E42" s="113">
        <v>6</v>
      </c>
      <c r="F42" s="113">
        <v>66</v>
      </c>
      <c r="K42" s="112">
        <v>3</v>
      </c>
      <c r="L42" s="317">
        <v>41569</v>
      </c>
      <c r="S42" s="318">
        <v>1068.48</v>
      </c>
      <c r="T42" s="153">
        <v>41527</v>
      </c>
      <c r="U42" s="136">
        <v>10.8</v>
      </c>
      <c r="Y42" s="136">
        <v>549.50400000000002</v>
      </c>
      <c r="Z42" s="153">
        <v>41527</v>
      </c>
      <c r="AA42" s="318">
        <v>51084.337350000002</v>
      </c>
      <c r="AB42" s="153">
        <v>41527</v>
      </c>
      <c r="AE42">
        <v>25.44</v>
      </c>
      <c r="AF42" s="153">
        <v>41527</v>
      </c>
      <c r="AG42" s="136">
        <v>4.9800000000000004</v>
      </c>
      <c r="AH42" s="153">
        <v>41527</v>
      </c>
      <c r="AI42" s="318">
        <v>120</v>
      </c>
      <c r="AJ42" s="153">
        <v>41527</v>
      </c>
      <c r="BS42" s="318">
        <v>42</v>
      </c>
      <c r="BT42" s="153">
        <v>41527</v>
      </c>
      <c r="BU42">
        <v>21.6</v>
      </c>
      <c r="BV42" s="153">
        <v>41527</v>
      </c>
      <c r="CC42" s="136">
        <v>6.8</v>
      </c>
      <c r="CD42" s="153">
        <v>41527</v>
      </c>
      <c r="CG42" s="136">
        <v>3.36</v>
      </c>
      <c r="CH42" s="153">
        <v>41527</v>
      </c>
      <c r="CK42" s="136">
        <v>5</v>
      </c>
    </row>
    <row r="43" spans="1:89">
      <c r="A43" s="154" t="s">
        <v>7804</v>
      </c>
      <c r="B43" t="s">
        <v>259</v>
      </c>
      <c r="C43" t="s">
        <v>7795</v>
      </c>
      <c r="D43">
        <v>7</v>
      </c>
      <c r="E43" s="113">
        <v>3</v>
      </c>
      <c r="F43" s="113">
        <v>77</v>
      </c>
      <c r="K43" s="112">
        <v>7</v>
      </c>
      <c r="L43" s="317">
        <v>41569</v>
      </c>
      <c r="S43" s="318">
        <v>1645.816</v>
      </c>
      <c r="T43" s="153">
        <v>41527</v>
      </c>
      <c r="U43" s="136">
        <v>10.8</v>
      </c>
      <c r="Y43" s="136">
        <v>925.52</v>
      </c>
      <c r="Z43" s="153">
        <v>41527</v>
      </c>
      <c r="AA43" s="318">
        <v>76501.901140000002</v>
      </c>
      <c r="AB43" s="153">
        <v>41527</v>
      </c>
      <c r="AE43">
        <v>40.24</v>
      </c>
      <c r="AF43" s="153">
        <v>41527</v>
      </c>
      <c r="AG43" s="136">
        <v>5.26</v>
      </c>
      <c r="AH43" s="153">
        <v>41527</v>
      </c>
      <c r="AI43" s="318">
        <v>140</v>
      </c>
      <c r="AJ43" s="153">
        <v>41527</v>
      </c>
      <c r="BS43" s="318">
        <v>40.9</v>
      </c>
      <c r="BT43" s="153">
        <v>41527</v>
      </c>
      <c r="BU43">
        <v>23</v>
      </c>
      <c r="BV43" s="153">
        <v>41527</v>
      </c>
      <c r="CC43" s="136">
        <v>7.8</v>
      </c>
      <c r="CD43" s="153">
        <v>41527</v>
      </c>
      <c r="CG43" s="136">
        <v>3.67</v>
      </c>
      <c r="CH43" s="153">
        <v>41527</v>
      </c>
      <c r="CK43" s="136">
        <v>5</v>
      </c>
    </row>
    <row r="44" spans="1:89">
      <c r="A44" s="154" t="s">
        <v>7805</v>
      </c>
      <c r="B44" t="s">
        <v>257</v>
      </c>
      <c r="C44" t="s">
        <v>405</v>
      </c>
      <c r="D44">
        <v>8</v>
      </c>
      <c r="E44" s="113">
        <v>5</v>
      </c>
      <c r="F44" s="113">
        <v>19</v>
      </c>
      <c r="K44" s="112">
        <v>5</v>
      </c>
      <c r="L44" s="317">
        <v>41569</v>
      </c>
      <c r="S44" s="318">
        <v>1581.22</v>
      </c>
      <c r="T44" s="153">
        <v>41527</v>
      </c>
      <c r="U44" s="136">
        <v>10.8</v>
      </c>
      <c r="Y44" s="136">
        <v>653.94000000000005</v>
      </c>
      <c r="Z44" s="153">
        <v>41527</v>
      </c>
      <c r="AA44" s="318" t="s">
        <v>7718</v>
      </c>
      <c r="AB44" s="153">
        <v>41527</v>
      </c>
      <c r="AE44">
        <v>34.6</v>
      </c>
      <c r="AF44" s="153">
        <v>41527</v>
      </c>
      <c r="AG44" s="136" t="s">
        <v>7718</v>
      </c>
      <c r="AH44" s="153">
        <v>41527</v>
      </c>
      <c r="AI44" s="318">
        <v>120</v>
      </c>
      <c r="AJ44" s="153">
        <v>41527</v>
      </c>
      <c r="BS44" s="318">
        <v>45.7</v>
      </c>
      <c r="BT44" s="153">
        <v>41527</v>
      </c>
      <c r="BU44">
        <v>18.899999999999999</v>
      </c>
      <c r="BV44" s="153">
        <v>41527</v>
      </c>
      <c r="CC44" s="136">
        <v>7</v>
      </c>
      <c r="CD44" s="153">
        <v>41527</v>
      </c>
      <c r="CG44" s="136">
        <v>6.62</v>
      </c>
      <c r="CH44" s="153">
        <v>41527</v>
      </c>
      <c r="CK44" s="136">
        <v>20</v>
      </c>
    </row>
    <row r="45" spans="1:89">
      <c r="A45" s="154" t="s">
        <v>7805</v>
      </c>
      <c r="B45" t="s">
        <v>259</v>
      </c>
      <c r="C45" t="s">
        <v>405</v>
      </c>
      <c r="D45">
        <v>8</v>
      </c>
      <c r="E45" s="113">
        <v>2</v>
      </c>
      <c r="F45" s="113">
        <v>9</v>
      </c>
      <c r="K45" s="112">
        <v>5</v>
      </c>
      <c r="L45" s="317">
        <v>41569</v>
      </c>
      <c r="S45" s="318">
        <v>2116.4</v>
      </c>
      <c r="T45" s="153">
        <v>41527</v>
      </c>
      <c r="U45" s="136">
        <v>10.8</v>
      </c>
      <c r="Y45" s="136">
        <v>1014.91</v>
      </c>
      <c r="Z45" s="153">
        <v>41527</v>
      </c>
      <c r="AA45" s="318" t="s">
        <v>7718</v>
      </c>
      <c r="AB45" s="153">
        <v>41527</v>
      </c>
      <c r="AE45">
        <v>48.1</v>
      </c>
      <c r="AF45" s="153">
        <v>41527</v>
      </c>
      <c r="AG45" s="136" t="s">
        <v>7718</v>
      </c>
      <c r="AH45" s="153">
        <v>41527</v>
      </c>
      <c r="AI45" s="318">
        <v>130</v>
      </c>
      <c r="AJ45" s="153">
        <v>41527</v>
      </c>
      <c r="BS45" s="318">
        <v>44</v>
      </c>
      <c r="BT45" s="153">
        <v>41527</v>
      </c>
      <c r="BU45">
        <v>21.1</v>
      </c>
      <c r="BV45" s="153">
        <v>41527</v>
      </c>
      <c r="CC45" s="136">
        <v>8.4</v>
      </c>
      <c r="CD45" s="153">
        <v>41527</v>
      </c>
      <c r="CG45" s="136">
        <v>2</v>
      </c>
      <c r="CH45" s="153">
        <v>41527</v>
      </c>
      <c r="CK45" s="136">
        <v>30</v>
      </c>
    </row>
    <row r="46" spans="1:89">
      <c r="A46" s="154" t="s">
        <v>7805</v>
      </c>
      <c r="B46" t="s">
        <v>257</v>
      </c>
      <c r="C46" t="s">
        <v>7794</v>
      </c>
      <c r="D46">
        <v>8</v>
      </c>
      <c r="E46" s="113">
        <v>1</v>
      </c>
      <c r="F46" s="113">
        <v>57</v>
      </c>
      <c r="K46" s="112">
        <v>5</v>
      </c>
      <c r="L46" s="317">
        <v>41569</v>
      </c>
      <c r="S46" s="318">
        <v>1773.3309999999999</v>
      </c>
      <c r="T46" s="153">
        <v>41527</v>
      </c>
      <c r="U46" s="136">
        <v>10.8</v>
      </c>
      <c r="Y46" s="136">
        <v>867.97699999999998</v>
      </c>
      <c r="Z46" s="153">
        <v>41527</v>
      </c>
      <c r="AA46" s="318" t="s">
        <v>7718</v>
      </c>
      <c r="AB46" s="153">
        <v>41527</v>
      </c>
      <c r="AE46">
        <v>41.53</v>
      </c>
      <c r="AF46" s="153">
        <v>41527</v>
      </c>
      <c r="AG46" s="136" t="s">
        <v>7718</v>
      </c>
      <c r="AH46" s="153">
        <v>41527</v>
      </c>
      <c r="AI46" s="318">
        <v>120</v>
      </c>
      <c r="AJ46" s="153">
        <v>41527</v>
      </c>
      <c r="BS46" s="318">
        <v>42.7</v>
      </c>
      <c r="BT46" s="153">
        <v>41527</v>
      </c>
      <c r="BU46">
        <v>20.9</v>
      </c>
      <c r="BV46" s="153">
        <v>41527</v>
      </c>
      <c r="CC46" s="136">
        <v>8</v>
      </c>
      <c r="CD46" s="153">
        <v>41527</v>
      </c>
      <c r="CG46" s="136">
        <v>3.78</v>
      </c>
      <c r="CH46" s="153">
        <v>41527</v>
      </c>
      <c r="CK46" s="136">
        <v>20</v>
      </c>
    </row>
    <row r="47" spans="1:89">
      <c r="A47" s="154" t="s">
        <v>7805</v>
      </c>
      <c r="B47" t="s">
        <v>259</v>
      </c>
      <c r="C47" t="s">
        <v>7794</v>
      </c>
      <c r="D47">
        <v>8</v>
      </c>
      <c r="E47" s="113">
        <v>5</v>
      </c>
      <c r="F47" s="113">
        <v>47</v>
      </c>
      <c r="K47" s="112">
        <v>5</v>
      </c>
      <c r="L47" s="317">
        <v>41569</v>
      </c>
      <c r="S47" s="318">
        <v>2120.36</v>
      </c>
      <c r="T47" s="153">
        <v>41527</v>
      </c>
      <c r="U47" s="136">
        <v>10.8</v>
      </c>
      <c r="Y47" s="136">
        <v>1002.352</v>
      </c>
      <c r="Z47" s="153">
        <v>41527</v>
      </c>
      <c r="AA47" s="318" t="s">
        <v>7718</v>
      </c>
      <c r="AB47" s="153">
        <v>41527</v>
      </c>
      <c r="AE47">
        <v>48.19</v>
      </c>
      <c r="AF47" s="153">
        <v>41527</v>
      </c>
      <c r="AG47" s="136" t="s">
        <v>7718</v>
      </c>
      <c r="AH47" s="153">
        <v>41527</v>
      </c>
      <c r="AI47" s="318">
        <v>125</v>
      </c>
      <c r="AJ47" s="153">
        <v>41527</v>
      </c>
      <c r="BS47" s="318">
        <v>44</v>
      </c>
      <c r="BT47" s="153">
        <v>41527</v>
      </c>
      <c r="BU47">
        <v>20.8</v>
      </c>
      <c r="BV47" s="153">
        <v>41527</v>
      </c>
      <c r="CC47" s="136">
        <v>7.4</v>
      </c>
      <c r="CD47" s="153">
        <v>41527</v>
      </c>
      <c r="CG47" s="136">
        <v>2.54</v>
      </c>
      <c r="CH47" s="153">
        <v>41527</v>
      </c>
      <c r="CK47" s="136">
        <v>20</v>
      </c>
    </row>
    <row r="48" spans="1:89">
      <c r="A48" s="154" t="s">
        <v>7805</v>
      </c>
      <c r="B48" t="s">
        <v>257</v>
      </c>
      <c r="C48" t="s">
        <v>7795</v>
      </c>
      <c r="D48">
        <v>8</v>
      </c>
      <c r="E48" s="113">
        <v>4</v>
      </c>
      <c r="F48" s="113">
        <v>87</v>
      </c>
      <c r="K48" s="112">
        <v>5</v>
      </c>
      <c r="L48" s="317">
        <v>41569</v>
      </c>
      <c r="S48" s="318">
        <v>1265.731</v>
      </c>
      <c r="T48" s="153">
        <v>41527</v>
      </c>
      <c r="U48" s="136">
        <v>10.8</v>
      </c>
      <c r="Y48" s="136">
        <v>555.34299999999996</v>
      </c>
      <c r="Z48" s="153">
        <v>41527</v>
      </c>
      <c r="AA48" s="318">
        <v>61282.608699999997</v>
      </c>
      <c r="AB48" s="153">
        <v>41527</v>
      </c>
      <c r="AE48">
        <v>28.19</v>
      </c>
      <c r="AF48" s="153">
        <v>41527</v>
      </c>
      <c r="AG48" s="136">
        <v>4.5999999999999996</v>
      </c>
      <c r="AH48" s="153">
        <v>41527</v>
      </c>
      <c r="AI48" s="318">
        <v>120</v>
      </c>
      <c r="AJ48" s="153">
        <v>41527</v>
      </c>
      <c r="BS48" s="318">
        <v>44.9</v>
      </c>
      <c r="BT48" s="153">
        <v>41527</v>
      </c>
      <c r="BU48">
        <v>19.7</v>
      </c>
      <c r="BV48" s="153">
        <v>41527</v>
      </c>
      <c r="CC48" s="136">
        <v>8.9</v>
      </c>
      <c r="CD48" s="153">
        <v>41527</v>
      </c>
      <c r="CG48" s="136">
        <v>4.12</v>
      </c>
      <c r="CH48" s="153">
        <v>41527</v>
      </c>
      <c r="CK48" s="136">
        <v>20</v>
      </c>
    </row>
    <row r="49" spans="1:89">
      <c r="A49" s="154" t="s">
        <v>7805</v>
      </c>
      <c r="B49" t="s">
        <v>259</v>
      </c>
      <c r="C49" t="s">
        <v>7795</v>
      </c>
      <c r="D49">
        <v>8</v>
      </c>
      <c r="E49" s="113">
        <v>1</v>
      </c>
      <c r="F49" s="113">
        <v>87</v>
      </c>
      <c r="K49" s="112">
        <v>5</v>
      </c>
      <c r="L49" s="317">
        <v>41569</v>
      </c>
      <c r="S49" s="318">
        <v>1349.568</v>
      </c>
      <c r="T49" s="153">
        <v>41527</v>
      </c>
      <c r="U49" s="136">
        <v>10.8</v>
      </c>
      <c r="Y49" s="136">
        <v>659.16399999999999</v>
      </c>
      <c r="Z49" s="153">
        <v>41527</v>
      </c>
      <c r="AA49" s="318">
        <v>66752.136750000005</v>
      </c>
      <c r="AB49" s="153">
        <v>41527</v>
      </c>
      <c r="AE49">
        <v>31.24</v>
      </c>
      <c r="AF49" s="153">
        <v>41527</v>
      </c>
      <c r="AG49" s="136">
        <v>4.68</v>
      </c>
      <c r="AH49" s="153">
        <v>41527</v>
      </c>
      <c r="AI49" s="318">
        <v>130</v>
      </c>
      <c r="AJ49" s="153">
        <v>41527</v>
      </c>
      <c r="BS49" s="318">
        <v>43.2</v>
      </c>
      <c r="BT49" s="153">
        <v>41527</v>
      </c>
      <c r="BU49">
        <v>21.1</v>
      </c>
      <c r="BV49" s="153">
        <v>41527</v>
      </c>
      <c r="CC49" s="136">
        <v>10.199999999999999</v>
      </c>
      <c r="CD49" s="153">
        <v>41527</v>
      </c>
      <c r="CG49" s="136">
        <v>4.07</v>
      </c>
      <c r="CH49" s="153">
        <v>41527</v>
      </c>
      <c r="CK49" s="136">
        <v>30</v>
      </c>
    </row>
    <row r="50" spans="1:89">
      <c r="A50" s="154" t="s">
        <v>7806</v>
      </c>
      <c r="B50" t="s">
        <v>257</v>
      </c>
      <c r="C50" t="s">
        <v>405</v>
      </c>
      <c r="D50">
        <v>9</v>
      </c>
      <c r="E50" s="113">
        <v>6</v>
      </c>
      <c r="F50" s="113">
        <v>7</v>
      </c>
      <c r="K50" s="112">
        <v>5</v>
      </c>
      <c r="L50" s="317">
        <v>41569</v>
      </c>
      <c r="S50" s="318">
        <v>1246.5239999999999</v>
      </c>
      <c r="T50" s="153">
        <v>41527</v>
      </c>
      <c r="U50" s="136">
        <v>10.8</v>
      </c>
      <c r="Y50" s="136">
        <v>591.81299999999999</v>
      </c>
      <c r="Z50" s="153">
        <v>41527</v>
      </c>
      <c r="AA50" s="318" t="s">
        <v>7718</v>
      </c>
      <c r="AB50" s="153">
        <v>41527</v>
      </c>
      <c r="AE50">
        <v>28.59</v>
      </c>
      <c r="AF50" s="153">
        <v>41527</v>
      </c>
      <c r="AG50" s="136" t="s">
        <v>7718</v>
      </c>
      <c r="AH50" s="153">
        <v>41527</v>
      </c>
      <c r="AI50" s="318">
        <v>115</v>
      </c>
      <c r="AJ50" s="153">
        <v>41527</v>
      </c>
      <c r="BS50" s="318">
        <v>43.6</v>
      </c>
      <c r="BT50" s="153">
        <v>41527</v>
      </c>
      <c r="BU50">
        <v>20.7</v>
      </c>
      <c r="BV50" s="153">
        <v>41527</v>
      </c>
      <c r="CC50" s="136">
        <v>8.3000000000000007</v>
      </c>
      <c r="CD50" s="153">
        <v>41527</v>
      </c>
      <c r="CG50" s="136">
        <v>9.85</v>
      </c>
      <c r="CH50" s="153">
        <v>41527</v>
      </c>
      <c r="CK50" s="136">
        <v>10</v>
      </c>
    </row>
    <row r="51" spans="1:89">
      <c r="A51" s="154" t="s">
        <v>7806</v>
      </c>
      <c r="B51" t="s">
        <v>259</v>
      </c>
      <c r="C51" t="s">
        <v>405</v>
      </c>
      <c r="D51">
        <v>9</v>
      </c>
      <c r="E51" s="113">
        <v>3</v>
      </c>
      <c r="F51" s="113">
        <v>3</v>
      </c>
      <c r="K51" s="112">
        <v>5</v>
      </c>
      <c r="L51" s="317">
        <v>41569</v>
      </c>
      <c r="S51" s="318">
        <v>1673.9580000000001</v>
      </c>
      <c r="T51" s="153">
        <v>41527</v>
      </c>
      <c r="U51" s="136">
        <v>10.8</v>
      </c>
      <c r="Y51" s="136">
        <v>877.95</v>
      </c>
      <c r="Z51" s="153">
        <v>41527</v>
      </c>
      <c r="AA51" s="318" t="s">
        <v>7718</v>
      </c>
      <c r="AB51" s="153">
        <v>41527</v>
      </c>
      <c r="AE51">
        <v>39.020000000000003</v>
      </c>
      <c r="AF51" s="153">
        <v>41527</v>
      </c>
      <c r="AG51" s="136" t="s">
        <v>7718</v>
      </c>
      <c r="AH51" s="153">
        <v>41527</v>
      </c>
      <c r="AI51" s="318">
        <v>140</v>
      </c>
      <c r="AJ51" s="153">
        <v>41527</v>
      </c>
      <c r="BS51" s="318">
        <v>42.9</v>
      </c>
      <c r="BT51" s="153">
        <v>41527</v>
      </c>
      <c r="BU51">
        <v>22.5</v>
      </c>
      <c r="BV51" s="153">
        <v>41527</v>
      </c>
      <c r="CC51" s="136">
        <v>13.8</v>
      </c>
      <c r="CD51" s="153">
        <v>41527</v>
      </c>
      <c r="CG51" s="136">
        <v>4.2300000000000004</v>
      </c>
      <c r="CH51" s="153">
        <v>41527</v>
      </c>
      <c r="CK51" s="136">
        <v>20</v>
      </c>
    </row>
    <row r="52" spans="1:89">
      <c r="A52" s="154" t="s">
        <v>7806</v>
      </c>
      <c r="B52" t="s">
        <v>257</v>
      </c>
      <c r="C52" t="s">
        <v>7794</v>
      </c>
      <c r="D52">
        <v>9</v>
      </c>
      <c r="E52" s="113">
        <v>3</v>
      </c>
      <c r="F52" s="113">
        <v>51</v>
      </c>
      <c r="K52" s="112">
        <v>5</v>
      </c>
      <c r="L52" s="317">
        <v>41569</v>
      </c>
      <c r="S52" s="318">
        <v>1594.0160000000001</v>
      </c>
      <c r="T52" s="153">
        <v>41527</v>
      </c>
      <c r="U52" s="136">
        <v>10.8</v>
      </c>
      <c r="Y52" s="136">
        <v>764.10400000000004</v>
      </c>
      <c r="Z52" s="153">
        <v>41527</v>
      </c>
      <c r="AA52" s="318" t="s">
        <v>7718</v>
      </c>
      <c r="AB52" s="153">
        <v>41527</v>
      </c>
      <c r="AE52">
        <v>36.56</v>
      </c>
      <c r="AF52" s="153">
        <v>41527</v>
      </c>
      <c r="AG52" s="136" t="s">
        <v>7718</v>
      </c>
      <c r="AH52" s="153">
        <v>41527</v>
      </c>
      <c r="AI52" s="318">
        <v>140</v>
      </c>
      <c r="AJ52" s="153">
        <v>41527</v>
      </c>
      <c r="BS52" s="318">
        <v>43.6</v>
      </c>
      <c r="BT52" s="153">
        <v>41527</v>
      </c>
      <c r="BU52">
        <v>20.9</v>
      </c>
      <c r="BV52" s="153">
        <v>41527</v>
      </c>
      <c r="CC52" s="136">
        <v>11</v>
      </c>
      <c r="CD52" s="153">
        <v>41527</v>
      </c>
      <c r="CG52" s="136">
        <v>8.4600000000000009</v>
      </c>
      <c r="CH52" s="153">
        <v>41527</v>
      </c>
      <c r="CK52" s="136">
        <v>30</v>
      </c>
    </row>
    <row r="53" spans="1:89">
      <c r="A53" s="154" t="s">
        <v>7806</v>
      </c>
      <c r="B53" t="s">
        <v>259</v>
      </c>
      <c r="C53" t="s">
        <v>7794</v>
      </c>
      <c r="D53">
        <v>9</v>
      </c>
      <c r="E53" s="113">
        <v>5</v>
      </c>
      <c r="F53" s="113">
        <v>37</v>
      </c>
      <c r="K53" s="112">
        <v>5</v>
      </c>
      <c r="L53" s="317">
        <v>41569</v>
      </c>
      <c r="S53" s="318">
        <v>1470.432</v>
      </c>
      <c r="T53" s="153">
        <v>41527</v>
      </c>
      <c r="U53" s="136">
        <v>10.8</v>
      </c>
      <c r="Y53" s="136">
        <v>752.55600000000004</v>
      </c>
      <c r="Z53" s="153">
        <v>41527</v>
      </c>
      <c r="AA53" s="318" t="s">
        <v>7718</v>
      </c>
      <c r="AB53" s="153">
        <v>41527</v>
      </c>
      <c r="AE53">
        <v>34.68</v>
      </c>
      <c r="AF53" s="153">
        <v>41527</v>
      </c>
      <c r="AG53" s="136" t="s">
        <v>7718</v>
      </c>
      <c r="AH53" s="153">
        <v>41527</v>
      </c>
      <c r="AI53" s="318">
        <v>130</v>
      </c>
      <c r="AJ53" s="153">
        <v>41527</v>
      </c>
      <c r="BS53" s="318">
        <v>42.4</v>
      </c>
      <c r="BT53" s="153">
        <v>41527</v>
      </c>
      <c r="BU53">
        <v>21.7</v>
      </c>
      <c r="BV53" s="153">
        <v>41527</v>
      </c>
      <c r="CC53" s="136">
        <v>7.9</v>
      </c>
      <c r="CD53" s="153">
        <v>41527</v>
      </c>
      <c r="CG53" s="136">
        <v>2.56</v>
      </c>
      <c r="CH53" s="153">
        <v>41527</v>
      </c>
      <c r="CK53" s="136">
        <v>30</v>
      </c>
    </row>
    <row r="54" spans="1:89">
      <c r="A54" s="154" t="s">
        <v>7806</v>
      </c>
      <c r="B54" t="s">
        <v>257</v>
      </c>
      <c r="C54" t="s">
        <v>7795</v>
      </c>
      <c r="D54">
        <v>9</v>
      </c>
      <c r="E54" s="113">
        <v>5</v>
      </c>
      <c r="F54" s="113">
        <v>82</v>
      </c>
      <c r="K54" s="112">
        <v>5</v>
      </c>
      <c r="L54" s="317">
        <v>41569</v>
      </c>
      <c r="S54" s="318">
        <v>1275.96</v>
      </c>
      <c r="T54" s="153">
        <v>41527</v>
      </c>
      <c r="U54" s="136">
        <v>10.8</v>
      </c>
      <c r="Y54" s="136">
        <v>614.46</v>
      </c>
      <c r="Z54" s="153">
        <v>41527</v>
      </c>
      <c r="AA54" s="318">
        <v>62686.567159999999</v>
      </c>
      <c r="AB54" s="153">
        <v>41527</v>
      </c>
      <c r="AE54">
        <v>29.4</v>
      </c>
      <c r="AF54" s="153">
        <v>41527</v>
      </c>
      <c r="AG54" s="136">
        <v>4.6900000000000004</v>
      </c>
      <c r="AH54" s="153">
        <v>41527</v>
      </c>
      <c r="AI54" s="318">
        <v>125</v>
      </c>
      <c r="AJ54" s="153">
        <v>41527</v>
      </c>
      <c r="BS54" s="318">
        <v>43.4</v>
      </c>
      <c r="BT54" s="153">
        <v>41527</v>
      </c>
      <c r="BU54">
        <v>20.9</v>
      </c>
      <c r="BV54" s="153">
        <v>41527</v>
      </c>
      <c r="CC54" s="136">
        <v>7.1</v>
      </c>
      <c r="CD54" s="153">
        <v>41527</v>
      </c>
      <c r="CG54" s="136">
        <v>3.51</v>
      </c>
      <c r="CH54" s="153">
        <v>41527</v>
      </c>
      <c r="CK54" s="136">
        <v>10</v>
      </c>
    </row>
    <row r="55" spans="1:89">
      <c r="A55" s="154" t="s">
        <v>7806</v>
      </c>
      <c r="B55" t="s">
        <v>259</v>
      </c>
      <c r="C55" t="s">
        <v>7795</v>
      </c>
      <c r="D55">
        <v>9</v>
      </c>
      <c r="E55" s="113">
        <v>1</v>
      </c>
      <c r="F55" s="113">
        <v>74</v>
      </c>
      <c r="K55" s="112">
        <v>5</v>
      </c>
      <c r="L55" s="317">
        <v>41569</v>
      </c>
      <c r="S55" s="318">
        <v>1242.298</v>
      </c>
      <c r="T55" s="153">
        <v>41527</v>
      </c>
      <c r="U55" s="136">
        <v>10.8</v>
      </c>
      <c r="Y55" s="136">
        <v>749.71600000000001</v>
      </c>
      <c r="Z55" s="153">
        <v>41527</v>
      </c>
      <c r="AA55" s="318">
        <v>67641.921400000007</v>
      </c>
      <c r="AB55" s="153">
        <v>41527</v>
      </c>
      <c r="AE55">
        <v>30.98</v>
      </c>
      <c r="AF55" s="153">
        <v>41527</v>
      </c>
      <c r="AG55" s="136">
        <v>4.58</v>
      </c>
      <c r="AH55" s="153">
        <v>41527</v>
      </c>
      <c r="AI55" s="318">
        <v>130</v>
      </c>
      <c r="AJ55" s="153">
        <v>41527</v>
      </c>
      <c r="BS55" s="318">
        <v>40.1</v>
      </c>
      <c r="BT55" s="153">
        <v>41527</v>
      </c>
      <c r="BU55">
        <v>24.2</v>
      </c>
      <c r="BV55" s="153">
        <v>41527</v>
      </c>
      <c r="CC55" s="136">
        <v>12.3</v>
      </c>
      <c r="CD55" s="153">
        <v>41527</v>
      </c>
      <c r="CG55" s="136">
        <v>11.69</v>
      </c>
      <c r="CH55" s="153">
        <v>41527</v>
      </c>
      <c r="CK55" s="136">
        <v>20</v>
      </c>
    </row>
    <row r="56" spans="1:89">
      <c r="A56" s="154" t="s">
        <v>7807</v>
      </c>
      <c r="B56" t="s">
        <v>257</v>
      </c>
      <c r="C56" t="s">
        <v>405</v>
      </c>
      <c r="D56">
        <v>10</v>
      </c>
      <c r="E56" s="113">
        <v>4</v>
      </c>
      <c r="F56" s="113">
        <v>26</v>
      </c>
      <c r="K56" s="112">
        <v>5</v>
      </c>
      <c r="L56" s="317">
        <v>41569</v>
      </c>
      <c r="S56" s="318">
        <v>1606.462</v>
      </c>
      <c r="T56" s="153">
        <v>41527</v>
      </c>
      <c r="U56" s="136">
        <v>10.8</v>
      </c>
      <c r="Y56" s="136">
        <v>701.71400000000006</v>
      </c>
      <c r="Z56" s="153">
        <v>41527</v>
      </c>
      <c r="AA56" s="318" t="s">
        <v>7718</v>
      </c>
      <c r="AB56" s="153">
        <v>41527</v>
      </c>
      <c r="AE56">
        <v>35.619999999999997</v>
      </c>
      <c r="AF56" s="153">
        <v>41527</v>
      </c>
      <c r="AG56" s="136" t="s">
        <v>7718</v>
      </c>
      <c r="AH56" s="153">
        <v>41527</v>
      </c>
      <c r="AI56" s="318">
        <v>135</v>
      </c>
      <c r="AJ56" s="153">
        <v>41527</v>
      </c>
      <c r="BS56" s="318">
        <v>45.1</v>
      </c>
      <c r="BT56" s="153">
        <v>41527</v>
      </c>
      <c r="BU56">
        <v>19.7</v>
      </c>
      <c r="BV56" s="153">
        <v>41527</v>
      </c>
      <c r="CC56" s="136">
        <v>10.1</v>
      </c>
      <c r="CD56" s="153">
        <v>41527</v>
      </c>
      <c r="CG56" s="136">
        <v>1.91</v>
      </c>
      <c r="CH56" s="153">
        <v>41527</v>
      </c>
      <c r="CK56" s="136">
        <v>5</v>
      </c>
    </row>
    <row r="57" spans="1:89">
      <c r="A57" s="154" t="s">
        <v>7807</v>
      </c>
      <c r="B57" t="s">
        <v>259</v>
      </c>
      <c r="C57" t="s">
        <v>405</v>
      </c>
      <c r="D57">
        <v>10</v>
      </c>
      <c r="E57" s="113">
        <v>1</v>
      </c>
      <c r="F57" s="113">
        <v>26</v>
      </c>
      <c r="K57" s="112">
        <v>5</v>
      </c>
      <c r="L57" s="317">
        <v>41569</v>
      </c>
      <c r="S57" s="318">
        <v>1893.29</v>
      </c>
      <c r="T57" s="153">
        <v>41527</v>
      </c>
      <c r="U57" s="136">
        <v>10.8</v>
      </c>
      <c r="Y57" s="136">
        <v>977.46600000000001</v>
      </c>
      <c r="Z57" s="153">
        <v>41527</v>
      </c>
      <c r="AA57" s="318" t="s">
        <v>7718</v>
      </c>
      <c r="AB57" s="153">
        <v>41527</v>
      </c>
      <c r="AE57">
        <v>44.03</v>
      </c>
      <c r="AF57" s="153">
        <v>41527</v>
      </c>
      <c r="AG57" s="136" t="s">
        <v>7718</v>
      </c>
      <c r="AH57" s="153">
        <v>41527</v>
      </c>
      <c r="AI57" s="318">
        <v>135</v>
      </c>
      <c r="AJ57" s="153">
        <v>41527</v>
      </c>
      <c r="BS57" s="318">
        <v>43</v>
      </c>
      <c r="BT57" s="153">
        <v>41527</v>
      </c>
      <c r="BU57">
        <v>22.2</v>
      </c>
      <c r="BV57" s="153">
        <v>41527</v>
      </c>
      <c r="CC57" s="136">
        <v>11.4</v>
      </c>
      <c r="CD57" s="153">
        <v>41527</v>
      </c>
      <c r="CG57" s="136">
        <v>3.45</v>
      </c>
      <c r="CH57" s="153">
        <v>41527</v>
      </c>
      <c r="CK57" s="136">
        <v>1</v>
      </c>
    </row>
    <row r="58" spans="1:89">
      <c r="A58" s="154" t="s">
        <v>7807</v>
      </c>
      <c r="B58" t="s">
        <v>257</v>
      </c>
      <c r="C58" t="s">
        <v>7794</v>
      </c>
      <c r="D58">
        <v>10</v>
      </c>
      <c r="E58" s="113">
        <v>2</v>
      </c>
      <c r="F58" s="113">
        <v>55</v>
      </c>
      <c r="K58" s="112">
        <v>5</v>
      </c>
      <c r="L58" s="317">
        <v>41569</v>
      </c>
      <c r="S58" s="318">
        <v>1764.9280000000001</v>
      </c>
      <c r="T58" s="153">
        <v>41527</v>
      </c>
      <c r="U58" s="136">
        <v>10.8</v>
      </c>
      <c r="Y58" s="136">
        <v>809.6</v>
      </c>
      <c r="Z58" s="153">
        <v>41527</v>
      </c>
      <c r="AA58" s="318" t="s">
        <v>7718</v>
      </c>
      <c r="AB58" s="153">
        <v>41527</v>
      </c>
      <c r="AE58">
        <v>40.479999999999997</v>
      </c>
      <c r="AF58" s="153">
        <v>41527</v>
      </c>
      <c r="AG58" s="136" t="s">
        <v>7718</v>
      </c>
      <c r="AH58" s="153">
        <v>41527</v>
      </c>
      <c r="AI58" s="318">
        <v>140</v>
      </c>
      <c r="AJ58" s="153">
        <v>41527</v>
      </c>
      <c r="BS58" s="318">
        <v>43.6</v>
      </c>
      <c r="BT58" s="153">
        <v>41527</v>
      </c>
      <c r="BU58">
        <v>20</v>
      </c>
      <c r="BV58" s="153">
        <v>41527</v>
      </c>
      <c r="CC58" s="136">
        <v>8.1999999999999993</v>
      </c>
      <c r="CD58" s="153">
        <v>41527</v>
      </c>
      <c r="CG58" s="136">
        <v>4.0199999999999996</v>
      </c>
      <c r="CH58" s="153">
        <v>41527</v>
      </c>
      <c r="CK58" s="136">
        <v>5</v>
      </c>
    </row>
    <row r="59" spans="1:89">
      <c r="A59" s="154" t="s">
        <v>7807</v>
      </c>
      <c r="B59" t="s">
        <v>259</v>
      </c>
      <c r="C59" t="s">
        <v>7794</v>
      </c>
      <c r="D59">
        <v>10</v>
      </c>
      <c r="E59" s="113">
        <v>4</v>
      </c>
      <c r="F59" s="113">
        <v>45</v>
      </c>
      <c r="K59" s="112">
        <v>5</v>
      </c>
      <c r="L59" s="317">
        <v>41569</v>
      </c>
      <c r="S59" s="318">
        <v>1992.172</v>
      </c>
      <c r="T59" s="153">
        <v>41527</v>
      </c>
      <c r="U59" s="136">
        <v>10.8</v>
      </c>
      <c r="Y59" s="136">
        <v>1045.7719999999999</v>
      </c>
      <c r="Z59" s="153">
        <v>41527</v>
      </c>
      <c r="AA59" s="318" t="s">
        <v>7718</v>
      </c>
      <c r="AB59" s="153">
        <v>41527</v>
      </c>
      <c r="AE59">
        <v>47.32</v>
      </c>
      <c r="AF59" s="153">
        <v>41527</v>
      </c>
      <c r="AG59" s="136" t="s">
        <v>7718</v>
      </c>
      <c r="AH59" s="153">
        <v>41527</v>
      </c>
      <c r="AI59" s="318">
        <v>140</v>
      </c>
      <c r="AJ59" s="153">
        <v>41527</v>
      </c>
      <c r="BS59" s="318">
        <v>42.1</v>
      </c>
      <c r="BT59" s="153">
        <v>41527</v>
      </c>
      <c r="BU59">
        <v>22.1</v>
      </c>
      <c r="BV59" s="153">
        <v>41527</v>
      </c>
      <c r="CC59" s="136">
        <v>7.6</v>
      </c>
      <c r="CD59" s="153">
        <v>41527</v>
      </c>
      <c r="CG59" s="136">
        <v>2.8</v>
      </c>
      <c r="CH59" s="153">
        <v>41527</v>
      </c>
      <c r="CK59" s="136">
        <v>5</v>
      </c>
    </row>
    <row r="60" spans="1:89">
      <c r="A60" s="154" t="s">
        <v>7807</v>
      </c>
      <c r="B60" t="s">
        <v>257</v>
      </c>
      <c r="C60" t="s">
        <v>7795</v>
      </c>
      <c r="D60">
        <v>10</v>
      </c>
      <c r="E60" s="113">
        <v>4</v>
      </c>
      <c r="F60" s="113">
        <v>65</v>
      </c>
      <c r="K60" s="112">
        <v>5</v>
      </c>
      <c r="L60" s="317">
        <v>41569</v>
      </c>
      <c r="S60" s="318">
        <v>1637.9159999999999</v>
      </c>
      <c r="T60" s="153">
        <v>41527</v>
      </c>
      <c r="U60" s="136">
        <v>10.8</v>
      </c>
      <c r="Y60" s="136">
        <v>807.63599999999997</v>
      </c>
      <c r="Z60" s="153">
        <v>41527</v>
      </c>
      <c r="AA60" s="318">
        <v>78953.974900000001</v>
      </c>
      <c r="AB60" s="153">
        <v>41527</v>
      </c>
      <c r="AE60">
        <v>37.74</v>
      </c>
      <c r="AF60" s="153">
        <v>41527</v>
      </c>
      <c r="AG60" s="136">
        <v>4.78</v>
      </c>
      <c r="AH60" s="153">
        <v>41527</v>
      </c>
      <c r="AI60" s="318">
        <v>130</v>
      </c>
      <c r="AJ60" s="153">
        <v>41527</v>
      </c>
      <c r="BS60" s="318">
        <v>43.4</v>
      </c>
      <c r="BT60" s="153">
        <v>41527</v>
      </c>
      <c r="BU60">
        <v>21.4</v>
      </c>
      <c r="BV60" s="153">
        <v>41527</v>
      </c>
      <c r="CC60" s="136">
        <v>6.9</v>
      </c>
      <c r="CD60" s="153">
        <v>41527</v>
      </c>
      <c r="CG60" s="136">
        <v>1.37</v>
      </c>
      <c r="CH60" s="153">
        <v>41527</v>
      </c>
      <c r="CK60" s="136">
        <v>5</v>
      </c>
    </row>
    <row r="61" spans="1:89">
      <c r="A61" s="154" t="s">
        <v>7807</v>
      </c>
      <c r="B61" t="s">
        <v>259</v>
      </c>
      <c r="C61" t="s">
        <v>7795</v>
      </c>
      <c r="D61">
        <v>10</v>
      </c>
      <c r="E61" s="113">
        <v>2</v>
      </c>
      <c r="F61" s="113">
        <v>60</v>
      </c>
      <c r="K61" s="112">
        <v>5</v>
      </c>
      <c r="L61" s="317">
        <v>41569</v>
      </c>
      <c r="S61" s="318">
        <v>1798.7919999999999</v>
      </c>
      <c r="T61" s="153">
        <v>41527</v>
      </c>
      <c r="U61" s="136">
        <v>10.8</v>
      </c>
      <c r="Y61" s="136">
        <v>1004.18</v>
      </c>
      <c r="Z61" s="153">
        <v>41527</v>
      </c>
      <c r="AA61" s="318">
        <v>87847.082490000001</v>
      </c>
      <c r="AB61" s="153">
        <v>41527</v>
      </c>
      <c r="AE61">
        <v>43.66</v>
      </c>
      <c r="AF61" s="153">
        <v>41527</v>
      </c>
      <c r="AG61" s="136">
        <v>4.97</v>
      </c>
      <c r="AH61" s="153">
        <v>41527</v>
      </c>
      <c r="AI61" s="318">
        <v>135</v>
      </c>
      <c r="AJ61" s="153">
        <v>41527</v>
      </c>
      <c r="BS61" s="318">
        <v>41.2</v>
      </c>
      <c r="BT61" s="153">
        <v>41527</v>
      </c>
      <c r="BU61">
        <v>23</v>
      </c>
      <c r="BV61" s="153">
        <v>41527</v>
      </c>
      <c r="CC61" s="136">
        <v>10.1</v>
      </c>
      <c r="CD61" s="153">
        <v>41527</v>
      </c>
      <c r="CG61" s="136">
        <v>0.93</v>
      </c>
      <c r="CH61" s="153">
        <v>41527</v>
      </c>
      <c r="CK61" s="136">
        <v>5</v>
      </c>
    </row>
    <row r="62" spans="1:89">
      <c r="A62" s="154" t="s">
        <v>7808</v>
      </c>
      <c r="B62" t="s">
        <v>257</v>
      </c>
      <c r="C62" t="s">
        <v>405</v>
      </c>
      <c r="D62">
        <v>11</v>
      </c>
      <c r="E62" s="113">
        <v>6</v>
      </c>
      <c r="F62" s="113">
        <v>5</v>
      </c>
      <c r="K62" s="112">
        <v>5</v>
      </c>
      <c r="L62" s="317">
        <v>41569</v>
      </c>
      <c r="S62" s="318">
        <v>1724.375</v>
      </c>
      <c r="T62" s="153">
        <v>41527</v>
      </c>
      <c r="U62" s="136">
        <v>10.8</v>
      </c>
      <c r="Y62" s="136">
        <v>782.75</v>
      </c>
      <c r="Z62" s="153">
        <v>41527</v>
      </c>
      <c r="AA62" s="318" t="s">
        <v>7718</v>
      </c>
      <c r="AB62" s="153">
        <v>41527</v>
      </c>
      <c r="AE62">
        <v>38.75</v>
      </c>
      <c r="AF62" s="153">
        <v>41527</v>
      </c>
      <c r="AG62" s="136" t="s">
        <v>7718</v>
      </c>
      <c r="AH62" s="153">
        <v>41527</v>
      </c>
      <c r="AI62" s="318">
        <v>120</v>
      </c>
      <c r="AJ62" s="153">
        <v>41527</v>
      </c>
      <c r="BS62" s="318">
        <v>44.5</v>
      </c>
      <c r="BT62" s="153">
        <v>41527</v>
      </c>
      <c r="BU62">
        <v>20.2</v>
      </c>
      <c r="BV62" s="153">
        <v>41527</v>
      </c>
      <c r="CC62" s="136">
        <v>9.5</v>
      </c>
      <c r="CD62" s="153">
        <v>41527</v>
      </c>
      <c r="CG62" s="136">
        <v>4.38</v>
      </c>
      <c r="CH62" s="153">
        <v>41527</v>
      </c>
      <c r="CK62" s="136">
        <v>20</v>
      </c>
    </row>
    <row r="63" spans="1:89">
      <c r="A63" s="154" t="s">
        <v>7808</v>
      </c>
      <c r="B63" t="s">
        <v>259</v>
      </c>
      <c r="C63" t="s">
        <v>405</v>
      </c>
      <c r="D63">
        <v>11</v>
      </c>
      <c r="E63" s="113">
        <v>3</v>
      </c>
      <c r="F63" s="113">
        <v>28</v>
      </c>
      <c r="K63" s="112">
        <v>5</v>
      </c>
      <c r="L63" s="317">
        <v>41569</v>
      </c>
      <c r="S63" s="318">
        <v>1954.0709999999999</v>
      </c>
      <c r="T63" s="153">
        <v>41527</v>
      </c>
      <c r="U63" s="136">
        <v>10.8</v>
      </c>
      <c r="Y63" s="136">
        <v>961.52700000000004</v>
      </c>
      <c r="Z63" s="153">
        <v>41527</v>
      </c>
      <c r="AA63" s="318" t="s">
        <v>7718</v>
      </c>
      <c r="AB63" s="153">
        <v>41527</v>
      </c>
      <c r="AE63">
        <v>44.31</v>
      </c>
      <c r="AF63" s="153">
        <v>41527</v>
      </c>
      <c r="AG63" s="136" t="s">
        <v>7718</v>
      </c>
      <c r="AH63" s="153">
        <v>41527</v>
      </c>
      <c r="AI63" s="318">
        <v>130</v>
      </c>
      <c r="AJ63" s="153">
        <v>41527</v>
      </c>
      <c r="BS63" s="318">
        <v>44.1</v>
      </c>
      <c r="BT63" s="153">
        <v>41527</v>
      </c>
      <c r="BU63">
        <v>21.7</v>
      </c>
      <c r="BV63" s="153">
        <v>41527</v>
      </c>
      <c r="CC63" s="136">
        <v>13.1</v>
      </c>
      <c r="CD63" s="153">
        <v>41527</v>
      </c>
      <c r="CG63" s="136">
        <v>4.28</v>
      </c>
      <c r="CH63" s="153">
        <v>41527</v>
      </c>
      <c r="CK63" s="136">
        <v>10</v>
      </c>
    </row>
    <row r="64" spans="1:89">
      <c r="A64" s="154" t="s">
        <v>7808</v>
      </c>
      <c r="B64" t="s">
        <v>257</v>
      </c>
      <c r="C64" t="s">
        <v>7794</v>
      </c>
      <c r="D64">
        <v>11</v>
      </c>
      <c r="E64" s="113">
        <v>3</v>
      </c>
      <c r="F64" s="113">
        <v>54</v>
      </c>
      <c r="K64" s="112">
        <v>7</v>
      </c>
      <c r="L64" s="317">
        <v>41569</v>
      </c>
      <c r="S64" s="318">
        <v>2015.92</v>
      </c>
      <c r="T64" s="153">
        <v>41527</v>
      </c>
      <c r="U64" s="136">
        <v>10.8</v>
      </c>
      <c r="Y64" s="136">
        <v>894.96</v>
      </c>
      <c r="Z64" s="153">
        <v>41527</v>
      </c>
      <c r="AA64" s="318" t="s">
        <v>7718</v>
      </c>
      <c r="AB64" s="153">
        <v>41527</v>
      </c>
      <c r="AE64">
        <v>45.2</v>
      </c>
      <c r="AF64" s="153">
        <v>41527</v>
      </c>
      <c r="AG64" s="136" t="s">
        <v>7718</v>
      </c>
      <c r="AH64" s="153">
        <v>41527</v>
      </c>
      <c r="AI64" s="318">
        <v>135</v>
      </c>
      <c r="AJ64" s="153">
        <v>41527</v>
      </c>
      <c r="BS64" s="318">
        <v>44.6</v>
      </c>
      <c r="BT64" s="153">
        <v>41527</v>
      </c>
      <c r="BU64">
        <v>19.8</v>
      </c>
      <c r="BV64" s="153">
        <v>41527</v>
      </c>
      <c r="CC64" s="136">
        <v>9.8000000000000007</v>
      </c>
      <c r="CD64" s="153">
        <v>41527</v>
      </c>
      <c r="CG64" s="136">
        <v>5.05</v>
      </c>
      <c r="CH64" s="153">
        <v>41527</v>
      </c>
      <c r="CK64" s="136">
        <v>30</v>
      </c>
    </row>
    <row r="65" spans="1:89">
      <c r="A65" s="154" t="s">
        <v>7808</v>
      </c>
      <c r="B65" t="s">
        <v>259</v>
      </c>
      <c r="C65" t="s">
        <v>7794</v>
      </c>
      <c r="D65">
        <v>11</v>
      </c>
      <c r="E65" s="113">
        <v>4</v>
      </c>
      <c r="F65" s="113">
        <v>48</v>
      </c>
      <c r="K65" s="112">
        <v>5</v>
      </c>
      <c r="L65" s="317">
        <v>41569</v>
      </c>
      <c r="S65" s="318">
        <v>2300.096</v>
      </c>
      <c r="T65" s="153">
        <v>41527</v>
      </c>
      <c r="U65" s="136">
        <v>10.8</v>
      </c>
      <c r="Y65" s="136">
        <v>1110.2080000000001</v>
      </c>
      <c r="Z65" s="153">
        <v>41527</v>
      </c>
      <c r="AA65" s="318" t="s">
        <v>7718</v>
      </c>
      <c r="AB65" s="153">
        <v>41527</v>
      </c>
      <c r="AE65">
        <v>53.12</v>
      </c>
      <c r="AF65" s="153">
        <v>41527</v>
      </c>
      <c r="AG65" s="136" t="s">
        <v>7718</v>
      </c>
      <c r="AH65" s="153">
        <v>41527</v>
      </c>
      <c r="AI65" s="318">
        <v>135</v>
      </c>
      <c r="AJ65" s="153">
        <v>41527</v>
      </c>
      <c r="BS65" s="318">
        <v>43.3</v>
      </c>
      <c r="BT65" s="153">
        <v>41527</v>
      </c>
      <c r="BU65">
        <v>20.9</v>
      </c>
      <c r="BV65" s="153">
        <v>41527</v>
      </c>
      <c r="CC65" s="136">
        <v>7</v>
      </c>
      <c r="CD65" s="153">
        <v>41527</v>
      </c>
      <c r="CG65" s="136">
        <v>2.54</v>
      </c>
      <c r="CH65" s="153">
        <v>41527</v>
      </c>
      <c r="CK65" s="136">
        <v>30</v>
      </c>
    </row>
    <row r="66" spans="1:89">
      <c r="A66" s="154" t="s">
        <v>7808</v>
      </c>
      <c r="B66" t="s">
        <v>257</v>
      </c>
      <c r="C66" t="s">
        <v>7795</v>
      </c>
      <c r="D66">
        <v>11</v>
      </c>
      <c r="E66" s="113">
        <v>4</v>
      </c>
      <c r="F66" s="113">
        <v>81</v>
      </c>
      <c r="K66" s="112">
        <v>5</v>
      </c>
      <c r="L66" s="317">
        <v>41569</v>
      </c>
      <c r="S66" s="318">
        <v>1808.961</v>
      </c>
      <c r="T66" s="153">
        <v>41527</v>
      </c>
      <c r="U66" s="136">
        <v>10.8</v>
      </c>
      <c r="Y66" s="136">
        <v>762.09</v>
      </c>
      <c r="Z66" s="153">
        <v>41527</v>
      </c>
      <c r="AA66" s="318">
        <v>85705.128209999995</v>
      </c>
      <c r="AB66" s="153">
        <v>41527</v>
      </c>
      <c r="AE66">
        <v>40.11</v>
      </c>
      <c r="AF66" s="153">
        <v>41527</v>
      </c>
      <c r="AG66" s="136">
        <v>4.68</v>
      </c>
      <c r="AH66" s="153">
        <v>41527</v>
      </c>
      <c r="AI66" s="318">
        <v>125</v>
      </c>
      <c r="AJ66" s="153">
        <v>41527</v>
      </c>
      <c r="BS66" s="318">
        <v>45.1</v>
      </c>
      <c r="BT66" s="153">
        <v>41527</v>
      </c>
      <c r="BU66">
        <v>19</v>
      </c>
      <c r="BV66" s="153">
        <v>41527</v>
      </c>
      <c r="CC66" s="136">
        <v>6.3</v>
      </c>
      <c r="CD66" s="153">
        <v>41527</v>
      </c>
      <c r="CG66" s="136">
        <v>3.06</v>
      </c>
      <c r="CH66" s="153">
        <v>41527</v>
      </c>
      <c r="CK66" s="136">
        <v>30</v>
      </c>
    </row>
    <row r="67" spans="1:89">
      <c r="A67" s="154" t="s">
        <v>7808</v>
      </c>
      <c r="B67" t="s">
        <v>259</v>
      </c>
      <c r="C67" t="s">
        <v>7795</v>
      </c>
      <c r="D67">
        <v>11</v>
      </c>
      <c r="E67" s="113">
        <v>3</v>
      </c>
      <c r="F67" s="113">
        <v>66</v>
      </c>
      <c r="K67" s="112">
        <v>5</v>
      </c>
      <c r="L67" s="317">
        <v>41569</v>
      </c>
      <c r="S67" s="318">
        <v>2120.3240000000001</v>
      </c>
      <c r="T67" s="153">
        <v>41527</v>
      </c>
      <c r="U67" s="136">
        <v>10.8</v>
      </c>
      <c r="Y67" s="136">
        <v>1038.328</v>
      </c>
      <c r="Z67" s="153">
        <v>41527</v>
      </c>
      <c r="AA67" s="318">
        <v>97625.754530000006</v>
      </c>
      <c r="AB67" s="153">
        <v>41527</v>
      </c>
      <c r="AE67">
        <v>48.52</v>
      </c>
      <c r="AF67" s="153">
        <v>41527</v>
      </c>
      <c r="AG67" s="136">
        <v>4.97</v>
      </c>
      <c r="AH67" s="153">
        <v>41527</v>
      </c>
      <c r="AI67" s="318">
        <v>140</v>
      </c>
      <c r="AJ67" s="153">
        <v>41527</v>
      </c>
      <c r="BS67" s="318">
        <v>43.7</v>
      </c>
      <c r="BT67" s="153">
        <v>41527</v>
      </c>
      <c r="BU67">
        <v>21.4</v>
      </c>
      <c r="BV67" s="153">
        <v>41527</v>
      </c>
      <c r="CC67" s="136">
        <v>7</v>
      </c>
      <c r="CD67" s="153">
        <v>41527</v>
      </c>
      <c r="CG67" s="136">
        <v>1.08</v>
      </c>
      <c r="CH67" s="153">
        <v>41527</v>
      </c>
      <c r="CK67" s="136">
        <v>30</v>
      </c>
    </row>
    <row r="68" spans="1:89">
      <c r="A68" s="154" t="s">
        <v>7809</v>
      </c>
      <c r="B68" t="s">
        <v>257</v>
      </c>
      <c r="C68" t="s">
        <v>405</v>
      </c>
      <c r="D68">
        <v>12</v>
      </c>
      <c r="E68" s="113">
        <v>4</v>
      </c>
      <c r="F68" s="113">
        <v>12</v>
      </c>
      <c r="K68" s="112">
        <v>5</v>
      </c>
      <c r="L68" s="317">
        <v>41569</v>
      </c>
      <c r="S68" s="318">
        <v>1470.192</v>
      </c>
      <c r="T68" s="153">
        <v>41527</v>
      </c>
      <c r="U68" s="136">
        <v>10.8</v>
      </c>
      <c r="Y68" s="136">
        <v>701.37599999999998</v>
      </c>
      <c r="Z68" s="153">
        <v>41527</v>
      </c>
      <c r="AA68" s="318" t="s">
        <v>7718</v>
      </c>
      <c r="AB68" s="153">
        <v>41527</v>
      </c>
      <c r="AE68">
        <v>33.72</v>
      </c>
      <c r="AF68" s="153">
        <v>41527</v>
      </c>
      <c r="AG68" s="136" t="s">
        <v>7718</v>
      </c>
      <c r="AH68" s="153">
        <v>41527</v>
      </c>
      <c r="AI68" s="318">
        <v>120</v>
      </c>
      <c r="AJ68" s="153">
        <v>41527</v>
      </c>
      <c r="BS68" s="318">
        <v>43.6</v>
      </c>
      <c r="BT68" s="153">
        <v>41527</v>
      </c>
      <c r="BU68">
        <v>20.8</v>
      </c>
      <c r="BV68" s="153">
        <v>41527</v>
      </c>
      <c r="CC68" s="136">
        <v>6.8</v>
      </c>
      <c r="CD68" s="153">
        <v>41527</v>
      </c>
      <c r="CG68" s="136">
        <v>1.34</v>
      </c>
      <c r="CH68" s="153">
        <v>41527</v>
      </c>
      <c r="CK68" s="136">
        <v>20</v>
      </c>
    </row>
    <row r="69" spans="1:89">
      <c r="A69" s="154" t="s">
        <v>7809</v>
      </c>
      <c r="B69" t="s">
        <v>259</v>
      </c>
      <c r="C69" t="s">
        <v>405</v>
      </c>
      <c r="D69">
        <v>12</v>
      </c>
      <c r="E69" s="113">
        <v>1</v>
      </c>
      <c r="F69" s="113">
        <v>24</v>
      </c>
      <c r="K69" s="112">
        <v>5</v>
      </c>
      <c r="L69" s="317">
        <v>41569</v>
      </c>
      <c r="S69" s="318">
        <v>1840.32</v>
      </c>
      <c r="T69" s="153">
        <v>41527</v>
      </c>
      <c r="U69" s="136">
        <v>10.8</v>
      </c>
      <c r="Y69" s="136">
        <v>907.38</v>
      </c>
      <c r="Z69" s="153">
        <v>41527</v>
      </c>
      <c r="AA69" s="318" t="s">
        <v>7718</v>
      </c>
      <c r="AB69" s="153">
        <v>41527</v>
      </c>
      <c r="AE69">
        <v>42.6</v>
      </c>
      <c r="AF69" s="153">
        <v>41527</v>
      </c>
      <c r="AG69" s="136" t="s">
        <v>7718</v>
      </c>
      <c r="AH69" s="153">
        <v>41527</v>
      </c>
      <c r="AI69" s="318">
        <v>130</v>
      </c>
      <c r="AJ69" s="153">
        <v>41527</v>
      </c>
      <c r="BS69" s="318">
        <v>43.2</v>
      </c>
      <c r="BT69" s="153">
        <v>41527</v>
      </c>
      <c r="BU69">
        <v>21.3</v>
      </c>
      <c r="BV69" s="153">
        <v>41527</v>
      </c>
      <c r="CC69" s="136">
        <v>9.1999999999999993</v>
      </c>
      <c r="CD69" s="153">
        <v>41527</v>
      </c>
      <c r="CG69" s="136">
        <v>3.88</v>
      </c>
      <c r="CH69" s="153">
        <v>41527</v>
      </c>
      <c r="CK69" s="136">
        <v>20</v>
      </c>
    </row>
    <row r="70" spans="1:89">
      <c r="A70" s="154" t="s">
        <v>7809</v>
      </c>
      <c r="B70" t="s">
        <v>257</v>
      </c>
      <c r="C70" t="s">
        <v>7794</v>
      </c>
      <c r="D70">
        <v>12</v>
      </c>
      <c r="E70" s="113">
        <v>1</v>
      </c>
      <c r="F70" s="113">
        <v>58</v>
      </c>
      <c r="K70" s="112">
        <v>5</v>
      </c>
      <c r="L70" s="317">
        <v>41569</v>
      </c>
      <c r="S70" s="318">
        <v>1723.0909999999999</v>
      </c>
      <c r="T70" s="153">
        <v>41527</v>
      </c>
      <c r="U70" s="136">
        <v>10.8</v>
      </c>
      <c r="Y70" s="136">
        <v>820.14400000000001</v>
      </c>
      <c r="Z70" s="153">
        <v>41527</v>
      </c>
      <c r="AA70" s="318" t="s">
        <v>7718</v>
      </c>
      <c r="AB70" s="153">
        <v>41527</v>
      </c>
      <c r="AE70">
        <v>39.43</v>
      </c>
      <c r="AF70" s="153">
        <v>41527</v>
      </c>
      <c r="AG70" s="136" t="s">
        <v>7718</v>
      </c>
      <c r="AH70" s="153">
        <v>41527</v>
      </c>
      <c r="AI70" s="318">
        <v>130</v>
      </c>
      <c r="AJ70" s="153">
        <v>41527</v>
      </c>
      <c r="BS70" s="318">
        <v>43.7</v>
      </c>
      <c r="BT70" s="153">
        <v>41527</v>
      </c>
      <c r="BU70">
        <v>20.8</v>
      </c>
      <c r="BV70" s="153">
        <v>41527</v>
      </c>
      <c r="CC70" s="136">
        <v>6.1</v>
      </c>
      <c r="CD70" s="153">
        <v>41527</v>
      </c>
      <c r="CG70" s="136">
        <v>1.55</v>
      </c>
      <c r="CH70" s="153">
        <v>41527</v>
      </c>
      <c r="CK70" s="136">
        <v>20</v>
      </c>
    </row>
    <row r="71" spans="1:89">
      <c r="A71" s="154" t="s">
        <v>7809</v>
      </c>
      <c r="B71" t="s">
        <v>259</v>
      </c>
      <c r="C71" t="s">
        <v>7794</v>
      </c>
      <c r="D71">
        <v>12</v>
      </c>
      <c r="E71" s="113">
        <v>5</v>
      </c>
      <c r="F71" s="113">
        <v>57</v>
      </c>
      <c r="K71" s="112">
        <v>5</v>
      </c>
      <c r="L71" s="317">
        <v>41569</v>
      </c>
      <c r="S71" s="318">
        <v>1779.34</v>
      </c>
      <c r="T71" s="153">
        <v>41527</v>
      </c>
      <c r="U71" s="136">
        <v>10.8</v>
      </c>
      <c r="Y71" s="136">
        <v>897.94600000000003</v>
      </c>
      <c r="Z71" s="153">
        <v>41527</v>
      </c>
      <c r="AA71" s="318" t="s">
        <v>7718</v>
      </c>
      <c r="AB71" s="153">
        <v>41527</v>
      </c>
      <c r="AE71">
        <v>41.38</v>
      </c>
      <c r="AF71" s="153">
        <v>41527</v>
      </c>
      <c r="AG71" s="136" t="s">
        <v>7718</v>
      </c>
      <c r="AH71" s="153">
        <v>41527</v>
      </c>
      <c r="AI71" s="318">
        <v>125</v>
      </c>
      <c r="AJ71" s="153">
        <v>41527</v>
      </c>
      <c r="BS71" s="318">
        <v>43</v>
      </c>
      <c r="BT71" s="153">
        <v>41527</v>
      </c>
      <c r="BU71">
        <v>21.7</v>
      </c>
      <c r="BV71" s="153">
        <v>41527</v>
      </c>
      <c r="CC71" s="136">
        <v>5.8</v>
      </c>
      <c r="CD71" s="153">
        <v>41527</v>
      </c>
      <c r="CG71" s="136">
        <v>3.07</v>
      </c>
      <c r="CH71" s="153">
        <v>41527</v>
      </c>
      <c r="CK71" s="136">
        <v>20</v>
      </c>
    </row>
    <row r="72" spans="1:89">
      <c r="A72" s="154" t="s">
        <v>7809</v>
      </c>
      <c r="B72" t="s">
        <v>257</v>
      </c>
      <c r="C72" t="s">
        <v>7795</v>
      </c>
      <c r="D72">
        <v>12</v>
      </c>
      <c r="E72" s="113">
        <v>5</v>
      </c>
      <c r="F72" s="113">
        <v>83</v>
      </c>
      <c r="K72" s="112">
        <v>5</v>
      </c>
      <c r="L72" s="317">
        <v>41569</v>
      </c>
      <c r="S72" s="318">
        <v>1371.9349999999999</v>
      </c>
      <c r="T72" s="153">
        <v>41527</v>
      </c>
      <c r="U72" s="136">
        <v>10.8</v>
      </c>
      <c r="Y72" s="136">
        <v>598.10199999999998</v>
      </c>
      <c r="Z72" s="153">
        <v>41527</v>
      </c>
      <c r="AA72" s="318">
        <v>64363.256780000003</v>
      </c>
      <c r="AB72" s="153">
        <v>41527</v>
      </c>
      <c r="AE72">
        <v>30.83</v>
      </c>
      <c r="AF72" s="153">
        <v>41527</v>
      </c>
      <c r="AG72" s="136">
        <v>4.79</v>
      </c>
      <c r="AH72" s="153">
        <v>41527</v>
      </c>
      <c r="AI72" s="318">
        <v>115</v>
      </c>
      <c r="AJ72" s="153">
        <v>41527</v>
      </c>
      <c r="BS72" s="318">
        <v>44.5</v>
      </c>
      <c r="BT72" s="153">
        <v>41527</v>
      </c>
      <c r="BU72">
        <v>19.399999999999999</v>
      </c>
      <c r="BV72" s="153">
        <v>41527</v>
      </c>
      <c r="CC72" s="136">
        <v>7</v>
      </c>
      <c r="CD72" s="153">
        <v>41527</v>
      </c>
      <c r="CG72" s="136">
        <v>2.4</v>
      </c>
      <c r="CH72" s="153">
        <v>41527</v>
      </c>
      <c r="CK72" s="136">
        <v>20</v>
      </c>
    </row>
    <row r="73" spans="1:89">
      <c r="A73" s="154" t="s">
        <v>7809</v>
      </c>
      <c r="B73" t="s">
        <v>259</v>
      </c>
      <c r="C73" t="s">
        <v>7795</v>
      </c>
      <c r="D73">
        <v>12</v>
      </c>
      <c r="E73" s="113">
        <v>3</v>
      </c>
      <c r="F73" s="113">
        <v>74</v>
      </c>
      <c r="K73" s="112">
        <v>5</v>
      </c>
      <c r="L73" s="317">
        <v>41569</v>
      </c>
      <c r="S73" s="318">
        <v>1620.2860000000001</v>
      </c>
      <c r="T73" s="153">
        <v>41527</v>
      </c>
      <c r="U73" s="136">
        <v>10.8</v>
      </c>
      <c r="Y73" s="136">
        <v>797.04600000000005</v>
      </c>
      <c r="Z73" s="153">
        <v>41527</v>
      </c>
      <c r="AA73" s="318">
        <v>79279.66102</v>
      </c>
      <c r="AB73" s="153">
        <v>41527</v>
      </c>
      <c r="AE73">
        <v>37.42</v>
      </c>
      <c r="AF73" s="153">
        <v>41527</v>
      </c>
      <c r="AG73" s="136">
        <v>4.72</v>
      </c>
      <c r="AH73" s="153">
        <v>41527</v>
      </c>
      <c r="AI73" s="318">
        <v>130</v>
      </c>
      <c r="AJ73" s="153">
        <v>41527</v>
      </c>
      <c r="BS73" s="318">
        <v>43.3</v>
      </c>
      <c r="BT73" s="153">
        <v>41527</v>
      </c>
      <c r="BU73">
        <v>21.3</v>
      </c>
      <c r="BV73" s="153">
        <v>41527</v>
      </c>
      <c r="CC73" s="136">
        <v>8.9</v>
      </c>
      <c r="CD73" s="153">
        <v>41527</v>
      </c>
      <c r="CG73" s="136">
        <v>9.94</v>
      </c>
      <c r="CH73" s="153">
        <v>41527</v>
      </c>
      <c r="CK73" s="136">
        <v>20</v>
      </c>
    </row>
    <row r="74" spans="1:89">
      <c r="A74" s="154" t="s">
        <v>7810</v>
      </c>
      <c r="B74" t="s">
        <v>257</v>
      </c>
      <c r="C74" t="s">
        <v>405</v>
      </c>
      <c r="D74">
        <v>13</v>
      </c>
      <c r="E74" s="113">
        <v>5</v>
      </c>
      <c r="F74" s="113">
        <v>8</v>
      </c>
      <c r="K74" s="112">
        <v>5</v>
      </c>
      <c r="L74" s="317">
        <v>41569</v>
      </c>
      <c r="S74" s="318">
        <v>1782.144</v>
      </c>
      <c r="T74" s="153">
        <v>41527</v>
      </c>
      <c r="U74" s="136">
        <v>10.8</v>
      </c>
      <c r="Y74" s="136">
        <v>802.36800000000005</v>
      </c>
      <c r="Z74" s="153">
        <v>41527</v>
      </c>
      <c r="AA74" s="318" t="s">
        <v>7718</v>
      </c>
      <c r="AB74" s="153">
        <v>41527</v>
      </c>
      <c r="AE74">
        <v>40.32</v>
      </c>
      <c r="AF74" s="153">
        <v>41527</v>
      </c>
      <c r="AG74" s="136" t="s">
        <v>7718</v>
      </c>
      <c r="AH74" s="153">
        <v>41527</v>
      </c>
      <c r="AI74" s="318">
        <v>120</v>
      </c>
      <c r="AJ74" s="153">
        <v>41527</v>
      </c>
      <c r="BS74" s="318">
        <v>44.2</v>
      </c>
      <c r="BT74" s="153">
        <v>41527</v>
      </c>
      <c r="BU74">
        <v>19.899999999999999</v>
      </c>
      <c r="BV74" s="153">
        <v>41527</v>
      </c>
      <c r="CC74" s="136">
        <v>7.8</v>
      </c>
      <c r="CD74" s="153">
        <v>41527</v>
      </c>
      <c r="CG74" s="136">
        <v>2.5</v>
      </c>
      <c r="CH74" s="153">
        <v>41527</v>
      </c>
      <c r="CK74" s="136">
        <v>10</v>
      </c>
    </row>
    <row r="75" spans="1:89">
      <c r="A75" s="154" t="s">
        <v>7810</v>
      </c>
      <c r="B75" t="s">
        <v>259</v>
      </c>
      <c r="C75" t="s">
        <v>405</v>
      </c>
      <c r="D75">
        <v>13</v>
      </c>
      <c r="E75" s="113">
        <v>1</v>
      </c>
      <c r="F75" s="113">
        <v>17</v>
      </c>
      <c r="K75" s="112">
        <v>7</v>
      </c>
      <c r="L75" s="317">
        <v>41569</v>
      </c>
      <c r="S75" s="318">
        <v>2132.6619999999998</v>
      </c>
      <c r="T75" s="153">
        <v>41527</v>
      </c>
      <c r="U75" s="136">
        <v>10.8</v>
      </c>
      <c r="Y75" s="136">
        <v>995.89</v>
      </c>
      <c r="Z75" s="153">
        <v>41527</v>
      </c>
      <c r="AA75" s="318" t="s">
        <v>7718</v>
      </c>
      <c r="AB75" s="153">
        <v>41527</v>
      </c>
      <c r="AE75">
        <v>48.58</v>
      </c>
      <c r="AF75" s="153">
        <v>41527</v>
      </c>
      <c r="AG75" s="136" t="s">
        <v>7718</v>
      </c>
      <c r="AH75" s="153">
        <v>41527</v>
      </c>
      <c r="AI75" s="318">
        <v>135</v>
      </c>
      <c r="AJ75" s="153">
        <v>41527</v>
      </c>
      <c r="BS75" s="318">
        <v>43.9</v>
      </c>
      <c r="BT75" s="153">
        <v>41527</v>
      </c>
      <c r="BU75">
        <v>20.5</v>
      </c>
      <c r="BV75" s="153">
        <v>41527</v>
      </c>
      <c r="CC75" s="136">
        <v>7.3</v>
      </c>
      <c r="CD75" s="153">
        <v>41527</v>
      </c>
      <c r="CG75" s="136">
        <v>3.15</v>
      </c>
      <c r="CH75" s="153">
        <v>41527</v>
      </c>
      <c r="CK75" s="136">
        <v>20</v>
      </c>
    </row>
    <row r="76" spans="1:89">
      <c r="A76" s="154" t="s">
        <v>7810</v>
      </c>
      <c r="B76" t="s">
        <v>257</v>
      </c>
      <c r="C76" t="s">
        <v>7794</v>
      </c>
      <c r="D76">
        <v>13</v>
      </c>
      <c r="E76" s="113">
        <v>2</v>
      </c>
      <c r="F76" s="113">
        <v>44</v>
      </c>
      <c r="K76" s="112">
        <v>5</v>
      </c>
      <c r="L76" s="317">
        <v>41569</v>
      </c>
      <c r="S76" s="318">
        <v>1903.7729999999999</v>
      </c>
      <c r="T76" s="153">
        <v>41527</v>
      </c>
      <c r="U76" s="136">
        <v>10.8</v>
      </c>
      <c r="Y76" s="136">
        <v>813.46900000000005</v>
      </c>
      <c r="Z76" s="153">
        <v>41527</v>
      </c>
      <c r="AA76" s="318" t="s">
        <v>7718</v>
      </c>
      <c r="AB76" s="153">
        <v>41527</v>
      </c>
      <c r="AE76">
        <v>42.59</v>
      </c>
      <c r="AF76" s="153">
        <v>41527</v>
      </c>
      <c r="AG76" s="136" t="s">
        <v>7718</v>
      </c>
      <c r="AH76" s="153">
        <v>41527</v>
      </c>
      <c r="AI76" s="318">
        <v>125</v>
      </c>
      <c r="AJ76" s="153">
        <v>41527</v>
      </c>
      <c r="BS76" s="318">
        <v>44.7</v>
      </c>
      <c r="BT76" s="153">
        <v>41527</v>
      </c>
      <c r="BU76">
        <v>19.100000000000001</v>
      </c>
      <c r="BV76" s="153">
        <v>41527</v>
      </c>
      <c r="CC76" s="136">
        <v>8.5</v>
      </c>
      <c r="CD76" s="153">
        <v>41527</v>
      </c>
      <c r="CG76" s="136">
        <v>3.44</v>
      </c>
      <c r="CH76" s="153">
        <v>41527</v>
      </c>
      <c r="CK76" s="136">
        <v>30</v>
      </c>
    </row>
    <row r="77" spans="1:89">
      <c r="A77" s="154" t="s">
        <v>7810</v>
      </c>
      <c r="B77" t="s">
        <v>259</v>
      </c>
      <c r="C77" t="s">
        <v>7794</v>
      </c>
      <c r="D77">
        <v>13</v>
      </c>
      <c r="E77" s="113">
        <v>5</v>
      </c>
      <c r="F77" s="113">
        <v>45</v>
      </c>
      <c r="K77" s="112">
        <v>3</v>
      </c>
      <c r="L77" s="317">
        <v>41569</v>
      </c>
      <c r="S77" s="318">
        <v>2006.2670000000001</v>
      </c>
      <c r="T77" s="153">
        <v>41527</v>
      </c>
      <c r="U77" s="136">
        <v>10.8</v>
      </c>
      <c r="Y77" s="136">
        <v>945.74599999999998</v>
      </c>
      <c r="Z77" s="153">
        <v>41527</v>
      </c>
      <c r="AA77" s="318" t="s">
        <v>7718</v>
      </c>
      <c r="AB77" s="153">
        <v>41527</v>
      </c>
      <c r="AE77">
        <v>45.91</v>
      </c>
      <c r="AF77" s="153">
        <v>41527</v>
      </c>
      <c r="AG77" s="136" t="s">
        <v>7718</v>
      </c>
      <c r="AH77" s="153">
        <v>41527</v>
      </c>
      <c r="AI77" s="318">
        <v>130</v>
      </c>
      <c r="AJ77" s="153">
        <v>41527</v>
      </c>
      <c r="BS77" s="318">
        <v>43.7</v>
      </c>
      <c r="BT77" s="153">
        <v>41527</v>
      </c>
      <c r="BU77">
        <v>20.6</v>
      </c>
      <c r="BV77" s="153">
        <v>41527</v>
      </c>
      <c r="CC77" s="136">
        <v>7.5</v>
      </c>
      <c r="CD77" s="153">
        <v>41527</v>
      </c>
      <c r="CG77" s="136">
        <v>2.15</v>
      </c>
      <c r="CH77" s="153">
        <v>41527</v>
      </c>
      <c r="CK77" s="136">
        <v>20</v>
      </c>
    </row>
    <row r="78" spans="1:89">
      <c r="A78" s="154" t="s">
        <v>7810</v>
      </c>
      <c r="B78" t="s">
        <v>257</v>
      </c>
      <c r="C78" t="s">
        <v>7795</v>
      </c>
      <c r="D78">
        <v>13</v>
      </c>
      <c r="E78" s="113">
        <v>5</v>
      </c>
      <c r="F78" s="113">
        <v>63</v>
      </c>
      <c r="K78" s="112">
        <v>5</v>
      </c>
      <c r="L78" s="317">
        <v>41569</v>
      </c>
      <c r="S78" s="318">
        <v>1650.87</v>
      </c>
      <c r="T78" s="153">
        <v>41527</v>
      </c>
      <c r="U78" s="136">
        <v>10.8</v>
      </c>
      <c r="Y78" s="136">
        <v>728.32500000000005</v>
      </c>
      <c r="Z78" s="153">
        <v>41527</v>
      </c>
      <c r="AA78" s="318">
        <v>73668.639049999998</v>
      </c>
      <c r="AB78" s="153">
        <v>41527</v>
      </c>
      <c r="AE78">
        <v>37.35</v>
      </c>
      <c r="AF78" s="153">
        <v>41527</v>
      </c>
      <c r="AG78" s="136">
        <v>5.07</v>
      </c>
      <c r="AH78" s="153">
        <v>41527</v>
      </c>
      <c r="AI78" s="318">
        <v>125</v>
      </c>
      <c r="AJ78" s="153">
        <v>41527</v>
      </c>
      <c r="BS78" s="318">
        <v>44.2</v>
      </c>
      <c r="BT78" s="153">
        <v>41527</v>
      </c>
      <c r="BU78">
        <v>19.5</v>
      </c>
      <c r="BV78" s="153">
        <v>41527</v>
      </c>
      <c r="CC78" s="136">
        <v>7.5</v>
      </c>
      <c r="CD78" s="153">
        <v>41527</v>
      </c>
      <c r="CG78" s="136">
        <v>1.33</v>
      </c>
      <c r="CH78" s="153">
        <v>41527</v>
      </c>
      <c r="CK78" s="136">
        <v>10</v>
      </c>
    </row>
    <row r="79" spans="1:89">
      <c r="A79" s="154" t="s">
        <v>7810</v>
      </c>
      <c r="B79" t="s">
        <v>259</v>
      </c>
      <c r="C79" t="s">
        <v>7795</v>
      </c>
      <c r="D79">
        <v>13</v>
      </c>
      <c r="E79" s="113">
        <v>2</v>
      </c>
      <c r="F79" s="113">
        <v>67</v>
      </c>
      <c r="K79" s="112">
        <v>5</v>
      </c>
      <c r="L79" s="317">
        <v>41569</v>
      </c>
      <c r="S79" s="318">
        <v>2141.1849999999999</v>
      </c>
      <c r="T79" s="153">
        <v>41527</v>
      </c>
      <c r="U79" s="136">
        <v>10.8</v>
      </c>
      <c r="Y79" s="136">
        <v>1018.67</v>
      </c>
      <c r="Z79" s="153">
        <v>41527</v>
      </c>
      <c r="AA79" s="318">
        <v>98310.139169999995</v>
      </c>
      <c r="AB79" s="153">
        <v>41527</v>
      </c>
      <c r="AE79">
        <v>49.45</v>
      </c>
      <c r="AF79" s="153">
        <v>41527</v>
      </c>
      <c r="AG79" s="136">
        <v>5.03</v>
      </c>
      <c r="AH79" s="153">
        <v>41527</v>
      </c>
      <c r="AI79" s="318">
        <v>125</v>
      </c>
      <c r="AJ79" s="153">
        <v>41527</v>
      </c>
      <c r="BS79" s="318">
        <v>43.3</v>
      </c>
      <c r="BT79" s="153">
        <v>41527</v>
      </c>
      <c r="BU79">
        <v>20.6</v>
      </c>
      <c r="BV79" s="153">
        <v>41527</v>
      </c>
      <c r="CC79" s="136">
        <v>8.1999999999999993</v>
      </c>
      <c r="CD79" s="153">
        <v>41527</v>
      </c>
      <c r="CG79" s="136">
        <v>2.84</v>
      </c>
      <c r="CH79" s="153">
        <v>41527</v>
      </c>
      <c r="CK79" s="136">
        <v>20</v>
      </c>
    </row>
    <row r="80" spans="1:89">
      <c r="A80" s="154" t="s">
        <v>7811</v>
      </c>
      <c r="B80" t="s">
        <v>257</v>
      </c>
      <c r="C80" t="s">
        <v>405</v>
      </c>
      <c r="D80">
        <v>14</v>
      </c>
      <c r="E80" s="113">
        <v>4</v>
      </c>
      <c r="F80" s="113">
        <v>29</v>
      </c>
      <c r="K80" s="112">
        <v>5</v>
      </c>
      <c r="L80" s="317">
        <v>41569</v>
      </c>
      <c r="S80" s="318">
        <v>1179.2339999999999</v>
      </c>
      <c r="T80" s="153">
        <v>41527</v>
      </c>
      <c r="U80" s="136">
        <v>10.8</v>
      </c>
      <c r="Y80" s="136">
        <v>553.51800000000003</v>
      </c>
      <c r="Z80" s="153">
        <v>41527</v>
      </c>
      <c r="AA80" s="318" t="s">
        <v>7718</v>
      </c>
      <c r="AB80" s="153">
        <v>41527</v>
      </c>
      <c r="AE80">
        <v>26.74</v>
      </c>
      <c r="AF80" s="153">
        <v>41527</v>
      </c>
      <c r="AG80" s="136" t="s">
        <v>7718</v>
      </c>
      <c r="AH80" s="153">
        <v>41527</v>
      </c>
      <c r="AI80" s="318">
        <v>130</v>
      </c>
      <c r="AJ80" s="153">
        <v>41527</v>
      </c>
      <c r="BS80" s="318">
        <v>44.1</v>
      </c>
      <c r="BT80" s="153">
        <v>41527</v>
      </c>
      <c r="BU80">
        <v>20.7</v>
      </c>
      <c r="BV80" s="153">
        <v>41527</v>
      </c>
      <c r="CC80" s="136">
        <v>11.5</v>
      </c>
      <c r="CD80" s="153">
        <v>41527</v>
      </c>
      <c r="CG80" s="136">
        <v>3.99</v>
      </c>
      <c r="CH80" s="153">
        <v>41527</v>
      </c>
      <c r="CK80" s="136">
        <v>30</v>
      </c>
    </row>
    <row r="81" spans="1:89">
      <c r="A81" s="154" t="s">
        <v>7811</v>
      </c>
      <c r="B81" t="s">
        <v>259</v>
      </c>
      <c r="C81" t="s">
        <v>405</v>
      </c>
      <c r="D81">
        <v>14</v>
      </c>
      <c r="E81" s="113">
        <v>2</v>
      </c>
      <c r="F81" s="113">
        <v>26</v>
      </c>
      <c r="K81" s="112">
        <v>5</v>
      </c>
      <c r="L81" s="317">
        <v>41569</v>
      </c>
      <c r="S81" s="318">
        <v>1525.8920000000001</v>
      </c>
      <c r="T81" s="153">
        <v>41527</v>
      </c>
      <c r="U81" s="136">
        <v>10.8</v>
      </c>
      <c r="Y81" s="136">
        <v>768.23199999999997</v>
      </c>
      <c r="Z81" s="153">
        <v>41527</v>
      </c>
      <c r="AA81" s="318" t="s">
        <v>7718</v>
      </c>
      <c r="AB81" s="153">
        <v>41527</v>
      </c>
      <c r="AE81">
        <v>35.24</v>
      </c>
      <c r="AF81" s="153">
        <v>41527</v>
      </c>
      <c r="AG81" s="136" t="s">
        <v>7718</v>
      </c>
      <c r="AH81" s="153">
        <v>41527</v>
      </c>
      <c r="AI81" s="318">
        <v>130</v>
      </c>
      <c r="AJ81" s="153">
        <v>41527</v>
      </c>
      <c r="BS81" s="318">
        <v>43.3</v>
      </c>
      <c r="BT81" s="153">
        <v>41527</v>
      </c>
      <c r="BU81">
        <v>21.8</v>
      </c>
      <c r="BV81" s="153">
        <v>41527</v>
      </c>
      <c r="CC81" s="136">
        <v>12.9</v>
      </c>
      <c r="CD81" s="153">
        <v>41527</v>
      </c>
      <c r="CG81" s="136">
        <v>4.6500000000000004</v>
      </c>
      <c r="CH81" s="153">
        <v>41527</v>
      </c>
      <c r="CK81" s="136">
        <v>10</v>
      </c>
    </row>
    <row r="82" spans="1:89">
      <c r="A82" s="154" t="s">
        <v>7811</v>
      </c>
      <c r="B82" t="s">
        <v>257</v>
      </c>
      <c r="C82" t="s">
        <v>7794</v>
      </c>
      <c r="D82">
        <v>14</v>
      </c>
      <c r="E82" s="113">
        <v>3</v>
      </c>
      <c r="F82" s="113">
        <v>43</v>
      </c>
      <c r="K82" s="112">
        <v>7</v>
      </c>
      <c r="L82" s="317">
        <v>41569</v>
      </c>
      <c r="S82" s="318">
        <v>1425.2840000000001</v>
      </c>
      <c r="T82" s="153">
        <v>41527</v>
      </c>
      <c r="U82" s="136">
        <v>10.8</v>
      </c>
      <c r="Y82" s="136">
        <v>679.952</v>
      </c>
      <c r="Z82" s="153">
        <v>41527</v>
      </c>
      <c r="AA82" s="318" t="s">
        <v>7718</v>
      </c>
      <c r="AB82" s="153">
        <v>41527</v>
      </c>
      <c r="AE82">
        <v>32.69</v>
      </c>
      <c r="AF82" s="153">
        <v>41527</v>
      </c>
      <c r="AG82" s="136" t="s">
        <v>7718</v>
      </c>
      <c r="AH82" s="153">
        <v>41527</v>
      </c>
      <c r="AI82" s="318">
        <v>135</v>
      </c>
      <c r="AJ82" s="153">
        <v>41527</v>
      </c>
      <c r="BS82" s="318">
        <v>43.6</v>
      </c>
      <c r="BT82" s="153">
        <v>41527</v>
      </c>
      <c r="BU82">
        <v>20.8</v>
      </c>
      <c r="BV82" s="153">
        <v>41527</v>
      </c>
      <c r="CC82" s="136">
        <v>11.2</v>
      </c>
      <c r="CD82" s="153">
        <v>41527</v>
      </c>
      <c r="CG82" s="136">
        <v>7.45</v>
      </c>
      <c r="CH82" s="153">
        <v>41527</v>
      </c>
      <c r="CK82" s="136">
        <v>30</v>
      </c>
    </row>
    <row r="83" spans="1:89">
      <c r="A83" s="154" t="s">
        <v>7811</v>
      </c>
      <c r="B83" t="s">
        <v>259</v>
      </c>
      <c r="C83" t="s">
        <v>7794</v>
      </c>
      <c r="D83">
        <v>14</v>
      </c>
      <c r="E83" s="113">
        <v>5</v>
      </c>
      <c r="F83" s="113">
        <v>42</v>
      </c>
      <c r="K83" s="112">
        <v>5</v>
      </c>
      <c r="L83" s="317">
        <v>41569</v>
      </c>
      <c r="S83" s="318">
        <v>1536.924</v>
      </c>
      <c r="T83" s="153">
        <v>41527</v>
      </c>
      <c r="U83" s="136">
        <v>10.8</v>
      </c>
      <c r="Y83" s="136">
        <v>783.03</v>
      </c>
      <c r="Z83" s="153">
        <v>41527</v>
      </c>
      <c r="AA83" s="318" t="s">
        <v>7718</v>
      </c>
      <c r="AB83" s="153">
        <v>41527</v>
      </c>
      <c r="AE83">
        <v>36.42</v>
      </c>
      <c r="AF83" s="153">
        <v>41527</v>
      </c>
      <c r="AG83" s="136" t="s">
        <v>7718</v>
      </c>
      <c r="AH83" s="153">
        <v>41527</v>
      </c>
      <c r="AI83" s="318">
        <v>130</v>
      </c>
      <c r="AJ83" s="153">
        <v>41527</v>
      </c>
      <c r="BS83" s="318">
        <v>42.2</v>
      </c>
      <c r="BT83" s="153">
        <v>41527</v>
      </c>
      <c r="BU83">
        <v>21.5</v>
      </c>
      <c r="BV83" s="153">
        <v>41527</v>
      </c>
      <c r="CC83" s="136">
        <v>7.5</v>
      </c>
      <c r="CD83" s="153">
        <v>41527</v>
      </c>
      <c r="CG83" s="136">
        <v>2.36</v>
      </c>
      <c r="CH83" s="153">
        <v>41527</v>
      </c>
      <c r="CK83" s="136">
        <v>30</v>
      </c>
    </row>
    <row r="84" spans="1:89">
      <c r="A84" s="154" t="s">
        <v>7811</v>
      </c>
      <c r="B84" t="s">
        <v>257</v>
      </c>
      <c r="C84" t="s">
        <v>7795</v>
      </c>
      <c r="D84">
        <v>14</v>
      </c>
      <c r="E84" s="113">
        <v>6</v>
      </c>
      <c r="F84" s="113">
        <v>77</v>
      </c>
      <c r="K84" s="112">
        <v>5</v>
      </c>
      <c r="L84" s="317">
        <v>41569</v>
      </c>
      <c r="S84" s="318">
        <v>895.69</v>
      </c>
      <c r="T84" s="153">
        <v>41527</v>
      </c>
      <c r="U84" s="136">
        <v>10.8</v>
      </c>
      <c r="Y84" s="136">
        <v>454.09399999999999</v>
      </c>
      <c r="Z84" s="153">
        <v>41527</v>
      </c>
      <c r="AA84" s="318">
        <v>45086.580090000003</v>
      </c>
      <c r="AB84" s="153">
        <v>41527</v>
      </c>
      <c r="AE84">
        <v>20.83</v>
      </c>
      <c r="AF84" s="153">
        <v>41527</v>
      </c>
      <c r="AG84" s="136">
        <v>4.62</v>
      </c>
      <c r="AH84" s="153">
        <v>41527</v>
      </c>
      <c r="AI84" s="318">
        <v>120</v>
      </c>
      <c r="AJ84" s="153">
        <v>41527</v>
      </c>
      <c r="BS84" s="318">
        <v>43</v>
      </c>
      <c r="BT84" s="153">
        <v>41527</v>
      </c>
      <c r="BU84">
        <v>21.8</v>
      </c>
      <c r="BV84" s="153">
        <v>41527</v>
      </c>
      <c r="CC84" s="136">
        <v>6.2</v>
      </c>
      <c r="CD84" s="153">
        <v>41527</v>
      </c>
      <c r="CG84" s="136">
        <v>2.72</v>
      </c>
      <c r="CH84" s="153">
        <v>41527</v>
      </c>
      <c r="CK84" s="136">
        <v>10</v>
      </c>
    </row>
    <row r="85" spans="1:89">
      <c r="A85" s="154" t="s">
        <v>7811</v>
      </c>
      <c r="B85" t="s">
        <v>259</v>
      </c>
      <c r="C85" t="s">
        <v>7795</v>
      </c>
      <c r="D85">
        <v>14</v>
      </c>
      <c r="E85" s="113">
        <v>3</v>
      </c>
      <c r="F85" s="113">
        <v>82</v>
      </c>
      <c r="K85" s="112">
        <v>5</v>
      </c>
      <c r="L85" s="317">
        <v>41569</v>
      </c>
      <c r="S85" s="318" t="s">
        <v>7718</v>
      </c>
      <c r="T85" s="153">
        <v>41527</v>
      </c>
      <c r="U85" s="136">
        <v>10.8</v>
      </c>
      <c r="Y85" s="136" t="s">
        <v>7718</v>
      </c>
      <c r="Z85" s="153">
        <v>41527</v>
      </c>
      <c r="AA85" s="318" t="s">
        <v>7718</v>
      </c>
      <c r="AB85" s="153">
        <v>41527</v>
      </c>
      <c r="AE85" t="s">
        <v>7718</v>
      </c>
      <c r="AF85" s="153">
        <v>41527</v>
      </c>
      <c r="AG85" s="136" t="s">
        <v>7718</v>
      </c>
      <c r="AH85" s="153">
        <v>41527</v>
      </c>
      <c r="AI85" s="318">
        <v>135</v>
      </c>
      <c r="AJ85" s="153">
        <v>41527</v>
      </c>
      <c r="BS85" s="318" t="s">
        <v>7718</v>
      </c>
      <c r="BT85" s="153">
        <v>41527</v>
      </c>
      <c r="BU85" t="s">
        <v>7718</v>
      </c>
      <c r="BV85" s="153">
        <v>41527</v>
      </c>
      <c r="CC85" s="136" t="s">
        <v>7718</v>
      </c>
      <c r="CD85" s="153">
        <v>41527</v>
      </c>
      <c r="CG85" s="136">
        <v>4.47</v>
      </c>
      <c r="CH85" s="153">
        <v>41527</v>
      </c>
      <c r="CK85" s="136">
        <v>10</v>
      </c>
    </row>
    <row r="86" spans="1:89">
      <c r="A86" s="154" t="s">
        <v>7812</v>
      </c>
      <c r="B86" t="s">
        <v>257</v>
      </c>
      <c r="C86" t="s">
        <v>405</v>
      </c>
      <c r="D86">
        <v>15</v>
      </c>
      <c r="E86" s="113">
        <v>6</v>
      </c>
      <c r="F86" s="113">
        <v>9</v>
      </c>
      <c r="K86" s="112">
        <v>5</v>
      </c>
      <c r="L86" s="317">
        <v>41569</v>
      </c>
      <c r="S86" s="318">
        <v>1627.527</v>
      </c>
      <c r="T86" s="153">
        <v>41527</v>
      </c>
      <c r="U86" s="136">
        <v>10.8</v>
      </c>
      <c r="Y86" s="136">
        <v>713.63599999999997</v>
      </c>
      <c r="Z86" s="153">
        <v>41527</v>
      </c>
      <c r="AA86" s="318" t="s">
        <v>7718</v>
      </c>
      <c r="AB86" s="153">
        <v>41527</v>
      </c>
      <c r="AE86">
        <v>36.409999999999997</v>
      </c>
      <c r="AF86" s="153">
        <v>41527</v>
      </c>
      <c r="AG86" s="136" t="s">
        <v>7718</v>
      </c>
      <c r="AH86" s="153">
        <v>41527</v>
      </c>
      <c r="AI86" s="318">
        <v>120</v>
      </c>
      <c r="AJ86" s="153">
        <v>41527</v>
      </c>
      <c r="BS86" s="318">
        <v>44.7</v>
      </c>
      <c r="BT86" s="153">
        <v>41527</v>
      </c>
      <c r="BU86">
        <v>19.600000000000001</v>
      </c>
      <c r="BV86" s="153">
        <v>41527</v>
      </c>
      <c r="CC86" s="136">
        <v>8.1</v>
      </c>
      <c r="CD86" s="153">
        <v>41527</v>
      </c>
      <c r="CG86" s="136">
        <v>5.62</v>
      </c>
      <c r="CH86" s="153">
        <v>41527</v>
      </c>
      <c r="CK86" s="136">
        <v>1</v>
      </c>
    </row>
    <row r="87" spans="1:89">
      <c r="A87" s="154" t="s">
        <v>7812</v>
      </c>
      <c r="B87" t="s">
        <v>259</v>
      </c>
      <c r="C87" t="s">
        <v>405</v>
      </c>
      <c r="D87">
        <v>15</v>
      </c>
      <c r="E87" s="113">
        <v>1</v>
      </c>
      <c r="F87" s="113">
        <v>11</v>
      </c>
      <c r="K87" s="112">
        <v>5</v>
      </c>
      <c r="L87" s="317">
        <v>41569</v>
      </c>
      <c r="S87" s="318">
        <v>2321</v>
      </c>
      <c r="T87" s="153">
        <v>41527</v>
      </c>
      <c r="U87" s="136">
        <v>10.8</v>
      </c>
      <c r="Y87" s="136">
        <v>1097.2</v>
      </c>
      <c r="Z87" s="153">
        <v>41527</v>
      </c>
      <c r="AA87" s="318" t="s">
        <v>7718</v>
      </c>
      <c r="AB87" s="153">
        <v>41527</v>
      </c>
      <c r="AE87">
        <v>52.75</v>
      </c>
      <c r="AF87" s="153">
        <v>41527</v>
      </c>
      <c r="AG87" s="136" t="s">
        <v>7718</v>
      </c>
      <c r="AH87" s="153">
        <v>41527</v>
      </c>
      <c r="AI87" s="318">
        <v>145</v>
      </c>
      <c r="AJ87" s="153">
        <v>41527</v>
      </c>
      <c r="BS87" s="318">
        <v>44</v>
      </c>
      <c r="BT87" s="153">
        <v>41527</v>
      </c>
      <c r="BU87">
        <v>20.8</v>
      </c>
      <c r="BV87" s="153">
        <v>41527</v>
      </c>
      <c r="CC87" s="136">
        <v>7.8</v>
      </c>
      <c r="CD87" s="153">
        <v>41527</v>
      </c>
      <c r="CG87" s="136">
        <v>2.91</v>
      </c>
      <c r="CH87" s="153">
        <v>41527</v>
      </c>
      <c r="CK87" s="136">
        <v>1</v>
      </c>
    </row>
    <row r="88" spans="1:89">
      <c r="A88" s="154" t="s">
        <v>7812</v>
      </c>
      <c r="B88" t="s">
        <v>257</v>
      </c>
      <c r="C88" t="s">
        <v>7794</v>
      </c>
      <c r="D88">
        <v>15</v>
      </c>
      <c r="E88" s="113">
        <v>1</v>
      </c>
      <c r="F88" s="113">
        <v>49</v>
      </c>
      <c r="K88" s="112">
        <v>5</v>
      </c>
      <c r="L88" s="317">
        <v>41569</v>
      </c>
      <c r="S88" s="318">
        <v>1995.63</v>
      </c>
      <c r="T88" s="153">
        <v>41527</v>
      </c>
      <c r="U88" s="136">
        <v>10.8</v>
      </c>
      <c r="Y88" s="136">
        <v>833.34</v>
      </c>
      <c r="Z88" s="153">
        <v>41527</v>
      </c>
      <c r="AA88" s="318" t="s">
        <v>7718</v>
      </c>
      <c r="AB88" s="153">
        <v>41527</v>
      </c>
      <c r="AE88">
        <v>43.86</v>
      </c>
      <c r="AF88" s="153">
        <v>41527</v>
      </c>
      <c r="AG88" s="136" t="s">
        <v>7718</v>
      </c>
      <c r="AH88" s="153">
        <v>41527</v>
      </c>
      <c r="AI88" s="318">
        <v>145</v>
      </c>
      <c r="AJ88" s="153">
        <v>41527</v>
      </c>
      <c r="BS88" s="318">
        <v>45.5</v>
      </c>
      <c r="BT88" s="153">
        <v>41527</v>
      </c>
      <c r="BU88">
        <v>19</v>
      </c>
      <c r="BV88" s="153">
        <v>41527</v>
      </c>
      <c r="CC88" s="136">
        <v>9</v>
      </c>
      <c r="CD88" s="153">
        <v>41527</v>
      </c>
      <c r="CG88" s="136">
        <v>3.36</v>
      </c>
      <c r="CH88" s="153">
        <v>41527</v>
      </c>
      <c r="CK88" s="136">
        <v>5</v>
      </c>
    </row>
    <row r="89" spans="1:89">
      <c r="A89" s="154" t="s">
        <v>7812</v>
      </c>
      <c r="B89" t="s">
        <v>259</v>
      </c>
      <c r="C89" t="s">
        <v>7794</v>
      </c>
      <c r="D89">
        <v>15</v>
      </c>
      <c r="E89" s="113">
        <v>4</v>
      </c>
      <c r="F89" s="113">
        <v>47</v>
      </c>
      <c r="K89" s="112">
        <v>5</v>
      </c>
      <c r="L89" s="317">
        <v>41569</v>
      </c>
      <c r="S89" s="318">
        <v>2101.84</v>
      </c>
      <c r="T89" s="153">
        <v>41527</v>
      </c>
      <c r="U89" s="136">
        <v>10.8</v>
      </c>
      <c r="Y89" s="136">
        <v>1016.704</v>
      </c>
      <c r="Z89" s="153">
        <v>41527</v>
      </c>
      <c r="AA89" s="318" t="s">
        <v>7718</v>
      </c>
      <c r="AB89" s="153">
        <v>41527</v>
      </c>
      <c r="AE89">
        <v>48.88</v>
      </c>
      <c r="AF89" s="153">
        <v>41527</v>
      </c>
      <c r="AG89" s="136" t="s">
        <v>7718</v>
      </c>
      <c r="AH89" s="153">
        <v>41527</v>
      </c>
      <c r="AI89" s="318">
        <v>145</v>
      </c>
      <c r="AJ89" s="153">
        <v>41527</v>
      </c>
      <c r="BS89" s="318">
        <v>43</v>
      </c>
      <c r="BT89" s="153">
        <v>41527</v>
      </c>
      <c r="BU89">
        <v>20.8</v>
      </c>
      <c r="BV89" s="153">
        <v>41527</v>
      </c>
      <c r="CC89" s="136">
        <v>7.5</v>
      </c>
      <c r="CD89" s="153">
        <v>41527</v>
      </c>
      <c r="CG89" s="136">
        <v>1.93</v>
      </c>
      <c r="CH89" s="153">
        <v>41527</v>
      </c>
      <c r="CK89" s="136">
        <v>10</v>
      </c>
    </row>
    <row r="90" spans="1:89">
      <c r="A90" s="154" t="s">
        <v>7812</v>
      </c>
      <c r="B90" t="s">
        <v>257</v>
      </c>
      <c r="C90" t="s">
        <v>7795</v>
      </c>
      <c r="D90">
        <v>15</v>
      </c>
      <c r="E90" s="113">
        <v>6</v>
      </c>
      <c r="F90" s="113">
        <v>70</v>
      </c>
      <c r="K90" s="112">
        <v>3</v>
      </c>
      <c r="L90" s="317">
        <v>41569</v>
      </c>
      <c r="S90" s="318">
        <v>1272.5440000000001</v>
      </c>
      <c r="T90" s="153">
        <v>41527</v>
      </c>
      <c r="U90" s="136">
        <v>10.8</v>
      </c>
      <c r="Y90" s="136">
        <v>564.928</v>
      </c>
      <c r="Z90" s="153">
        <v>41527</v>
      </c>
      <c r="AA90" s="318">
        <v>63167.028200000001</v>
      </c>
      <c r="AB90" s="153">
        <v>41527</v>
      </c>
      <c r="AE90">
        <v>29.12</v>
      </c>
      <c r="AF90" s="153">
        <v>41527</v>
      </c>
      <c r="AG90" s="136">
        <v>4.6100000000000003</v>
      </c>
      <c r="AH90" s="153">
        <v>41527</v>
      </c>
      <c r="AI90" s="318">
        <v>115</v>
      </c>
      <c r="AJ90" s="153">
        <v>41527</v>
      </c>
      <c r="BS90" s="318">
        <v>43.7</v>
      </c>
      <c r="BT90" s="153">
        <v>41527</v>
      </c>
      <c r="BU90">
        <v>19.399999999999999</v>
      </c>
      <c r="BV90" s="153">
        <v>41527</v>
      </c>
      <c r="CC90" s="136">
        <v>6.7</v>
      </c>
      <c r="CD90" s="153">
        <v>41527</v>
      </c>
      <c r="CG90" s="136">
        <v>3.99</v>
      </c>
      <c r="CH90" s="153">
        <v>41527</v>
      </c>
      <c r="CK90" s="136">
        <v>5</v>
      </c>
    </row>
    <row r="91" spans="1:89">
      <c r="A91" s="154" t="s">
        <v>7812</v>
      </c>
      <c r="B91" t="s">
        <v>259</v>
      </c>
      <c r="C91" t="s">
        <v>7795</v>
      </c>
      <c r="D91">
        <v>15</v>
      </c>
      <c r="E91" s="113">
        <v>1</v>
      </c>
      <c r="F91" s="113">
        <v>86</v>
      </c>
      <c r="K91" s="112">
        <v>5</v>
      </c>
      <c r="L91" s="317">
        <v>41569</v>
      </c>
      <c r="S91" s="318">
        <v>1940.819</v>
      </c>
      <c r="T91" s="153">
        <v>41527</v>
      </c>
      <c r="U91" s="136">
        <v>10.8</v>
      </c>
      <c r="Y91" s="136">
        <v>893.04200000000003</v>
      </c>
      <c r="Z91" s="153">
        <v>41527</v>
      </c>
      <c r="AA91" s="318">
        <v>92296.450939999995</v>
      </c>
      <c r="AB91" s="153">
        <v>41527</v>
      </c>
      <c r="AE91">
        <v>44.21</v>
      </c>
      <c r="AF91" s="153">
        <v>41527</v>
      </c>
      <c r="AG91" s="136">
        <v>4.79</v>
      </c>
      <c r="AH91" s="153">
        <v>41527</v>
      </c>
      <c r="AI91" s="318">
        <v>140</v>
      </c>
      <c r="AJ91" s="153">
        <v>41527</v>
      </c>
      <c r="BS91" s="318">
        <v>43.9</v>
      </c>
      <c r="BT91" s="153">
        <v>41527</v>
      </c>
      <c r="BU91">
        <v>20.2</v>
      </c>
      <c r="BV91" s="153">
        <v>41527</v>
      </c>
      <c r="CC91" s="136">
        <v>10.3</v>
      </c>
      <c r="CD91" s="153">
        <v>41527</v>
      </c>
      <c r="CG91" s="136">
        <v>2.0699999999999998</v>
      </c>
      <c r="CH91" s="153">
        <v>41527</v>
      </c>
      <c r="CK91" s="136">
        <v>1</v>
      </c>
    </row>
    <row r="92" spans="1:89">
      <c r="A92" s="154" t="s">
        <v>7813</v>
      </c>
      <c r="B92" t="s">
        <v>257</v>
      </c>
      <c r="C92" t="s">
        <v>405</v>
      </c>
      <c r="D92">
        <v>16</v>
      </c>
      <c r="E92" s="113">
        <v>6</v>
      </c>
      <c r="F92" s="113">
        <v>22</v>
      </c>
      <c r="K92" s="112">
        <v>5</v>
      </c>
      <c r="L92" s="317">
        <v>41569</v>
      </c>
      <c r="S92" s="318">
        <v>1824.7460000000001</v>
      </c>
      <c r="T92" s="153">
        <v>41527</v>
      </c>
      <c r="U92" s="136">
        <v>10.8</v>
      </c>
      <c r="Y92" s="136">
        <v>801.10799999999995</v>
      </c>
      <c r="Z92" s="153">
        <v>41527</v>
      </c>
      <c r="AA92" s="318" t="s">
        <v>7718</v>
      </c>
      <c r="AB92" s="153">
        <v>41527</v>
      </c>
      <c r="AE92">
        <v>40.46</v>
      </c>
      <c r="AF92" s="153">
        <v>41527</v>
      </c>
      <c r="AG92" s="136" t="s">
        <v>7718</v>
      </c>
      <c r="AH92" s="153">
        <v>41527</v>
      </c>
      <c r="AI92" s="318">
        <v>135</v>
      </c>
      <c r="AJ92" s="153">
        <v>41527</v>
      </c>
      <c r="BS92" s="318">
        <v>45.1</v>
      </c>
      <c r="BT92" s="153">
        <v>41527</v>
      </c>
      <c r="BU92">
        <v>19.8</v>
      </c>
      <c r="BV92" s="153">
        <v>41527</v>
      </c>
      <c r="CC92" s="136">
        <v>7.9</v>
      </c>
      <c r="CD92" s="153">
        <v>41527</v>
      </c>
      <c r="CG92" s="136">
        <v>2.2999999999999998</v>
      </c>
      <c r="CH92" s="153">
        <v>41527</v>
      </c>
      <c r="CK92" s="136">
        <v>10</v>
      </c>
    </row>
    <row r="93" spans="1:89">
      <c r="A93" s="154" t="s">
        <v>7813</v>
      </c>
      <c r="B93" t="s">
        <v>259</v>
      </c>
      <c r="C93" t="s">
        <v>405</v>
      </c>
      <c r="D93">
        <v>16</v>
      </c>
      <c r="E93" s="113">
        <v>3</v>
      </c>
      <c r="F93" s="113">
        <v>20</v>
      </c>
      <c r="K93" s="112">
        <v>7</v>
      </c>
      <c r="L93" s="317">
        <v>41569</v>
      </c>
      <c r="S93" s="318">
        <v>1742.36</v>
      </c>
      <c r="T93" s="153">
        <v>41527</v>
      </c>
      <c r="U93" s="136">
        <v>10.8</v>
      </c>
      <c r="Y93" s="136">
        <v>899.54399999999998</v>
      </c>
      <c r="Z93" s="153">
        <v>41527</v>
      </c>
      <c r="AA93" s="318" t="s">
        <v>7718</v>
      </c>
      <c r="AB93" s="153">
        <v>41527</v>
      </c>
      <c r="AE93">
        <v>40.520000000000003</v>
      </c>
      <c r="AF93" s="153">
        <v>41527</v>
      </c>
      <c r="AG93" s="136" t="s">
        <v>7718</v>
      </c>
      <c r="AH93" s="153">
        <v>41527</v>
      </c>
      <c r="AI93" s="318">
        <v>145</v>
      </c>
      <c r="AJ93" s="153">
        <v>41527</v>
      </c>
      <c r="BS93" s="318">
        <v>43</v>
      </c>
      <c r="BT93" s="153">
        <v>41527</v>
      </c>
      <c r="BU93">
        <v>22.2</v>
      </c>
      <c r="BV93" s="153">
        <v>41527</v>
      </c>
      <c r="CC93" s="136">
        <v>8.6999999999999993</v>
      </c>
      <c r="CD93" s="153">
        <v>41527</v>
      </c>
      <c r="CG93" s="136">
        <v>2.86</v>
      </c>
      <c r="CH93" s="153">
        <v>41527</v>
      </c>
      <c r="CK93" s="136">
        <v>20</v>
      </c>
    </row>
    <row r="94" spans="1:89">
      <c r="A94" s="154" t="s">
        <v>7813</v>
      </c>
      <c r="B94" t="s">
        <v>257</v>
      </c>
      <c r="C94" t="s">
        <v>7794</v>
      </c>
      <c r="D94">
        <v>16</v>
      </c>
      <c r="E94" s="113">
        <v>3</v>
      </c>
      <c r="F94" s="113">
        <v>58</v>
      </c>
      <c r="K94" s="112">
        <v>5</v>
      </c>
      <c r="L94" s="317">
        <v>41569</v>
      </c>
      <c r="S94" s="318">
        <v>1619.91</v>
      </c>
      <c r="T94" s="153">
        <v>41527</v>
      </c>
      <c r="U94" s="136">
        <v>10.8</v>
      </c>
      <c r="Y94" s="136">
        <v>760.14</v>
      </c>
      <c r="Z94" s="153">
        <v>41527</v>
      </c>
      <c r="AA94" s="318" t="s">
        <v>7718</v>
      </c>
      <c r="AB94" s="153">
        <v>41527</v>
      </c>
      <c r="AE94">
        <v>36.9</v>
      </c>
      <c r="AF94" s="153">
        <v>41527</v>
      </c>
      <c r="AG94" s="136" t="s">
        <v>7718</v>
      </c>
      <c r="AH94" s="153">
        <v>41527</v>
      </c>
      <c r="AI94" s="318">
        <v>150</v>
      </c>
      <c r="AJ94" s="153">
        <v>41527</v>
      </c>
      <c r="BS94" s="318">
        <v>43.9</v>
      </c>
      <c r="BT94" s="153">
        <v>41527</v>
      </c>
      <c r="BU94">
        <v>20.6</v>
      </c>
      <c r="BV94" s="153">
        <v>41527</v>
      </c>
      <c r="CC94" s="136">
        <v>7.4</v>
      </c>
      <c r="CD94" s="153">
        <v>41527</v>
      </c>
      <c r="CG94" s="136">
        <v>3.55</v>
      </c>
      <c r="CH94" s="153">
        <v>41527</v>
      </c>
      <c r="CK94" s="136">
        <v>10</v>
      </c>
    </row>
    <row r="95" spans="1:89">
      <c r="A95" s="154" t="s">
        <v>7813</v>
      </c>
      <c r="B95" t="s">
        <v>259</v>
      </c>
      <c r="C95" t="s">
        <v>7794</v>
      </c>
      <c r="D95">
        <v>16</v>
      </c>
      <c r="E95" s="113">
        <v>4</v>
      </c>
      <c r="F95" s="113">
        <v>56</v>
      </c>
      <c r="K95" s="112">
        <v>5</v>
      </c>
      <c r="L95" s="317">
        <v>41569</v>
      </c>
      <c r="S95" s="318">
        <v>1935.943</v>
      </c>
      <c r="T95" s="153">
        <v>41527</v>
      </c>
      <c r="U95" s="136">
        <v>10.8</v>
      </c>
      <c r="Y95" s="136">
        <v>970.20699999999999</v>
      </c>
      <c r="Z95" s="153">
        <v>41527</v>
      </c>
      <c r="AA95" s="318" t="s">
        <v>7718</v>
      </c>
      <c r="AB95" s="153">
        <v>41527</v>
      </c>
      <c r="AE95">
        <v>44.71</v>
      </c>
      <c r="AF95" s="153">
        <v>41527</v>
      </c>
      <c r="AG95" s="136" t="s">
        <v>7718</v>
      </c>
      <c r="AH95" s="153">
        <v>41527</v>
      </c>
      <c r="AI95" s="318">
        <v>140</v>
      </c>
      <c r="AJ95" s="153">
        <v>41527</v>
      </c>
      <c r="BS95" s="318">
        <v>43.3</v>
      </c>
      <c r="BT95" s="153">
        <v>41527</v>
      </c>
      <c r="BU95">
        <v>21.7</v>
      </c>
      <c r="BV95" s="153">
        <v>41527</v>
      </c>
      <c r="CC95" s="136">
        <v>6</v>
      </c>
      <c r="CD95" s="153">
        <v>41527</v>
      </c>
      <c r="CG95" s="136">
        <v>1.32</v>
      </c>
      <c r="CH95" s="153">
        <v>41527</v>
      </c>
      <c r="CK95" s="136">
        <v>10</v>
      </c>
    </row>
    <row r="96" spans="1:89">
      <c r="A96" s="154" t="s">
        <v>7813</v>
      </c>
      <c r="B96" t="s">
        <v>257</v>
      </c>
      <c r="C96" t="s">
        <v>7795</v>
      </c>
      <c r="D96">
        <v>16</v>
      </c>
      <c r="E96" s="113">
        <v>5</v>
      </c>
      <c r="F96" s="113">
        <v>79</v>
      </c>
      <c r="K96" s="112">
        <v>5</v>
      </c>
      <c r="L96" s="317">
        <v>41569</v>
      </c>
      <c r="S96" s="318">
        <v>1533.056</v>
      </c>
      <c r="T96" s="153">
        <v>41527</v>
      </c>
      <c r="U96" s="136">
        <v>10.8</v>
      </c>
      <c r="Y96" s="136">
        <v>698.08799999999997</v>
      </c>
      <c r="Z96" s="153">
        <v>41527</v>
      </c>
      <c r="AA96" s="318">
        <v>69411.764710000003</v>
      </c>
      <c r="AB96" s="153">
        <v>41527</v>
      </c>
      <c r="AE96">
        <v>34.22</v>
      </c>
      <c r="AF96" s="153">
        <v>41527</v>
      </c>
      <c r="AG96" s="136">
        <v>4.93</v>
      </c>
      <c r="AH96" s="153">
        <v>41527</v>
      </c>
      <c r="AI96" s="318">
        <v>135</v>
      </c>
      <c r="AJ96" s="153">
        <v>41527</v>
      </c>
      <c r="BS96" s="318">
        <v>44.8</v>
      </c>
      <c r="BT96" s="153">
        <v>41527</v>
      </c>
      <c r="BU96">
        <v>20.399999999999999</v>
      </c>
      <c r="BV96" s="153">
        <v>41527</v>
      </c>
      <c r="CC96" s="136">
        <v>6.6</v>
      </c>
      <c r="CD96" s="153">
        <v>41527</v>
      </c>
      <c r="CG96" s="136">
        <v>1.73</v>
      </c>
      <c r="CH96" s="153">
        <v>41527</v>
      </c>
      <c r="CK96" s="136">
        <v>10</v>
      </c>
    </row>
    <row r="97" spans="1:89">
      <c r="A97" s="154" t="s">
        <v>7813</v>
      </c>
      <c r="B97" t="s">
        <v>259</v>
      </c>
      <c r="C97" t="s">
        <v>7795</v>
      </c>
      <c r="D97">
        <v>16</v>
      </c>
      <c r="E97" s="113">
        <v>2</v>
      </c>
      <c r="F97" s="113">
        <v>78</v>
      </c>
      <c r="K97" s="112">
        <v>7</v>
      </c>
      <c r="L97" s="317">
        <v>41569</v>
      </c>
      <c r="S97" s="318">
        <v>1980.4839999999999</v>
      </c>
      <c r="T97" s="153">
        <v>41527</v>
      </c>
      <c r="U97" s="136">
        <v>10.8</v>
      </c>
      <c r="Y97" s="136">
        <v>965.31600000000003</v>
      </c>
      <c r="Z97" s="153">
        <v>41527</v>
      </c>
      <c r="AA97" s="318">
        <v>90640</v>
      </c>
      <c r="AB97" s="153">
        <v>41527</v>
      </c>
      <c r="AE97">
        <v>45.32</v>
      </c>
      <c r="AF97" s="153">
        <v>41527</v>
      </c>
      <c r="AG97" s="136">
        <v>5</v>
      </c>
      <c r="AH97" s="153">
        <v>41527</v>
      </c>
      <c r="AI97" s="318">
        <v>150</v>
      </c>
      <c r="AJ97" s="153">
        <v>41527</v>
      </c>
      <c r="BS97" s="318">
        <v>43.7</v>
      </c>
      <c r="BT97" s="153">
        <v>41527</v>
      </c>
      <c r="BU97">
        <v>21.3</v>
      </c>
      <c r="BV97" s="153">
        <v>41527</v>
      </c>
      <c r="CC97" s="136">
        <v>7.7</v>
      </c>
      <c r="CD97" s="153">
        <v>41527</v>
      </c>
      <c r="CG97" s="136">
        <v>2.23</v>
      </c>
      <c r="CH97" s="153">
        <v>41527</v>
      </c>
      <c r="CK97" s="136">
        <v>20</v>
      </c>
    </row>
    <row r="98" spans="1:89">
      <c r="A98" s="154" t="s">
        <v>7814</v>
      </c>
      <c r="B98" t="s">
        <v>257</v>
      </c>
      <c r="C98" t="s">
        <v>405</v>
      </c>
      <c r="D98">
        <v>17</v>
      </c>
      <c r="E98" s="113">
        <v>6</v>
      </c>
      <c r="F98" s="113">
        <v>27</v>
      </c>
      <c r="K98" s="112">
        <v>3</v>
      </c>
      <c r="L98" s="317">
        <v>41569</v>
      </c>
      <c r="S98" s="318">
        <v>800.02</v>
      </c>
      <c r="T98" s="153">
        <v>41527</v>
      </c>
      <c r="U98" s="136">
        <v>10.8</v>
      </c>
      <c r="Y98" s="136">
        <v>372.86</v>
      </c>
      <c r="Z98" s="153">
        <v>41527</v>
      </c>
      <c r="AA98" s="318" t="s">
        <v>7718</v>
      </c>
      <c r="AB98" s="153">
        <v>41527</v>
      </c>
      <c r="AE98">
        <v>18.100000000000001</v>
      </c>
      <c r="AF98" s="153">
        <v>41527</v>
      </c>
      <c r="AG98" s="136" t="s">
        <v>7718</v>
      </c>
      <c r="AH98" s="153">
        <v>41527</v>
      </c>
      <c r="AI98" s="318">
        <v>100</v>
      </c>
      <c r="AJ98" s="153">
        <v>41527</v>
      </c>
      <c r="BS98" s="318">
        <v>44.2</v>
      </c>
      <c r="BT98" s="153">
        <v>41527</v>
      </c>
      <c r="BU98">
        <v>20.6</v>
      </c>
      <c r="BV98" s="153">
        <v>41527</v>
      </c>
      <c r="CC98" s="136">
        <v>11</v>
      </c>
      <c r="CD98" s="153">
        <v>41527</v>
      </c>
      <c r="CG98" s="136">
        <v>21.37</v>
      </c>
      <c r="CH98" s="153">
        <v>41527</v>
      </c>
      <c r="CK98" s="136">
        <v>20</v>
      </c>
    </row>
    <row r="99" spans="1:89">
      <c r="A99" s="154" t="s">
        <v>7814</v>
      </c>
      <c r="B99" t="s">
        <v>259</v>
      </c>
      <c r="C99" t="s">
        <v>405</v>
      </c>
      <c r="D99">
        <v>17</v>
      </c>
      <c r="E99" s="113">
        <v>3</v>
      </c>
      <c r="F99" s="113">
        <v>25</v>
      </c>
      <c r="K99" s="112">
        <v>5</v>
      </c>
      <c r="L99" s="317">
        <v>41569</v>
      </c>
      <c r="S99" s="318">
        <v>1457.4780000000001</v>
      </c>
      <c r="T99" s="153">
        <v>41527</v>
      </c>
      <c r="U99" s="136">
        <v>10.8</v>
      </c>
      <c r="Y99" s="136">
        <v>774.18</v>
      </c>
      <c r="Z99" s="153">
        <v>41527</v>
      </c>
      <c r="AA99" s="318" t="s">
        <v>7718</v>
      </c>
      <c r="AB99" s="153">
        <v>41527</v>
      </c>
      <c r="AE99">
        <v>33.659999999999997</v>
      </c>
      <c r="AF99" s="153">
        <v>41527</v>
      </c>
      <c r="AG99" s="136" t="s">
        <v>7718</v>
      </c>
      <c r="AH99" s="153">
        <v>41527</v>
      </c>
      <c r="AI99" s="318">
        <v>125</v>
      </c>
      <c r="AJ99" s="153">
        <v>41527</v>
      </c>
      <c r="BS99" s="318">
        <v>43.3</v>
      </c>
      <c r="BT99" s="153">
        <v>41527</v>
      </c>
      <c r="BU99">
        <v>23</v>
      </c>
      <c r="BV99" s="153">
        <v>41527</v>
      </c>
      <c r="CC99" s="136">
        <v>14.8</v>
      </c>
      <c r="CD99" s="153">
        <v>41527</v>
      </c>
      <c r="CG99" s="136">
        <v>7.92</v>
      </c>
      <c r="CH99" s="153">
        <v>41527</v>
      </c>
      <c r="CK99" s="136">
        <v>10</v>
      </c>
    </row>
    <row r="100" spans="1:89">
      <c r="A100" s="154" t="s">
        <v>7814</v>
      </c>
      <c r="B100" t="s">
        <v>257</v>
      </c>
      <c r="C100" t="s">
        <v>7794</v>
      </c>
      <c r="D100">
        <v>17</v>
      </c>
      <c r="E100" s="113">
        <v>2</v>
      </c>
      <c r="F100" s="113">
        <v>46</v>
      </c>
      <c r="K100" s="112">
        <v>5</v>
      </c>
      <c r="L100" s="317">
        <v>41569</v>
      </c>
      <c r="S100" s="318">
        <v>1296.96</v>
      </c>
      <c r="T100" s="153">
        <v>41527</v>
      </c>
      <c r="U100" s="136">
        <v>10.8</v>
      </c>
      <c r="Y100" s="136">
        <v>596.37</v>
      </c>
      <c r="Z100" s="153">
        <v>41527</v>
      </c>
      <c r="AA100" s="318" t="s">
        <v>7718</v>
      </c>
      <c r="AB100" s="153">
        <v>41527</v>
      </c>
      <c r="AE100">
        <v>28.95</v>
      </c>
      <c r="AF100" s="153">
        <v>41527</v>
      </c>
      <c r="AG100" s="136" t="s">
        <v>7718</v>
      </c>
      <c r="AH100" s="153">
        <v>41527</v>
      </c>
      <c r="AI100" s="318">
        <v>125</v>
      </c>
      <c r="AJ100" s="153">
        <v>41527</v>
      </c>
      <c r="BS100" s="318">
        <v>44.8</v>
      </c>
      <c r="BT100" s="153">
        <v>41527</v>
      </c>
      <c r="BU100">
        <v>20.6</v>
      </c>
      <c r="BV100" s="153">
        <v>41527</v>
      </c>
      <c r="CC100" s="136">
        <v>13.1</v>
      </c>
      <c r="CD100" s="153">
        <v>41527</v>
      </c>
      <c r="CG100" s="136">
        <v>10.17</v>
      </c>
      <c r="CH100" s="153">
        <v>41527</v>
      </c>
      <c r="CK100" s="136">
        <v>20</v>
      </c>
    </row>
    <row r="101" spans="1:89">
      <c r="A101" s="154" t="s">
        <v>7814</v>
      </c>
      <c r="B101" t="s">
        <v>259</v>
      </c>
      <c r="C101" t="s">
        <v>7794</v>
      </c>
      <c r="D101">
        <v>17</v>
      </c>
      <c r="E101" s="113">
        <v>5</v>
      </c>
      <c r="F101" s="113">
        <v>33</v>
      </c>
      <c r="K101" s="112">
        <v>5</v>
      </c>
      <c r="L101" s="317">
        <v>41569</v>
      </c>
      <c r="S101" s="318">
        <v>1456.9</v>
      </c>
      <c r="T101" s="153">
        <v>41527</v>
      </c>
      <c r="U101" s="136">
        <v>10.8</v>
      </c>
      <c r="Y101" s="136">
        <v>750.73199999999997</v>
      </c>
      <c r="Z101" s="153">
        <v>41527</v>
      </c>
      <c r="AA101" s="318" t="s">
        <v>7718</v>
      </c>
      <c r="AB101" s="153">
        <v>41527</v>
      </c>
      <c r="AE101">
        <v>34.28</v>
      </c>
      <c r="AF101" s="153">
        <v>41527</v>
      </c>
      <c r="AG101" s="136" t="s">
        <v>7718</v>
      </c>
      <c r="AH101" s="153">
        <v>41527</v>
      </c>
      <c r="AI101" s="318">
        <v>120</v>
      </c>
      <c r="AJ101" s="153">
        <v>41527</v>
      </c>
      <c r="BS101" s="318">
        <v>42.5</v>
      </c>
      <c r="BT101" s="153">
        <v>41527</v>
      </c>
      <c r="BU101">
        <v>21.9</v>
      </c>
      <c r="BV101" s="153">
        <v>41527</v>
      </c>
      <c r="CC101" s="136">
        <v>6</v>
      </c>
      <c r="CD101" s="153">
        <v>41527</v>
      </c>
      <c r="CG101" s="136">
        <v>8.2799999999999994</v>
      </c>
      <c r="CH101" s="153">
        <v>41527</v>
      </c>
      <c r="CK101" s="136">
        <v>20</v>
      </c>
    </row>
    <row r="102" spans="1:89">
      <c r="A102" s="154" t="s">
        <v>7814</v>
      </c>
      <c r="B102" t="s">
        <v>257</v>
      </c>
      <c r="C102" t="s">
        <v>7795</v>
      </c>
      <c r="D102">
        <v>17</v>
      </c>
      <c r="E102" s="113">
        <v>6</v>
      </c>
      <c r="F102" s="113">
        <v>84</v>
      </c>
      <c r="K102" s="112">
        <v>5</v>
      </c>
      <c r="L102" s="317">
        <v>41569</v>
      </c>
      <c r="S102" s="318">
        <v>953.53200000000004</v>
      </c>
      <c r="T102" s="153">
        <v>41527</v>
      </c>
      <c r="U102" s="136">
        <v>10.8</v>
      </c>
      <c r="Y102" s="136">
        <v>468.01799999999997</v>
      </c>
      <c r="Z102" s="153">
        <v>41527</v>
      </c>
      <c r="AA102" s="318">
        <v>51338.028169999998</v>
      </c>
      <c r="AB102" s="153">
        <v>41527</v>
      </c>
      <c r="AE102">
        <v>21.87</v>
      </c>
      <c r="AF102" s="153">
        <v>41527</v>
      </c>
      <c r="AG102" s="136">
        <v>4.26</v>
      </c>
      <c r="AH102" s="153">
        <v>41527</v>
      </c>
      <c r="AI102" s="318">
        <v>105</v>
      </c>
      <c r="AJ102" s="153">
        <v>41527</v>
      </c>
      <c r="BS102" s="318">
        <v>43.6</v>
      </c>
      <c r="BT102" s="153">
        <v>41527</v>
      </c>
      <c r="BU102">
        <v>21.4</v>
      </c>
      <c r="BV102" s="153">
        <v>41527</v>
      </c>
      <c r="CC102" s="136">
        <v>7.9</v>
      </c>
      <c r="CD102" s="153">
        <v>41527</v>
      </c>
      <c r="CG102" s="136">
        <v>1.91</v>
      </c>
      <c r="CH102" s="153">
        <v>41527</v>
      </c>
      <c r="CK102" s="136">
        <v>10</v>
      </c>
    </row>
    <row r="103" spans="1:89">
      <c r="A103" s="154" t="s">
        <v>7814</v>
      </c>
      <c r="B103" t="s">
        <v>259</v>
      </c>
      <c r="C103" t="s">
        <v>7795</v>
      </c>
      <c r="D103">
        <v>17</v>
      </c>
      <c r="E103" s="113">
        <v>3</v>
      </c>
      <c r="F103" s="113">
        <v>85</v>
      </c>
      <c r="K103" s="112">
        <v>5</v>
      </c>
      <c r="L103" s="317">
        <v>41569</v>
      </c>
      <c r="S103" s="318">
        <v>1456.4749999999999</v>
      </c>
      <c r="T103" s="153">
        <v>41527</v>
      </c>
      <c r="U103" s="136">
        <v>10.8</v>
      </c>
      <c r="Y103" s="136">
        <v>757.36699999999996</v>
      </c>
      <c r="Z103" s="153">
        <v>41527</v>
      </c>
      <c r="AA103" s="318">
        <v>89947.506559999994</v>
      </c>
      <c r="AB103" s="153">
        <v>41527</v>
      </c>
      <c r="AE103">
        <v>34.270000000000003</v>
      </c>
      <c r="AF103" s="153">
        <v>41527</v>
      </c>
      <c r="AG103" s="136">
        <v>3.81</v>
      </c>
      <c r="AH103" s="153">
        <v>41527</v>
      </c>
      <c r="AI103" s="318">
        <v>115</v>
      </c>
      <c r="AJ103" s="153">
        <v>41527</v>
      </c>
      <c r="BS103" s="318">
        <v>42.5</v>
      </c>
      <c r="BT103" s="153">
        <v>41527</v>
      </c>
      <c r="BU103">
        <v>22.1</v>
      </c>
      <c r="BV103" s="153">
        <v>41527</v>
      </c>
      <c r="CC103" s="136">
        <v>12.3</v>
      </c>
      <c r="CD103" s="153">
        <v>41527</v>
      </c>
      <c r="CG103" s="136">
        <v>6.9</v>
      </c>
      <c r="CH103" s="153">
        <v>41527</v>
      </c>
      <c r="CK103" s="136">
        <v>20</v>
      </c>
    </row>
    <row r="104" spans="1:89">
      <c r="A104" s="154" t="s">
        <v>7815</v>
      </c>
      <c r="B104" t="s">
        <v>257</v>
      </c>
      <c r="C104" t="s">
        <v>405</v>
      </c>
      <c r="D104">
        <v>18</v>
      </c>
      <c r="E104" s="113">
        <v>6</v>
      </c>
      <c r="F104" s="113">
        <v>4</v>
      </c>
      <c r="K104" s="112">
        <v>5</v>
      </c>
      <c r="L104" s="317">
        <v>41569</v>
      </c>
      <c r="S104" s="318">
        <v>1740.6120000000001</v>
      </c>
      <c r="T104" s="153">
        <v>41527</v>
      </c>
      <c r="U104" s="136">
        <v>10.8</v>
      </c>
      <c r="Y104" s="136">
        <v>818.64400000000001</v>
      </c>
      <c r="Z104" s="153">
        <v>41527</v>
      </c>
      <c r="AA104" s="318" t="s">
        <v>7718</v>
      </c>
      <c r="AB104" s="153">
        <v>41527</v>
      </c>
      <c r="AE104">
        <v>39.74</v>
      </c>
      <c r="AF104" s="153">
        <v>41527</v>
      </c>
      <c r="AG104" s="136" t="s">
        <v>7718</v>
      </c>
      <c r="AH104" s="153">
        <v>41527</v>
      </c>
      <c r="AI104" s="318">
        <v>120</v>
      </c>
      <c r="AJ104" s="153">
        <v>41527</v>
      </c>
      <c r="BS104" s="318">
        <v>43.8</v>
      </c>
      <c r="BT104" s="153">
        <v>41527</v>
      </c>
      <c r="BU104">
        <v>20.6</v>
      </c>
      <c r="BV104" s="153">
        <v>41527</v>
      </c>
      <c r="CC104" s="136">
        <v>10.9</v>
      </c>
      <c r="CD104" s="153">
        <v>41527</v>
      </c>
      <c r="CG104" s="136">
        <v>2.83</v>
      </c>
      <c r="CH104" s="153">
        <v>41527</v>
      </c>
      <c r="CK104" s="136">
        <v>10</v>
      </c>
    </row>
    <row r="105" spans="1:89">
      <c r="A105" s="154" t="s">
        <v>7815</v>
      </c>
      <c r="B105" t="s">
        <v>259</v>
      </c>
      <c r="C105" t="s">
        <v>405</v>
      </c>
      <c r="D105">
        <v>18</v>
      </c>
      <c r="E105" s="113">
        <v>3</v>
      </c>
      <c r="F105" s="113">
        <v>26</v>
      </c>
      <c r="K105" s="112">
        <v>5</v>
      </c>
      <c r="L105" s="317">
        <v>41569</v>
      </c>
      <c r="S105" s="318">
        <v>1950.8240000000001</v>
      </c>
      <c r="T105" s="153">
        <v>41527</v>
      </c>
      <c r="U105" s="136">
        <v>10.8</v>
      </c>
      <c r="Y105" s="136">
        <v>1044.4269999999999</v>
      </c>
      <c r="Z105" s="153">
        <v>41527</v>
      </c>
      <c r="AA105" s="318" t="s">
        <v>7718</v>
      </c>
      <c r="AB105" s="153">
        <v>41527</v>
      </c>
      <c r="AE105">
        <v>46.01</v>
      </c>
      <c r="AF105" s="153">
        <v>41527</v>
      </c>
      <c r="AG105" s="136" t="s">
        <v>7718</v>
      </c>
      <c r="AH105" s="153">
        <v>41527</v>
      </c>
      <c r="AI105" s="318">
        <v>125</v>
      </c>
      <c r="AJ105" s="153">
        <v>41527</v>
      </c>
      <c r="BS105" s="318">
        <v>42.4</v>
      </c>
      <c r="BT105" s="153">
        <v>41527</v>
      </c>
      <c r="BU105">
        <v>22.7</v>
      </c>
      <c r="BV105" s="153">
        <v>41527</v>
      </c>
      <c r="CC105" s="136">
        <v>12.4</v>
      </c>
      <c r="CD105" s="153">
        <v>41527</v>
      </c>
      <c r="CG105" s="136">
        <v>3.63</v>
      </c>
      <c r="CH105" s="153">
        <v>41527</v>
      </c>
      <c r="CK105" s="136">
        <v>1</v>
      </c>
    </row>
    <row r="106" spans="1:89">
      <c r="A106" s="154" t="s">
        <v>7815</v>
      </c>
      <c r="B106" t="s">
        <v>257</v>
      </c>
      <c r="C106" t="s">
        <v>7794</v>
      </c>
      <c r="D106">
        <v>18</v>
      </c>
      <c r="E106" s="113">
        <v>2</v>
      </c>
      <c r="F106" s="113">
        <v>38</v>
      </c>
      <c r="K106" s="112">
        <v>5</v>
      </c>
      <c r="L106" s="317">
        <v>41569</v>
      </c>
      <c r="S106" s="318">
        <v>2116.7379999999998</v>
      </c>
      <c r="T106" s="153">
        <v>41527</v>
      </c>
      <c r="U106" s="136">
        <v>10.8</v>
      </c>
      <c r="Y106" s="136">
        <v>986.53399999999999</v>
      </c>
      <c r="Z106" s="153">
        <v>41527</v>
      </c>
      <c r="AA106" s="318" t="s">
        <v>7718</v>
      </c>
      <c r="AB106" s="153">
        <v>41527</v>
      </c>
      <c r="AE106">
        <v>47.89</v>
      </c>
      <c r="AF106" s="153">
        <v>41527</v>
      </c>
      <c r="AG106" s="136" t="s">
        <v>7718</v>
      </c>
      <c r="AH106" s="153">
        <v>41527</v>
      </c>
      <c r="AI106" s="318">
        <v>135</v>
      </c>
      <c r="AJ106" s="153">
        <v>41527</v>
      </c>
      <c r="BS106" s="318">
        <v>44.2</v>
      </c>
      <c r="BT106" s="153">
        <v>41527</v>
      </c>
      <c r="BU106">
        <v>20.6</v>
      </c>
      <c r="BV106" s="153">
        <v>41527</v>
      </c>
      <c r="CC106" s="136">
        <v>8.1</v>
      </c>
      <c r="CD106" s="153">
        <v>41527</v>
      </c>
      <c r="CG106" s="136">
        <v>2</v>
      </c>
      <c r="CH106" s="153">
        <v>41527</v>
      </c>
      <c r="CK106" s="136">
        <v>10</v>
      </c>
    </row>
    <row r="107" spans="1:89">
      <c r="A107" s="154" t="s">
        <v>7815</v>
      </c>
      <c r="B107" t="s">
        <v>259</v>
      </c>
      <c r="C107" t="s">
        <v>7794</v>
      </c>
      <c r="D107">
        <v>18</v>
      </c>
      <c r="E107" s="113">
        <v>6</v>
      </c>
      <c r="F107" s="113">
        <v>50</v>
      </c>
      <c r="K107" s="112">
        <v>3</v>
      </c>
      <c r="L107" s="317">
        <v>41569</v>
      </c>
      <c r="S107" s="318">
        <v>1982.624</v>
      </c>
      <c r="T107" s="153">
        <v>41527</v>
      </c>
      <c r="U107" s="136">
        <v>10.8</v>
      </c>
      <c r="Y107" s="136">
        <v>1038.0719999999999</v>
      </c>
      <c r="Z107" s="153">
        <v>41527</v>
      </c>
      <c r="AA107" s="318" t="s">
        <v>7718</v>
      </c>
      <c r="AB107" s="153">
        <v>41527</v>
      </c>
      <c r="AE107">
        <v>46.76</v>
      </c>
      <c r="AF107" s="153">
        <v>41527</v>
      </c>
      <c r="AG107" s="136" t="s">
        <v>7718</v>
      </c>
      <c r="AH107" s="153">
        <v>41527</v>
      </c>
      <c r="AI107" s="318">
        <v>120</v>
      </c>
      <c r="AJ107" s="153">
        <v>41527</v>
      </c>
      <c r="BS107" s="318">
        <v>42.4</v>
      </c>
      <c r="BT107" s="153">
        <v>41527</v>
      </c>
      <c r="BU107">
        <v>22.2</v>
      </c>
      <c r="BV107" s="153">
        <v>41527</v>
      </c>
      <c r="CC107" s="136">
        <v>7.8</v>
      </c>
      <c r="CD107" s="153">
        <v>41527</v>
      </c>
      <c r="CG107" s="136">
        <v>4.3099999999999996</v>
      </c>
      <c r="CH107" s="153">
        <v>41527</v>
      </c>
      <c r="CK107" s="136">
        <v>5</v>
      </c>
    </row>
    <row r="108" spans="1:89">
      <c r="A108" s="154" t="s">
        <v>7815</v>
      </c>
      <c r="B108" t="s">
        <v>257</v>
      </c>
      <c r="C108" t="s">
        <v>7795</v>
      </c>
      <c r="D108">
        <v>18</v>
      </c>
      <c r="E108" s="113">
        <v>4</v>
      </c>
      <c r="F108" s="113">
        <v>64</v>
      </c>
      <c r="K108" s="112">
        <v>5</v>
      </c>
      <c r="L108" s="317">
        <v>41569</v>
      </c>
      <c r="S108" s="318">
        <v>1918.84</v>
      </c>
      <c r="T108" s="153">
        <v>41527</v>
      </c>
      <c r="U108" s="136">
        <v>10.8</v>
      </c>
      <c r="Y108" s="136">
        <v>889.64400000000001</v>
      </c>
      <c r="Z108" s="153">
        <v>41527</v>
      </c>
      <c r="AA108" s="318">
        <v>98000</v>
      </c>
      <c r="AB108" s="153">
        <v>41527</v>
      </c>
      <c r="AE108">
        <v>43.61</v>
      </c>
      <c r="AF108" s="153">
        <v>41527</v>
      </c>
      <c r="AG108" s="136">
        <v>4.45</v>
      </c>
      <c r="AH108" s="153">
        <v>41527</v>
      </c>
      <c r="AI108" s="318">
        <v>130</v>
      </c>
      <c r="AJ108" s="153">
        <v>41527</v>
      </c>
      <c r="BS108" s="318">
        <v>44</v>
      </c>
      <c r="BT108" s="153">
        <v>41527</v>
      </c>
      <c r="BU108">
        <v>20.399999999999999</v>
      </c>
      <c r="BV108" s="153">
        <v>41527</v>
      </c>
      <c r="CC108" s="136">
        <v>7</v>
      </c>
      <c r="CD108" s="153">
        <v>41527</v>
      </c>
      <c r="CG108" s="136">
        <v>2.2799999999999998</v>
      </c>
      <c r="CH108" s="153">
        <v>41527</v>
      </c>
      <c r="CK108" s="136">
        <v>5</v>
      </c>
    </row>
    <row r="109" spans="1:89">
      <c r="A109" s="154" t="s">
        <v>7815</v>
      </c>
      <c r="B109" t="s">
        <v>259</v>
      </c>
      <c r="C109" t="s">
        <v>7795</v>
      </c>
      <c r="D109">
        <v>18</v>
      </c>
      <c r="E109" s="113">
        <v>2</v>
      </c>
      <c r="F109" s="113">
        <v>83</v>
      </c>
      <c r="K109" s="112">
        <v>5</v>
      </c>
      <c r="L109" s="317">
        <v>41569</v>
      </c>
      <c r="S109" s="318">
        <v>1845.2840000000001</v>
      </c>
      <c r="T109" s="153">
        <v>41527</v>
      </c>
      <c r="U109" s="136">
        <v>10.8</v>
      </c>
      <c r="Y109" s="136">
        <v>1023.172</v>
      </c>
      <c r="Z109" s="153">
        <v>41527</v>
      </c>
      <c r="AA109" s="318">
        <v>99732.142860000007</v>
      </c>
      <c r="AB109" s="153">
        <v>41527</v>
      </c>
      <c r="AE109">
        <v>44.68</v>
      </c>
      <c r="AF109" s="153">
        <v>41527</v>
      </c>
      <c r="AG109" s="136">
        <v>4.4800000000000004</v>
      </c>
      <c r="AH109" s="153">
        <v>41527</v>
      </c>
      <c r="AI109" s="318">
        <v>120</v>
      </c>
      <c r="AJ109" s="153">
        <v>41527</v>
      </c>
      <c r="BS109" s="318">
        <v>41.3</v>
      </c>
      <c r="BT109" s="153">
        <v>41527</v>
      </c>
      <c r="BU109">
        <v>22.9</v>
      </c>
      <c r="BV109" s="153">
        <v>41527</v>
      </c>
      <c r="CC109" s="136">
        <v>9</v>
      </c>
      <c r="CD109" s="153">
        <v>41527</v>
      </c>
      <c r="CG109" s="136">
        <v>3.09</v>
      </c>
      <c r="CH109" s="153">
        <v>41527</v>
      </c>
      <c r="CK109" s="136">
        <v>5</v>
      </c>
    </row>
    <row r="110" spans="1:89">
      <c r="A110" s="154" t="s">
        <v>7816</v>
      </c>
      <c r="B110" t="s">
        <v>257</v>
      </c>
      <c r="C110" t="s">
        <v>405</v>
      </c>
      <c r="D110">
        <v>19</v>
      </c>
      <c r="E110" s="113">
        <v>5</v>
      </c>
      <c r="F110" s="113">
        <v>18</v>
      </c>
      <c r="K110" s="112">
        <v>5</v>
      </c>
      <c r="L110" s="317">
        <v>41569</v>
      </c>
      <c r="S110" s="318">
        <v>1517.623</v>
      </c>
      <c r="T110" s="153">
        <v>41527</v>
      </c>
      <c r="U110" s="136">
        <v>10.8</v>
      </c>
      <c r="Y110" s="136">
        <v>705.22799999999995</v>
      </c>
      <c r="Z110" s="153">
        <v>41527</v>
      </c>
      <c r="AA110" s="318" t="s">
        <v>7718</v>
      </c>
      <c r="AB110" s="153">
        <v>41527</v>
      </c>
      <c r="AE110">
        <v>34.57</v>
      </c>
      <c r="AF110" s="153">
        <v>41527</v>
      </c>
      <c r="AG110" s="136" t="s">
        <v>7718</v>
      </c>
      <c r="AH110" s="153">
        <v>41527</v>
      </c>
      <c r="AI110" s="318">
        <v>120</v>
      </c>
      <c r="AJ110" s="153">
        <v>41527</v>
      </c>
      <c r="BS110" s="318">
        <v>43.9</v>
      </c>
      <c r="BT110" s="153">
        <v>41527</v>
      </c>
      <c r="BU110">
        <v>20.399999999999999</v>
      </c>
      <c r="BV110" s="153">
        <v>41527</v>
      </c>
      <c r="CC110" s="136">
        <v>7.2</v>
      </c>
      <c r="CD110" s="153">
        <v>41527</v>
      </c>
      <c r="CG110" s="136">
        <v>4.32</v>
      </c>
      <c r="CH110" s="153">
        <v>41527</v>
      </c>
      <c r="CK110" s="136">
        <v>5</v>
      </c>
    </row>
    <row r="111" spans="1:89">
      <c r="A111" s="154" t="s">
        <v>7816</v>
      </c>
      <c r="B111" t="s">
        <v>259</v>
      </c>
      <c r="C111" t="s">
        <v>405</v>
      </c>
      <c r="D111">
        <v>19</v>
      </c>
      <c r="E111" s="113">
        <v>1</v>
      </c>
      <c r="F111" s="113">
        <v>12</v>
      </c>
      <c r="K111" s="112">
        <v>5</v>
      </c>
      <c r="L111" s="317">
        <v>41569</v>
      </c>
      <c r="S111" s="318">
        <v>2134.2750000000001</v>
      </c>
      <c r="T111" s="153">
        <v>41527</v>
      </c>
      <c r="U111" s="136">
        <v>10.8</v>
      </c>
      <c r="Y111" s="136">
        <v>1109.425</v>
      </c>
      <c r="Z111" s="153">
        <v>41527</v>
      </c>
      <c r="AA111" s="318" t="s">
        <v>7718</v>
      </c>
      <c r="AB111" s="153">
        <v>41527</v>
      </c>
      <c r="AE111">
        <v>49.75</v>
      </c>
      <c r="AF111" s="153">
        <v>41527</v>
      </c>
      <c r="AG111" s="136" t="s">
        <v>7718</v>
      </c>
      <c r="AH111" s="153">
        <v>41527</v>
      </c>
      <c r="AI111" s="318">
        <v>135</v>
      </c>
      <c r="AJ111" s="153">
        <v>41527</v>
      </c>
      <c r="BS111" s="318">
        <v>42.9</v>
      </c>
      <c r="BT111" s="153">
        <v>41527</v>
      </c>
      <c r="BU111">
        <v>22.3</v>
      </c>
      <c r="BV111" s="153">
        <v>41527</v>
      </c>
      <c r="CC111" s="136">
        <v>7.8</v>
      </c>
      <c r="CD111" s="153">
        <v>41527</v>
      </c>
      <c r="CG111" s="136">
        <v>2.4700000000000002</v>
      </c>
      <c r="CH111" s="153">
        <v>41527</v>
      </c>
      <c r="CK111" s="136">
        <v>5</v>
      </c>
    </row>
    <row r="112" spans="1:89">
      <c r="A112" s="154" t="s">
        <v>7816</v>
      </c>
      <c r="B112" t="s">
        <v>257</v>
      </c>
      <c r="C112" t="s">
        <v>7794</v>
      </c>
      <c r="D112">
        <v>19</v>
      </c>
      <c r="E112" s="113">
        <v>3</v>
      </c>
      <c r="F112" s="113">
        <v>41</v>
      </c>
      <c r="K112" s="112">
        <v>5</v>
      </c>
      <c r="L112" s="317">
        <v>41569</v>
      </c>
      <c r="S112" s="318">
        <v>1909.2529999999999</v>
      </c>
      <c r="T112" s="153">
        <v>41527</v>
      </c>
      <c r="U112" s="136">
        <v>10.8</v>
      </c>
      <c r="Y112" s="136">
        <v>900.01400000000001</v>
      </c>
      <c r="Z112" s="153">
        <v>41527</v>
      </c>
      <c r="AA112" s="318" t="s">
        <v>7718</v>
      </c>
      <c r="AB112" s="153">
        <v>41527</v>
      </c>
      <c r="AE112">
        <v>43.69</v>
      </c>
      <c r="AF112" s="153">
        <v>41527</v>
      </c>
      <c r="AG112" s="136" t="s">
        <v>7718</v>
      </c>
      <c r="AH112" s="153">
        <v>41527</v>
      </c>
      <c r="AI112" s="318">
        <v>120</v>
      </c>
      <c r="AJ112" s="153">
        <v>41527</v>
      </c>
      <c r="BS112" s="318">
        <v>43.7</v>
      </c>
      <c r="BT112" s="153">
        <v>41527</v>
      </c>
      <c r="BU112">
        <v>20.6</v>
      </c>
      <c r="BV112" s="153">
        <v>41527</v>
      </c>
      <c r="CC112" s="136">
        <v>9.1999999999999993</v>
      </c>
      <c r="CD112" s="153">
        <v>41527</v>
      </c>
      <c r="CG112" s="136">
        <v>3.83</v>
      </c>
      <c r="CH112" s="153">
        <v>41527</v>
      </c>
      <c r="CK112" s="136">
        <v>10</v>
      </c>
    </row>
    <row r="113" spans="1:89">
      <c r="A113" s="154" t="s">
        <v>7816</v>
      </c>
      <c r="B113" t="s">
        <v>259</v>
      </c>
      <c r="C113" t="s">
        <v>7794</v>
      </c>
      <c r="D113">
        <v>19</v>
      </c>
      <c r="E113" s="113">
        <v>4</v>
      </c>
      <c r="F113" s="113">
        <v>33</v>
      </c>
      <c r="K113" s="112">
        <v>5</v>
      </c>
      <c r="L113" s="317">
        <v>41569</v>
      </c>
      <c r="S113" s="318">
        <v>1882.3440000000001</v>
      </c>
      <c r="T113" s="153">
        <v>41527</v>
      </c>
      <c r="U113" s="136">
        <v>10.8</v>
      </c>
      <c r="Y113" s="136">
        <v>989.55</v>
      </c>
      <c r="Z113" s="153">
        <v>41527</v>
      </c>
      <c r="AA113" s="318" t="s">
        <v>7718</v>
      </c>
      <c r="AB113" s="153">
        <v>41527</v>
      </c>
      <c r="AE113">
        <v>43.98</v>
      </c>
      <c r="AF113" s="153">
        <v>41527</v>
      </c>
      <c r="AG113" s="136" t="s">
        <v>7718</v>
      </c>
      <c r="AH113" s="153">
        <v>41527</v>
      </c>
      <c r="AI113" s="318">
        <v>125</v>
      </c>
      <c r="AJ113" s="153">
        <v>41527</v>
      </c>
      <c r="BS113" s="318">
        <v>42.8</v>
      </c>
      <c r="BT113" s="153">
        <v>41527</v>
      </c>
      <c r="BU113">
        <v>22.5</v>
      </c>
      <c r="BV113" s="153">
        <v>41527</v>
      </c>
      <c r="CC113" s="136">
        <v>5.6</v>
      </c>
      <c r="CD113" s="153">
        <v>41527</v>
      </c>
      <c r="CG113" s="136">
        <v>1.55</v>
      </c>
      <c r="CH113" s="153">
        <v>41527</v>
      </c>
      <c r="CK113" s="136">
        <v>10</v>
      </c>
    </row>
    <row r="114" spans="1:89">
      <c r="A114" s="154" t="s">
        <v>7816</v>
      </c>
      <c r="B114" t="s">
        <v>257</v>
      </c>
      <c r="C114" t="s">
        <v>7795</v>
      </c>
      <c r="D114">
        <v>19</v>
      </c>
      <c r="E114" s="113">
        <v>6</v>
      </c>
      <c r="F114" s="113">
        <v>68</v>
      </c>
      <c r="K114" s="112">
        <v>5</v>
      </c>
      <c r="L114" s="317">
        <v>41569</v>
      </c>
      <c r="S114" s="318">
        <v>1462.356</v>
      </c>
      <c r="T114" s="153">
        <v>41527</v>
      </c>
      <c r="U114" s="136">
        <v>10.8</v>
      </c>
      <c r="Y114" s="136">
        <v>686.41200000000003</v>
      </c>
      <c r="Z114" s="153">
        <v>41527</v>
      </c>
      <c r="AA114" s="318">
        <v>76759.259260000006</v>
      </c>
      <c r="AB114" s="153">
        <v>41527</v>
      </c>
      <c r="AE114">
        <v>33.159999999999997</v>
      </c>
      <c r="AF114" s="153">
        <v>41527</v>
      </c>
      <c r="AG114" s="136">
        <v>4.32</v>
      </c>
      <c r="AH114" s="153">
        <v>41527</v>
      </c>
      <c r="AI114" s="318">
        <v>110</v>
      </c>
      <c r="AJ114" s="153">
        <v>41527</v>
      </c>
      <c r="BS114" s="318">
        <v>44.1</v>
      </c>
      <c r="BT114" s="153">
        <v>41527</v>
      </c>
      <c r="BU114">
        <v>20.7</v>
      </c>
      <c r="BV114" s="153">
        <v>41527</v>
      </c>
      <c r="CC114" s="136">
        <v>6.1</v>
      </c>
      <c r="CD114" s="153">
        <v>41527</v>
      </c>
      <c r="CG114" s="136">
        <v>2.6</v>
      </c>
      <c r="CH114" s="153">
        <v>41527</v>
      </c>
      <c r="CK114" s="136">
        <v>5</v>
      </c>
    </row>
    <row r="115" spans="1:89">
      <c r="A115" s="154" t="s">
        <v>7816</v>
      </c>
      <c r="B115" t="s">
        <v>259</v>
      </c>
      <c r="C115" t="s">
        <v>7795</v>
      </c>
      <c r="D115">
        <v>19</v>
      </c>
      <c r="E115" s="113">
        <v>1</v>
      </c>
      <c r="F115" s="113">
        <v>79</v>
      </c>
      <c r="K115" s="112">
        <v>5</v>
      </c>
      <c r="L115" s="317">
        <v>41569</v>
      </c>
      <c r="S115" s="318">
        <v>1989.846</v>
      </c>
      <c r="T115" s="153">
        <v>41527</v>
      </c>
      <c r="U115" s="136">
        <v>10.8</v>
      </c>
      <c r="Y115" s="136">
        <v>1027.6199999999999</v>
      </c>
      <c r="Z115" s="153">
        <v>41527</v>
      </c>
      <c r="AA115" s="318">
        <v>109905.8824</v>
      </c>
      <c r="AB115" s="153">
        <v>41527</v>
      </c>
      <c r="AE115">
        <v>46.71</v>
      </c>
      <c r="AF115" s="153">
        <v>41527</v>
      </c>
      <c r="AG115" s="136">
        <v>4.25</v>
      </c>
      <c r="AH115" s="153">
        <v>41527</v>
      </c>
      <c r="AI115" s="318">
        <v>115</v>
      </c>
      <c r="AJ115" s="153">
        <v>41527</v>
      </c>
      <c r="BS115" s="318">
        <v>42.6</v>
      </c>
      <c r="BT115" s="153">
        <v>41527</v>
      </c>
      <c r="BU115">
        <v>22</v>
      </c>
      <c r="BV115" s="153">
        <v>41527</v>
      </c>
      <c r="CC115" s="136">
        <v>9</v>
      </c>
      <c r="CD115" s="153">
        <v>41527</v>
      </c>
      <c r="CG115" s="136">
        <v>5.78</v>
      </c>
      <c r="CH115" s="153">
        <v>41527</v>
      </c>
      <c r="CK115" s="136">
        <v>1</v>
      </c>
    </row>
    <row r="116" spans="1:89">
      <c r="A116" s="154" t="s">
        <v>7817</v>
      </c>
      <c r="B116" t="s">
        <v>257</v>
      </c>
      <c r="C116" t="s">
        <v>405</v>
      </c>
      <c r="D116">
        <v>20</v>
      </c>
      <c r="E116" s="113">
        <v>6</v>
      </c>
      <c r="F116" s="113">
        <v>19</v>
      </c>
      <c r="K116" s="112">
        <v>5</v>
      </c>
      <c r="L116" s="317">
        <v>41569</v>
      </c>
      <c r="S116" s="318">
        <v>1286.22</v>
      </c>
      <c r="T116" s="153">
        <v>41527</v>
      </c>
      <c r="U116" s="136">
        <v>10.8</v>
      </c>
      <c r="Y116" s="136">
        <v>614.01</v>
      </c>
      <c r="Z116" s="153">
        <v>41527</v>
      </c>
      <c r="AA116" s="318" t="s">
        <v>7718</v>
      </c>
      <c r="AB116" s="153">
        <v>41527</v>
      </c>
      <c r="AE116">
        <v>29.1</v>
      </c>
      <c r="AF116" s="153">
        <v>41527</v>
      </c>
      <c r="AG116" s="136" t="s">
        <v>7718</v>
      </c>
      <c r="AH116" s="153">
        <v>41527</v>
      </c>
      <c r="AI116" s="318">
        <v>120</v>
      </c>
      <c r="AJ116" s="153">
        <v>41527</v>
      </c>
      <c r="BS116" s="318">
        <v>44.2</v>
      </c>
      <c r="BT116" s="153">
        <v>41527</v>
      </c>
      <c r="BU116">
        <v>21.1</v>
      </c>
      <c r="BV116" s="153">
        <v>41527</v>
      </c>
      <c r="CC116" s="136">
        <v>7.4</v>
      </c>
      <c r="CD116" s="153">
        <v>41527</v>
      </c>
      <c r="CG116" s="136">
        <v>6.67</v>
      </c>
      <c r="CH116" s="153">
        <v>41527</v>
      </c>
      <c r="CK116" s="136">
        <v>20</v>
      </c>
    </row>
    <row r="117" spans="1:89">
      <c r="A117" s="154" t="s">
        <v>7817</v>
      </c>
      <c r="B117" t="s">
        <v>259</v>
      </c>
      <c r="C117" t="s">
        <v>405</v>
      </c>
      <c r="D117">
        <v>20</v>
      </c>
      <c r="E117" s="113">
        <v>3</v>
      </c>
      <c r="F117" s="113">
        <v>14</v>
      </c>
      <c r="K117" s="112">
        <v>5</v>
      </c>
      <c r="L117" s="317">
        <v>41569</v>
      </c>
      <c r="S117" s="318">
        <v>1715.1420000000001</v>
      </c>
      <c r="T117" s="153">
        <v>41527</v>
      </c>
      <c r="U117" s="136">
        <v>10.8</v>
      </c>
      <c r="Y117" s="136">
        <v>911.54399999999998</v>
      </c>
      <c r="Z117" s="153">
        <v>41527</v>
      </c>
      <c r="AA117" s="318" t="s">
        <v>7718</v>
      </c>
      <c r="AB117" s="153">
        <v>41527</v>
      </c>
      <c r="AE117">
        <v>39.979999999999997</v>
      </c>
      <c r="AF117" s="153">
        <v>41527</v>
      </c>
      <c r="AG117" s="136" t="s">
        <v>7718</v>
      </c>
      <c r="AH117" s="153">
        <v>41527</v>
      </c>
      <c r="AI117" s="318">
        <v>135</v>
      </c>
      <c r="AJ117" s="153">
        <v>41527</v>
      </c>
      <c r="BS117" s="318">
        <v>42.9</v>
      </c>
      <c r="BT117" s="153">
        <v>41527</v>
      </c>
      <c r="BU117">
        <v>22.8</v>
      </c>
      <c r="BV117" s="153">
        <v>41527</v>
      </c>
      <c r="CC117" s="136">
        <v>7.3</v>
      </c>
      <c r="CD117" s="153">
        <v>41527</v>
      </c>
      <c r="CG117" s="136">
        <v>2.09</v>
      </c>
      <c r="CH117" s="153">
        <v>41527</v>
      </c>
      <c r="CK117" s="136">
        <v>30</v>
      </c>
    </row>
    <row r="118" spans="1:89">
      <c r="A118" s="154" t="s">
        <v>7817</v>
      </c>
      <c r="B118" t="s">
        <v>257</v>
      </c>
      <c r="C118" t="s">
        <v>7794</v>
      </c>
      <c r="D118">
        <v>20</v>
      </c>
      <c r="E118" s="113">
        <v>3</v>
      </c>
      <c r="F118" s="113">
        <v>45</v>
      </c>
      <c r="K118" s="112">
        <v>5</v>
      </c>
      <c r="L118" s="317">
        <v>41569</v>
      </c>
      <c r="S118" s="318">
        <v>1600.5920000000001</v>
      </c>
      <c r="T118" s="153">
        <v>41527</v>
      </c>
      <c r="U118" s="136">
        <v>10.8</v>
      </c>
      <c r="Y118" s="136">
        <v>785.54399999999998</v>
      </c>
      <c r="Z118" s="153">
        <v>41527</v>
      </c>
      <c r="AA118" s="318" t="s">
        <v>7718</v>
      </c>
      <c r="AB118" s="153">
        <v>41527</v>
      </c>
      <c r="AE118">
        <v>36.880000000000003</v>
      </c>
      <c r="AF118" s="153">
        <v>41527</v>
      </c>
      <c r="AG118" s="136" t="s">
        <v>7718</v>
      </c>
      <c r="AH118" s="153">
        <v>41527</v>
      </c>
      <c r="AI118" s="318">
        <v>135</v>
      </c>
      <c r="AJ118" s="153">
        <v>41527</v>
      </c>
      <c r="BS118" s="318">
        <v>43.4</v>
      </c>
      <c r="BT118" s="153">
        <v>41527</v>
      </c>
      <c r="BU118">
        <v>21.3</v>
      </c>
      <c r="BV118" s="153">
        <v>41527</v>
      </c>
      <c r="CC118" s="136">
        <v>9.8000000000000007</v>
      </c>
      <c r="CD118" s="153">
        <v>41527</v>
      </c>
      <c r="CG118" s="136">
        <v>5.1100000000000003</v>
      </c>
      <c r="CH118" s="153">
        <v>41527</v>
      </c>
      <c r="CK118" s="136">
        <v>20</v>
      </c>
    </row>
    <row r="119" spans="1:89">
      <c r="A119" s="154" t="s">
        <v>7817</v>
      </c>
      <c r="B119" t="s">
        <v>259</v>
      </c>
      <c r="C119" t="s">
        <v>7794</v>
      </c>
      <c r="D119">
        <v>20</v>
      </c>
      <c r="E119" s="113">
        <v>5</v>
      </c>
      <c r="F119" s="113">
        <v>38</v>
      </c>
      <c r="K119" s="112">
        <v>5</v>
      </c>
      <c r="L119" s="317">
        <v>41569</v>
      </c>
      <c r="S119" s="318">
        <v>1713.4259999999999</v>
      </c>
      <c r="T119" s="153">
        <v>41527</v>
      </c>
      <c r="U119" s="136">
        <v>10.8</v>
      </c>
      <c r="Y119" s="136">
        <v>890.66200000000003</v>
      </c>
      <c r="Z119" s="153">
        <v>41527</v>
      </c>
      <c r="AA119" s="318" t="s">
        <v>7718</v>
      </c>
      <c r="AB119" s="153">
        <v>41527</v>
      </c>
      <c r="AE119">
        <v>39.94</v>
      </c>
      <c r="AF119" s="153">
        <v>41527</v>
      </c>
      <c r="AG119" s="136" t="s">
        <v>7718</v>
      </c>
      <c r="AH119" s="153">
        <v>41527</v>
      </c>
      <c r="AI119" s="318">
        <v>135</v>
      </c>
      <c r="AJ119" s="153">
        <v>41527</v>
      </c>
      <c r="BS119" s="318">
        <v>42.9</v>
      </c>
      <c r="BT119" s="153">
        <v>41527</v>
      </c>
      <c r="BU119">
        <v>22.3</v>
      </c>
      <c r="BV119" s="153">
        <v>41527</v>
      </c>
      <c r="CC119" s="136">
        <v>7.5</v>
      </c>
      <c r="CD119" s="153">
        <v>41527</v>
      </c>
      <c r="CG119" s="136">
        <v>2.59</v>
      </c>
      <c r="CH119" s="153">
        <v>41527</v>
      </c>
      <c r="CK119" s="136">
        <v>30</v>
      </c>
    </row>
    <row r="120" spans="1:89">
      <c r="A120" s="154" t="s">
        <v>7817</v>
      </c>
      <c r="B120" t="s">
        <v>257</v>
      </c>
      <c r="C120" t="s">
        <v>7795</v>
      </c>
      <c r="D120">
        <v>20</v>
      </c>
      <c r="E120" s="113">
        <v>6</v>
      </c>
      <c r="F120" s="113">
        <v>79</v>
      </c>
      <c r="K120" s="112">
        <v>3</v>
      </c>
      <c r="L120" s="317">
        <v>41569</v>
      </c>
      <c r="S120" s="318">
        <v>1090.037</v>
      </c>
      <c r="T120" s="153">
        <v>41527</v>
      </c>
      <c r="U120" s="136">
        <v>10.8</v>
      </c>
      <c r="Y120" s="136">
        <v>536.32799999999997</v>
      </c>
      <c r="Z120" s="153">
        <v>41527</v>
      </c>
      <c r="AA120" s="318">
        <v>58286.384980000003</v>
      </c>
      <c r="AB120" s="153">
        <v>41527</v>
      </c>
      <c r="AE120">
        <v>24.83</v>
      </c>
      <c r="AF120" s="153">
        <v>41527</v>
      </c>
      <c r="AG120" s="136">
        <v>4.26</v>
      </c>
      <c r="AH120" s="153">
        <v>41527</v>
      </c>
      <c r="AI120" s="318">
        <v>115</v>
      </c>
      <c r="AJ120" s="153">
        <v>41527</v>
      </c>
      <c r="BS120" s="318">
        <v>43.9</v>
      </c>
      <c r="BT120" s="153">
        <v>41527</v>
      </c>
      <c r="BU120">
        <v>21.6</v>
      </c>
      <c r="BV120" s="153">
        <v>41527</v>
      </c>
      <c r="CC120" s="136">
        <v>6.9</v>
      </c>
      <c r="CD120" s="153">
        <v>41527</v>
      </c>
      <c r="CG120" s="136">
        <v>3.42</v>
      </c>
      <c r="CH120" s="153">
        <v>41527</v>
      </c>
      <c r="CK120" s="136">
        <v>10</v>
      </c>
    </row>
    <row r="121" spans="1:89">
      <c r="A121" s="154" t="s">
        <v>7817</v>
      </c>
      <c r="B121" t="s">
        <v>259</v>
      </c>
      <c r="C121" t="s">
        <v>7795</v>
      </c>
      <c r="D121">
        <v>20</v>
      </c>
      <c r="E121" s="113">
        <v>1</v>
      </c>
      <c r="F121" s="113">
        <v>80</v>
      </c>
      <c r="K121" s="112">
        <v>5</v>
      </c>
      <c r="L121" s="317">
        <v>41569</v>
      </c>
      <c r="S121" s="318">
        <v>1502.7080000000001</v>
      </c>
      <c r="T121" s="153">
        <v>41527</v>
      </c>
      <c r="U121" s="136">
        <v>10.8</v>
      </c>
      <c r="Y121" s="136">
        <v>793.48599999999999</v>
      </c>
      <c r="Z121" s="153">
        <v>41527</v>
      </c>
      <c r="AA121" s="318">
        <v>82032.710279999999</v>
      </c>
      <c r="AB121" s="153">
        <v>41527</v>
      </c>
      <c r="AE121">
        <v>35.11</v>
      </c>
      <c r="AF121" s="153">
        <v>41527</v>
      </c>
      <c r="AG121" s="136">
        <v>4.28</v>
      </c>
      <c r="AH121" s="153">
        <v>41527</v>
      </c>
      <c r="AI121" s="318">
        <v>130</v>
      </c>
      <c r="AJ121" s="153">
        <v>41527</v>
      </c>
      <c r="BS121" s="318">
        <v>42.8</v>
      </c>
      <c r="BT121" s="153">
        <v>41527</v>
      </c>
      <c r="BU121">
        <v>22.6</v>
      </c>
      <c r="BV121" s="153">
        <v>41527</v>
      </c>
      <c r="CC121" s="136">
        <v>10.8</v>
      </c>
      <c r="CD121" s="153">
        <v>41527</v>
      </c>
      <c r="CG121" s="136">
        <v>9.5299999999999994</v>
      </c>
      <c r="CH121" s="153">
        <v>41527</v>
      </c>
      <c r="CK121" s="136">
        <v>20</v>
      </c>
    </row>
    <row r="122" spans="1:89">
      <c r="A122" s="154" t="s">
        <v>7818</v>
      </c>
      <c r="B122" t="s">
        <v>257</v>
      </c>
      <c r="C122" t="s">
        <v>405</v>
      </c>
      <c r="D122">
        <v>21</v>
      </c>
      <c r="E122" s="113">
        <v>5</v>
      </c>
      <c r="F122" s="113">
        <v>20</v>
      </c>
      <c r="K122" s="112">
        <v>3</v>
      </c>
      <c r="L122" s="317">
        <v>41569</v>
      </c>
      <c r="S122" s="318">
        <v>1433.6089999999999</v>
      </c>
      <c r="T122" s="153">
        <v>41527</v>
      </c>
      <c r="U122" s="136">
        <v>10.8</v>
      </c>
      <c r="Y122" s="136">
        <v>580.34500000000003</v>
      </c>
      <c r="Z122" s="153">
        <v>41527</v>
      </c>
      <c r="AA122" s="318" t="s">
        <v>7718</v>
      </c>
      <c r="AB122" s="153">
        <v>41527</v>
      </c>
      <c r="AE122">
        <v>31.37</v>
      </c>
      <c r="AF122" s="153">
        <v>41527</v>
      </c>
      <c r="AG122" s="136" t="s">
        <v>7718</v>
      </c>
      <c r="AH122" s="153">
        <v>41527</v>
      </c>
      <c r="AI122" s="318">
        <v>130</v>
      </c>
      <c r="AJ122" s="153">
        <v>41527</v>
      </c>
      <c r="BS122" s="318">
        <v>45.7</v>
      </c>
      <c r="BT122" s="153">
        <v>41527</v>
      </c>
      <c r="BU122">
        <v>18.5</v>
      </c>
      <c r="BV122" s="153">
        <v>41527</v>
      </c>
      <c r="CC122" s="136">
        <v>7.5</v>
      </c>
      <c r="CD122" s="153">
        <v>41527</v>
      </c>
      <c r="CG122" s="136">
        <v>6.94</v>
      </c>
      <c r="CH122" s="153">
        <v>41527</v>
      </c>
      <c r="CK122" s="136">
        <v>20</v>
      </c>
    </row>
    <row r="123" spans="1:89">
      <c r="A123" s="154" t="s">
        <v>7818</v>
      </c>
      <c r="B123" t="s">
        <v>259</v>
      </c>
      <c r="C123" t="s">
        <v>405</v>
      </c>
      <c r="D123">
        <v>21</v>
      </c>
      <c r="E123" s="113">
        <v>1</v>
      </c>
      <c r="F123" s="113">
        <v>23</v>
      </c>
      <c r="K123" s="112">
        <v>5</v>
      </c>
      <c r="L123" s="317">
        <v>41569</v>
      </c>
      <c r="S123" s="318">
        <v>2022.5250000000001</v>
      </c>
      <c r="T123" s="153">
        <v>41527</v>
      </c>
      <c r="U123" s="136">
        <v>10.8</v>
      </c>
      <c r="Y123" s="136">
        <v>922.63499999999999</v>
      </c>
      <c r="Z123" s="153">
        <v>41527</v>
      </c>
      <c r="AA123" s="318" t="s">
        <v>7718</v>
      </c>
      <c r="AB123" s="153">
        <v>41527</v>
      </c>
      <c r="AE123">
        <v>45.45</v>
      </c>
      <c r="AF123" s="153">
        <v>41527</v>
      </c>
      <c r="AG123" s="136" t="s">
        <v>7718</v>
      </c>
      <c r="AH123" s="153">
        <v>41527</v>
      </c>
      <c r="AI123" s="318">
        <v>140</v>
      </c>
      <c r="AJ123" s="153">
        <v>41527</v>
      </c>
      <c r="BS123" s="318">
        <v>44.5</v>
      </c>
      <c r="BT123" s="153">
        <v>41527</v>
      </c>
      <c r="BU123">
        <v>20.3</v>
      </c>
      <c r="BV123" s="153">
        <v>41527</v>
      </c>
      <c r="CC123" s="136">
        <v>8.5</v>
      </c>
      <c r="CD123" s="153">
        <v>41527</v>
      </c>
      <c r="CG123" s="136">
        <v>1.98</v>
      </c>
      <c r="CH123" s="153">
        <v>41527</v>
      </c>
      <c r="CK123" s="136">
        <v>20</v>
      </c>
    </row>
    <row r="124" spans="1:89">
      <c r="A124" s="154" t="s">
        <v>7818</v>
      </c>
      <c r="B124" t="s">
        <v>257</v>
      </c>
      <c r="C124" t="s">
        <v>7794</v>
      </c>
      <c r="D124">
        <v>21</v>
      </c>
      <c r="E124" s="113">
        <v>2</v>
      </c>
      <c r="F124" s="113">
        <v>35</v>
      </c>
      <c r="K124" s="112">
        <v>5</v>
      </c>
      <c r="L124" s="317">
        <v>41569</v>
      </c>
      <c r="S124" s="318">
        <v>1712.942</v>
      </c>
      <c r="T124" s="153">
        <v>41527</v>
      </c>
      <c r="U124" s="136">
        <v>10.8</v>
      </c>
      <c r="Y124" s="136">
        <v>705.55100000000004</v>
      </c>
      <c r="Z124" s="153">
        <v>41527</v>
      </c>
      <c r="AA124" s="318" t="s">
        <v>7718</v>
      </c>
      <c r="AB124" s="153">
        <v>41527</v>
      </c>
      <c r="AE124">
        <v>37.729999999999997</v>
      </c>
      <c r="AF124" s="153">
        <v>41527</v>
      </c>
      <c r="AG124" s="136" t="s">
        <v>7718</v>
      </c>
      <c r="AH124" s="153">
        <v>41527</v>
      </c>
      <c r="AI124" s="318">
        <v>135</v>
      </c>
      <c r="AJ124" s="153">
        <v>41527</v>
      </c>
      <c r="BS124" s="318">
        <v>45.4</v>
      </c>
      <c r="BT124" s="153">
        <v>41527</v>
      </c>
      <c r="BU124">
        <v>18.7</v>
      </c>
      <c r="BV124" s="153">
        <v>41527</v>
      </c>
      <c r="CC124" s="136">
        <v>8.9</v>
      </c>
      <c r="CD124" s="153">
        <v>41527</v>
      </c>
      <c r="CG124" s="136">
        <v>1.95</v>
      </c>
      <c r="CH124" s="153">
        <v>41527</v>
      </c>
      <c r="CK124" s="136">
        <v>20</v>
      </c>
    </row>
    <row r="125" spans="1:89">
      <c r="A125" s="154" t="s">
        <v>7818</v>
      </c>
      <c r="B125" t="s">
        <v>259</v>
      </c>
      <c r="C125" t="s">
        <v>7794</v>
      </c>
      <c r="D125">
        <v>21</v>
      </c>
      <c r="E125" s="113">
        <v>6</v>
      </c>
      <c r="F125" s="113">
        <v>43</v>
      </c>
      <c r="K125" s="112">
        <v>3</v>
      </c>
      <c r="L125" s="317">
        <v>41569</v>
      </c>
      <c r="S125" s="318" t="s">
        <v>7718</v>
      </c>
      <c r="T125" s="153">
        <v>41527</v>
      </c>
      <c r="U125" s="136">
        <v>10.8</v>
      </c>
      <c r="Y125" s="136" t="s">
        <v>7718</v>
      </c>
      <c r="Z125" s="153">
        <v>41527</v>
      </c>
      <c r="AA125" s="318" t="s">
        <v>7718</v>
      </c>
      <c r="AB125" s="153">
        <v>41527</v>
      </c>
      <c r="AE125" t="s">
        <v>7718</v>
      </c>
      <c r="AF125" s="153">
        <v>41527</v>
      </c>
      <c r="AG125" s="136" t="s">
        <v>7718</v>
      </c>
      <c r="AH125" s="153">
        <v>41527</v>
      </c>
      <c r="AI125" s="318">
        <v>125</v>
      </c>
      <c r="AJ125" s="153">
        <v>41527</v>
      </c>
      <c r="BS125" s="318">
        <v>44.1</v>
      </c>
      <c r="BT125" s="153">
        <v>41527</v>
      </c>
      <c r="BU125">
        <v>20.100000000000001</v>
      </c>
      <c r="BV125" s="153">
        <v>41527</v>
      </c>
      <c r="CC125" s="136">
        <v>7.9</v>
      </c>
      <c r="CD125" s="153">
        <v>41527</v>
      </c>
      <c r="CG125" s="136">
        <v>11.87</v>
      </c>
      <c r="CH125" s="153">
        <v>41527</v>
      </c>
      <c r="CK125" s="136">
        <v>10</v>
      </c>
    </row>
    <row r="126" spans="1:89">
      <c r="A126" s="154" t="s">
        <v>7818</v>
      </c>
      <c r="B126" t="s">
        <v>257</v>
      </c>
      <c r="C126" t="s">
        <v>7795</v>
      </c>
      <c r="D126">
        <v>21</v>
      </c>
      <c r="E126" s="113">
        <v>6</v>
      </c>
      <c r="F126" s="113">
        <v>74</v>
      </c>
      <c r="K126" s="112">
        <v>3</v>
      </c>
      <c r="L126" s="317">
        <v>41569</v>
      </c>
      <c r="S126" s="318">
        <v>1213.191</v>
      </c>
      <c r="T126" s="153">
        <v>41527</v>
      </c>
      <c r="U126" s="136">
        <v>10.8</v>
      </c>
      <c r="Y126" s="136">
        <v>552.95100000000002</v>
      </c>
      <c r="Z126" s="153">
        <v>41527</v>
      </c>
      <c r="AA126" s="318">
        <v>52701.149429999998</v>
      </c>
      <c r="AB126" s="153">
        <v>41527</v>
      </c>
      <c r="AE126">
        <v>27.51</v>
      </c>
      <c r="AF126" s="153">
        <v>41527</v>
      </c>
      <c r="AG126" s="136">
        <v>5.22</v>
      </c>
      <c r="AH126" s="153">
        <v>41527</v>
      </c>
      <c r="AI126" s="318">
        <v>120</v>
      </c>
      <c r="AJ126" s="153">
        <v>41527</v>
      </c>
      <c r="BS126" s="318">
        <v>44.1</v>
      </c>
      <c r="BT126" s="153">
        <v>41527</v>
      </c>
      <c r="BU126">
        <v>20.100000000000001</v>
      </c>
      <c r="BV126" s="153">
        <v>41527</v>
      </c>
      <c r="CC126" s="136">
        <v>6</v>
      </c>
      <c r="CD126" s="153">
        <v>41527</v>
      </c>
      <c r="CG126" s="136">
        <v>3.89</v>
      </c>
      <c r="CH126" s="153">
        <v>41527</v>
      </c>
      <c r="CK126" s="136">
        <v>10</v>
      </c>
    </row>
    <row r="127" spans="1:89">
      <c r="A127" s="154" t="s">
        <v>7818</v>
      </c>
      <c r="B127" t="s">
        <v>259</v>
      </c>
      <c r="C127" t="s">
        <v>7795</v>
      </c>
      <c r="D127">
        <v>21</v>
      </c>
      <c r="E127" s="113">
        <v>3</v>
      </c>
      <c r="F127" s="113">
        <v>60</v>
      </c>
      <c r="K127" s="112">
        <v>5</v>
      </c>
      <c r="L127" s="317">
        <v>41569</v>
      </c>
      <c r="S127" s="318">
        <v>1820.404</v>
      </c>
      <c r="T127" s="153">
        <v>41527</v>
      </c>
      <c r="U127" s="136">
        <v>10.8</v>
      </c>
      <c r="Y127" s="136">
        <v>955.60400000000004</v>
      </c>
      <c r="Z127" s="153">
        <v>41527</v>
      </c>
      <c r="AA127" s="318">
        <v>85454.545450000005</v>
      </c>
      <c r="AB127" s="153">
        <v>41527</v>
      </c>
      <c r="AE127">
        <v>43.24</v>
      </c>
      <c r="AF127" s="153">
        <v>41527</v>
      </c>
      <c r="AG127" s="136">
        <v>5.0599999999999996</v>
      </c>
      <c r="AH127" s="153">
        <v>41527</v>
      </c>
      <c r="AI127" s="318">
        <v>140</v>
      </c>
      <c r="AJ127" s="153">
        <v>41527</v>
      </c>
      <c r="BS127" s="318">
        <v>42.1</v>
      </c>
      <c r="BT127" s="153">
        <v>41527</v>
      </c>
      <c r="BU127">
        <v>22.1</v>
      </c>
      <c r="BV127" s="153">
        <v>41527</v>
      </c>
      <c r="CC127" s="136">
        <v>10.3</v>
      </c>
      <c r="CD127" s="153">
        <v>41527</v>
      </c>
      <c r="CG127" s="136">
        <v>2.4700000000000002</v>
      </c>
      <c r="CH127" s="153">
        <v>41527</v>
      </c>
      <c r="CK127" s="136">
        <v>10</v>
      </c>
    </row>
    <row r="128" spans="1:89">
      <c r="A128" s="154" t="s">
        <v>7819</v>
      </c>
      <c r="B128" t="s">
        <v>257</v>
      </c>
      <c r="C128" t="s">
        <v>405</v>
      </c>
      <c r="D128">
        <v>22</v>
      </c>
      <c r="E128" s="113">
        <v>6</v>
      </c>
      <c r="F128" s="113">
        <v>11</v>
      </c>
      <c r="K128" s="112">
        <v>3</v>
      </c>
      <c r="L128" s="317">
        <v>41569</v>
      </c>
      <c r="S128" s="318">
        <v>1858.172</v>
      </c>
      <c r="T128" s="153">
        <v>41527</v>
      </c>
      <c r="U128" s="136">
        <v>10.8</v>
      </c>
      <c r="Y128" s="136">
        <v>793.423</v>
      </c>
      <c r="Z128" s="153">
        <v>41527</v>
      </c>
      <c r="AA128" s="318" t="s">
        <v>7718</v>
      </c>
      <c r="AB128" s="153">
        <v>41527</v>
      </c>
      <c r="AE128">
        <v>41.11</v>
      </c>
      <c r="AF128" s="153">
        <v>41527</v>
      </c>
      <c r="AG128" s="136" t="s">
        <v>7718</v>
      </c>
      <c r="AH128" s="153">
        <v>41527</v>
      </c>
      <c r="AI128" s="318">
        <v>125</v>
      </c>
      <c r="AJ128" s="153">
        <v>41527</v>
      </c>
      <c r="BS128" s="318">
        <v>45.2</v>
      </c>
      <c r="BT128" s="153">
        <v>41527</v>
      </c>
      <c r="BU128">
        <v>19.3</v>
      </c>
      <c r="BV128" s="153">
        <v>41527</v>
      </c>
      <c r="CC128" s="136">
        <v>7.2</v>
      </c>
      <c r="CD128" s="153">
        <v>41527</v>
      </c>
      <c r="CG128" s="136">
        <v>2.81</v>
      </c>
      <c r="CH128" s="153">
        <v>41527</v>
      </c>
      <c r="CK128" s="136">
        <v>5</v>
      </c>
    </row>
    <row r="129" spans="1:89">
      <c r="A129" s="154" t="s">
        <v>7819</v>
      </c>
      <c r="B129" t="s">
        <v>259</v>
      </c>
      <c r="C129" t="s">
        <v>405</v>
      </c>
      <c r="D129">
        <v>22</v>
      </c>
      <c r="E129" s="113">
        <v>2</v>
      </c>
      <c r="F129" s="113">
        <v>15</v>
      </c>
      <c r="K129" s="112">
        <v>5</v>
      </c>
      <c r="L129" s="317">
        <v>41569</v>
      </c>
      <c r="S129" s="318">
        <v>2557.86</v>
      </c>
      <c r="T129" s="153">
        <v>41527</v>
      </c>
      <c r="U129" s="136">
        <v>10.8</v>
      </c>
      <c r="Y129" s="136">
        <v>1184.088</v>
      </c>
      <c r="Z129" s="153">
        <v>41527</v>
      </c>
      <c r="AA129" s="318" t="s">
        <v>7718</v>
      </c>
      <c r="AB129" s="153">
        <v>41527</v>
      </c>
      <c r="AE129">
        <v>57.48</v>
      </c>
      <c r="AF129" s="153">
        <v>41527</v>
      </c>
      <c r="AG129" s="136" t="s">
        <v>7718</v>
      </c>
      <c r="AH129" s="153">
        <v>41527</v>
      </c>
      <c r="AI129" s="318">
        <v>130</v>
      </c>
      <c r="AJ129" s="153">
        <v>41527</v>
      </c>
      <c r="BS129" s="318">
        <v>44.5</v>
      </c>
      <c r="BT129" s="153">
        <v>41527</v>
      </c>
      <c r="BU129">
        <v>20.6</v>
      </c>
      <c r="BV129" s="153">
        <v>41527</v>
      </c>
      <c r="CC129" s="136">
        <v>7</v>
      </c>
      <c r="CD129" s="153">
        <v>41527</v>
      </c>
      <c r="CG129" s="136">
        <v>1.66</v>
      </c>
      <c r="CH129" s="153">
        <v>41527</v>
      </c>
      <c r="CK129" s="136">
        <v>1</v>
      </c>
    </row>
    <row r="130" spans="1:89">
      <c r="A130" s="154" t="s">
        <v>7819</v>
      </c>
      <c r="B130" t="s">
        <v>257</v>
      </c>
      <c r="C130" t="s">
        <v>7794</v>
      </c>
      <c r="D130">
        <v>22</v>
      </c>
      <c r="E130" s="113">
        <v>2</v>
      </c>
      <c r="F130" s="113">
        <v>41</v>
      </c>
      <c r="K130" s="112">
        <v>5</v>
      </c>
      <c r="L130" s="317">
        <v>41569</v>
      </c>
      <c r="S130" s="318">
        <v>2192.067</v>
      </c>
      <c r="T130" s="153">
        <v>41527</v>
      </c>
      <c r="U130" s="136">
        <v>10.8</v>
      </c>
      <c r="Y130" s="136">
        <v>929.08799999999997</v>
      </c>
      <c r="Z130" s="153">
        <v>41527</v>
      </c>
      <c r="AA130" s="318" t="s">
        <v>7718</v>
      </c>
      <c r="AB130" s="153">
        <v>41527</v>
      </c>
      <c r="AE130">
        <v>48.39</v>
      </c>
      <c r="AF130" s="153">
        <v>41527</v>
      </c>
      <c r="AG130" s="136" t="s">
        <v>7718</v>
      </c>
      <c r="AH130" s="153">
        <v>41527</v>
      </c>
      <c r="AI130" s="318">
        <v>130</v>
      </c>
      <c r="AJ130" s="153">
        <v>41527</v>
      </c>
      <c r="BS130" s="318">
        <v>45.3</v>
      </c>
      <c r="BT130" s="153">
        <v>41527</v>
      </c>
      <c r="BU130">
        <v>19.2</v>
      </c>
      <c r="BV130" s="153">
        <v>41527</v>
      </c>
      <c r="CC130" s="136">
        <v>8.4</v>
      </c>
      <c r="CD130" s="153">
        <v>41527</v>
      </c>
      <c r="CG130" s="136">
        <v>2.0099999999999998</v>
      </c>
      <c r="CH130" s="153">
        <v>41527</v>
      </c>
      <c r="CK130" s="136">
        <v>10</v>
      </c>
    </row>
    <row r="131" spans="1:89">
      <c r="A131" s="154" t="s">
        <v>7819</v>
      </c>
      <c r="B131" t="s">
        <v>259</v>
      </c>
      <c r="C131" t="s">
        <v>7794</v>
      </c>
      <c r="D131">
        <v>22</v>
      </c>
      <c r="E131" s="113">
        <v>6</v>
      </c>
      <c r="F131" s="113">
        <v>31</v>
      </c>
      <c r="K131" s="112">
        <v>3</v>
      </c>
      <c r="L131" s="317">
        <v>41569</v>
      </c>
      <c r="S131" s="318">
        <v>2183.547</v>
      </c>
      <c r="T131" s="153">
        <v>41527</v>
      </c>
      <c r="U131" s="136">
        <v>10.8</v>
      </c>
      <c r="Y131" s="136">
        <v>975.94200000000001</v>
      </c>
      <c r="Z131" s="153">
        <v>41527</v>
      </c>
      <c r="AA131" s="318" t="s">
        <v>7718</v>
      </c>
      <c r="AB131" s="153">
        <v>41527</v>
      </c>
      <c r="AE131">
        <v>49.29</v>
      </c>
      <c r="AF131" s="153">
        <v>41527</v>
      </c>
      <c r="AG131" s="136" t="s">
        <v>7718</v>
      </c>
      <c r="AH131" s="153">
        <v>41527</v>
      </c>
      <c r="AI131" s="318">
        <v>130</v>
      </c>
      <c r="AJ131" s="153">
        <v>41527</v>
      </c>
      <c r="BS131" s="318">
        <v>44.3</v>
      </c>
      <c r="BT131" s="153">
        <v>41527</v>
      </c>
      <c r="BU131">
        <v>19.8</v>
      </c>
      <c r="BV131" s="153">
        <v>41527</v>
      </c>
      <c r="CC131" s="136">
        <v>5.7</v>
      </c>
      <c r="CD131" s="153">
        <v>41527</v>
      </c>
      <c r="CG131" s="136">
        <v>3.96</v>
      </c>
      <c r="CH131" s="153">
        <v>41527</v>
      </c>
      <c r="CK131" s="136">
        <v>10</v>
      </c>
    </row>
    <row r="132" spans="1:89">
      <c r="A132" s="154" t="s">
        <v>7819</v>
      </c>
      <c r="B132" t="s">
        <v>257</v>
      </c>
      <c r="C132" t="s">
        <v>7795</v>
      </c>
      <c r="D132">
        <v>22</v>
      </c>
      <c r="E132" s="113">
        <v>5</v>
      </c>
      <c r="F132" s="113">
        <v>78</v>
      </c>
      <c r="K132" s="112">
        <v>5</v>
      </c>
      <c r="L132" s="317">
        <v>41569</v>
      </c>
      <c r="S132" s="318">
        <v>1976.9469999999999</v>
      </c>
      <c r="T132" s="153">
        <v>41527</v>
      </c>
      <c r="U132" s="136">
        <v>10.8</v>
      </c>
      <c r="Y132" s="136">
        <v>849.779</v>
      </c>
      <c r="Z132" s="153">
        <v>41527</v>
      </c>
      <c r="AA132" s="318">
        <v>88770.161290000004</v>
      </c>
      <c r="AB132" s="153">
        <v>41527</v>
      </c>
      <c r="AE132">
        <v>44.03</v>
      </c>
      <c r="AF132" s="153">
        <v>41527</v>
      </c>
      <c r="AG132" s="136">
        <v>4.96</v>
      </c>
      <c r="AH132" s="153">
        <v>41527</v>
      </c>
      <c r="AI132" s="318">
        <v>120</v>
      </c>
      <c r="AJ132" s="153">
        <v>41527</v>
      </c>
      <c r="BS132" s="318">
        <v>44.9</v>
      </c>
      <c r="BT132" s="153">
        <v>41527</v>
      </c>
      <c r="BU132">
        <v>19.3</v>
      </c>
      <c r="BV132" s="153">
        <v>41527</v>
      </c>
      <c r="CC132" s="136">
        <v>6.3</v>
      </c>
      <c r="CD132" s="153">
        <v>41527</v>
      </c>
      <c r="CG132" s="136">
        <v>2.23</v>
      </c>
      <c r="CH132" s="153">
        <v>41527</v>
      </c>
      <c r="CK132" s="136">
        <v>5</v>
      </c>
    </row>
    <row r="133" spans="1:89">
      <c r="A133" s="154" t="s">
        <v>7819</v>
      </c>
      <c r="B133" t="s">
        <v>259</v>
      </c>
      <c r="C133" t="s">
        <v>7795</v>
      </c>
      <c r="D133">
        <v>22</v>
      </c>
      <c r="E133" s="113">
        <v>3</v>
      </c>
      <c r="F133" s="113">
        <v>86</v>
      </c>
      <c r="K133" s="112">
        <v>5</v>
      </c>
      <c r="L133" s="317">
        <v>41569</v>
      </c>
      <c r="S133" s="318">
        <v>2217.3380000000002</v>
      </c>
      <c r="T133" s="153">
        <v>41527</v>
      </c>
      <c r="U133" s="136">
        <v>10.8</v>
      </c>
      <c r="Y133" s="136">
        <v>1065.54</v>
      </c>
      <c r="Z133" s="153">
        <v>41527</v>
      </c>
      <c r="AA133" s="318">
        <v>100475.2475</v>
      </c>
      <c r="AB133" s="153">
        <v>41527</v>
      </c>
      <c r="AE133">
        <v>50.74</v>
      </c>
      <c r="AF133" s="153">
        <v>41527</v>
      </c>
      <c r="AG133" s="136">
        <v>5.05</v>
      </c>
      <c r="AH133" s="153">
        <v>41527</v>
      </c>
      <c r="AI133" s="318">
        <v>125</v>
      </c>
      <c r="AJ133" s="153">
        <v>41527</v>
      </c>
      <c r="BS133" s="318">
        <v>43.7</v>
      </c>
      <c r="BT133" s="153">
        <v>41527</v>
      </c>
      <c r="BU133">
        <v>21</v>
      </c>
      <c r="BV133" s="153">
        <v>41527</v>
      </c>
      <c r="CC133" s="136">
        <v>9.4</v>
      </c>
      <c r="CD133" s="153">
        <v>41527</v>
      </c>
      <c r="CG133" s="136">
        <v>2.93</v>
      </c>
      <c r="CH133" s="153">
        <v>41527</v>
      </c>
      <c r="CK133" s="136">
        <v>1</v>
      </c>
    </row>
    <row r="134" spans="1:89">
      <c r="A134" s="154" t="s">
        <v>7820</v>
      </c>
      <c r="B134" t="s">
        <v>257</v>
      </c>
      <c r="C134" t="s">
        <v>405</v>
      </c>
      <c r="D134">
        <v>23</v>
      </c>
      <c r="E134" s="113">
        <v>5</v>
      </c>
      <c r="F134" s="113">
        <v>23</v>
      </c>
      <c r="K134" s="112">
        <v>5</v>
      </c>
      <c r="L134" s="317">
        <v>41569</v>
      </c>
      <c r="S134" s="318">
        <v>1311.415</v>
      </c>
      <c r="T134" s="153">
        <v>41527</v>
      </c>
      <c r="U134" s="136">
        <v>10.8</v>
      </c>
      <c r="Y134" s="136">
        <v>592.34699999999998</v>
      </c>
      <c r="Z134" s="153">
        <v>41527</v>
      </c>
      <c r="AA134" s="318" t="s">
        <v>7718</v>
      </c>
      <c r="AB134" s="153">
        <v>41527</v>
      </c>
      <c r="AE134">
        <v>29.47</v>
      </c>
      <c r="AF134" s="153">
        <v>41527</v>
      </c>
      <c r="AG134" s="136" t="s">
        <v>7718</v>
      </c>
      <c r="AH134" s="153">
        <v>41527</v>
      </c>
      <c r="AI134" s="318">
        <v>130</v>
      </c>
      <c r="AJ134" s="153">
        <v>41527</v>
      </c>
      <c r="BS134" s="318">
        <v>44.5</v>
      </c>
      <c r="BT134" s="153">
        <v>41527</v>
      </c>
      <c r="BU134">
        <v>20.100000000000001</v>
      </c>
      <c r="BV134" s="153">
        <v>41527</v>
      </c>
      <c r="CC134" s="136">
        <v>8.1</v>
      </c>
      <c r="CD134" s="153">
        <v>41527</v>
      </c>
      <c r="CG134" s="136">
        <v>5.55</v>
      </c>
      <c r="CH134" s="153">
        <v>41527</v>
      </c>
      <c r="CK134" s="136">
        <v>5</v>
      </c>
    </row>
    <row r="135" spans="1:89">
      <c r="A135" s="154" t="s">
        <v>7820</v>
      </c>
      <c r="B135" t="s">
        <v>259</v>
      </c>
      <c r="C135" t="s">
        <v>405</v>
      </c>
      <c r="D135">
        <v>23</v>
      </c>
      <c r="E135" s="113">
        <v>3</v>
      </c>
      <c r="F135" s="113">
        <v>18</v>
      </c>
      <c r="K135" s="112">
        <v>5</v>
      </c>
      <c r="L135" s="317">
        <v>41569</v>
      </c>
      <c r="S135" s="318">
        <v>1593.325</v>
      </c>
      <c r="T135" s="153">
        <v>41527</v>
      </c>
      <c r="U135" s="136">
        <v>10.8</v>
      </c>
      <c r="Y135" s="136">
        <v>821.03099999999995</v>
      </c>
      <c r="Z135" s="153">
        <v>41527</v>
      </c>
      <c r="AA135" s="318" t="s">
        <v>7718</v>
      </c>
      <c r="AB135" s="153">
        <v>41527</v>
      </c>
      <c r="AE135">
        <v>37.49</v>
      </c>
      <c r="AF135" s="153">
        <v>41527</v>
      </c>
      <c r="AG135" s="136" t="s">
        <v>7718</v>
      </c>
      <c r="AH135" s="153">
        <v>41527</v>
      </c>
      <c r="AI135" s="318">
        <v>135</v>
      </c>
      <c r="AJ135" s="153">
        <v>41527</v>
      </c>
      <c r="BS135" s="318">
        <v>42.5</v>
      </c>
      <c r="BT135" s="153">
        <v>41527</v>
      </c>
      <c r="BU135">
        <v>21.9</v>
      </c>
      <c r="BV135" s="153">
        <v>41527</v>
      </c>
      <c r="CC135" s="136">
        <v>8.8000000000000007</v>
      </c>
      <c r="CD135" s="153">
        <v>41527</v>
      </c>
      <c r="CG135" s="136">
        <v>4.8099999999999996</v>
      </c>
      <c r="CH135" s="153">
        <v>41527</v>
      </c>
      <c r="CK135" s="136">
        <v>5</v>
      </c>
    </row>
    <row r="136" spans="1:89">
      <c r="A136" s="154" t="s">
        <v>7820</v>
      </c>
      <c r="B136" t="s">
        <v>257</v>
      </c>
      <c r="C136" t="s">
        <v>7794</v>
      </c>
      <c r="D136">
        <v>23</v>
      </c>
      <c r="E136" s="113">
        <v>1</v>
      </c>
      <c r="F136" s="113">
        <v>35</v>
      </c>
      <c r="K136" s="112">
        <v>5</v>
      </c>
      <c r="L136" s="317">
        <v>41569</v>
      </c>
      <c r="S136" s="318">
        <v>1431.9</v>
      </c>
      <c r="T136" s="153">
        <v>41527</v>
      </c>
      <c r="U136" s="136">
        <v>10.8</v>
      </c>
      <c r="Y136" s="136">
        <v>641.77499999999998</v>
      </c>
      <c r="Z136" s="153">
        <v>41527</v>
      </c>
      <c r="AA136" s="318" t="s">
        <v>7718</v>
      </c>
      <c r="AB136" s="153">
        <v>41527</v>
      </c>
      <c r="AE136">
        <v>32.25</v>
      </c>
      <c r="AF136" s="153">
        <v>41527</v>
      </c>
      <c r="AG136" s="136" t="s">
        <v>7718</v>
      </c>
      <c r="AH136" s="153">
        <v>41527</v>
      </c>
      <c r="AI136" s="318">
        <v>140</v>
      </c>
      <c r="AJ136" s="153">
        <v>41527</v>
      </c>
      <c r="BS136" s="318">
        <v>44.4</v>
      </c>
      <c r="BT136" s="153">
        <v>41527</v>
      </c>
      <c r="BU136">
        <v>19.899999999999999</v>
      </c>
      <c r="BV136" s="153">
        <v>41527</v>
      </c>
      <c r="CC136" s="136">
        <v>11.2</v>
      </c>
      <c r="CD136" s="153">
        <v>41527</v>
      </c>
      <c r="CG136" s="136">
        <v>4.22</v>
      </c>
      <c r="CH136" s="153">
        <v>41527</v>
      </c>
      <c r="CK136" s="136">
        <v>5</v>
      </c>
    </row>
    <row r="137" spans="1:89">
      <c r="A137" s="154" t="s">
        <v>7820</v>
      </c>
      <c r="B137" t="s">
        <v>259</v>
      </c>
      <c r="C137" t="s">
        <v>7794</v>
      </c>
      <c r="D137">
        <v>23</v>
      </c>
      <c r="E137" s="113">
        <v>6</v>
      </c>
      <c r="F137" s="113">
        <v>56</v>
      </c>
      <c r="K137" s="112">
        <v>3</v>
      </c>
      <c r="L137" s="317">
        <v>41569</v>
      </c>
      <c r="S137" s="318">
        <v>1390.0319999999999</v>
      </c>
      <c r="T137" s="153">
        <v>41527</v>
      </c>
      <c r="U137" s="136">
        <v>10.8</v>
      </c>
      <c r="Y137" s="136">
        <v>649.31200000000001</v>
      </c>
      <c r="Z137" s="153">
        <v>41527</v>
      </c>
      <c r="AA137" s="318" t="s">
        <v>7718</v>
      </c>
      <c r="AB137" s="153">
        <v>41527</v>
      </c>
      <c r="AE137">
        <v>31.52</v>
      </c>
      <c r="AF137" s="153">
        <v>41527</v>
      </c>
      <c r="AG137" s="136" t="s">
        <v>7718</v>
      </c>
      <c r="AH137" s="153">
        <v>41527</v>
      </c>
      <c r="AI137" s="318">
        <v>120</v>
      </c>
      <c r="AJ137" s="153">
        <v>41527</v>
      </c>
      <c r="BS137" s="318">
        <v>44.1</v>
      </c>
      <c r="BT137" s="153">
        <v>41527</v>
      </c>
      <c r="BU137">
        <v>20.6</v>
      </c>
      <c r="BV137" s="153">
        <v>41527</v>
      </c>
      <c r="CC137" s="136">
        <v>9.3000000000000007</v>
      </c>
      <c r="CD137" s="153">
        <v>41527</v>
      </c>
      <c r="CG137" s="136">
        <v>4.1500000000000004</v>
      </c>
      <c r="CH137" s="153">
        <v>41527</v>
      </c>
      <c r="CK137" s="136">
        <v>5</v>
      </c>
    </row>
    <row r="138" spans="1:89">
      <c r="A138" s="154" t="s">
        <v>7820</v>
      </c>
      <c r="B138" t="s">
        <v>257</v>
      </c>
      <c r="C138" t="s">
        <v>7795</v>
      </c>
      <c r="D138">
        <v>23</v>
      </c>
      <c r="E138" s="113">
        <v>5</v>
      </c>
      <c r="F138" s="113">
        <v>72</v>
      </c>
      <c r="K138" s="112">
        <v>5</v>
      </c>
      <c r="L138" s="317">
        <v>41569</v>
      </c>
      <c r="S138" s="318">
        <v>1374.9480000000001</v>
      </c>
      <c r="T138" s="153">
        <v>41527</v>
      </c>
      <c r="U138" s="136">
        <v>10.8</v>
      </c>
      <c r="Y138" s="136">
        <v>651.45600000000002</v>
      </c>
      <c r="Z138" s="153">
        <v>41527</v>
      </c>
      <c r="AA138" s="318">
        <v>70382.022469999996</v>
      </c>
      <c r="AB138" s="153">
        <v>41527</v>
      </c>
      <c r="AE138">
        <v>31.32</v>
      </c>
      <c r="AF138" s="153">
        <v>41527</v>
      </c>
      <c r="AG138" s="136">
        <v>4.45</v>
      </c>
      <c r="AH138" s="153">
        <v>41527</v>
      </c>
      <c r="AI138" s="318">
        <v>130</v>
      </c>
      <c r="AJ138" s="153">
        <v>41527</v>
      </c>
      <c r="BS138" s="318">
        <v>43.9</v>
      </c>
      <c r="BT138" s="153">
        <v>41527</v>
      </c>
      <c r="BU138">
        <v>20.8</v>
      </c>
      <c r="BV138" s="153">
        <v>41527</v>
      </c>
      <c r="CC138" s="136">
        <v>5.9</v>
      </c>
      <c r="CD138" s="153">
        <v>41527</v>
      </c>
      <c r="CG138" s="136">
        <v>2.5099999999999998</v>
      </c>
      <c r="CH138" s="153">
        <v>41527</v>
      </c>
      <c r="CK138" s="136">
        <v>10</v>
      </c>
    </row>
    <row r="139" spans="1:89">
      <c r="A139" s="154" t="s">
        <v>7820</v>
      </c>
      <c r="B139" t="s">
        <v>259</v>
      </c>
      <c r="C139" t="s">
        <v>7795</v>
      </c>
      <c r="D139">
        <v>23</v>
      </c>
      <c r="E139" s="113">
        <v>2</v>
      </c>
      <c r="F139" s="113">
        <v>64</v>
      </c>
      <c r="K139" s="112">
        <v>5</v>
      </c>
      <c r="L139" s="317">
        <v>41569</v>
      </c>
      <c r="S139" s="318">
        <v>1487.4390000000001</v>
      </c>
      <c r="T139" s="153">
        <v>41527</v>
      </c>
      <c r="U139" s="136">
        <v>10.8</v>
      </c>
      <c r="Y139" s="136">
        <v>806.14200000000005</v>
      </c>
      <c r="Z139" s="153">
        <v>41527</v>
      </c>
      <c r="AA139" s="318">
        <v>69941.176470000006</v>
      </c>
      <c r="AB139" s="153">
        <v>41527</v>
      </c>
      <c r="AE139">
        <v>35.67</v>
      </c>
      <c r="AF139" s="153">
        <v>41527</v>
      </c>
      <c r="AG139" s="136">
        <v>5.0999999999999996</v>
      </c>
      <c r="AH139" s="153">
        <v>41527</v>
      </c>
      <c r="AI139" s="318">
        <v>130</v>
      </c>
      <c r="AJ139" s="153">
        <v>41527</v>
      </c>
      <c r="BS139" s="318">
        <v>41.7</v>
      </c>
      <c r="BT139" s="153">
        <v>41527</v>
      </c>
      <c r="BU139">
        <v>22.6</v>
      </c>
      <c r="BV139" s="153">
        <v>41527</v>
      </c>
      <c r="CC139" s="136">
        <v>10</v>
      </c>
      <c r="CD139" s="153">
        <v>41527</v>
      </c>
      <c r="CG139" s="136">
        <v>7.13</v>
      </c>
      <c r="CH139" s="153">
        <v>41527</v>
      </c>
      <c r="CK139" s="136">
        <v>10</v>
      </c>
    </row>
    <row r="140" spans="1:89">
      <c r="A140" s="154" t="s">
        <v>7821</v>
      </c>
      <c r="B140" t="s">
        <v>257</v>
      </c>
      <c r="C140" t="s">
        <v>405</v>
      </c>
      <c r="D140">
        <v>24</v>
      </c>
      <c r="E140" s="113">
        <v>5</v>
      </c>
      <c r="F140" s="113">
        <v>26</v>
      </c>
      <c r="K140" s="112">
        <v>5</v>
      </c>
      <c r="L140" s="317">
        <v>41569</v>
      </c>
      <c r="S140" s="318">
        <v>1212.066</v>
      </c>
      <c r="T140" s="153">
        <v>41527</v>
      </c>
      <c r="U140" s="136">
        <v>10.8</v>
      </c>
      <c r="Y140" s="136">
        <v>499.392</v>
      </c>
      <c r="Z140" s="153">
        <v>41527</v>
      </c>
      <c r="AA140" s="318" t="s">
        <v>7718</v>
      </c>
      <c r="AB140" s="153">
        <v>41527</v>
      </c>
      <c r="AE140">
        <v>26.01</v>
      </c>
      <c r="AF140" s="153">
        <v>41527</v>
      </c>
      <c r="AG140" s="136" t="s">
        <v>7718</v>
      </c>
      <c r="AH140" s="153">
        <v>41527</v>
      </c>
      <c r="AI140" s="318">
        <v>120</v>
      </c>
      <c r="AJ140" s="153">
        <v>41527</v>
      </c>
      <c r="BS140" s="318">
        <v>46.6</v>
      </c>
      <c r="BT140" s="153">
        <v>41527</v>
      </c>
      <c r="BU140">
        <v>19.2</v>
      </c>
      <c r="BV140" s="153">
        <v>41527</v>
      </c>
      <c r="CC140" s="136">
        <v>9.6999999999999993</v>
      </c>
      <c r="CD140" s="153">
        <v>41527</v>
      </c>
      <c r="CG140" s="136">
        <v>10.19</v>
      </c>
      <c r="CH140" s="153">
        <v>41527</v>
      </c>
      <c r="CK140" s="136">
        <v>30</v>
      </c>
    </row>
    <row r="141" spans="1:89">
      <c r="A141" s="154" t="s">
        <v>7821</v>
      </c>
      <c r="B141" t="s">
        <v>259</v>
      </c>
      <c r="C141" t="s">
        <v>405</v>
      </c>
      <c r="D141">
        <v>24</v>
      </c>
      <c r="E141" s="113">
        <v>3</v>
      </c>
      <c r="F141" s="113">
        <v>2</v>
      </c>
      <c r="K141" s="112">
        <v>3</v>
      </c>
      <c r="L141" s="317">
        <v>41569</v>
      </c>
      <c r="S141" s="318">
        <v>2158.5050000000001</v>
      </c>
      <c r="T141" s="153">
        <v>41527</v>
      </c>
      <c r="U141" s="136">
        <v>10.8</v>
      </c>
      <c r="Y141" s="136">
        <v>1136.58</v>
      </c>
      <c r="Z141" s="153">
        <v>41527</v>
      </c>
      <c r="AA141" s="318" t="s">
        <v>7718</v>
      </c>
      <c r="AB141" s="153">
        <v>41527</v>
      </c>
      <c r="AE141">
        <v>49.85</v>
      </c>
      <c r="AF141" s="153">
        <v>41527</v>
      </c>
      <c r="AG141" s="136" t="s">
        <v>7718</v>
      </c>
      <c r="AH141" s="153">
        <v>41527</v>
      </c>
      <c r="AI141" s="318">
        <v>130</v>
      </c>
      <c r="AJ141" s="153">
        <v>41527</v>
      </c>
      <c r="BS141" s="318">
        <v>43.3</v>
      </c>
      <c r="BT141" s="153">
        <v>41527</v>
      </c>
      <c r="BU141">
        <v>22.8</v>
      </c>
      <c r="BV141" s="153">
        <v>41527</v>
      </c>
      <c r="CC141" s="136">
        <v>13.5</v>
      </c>
      <c r="CD141" s="153">
        <v>41527</v>
      </c>
      <c r="CG141" s="136">
        <v>3.17</v>
      </c>
      <c r="CH141" s="153">
        <v>41527</v>
      </c>
      <c r="CK141" s="136">
        <v>30</v>
      </c>
    </row>
    <row r="142" spans="1:89">
      <c r="A142" s="154" t="s">
        <v>7821</v>
      </c>
      <c r="B142" t="s">
        <v>257</v>
      </c>
      <c r="C142" t="s">
        <v>7794</v>
      </c>
      <c r="D142">
        <v>24</v>
      </c>
      <c r="E142" s="113">
        <v>1</v>
      </c>
      <c r="F142" s="113">
        <v>40</v>
      </c>
      <c r="K142" s="112">
        <v>5</v>
      </c>
      <c r="L142" s="317">
        <v>41569</v>
      </c>
      <c r="S142" s="318">
        <v>1726.66</v>
      </c>
      <c r="T142" s="153">
        <v>41527</v>
      </c>
      <c r="U142" s="136">
        <v>10.8</v>
      </c>
      <c r="Y142" s="136">
        <v>761.54</v>
      </c>
      <c r="Z142" s="153">
        <v>41527</v>
      </c>
      <c r="AA142" s="318" t="s">
        <v>7718</v>
      </c>
      <c r="AB142" s="153">
        <v>41527</v>
      </c>
      <c r="AE142">
        <v>37.700000000000003</v>
      </c>
      <c r="AF142" s="153">
        <v>41527</v>
      </c>
      <c r="AG142" s="136" t="s">
        <v>7718</v>
      </c>
      <c r="AH142" s="153">
        <v>41527</v>
      </c>
      <c r="AI142" s="318">
        <v>130</v>
      </c>
      <c r="AJ142" s="153">
        <v>41527</v>
      </c>
      <c r="BS142" s="318">
        <v>45.8</v>
      </c>
      <c r="BT142" s="153">
        <v>41527</v>
      </c>
      <c r="BU142">
        <v>20.2</v>
      </c>
      <c r="BV142" s="153">
        <v>41527</v>
      </c>
      <c r="CC142" s="136">
        <v>8.4</v>
      </c>
      <c r="CD142" s="153">
        <v>41527</v>
      </c>
      <c r="CG142" s="136">
        <v>4.49</v>
      </c>
      <c r="CH142" s="153">
        <v>41527</v>
      </c>
      <c r="CK142" s="136">
        <v>30</v>
      </c>
    </row>
    <row r="143" spans="1:89">
      <c r="A143" s="154" t="s">
        <v>7821</v>
      </c>
      <c r="B143" t="s">
        <v>259</v>
      </c>
      <c r="C143" t="s">
        <v>7794</v>
      </c>
      <c r="D143">
        <v>24</v>
      </c>
      <c r="E143" s="113">
        <v>6</v>
      </c>
      <c r="F143" s="113">
        <v>41</v>
      </c>
      <c r="K143" s="112">
        <v>5</v>
      </c>
      <c r="L143" s="317">
        <v>41569</v>
      </c>
      <c r="S143" s="318">
        <v>1743.0650000000001</v>
      </c>
      <c r="T143" s="153">
        <v>41527</v>
      </c>
      <c r="U143" s="136">
        <v>10.8</v>
      </c>
      <c r="Y143" s="136">
        <v>826.48699999999997</v>
      </c>
      <c r="Z143" s="153">
        <v>41527</v>
      </c>
      <c r="AA143" s="318" t="s">
        <v>7718</v>
      </c>
      <c r="AB143" s="153">
        <v>41527</v>
      </c>
      <c r="AE143">
        <v>39.17</v>
      </c>
      <c r="AF143" s="153">
        <v>41527</v>
      </c>
      <c r="AG143" s="136" t="s">
        <v>7718</v>
      </c>
      <c r="AH143" s="153">
        <v>41527</v>
      </c>
      <c r="AI143" s="318">
        <v>120</v>
      </c>
      <c r="AJ143" s="153">
        <v>41527</v>
      </c>
      <c r="BS143" s="318">
        <v>44.5</v>
      </c>
      <c r="BT143" s="153">
        <v>41527</v>
      </c>
      <c r="BU143">
        <v>21.1</v>
      </c>
      <c r="BV143" s="153">
        <v>41527</v>
      </c>
      <c r="CC143" s="136">
        <v>7.4</v>
      </c>
      <c r="CD143" s="153">
        <v>41527</v>
      </c>
      <c r="CG143" s="136">
        <v>8.9</v>
      </c>
      <c r="CH143" s="153">
        <v>41527</v>
      </c>
      <c r="CK143" s="136">
        <v>20</v>
      </c>
    </row>
    <row r="144" spans="1:89">
      <c r="A144" s="154" t="s">
        <v>7821</v>
      </c>
      <c r="B144" t="s">
        <v>257</v>
      </c>
      <c r="C144" t="s">
        <v>7795</v>
      </c>
      <c r="D144">
        <v>24</v>
      </c>
      <c r="E144" s="113">
        <v>6</v>
      </c>
      <c r="F144" s="113">
        <v>82</v>
      </c>
      <c r="K144" s="112">
        <v>5</v>
      </c>
      <c r="L144" s="317">
        <v>41569</v>
      </c>
      <c r="S144" s="318">
        <v>1365.059</v>
      </c>
      <c r="T144" s="153">
        <v>41527</v>
      </c>
      <c r="U144" s="136">
        <v>10.8</v>
      </c>
      <c r="Y144" s="136">
        <v>609.34799999999996</v>
      </c>
      <c r="Z144" s="153">
        <v>41527</v>
      </c>
      <c r="AA144" s="318">
        <v>74488.778049999994</v>
      </c>
      <c r="AB144" s="153">
        <v>41527</v>
      </c>
      <c r="AE144">
        <v>29.87</v>
      </c>
      <c r="AF144" s="153">
        <v>41527</v>
      </c>
      <c r="AG144" s="136">
        <v>4.01</v>
      </c>
      <c r="AH144" s="153">
        <v>41527</v>
      </c>
      <c r="AI144" s="318">
        <v>115</v>
      </c>
      <c r="AJ144" s="153">
        <v>41527</v>
      </c>
      <c r="BS144" s="318">
        <v>45.7</v>
      </c>
      <c r="BT144" s="153">
        <v>41527</v>
      </c>
      <c r="BU144">
        <v>20.399999999999999</v>
      </c>
      <c r="BV144" s="153">
        <v>41527</v>
      </c>
      <c r="CC144" s="136">
        <v>6.7</v>
      </c>
      <c r="CD144" s="153">
        <v>41527</v>
      </c>
      <c r="CG144" s="136">
        <v>3.39</v>
      </c>
      <c r="CH144" s="153">
        <v>41527</v>
      </c>
      <c r="CK144" s="136">
        <v>20</v>
      </c>
    </row>
    <row r="145" spans="1:89">
      <c r="A145" s="154" t="s">
        <v>7821</v>
      </c>
      <c r="B145" t="s">
        <v>259</v>
      </c>
      <c r="C145" t="s">
        <v>7795</v>
      </c>
      <c r="D145">
        <v>24</v>
      </c>
      <c r="E145" s="113">
        <v>3</v>
      </c>
      <c r="F145" s="113">
        <v>65</v>
      </c>
      <c r="K145" s="112">
        <v>5</v>
      </c>
      <c r="L145" s="317">
        <v>41569</v>
      </c>
      <c r="S145" s="318">
        <v>1870.722</v>
      </c>
      <c r="T145" s="153">
        <v>41527</v>
      </c>
      <c r="U145" s="136">
        <v>10.8</v>
      </c>
      <c r="Y145" s="136">
        <v>937.48199999999997</v>
      </c>
      <c r="Z145" s="153">
        <v>41527</v>
      </c>
      <c r="AA145" s="318">
        <v>106315.7895</v>
      </c>
      <c r="AB145" s="153">
        <v>41527</v>
      </c>
      <c r="AE145">
        <v>42.42</v>
      </c>
      <c r="AF145" s="153">
        <v>41527</v>
      </c>
      <c r="AG145" s="136">
        <v>3.99</v>
      </c>
      <c r="AH145" s="153">
        <v>41527</v>
      </c>
      <c r="AI145" s="318">
        <v>130</v>
      </c>
      <c r="AJ145" s="153">
        <v>41527</v>
      </c>
      <c r="BS145" s="318">
        <v>44.1</v>
      </c>
      <c r="BT145" s="153">
        <v>41527</v>
      </c>
      <c r="BU145">
        <v>22.1</v>
      </c>
      <c r="BV145" s="153">
        <v>41527</v>
      </c>
      <c r="CC145" s="136">
        <v>9</v>
      </c>
      <c r="CD145" s="153">
        <v>41527</v>
      </c>
      <c r="CG145" s="136">
        <v>7.76</v>
      </c>
      <c r="CH145" s="153">
        <v>41527</v>
      </c>
      <c r="CK145" s="136">
        <v>40</v>
      </c>
    </row>
    <row r="146" spans="1:89">
      <c r="A146" s="154" t="s">
        <v>7822</v>
      </c>
      <c r="B146" t="s">
        <v>259</v>
      </c>
      <c r="C146" t="s">
        <v>405</v>
      </c>
      <c r="D146">
        <v>25</v>
      </c>
      <c r="E146" s="113">
        <v>1</v>
      </c>
      <c r="F146" s="113">
        <v>6</v>
      </c>
      <c r="K146" s="112">
        <v>5</v>
      </c>
      <c r="L146" s="317">
        <v>41569</v>
      </c>
      <c r="S146" s="318">
        <v>1307.672</v>
      </c>
      <c r="T146" s="153">
        <v>41527</v>
      </c>
      <c r="U146" s="136">
        <v>10.8</v>
      </c>
      <c r="Y146" s="136">
        <v>583.46799999999996</v>
      </c>
      <c r="Z146" s="153">
        <v>41527</v>
      </c>
      <c r="AA146" s="318" t="s">
        <v>7718</v>
      </c>
      <c r="AB146" s="153">
        <v>41527</v>
      </c>
      <c r="AE146">
        <v>29.32</v>
      </c>
      <c r="AF146" s="153">
        <v>41527</v>
      </c>
      <c r="AG146" s="136" t="s">
        <v>7718</v>
      </c>
      <c r="AH146" s="153">
        <v>41527</v>
      </c>
      <c r="AI146" s="318">
        <v>120</v>
      </c>
      <c r="AJ146" s="153">
        <v>41527</v>
      </c>
      <c r="BS146" s="318">
        <v>44.6</v>
      </c>
      <c r="BT146" s="153">
        <v>41527</v>
      </c>
      <c r="BU146">
        <v>19.899999999999999</v>
      </c>
      <c r="BV146" s="153">
        <v>41527</v>
      </c>
      <c r="CC146" s="136">
        <v>7.3</v>
      </c>
      <c r="CD146" s="153">
        <v>41527</v>
      </c>
      <c r="CG146" s="136">
        <v>6.3</v>
      </c>
      <c r="CH146" s="153">
        <v>41527</v>
      </c>
      <c r="CK146" s="136">
        <v>20</v>
      </c>
    </row>
    <row r="147" spans="1:89">
      <c r="A147" s="154" t="s">
        <v>7822</v>
      </c>
      <c r="B147" t="s">
        <v>257</v>
      </c>
      <c r="C147" t="s">
        <v>405</v>
      </c>
      <c r="D147">
        <v>25</v>
      </c>
      <c r="E147" s="113">
        <v>6</v>
      </c>
      <c r="F147" s="113">
        <v>21</v>
      </c>
      <c r="K147" s="112">
        <v>7</v>
      </c>
      <c r="L147" s="317">
        <v>41569</v>
      </c>
      <c r="S147" s="318">
        <v>1825.848</v>
      </c>
      <c r="T147" s="153">
        <v>41527</v>
      </c>
      <c r="U147" s="136">
        <v>10.8</v>
      </c>
      <c r="Y147" s="136">
        <v>942.78599999999994</v>
      </c>
      <c r="Z147" s="153">
        <v>41527</v>
      </c>
      <c r="AA147" s="318" t="s">
        <v>7718</v>
      </c>
      <c r="AB147" s="153">
        <v>41527</v>
      </c>
      <c r="AE147">
        <v>42.66</v>
      </c>
      <c r="AF147" s="153">
        <v>41527</v>
      </c>
      <c r="AG147" s="136" t="s">
        <v>7718</v>
      </c>
      <c r="AH147" s="153">
        <v>41527</v>
      </c>
      <c r="AI147" s="318">
        <v>130</v>
      </c>
      <c r="AJ147" s="153">
        <v>41527</v>
      </c>
      <c r="BS147" s="318">
        <v>42.8</v>
      </c>
      <c r="BT147" s="153">
        <v>41527</v>
      </c>
      <c r="BU147">
        <v>22.1</v>
      </c>
      <c r="BV147" s="153">
        <v>41527</v>
      </c>
      <c r="CC147" s="136">
        <v>8.1999999999999993</v>
      </c>
      <c r="CD147" s="153">
        <v>41527</v>
      </c>
      <c r="CG147" s="136">
        <v>1.92</v>
      </c>
      <c r="CH147" s="153">
        <v>41527</v>
      </c>
      <c r="CK147" s="136">
        <v>30</v>
      </c>
    </row>
    <row r="148" spans="1:89">
      <c r="A148" s="154" t="s">
        <v>7822</v>
      </c>
      <c r="B148" t="s">
        <v>257</v>
      </c>
      <c r="C148" t="s">
        <v>7794</v>
      </c>
      <c r="D148">
        <v>25</v>
      </c>
      <c r="E148" s="113">
        <v>3</v>
      </c>
      <c r="F148" s="113">
        <v>37</v>
      </c>
      <c r="K148" s="112">
        <v>5</v>
      </c>
      <c r="L148" s="317">
        <v>41569</v>
      </c>
      <c r="S148" s="318">
        <v>1525.992</v>
      </c>
      <c r="T148" s="153">
        <v>41527</v>
      </c>
      <c r="U148" s="136">
        <v>10.8</v>
      </c>
      <c r="Y148" s="136">
        <v>710.73599999999999</v>
      </c>
      <c r="Z148" s="153">
        <v>41527</v>
      </c>
      <c r="AA148" s="318" t="s">
        <v>7718</v>
      </c>
      <c r="AB148" s="153">
        <v>41527</v>
      </c>
      <c r="AE148">
        <v>34.840000000000003</v>
      </c>
      <c r="AF148" s="153">
        <v>41527</v>
      </c>
      <c r="AG148" s="136" t="s">
        <v>7718</v>
      </c>
      <c r="AH148" s="153">
        <v>41527</v>
      </c>
      <c r="AI148" s="318">
        <v>140</v>
      </c>
      <c r="AJ148" s="153">
        <v>41527</v>
      </c>
      <c r="BS148" s="318">
        <v>43.8</v>
      </c>
      <c r="BT148" s="153">
        <v>41527</v>
      </c>
      <c r="BU148">
        <v>20.399999999999999</v>
      </c>
      <c r="BV148" s="153">
        <v>41527</v>
      </c>
      <c r="CC148" s="136">
        <v>10.5</v>
      </c>
      <c r="CD148" s="153">
        <v>41527</v>
      </c>
      <c r="CG148" s="136">
        <v>6.3</v>
      </c>
      <c r="CH148" s="153">
        <v>41527</v>
      </c>
      <c r="CK148" s="136">
        <v>30</v>
      </c>
    </row>
    <row r="149" spans="1:89">
      <c r="A149" s="154" t="s">
        <v>7822</v>
      </c>
      <c r="B149" t="s">
        <v>259</v>
      </c>
      <c r="C149" t="s">
        <v>7794</v>
      </c>
      <c r="D149">
        <v>25</v>
      </c>
      <c r="E149" s="113">
        <v>5</v>
      </c>
      <c r="F149" s="113">
        <v>31</v>
      </c>
      <c r="K149" s="112">
        <v>5</v>
      </c>
      <c r="L149" s="317">
        <v>41569</v>
      </c>
      <c r="S149" s="318">
        <v>1741.9590000000001</v>
      </c>
      <c r="T149" s="153">
        <v>41527</v>
      </c>
      <c r="U149" s="136">
        <v>10.8</v>
      </c>
      <c r="Y149" s="136">
        <v>868.96799999999996</v>
      </c>
      <c r="Z149" s="153">
        <v>41527</v>
      </c>
      <c r="AA149" s="318" t="s">
        <v>7718</v>
      </c>
      <c r="AB149" s="153">
        <v>41527</v>
      </c>
      <c r="AE149">
        <v>40.229999999999997</v>
      </c>
      <c r="AF149" s="153">
        <v>41527</v>
      </c>
      <c r="AG149" s="136" t="s">
        <v>7718</v>
      </c>
      <c r="AH149" s="153">
        <v>41527</v>
      </c>
      <c r="AI149" s="318">
        <v>130</v>
      </c>
      <c r="AJ149" s="153">
        <v>41527</v>
      </c>
      <c r="BS149" s="318">
        <v>43.3</v>
      </c>
      <c r="BT149" s="153">
        <v>41527</v>
      </c>
      <c r="BU149">
        <v>21.6</v>
      </c>
      <c r="BV149" s="153">
        <v>41527</v>
      </c>
      <c r="CC149" s="136">
        <v>5.5</v>
      </c>
      <c r="CD149" s="153">
        <v>41527</v>
      </c>
      <c r="CG149" s="136">
        <v>3.33</v>
      </c>
      <c r="CH149" s="153">
        <v>41527</v>
      </c>
      <c r="CK149" s="136">
        <v>20</v>
      </c>
    </row>
    <row r="150" spans="1:89">
      <c r="A150" s="154" t="s">
        <v>7822</v>
      </c>
      <c r="B150" t="s">
        <v>257</v>
      </c>
      <c r="C150" t="s">
        <v>7795</v>
      </c>
      <c r="D150">
        <v>25</v>
      </c>
      <c r="E150" s="113">
        <v>6</v>
      </c>
      <c r="F150" s="113">
        <v>71</v>
      </c>
      <c r="K150" s="112">
        <v>5</v>
      </c>
      <c r="L150" s="317">
        <v>41569</v>
      </c>
      <c r="S150" s="318">
        <v>1407.09</v>
      </c>
      <c r="T150" s="153">
        <v>41527</v>
      </c>
      <c r="U150" s="136">
        <v>10.8</v>
      </c>
      <c r="Y150" s="136">
        <v>635.56200000000001</v>
      </c>
      <c r="Z150" s="153">
        <v>41527</v>
      </c>
      <c r="AA150" s="318">
        <v>79848.484849999993</v>
      </c>
      <c r="AB150" s="153">
        <v>41527</v>
      </c>
      <c r="AE150">
        <v>31.62</v>
      </c>
      <c r="AF150" s="153">
        <v>41527</v>
      </c>
      <c r="AG150" s="136">
        <v>3.96</v>
      </c>
      <c r="AH150" s="153">
        <v>41527</v>
      </c>
      <c r="AI150" s="318">
        <v>115</v>
      </c>
      <c r="AJ150" s="153">
        <v>41527</v>
      </c>
      <c r="BS150" s="318">
        <v>44.5</v>
      </c>
      <c r="BT150" s="153">
        <v>41527</v>
      </c>
      <c r="BU150">
        <v>20.100000000000001</v>
      </c>
      <c r="BV150" s="153">
        <v>41527</v>
      </c>
      <c r="CC150" s="136">
        <v>5.7</v>
      </c>
      <c r="CD150" s="153">
        <v>41527</v>
      </c>
      <c r="CG150" s="136">
        <v>5.27</v>
      </c>
      <c r="CH150" s="153">
        <v>41527</v>
      </c>
      <c r="CK150" s="136">
        <v>20</v>
      </c>
    </row>
    <row r="151" spans="1:89">
      <c r="A151" s="154" t="s">
        <v>7822</v>
      </c>
      <c r="B151" t="s">
        <v>259</v>
      </c>
      <c r="C151" t="s">
        <v>7795</v>
      </c>
      <c r="D151">
        <v>25</v>
      </c>
      <c r="E151" s="113">
        <v>1</v>
      </c>
      <c r="F151" s="113">
        <v>77</v>
      </c>
      <c r="K151" s="112">
        <v>5</v>
      </c>
      <c r="L151" s="317">
        <v>41569</v>
      </c>
      <c r="S151" s="318">
        <v>1635.41</v>
      </c>
      <c r="T151" s="153">
        <v>41527</v>
      </c>
      <c r="U151" s="136">
        <v>10.8</v>
      </c>
      <c r="Y151" s="136">
        <v>815.79</v>
      </c>
      <c r="Z151" s="153">
        <v>41527</v>
      </c>
      <c r="AA151" s="318">
        <v>86261.261259999999</v>
      </c>
      <c r="AB151" s="153">
        <v>41527</v>
      </c>
      <c r="AE151">
        <v>38.299999999999997</v>
      </c>
      <c r="AF151" s="153">
        <v>41527</v>
      </c>
      <c r="AG151" s="136">
        <v>4.4400000000000004</v>
      </c>
      <c r="AH151" s="153">
        <v>41527</v>
      </c>
      <c r="AI151" s="318">
        <v>130</v>
      </c>
      <c r="AJ151" s="153">
        <v>41527</v>
      </c>
      <c r="BS151" s="318">
        <v>42.7</v>
      </c>
      <c r="BT151" s="153">
        <v>41527</v>
      </c>
      <c r="BU151">
        <v>21.3</v>
      </c>
      <c r="BV151" s="153">
        <v>41527</v>
      </c>
      <c r="CC151" s="136">
        <v>9.1999999999999993</v>
      </c>
      <c r="CD151" s="153">
        <v>41527</v>
      </c>
      <c r="CG151" s="136">
        <v>8.65</v>
      </c>
      <c r="CH151" s="153">
        <v>41527</v>
      </c>
      <c r="CK151" s="136">
        <v>30</v>
      </c>
    </row>
    <row r="152" spans="1:89">
      <c r="A152" s="154" t="s">
        <v>7823</v>
      </c>
      <c r="B152" t="s">
        <v>257</v>
      </c>
      <c r="C152" t="s">
        <v>405</v>
      </c>
      <c r="D152">
        <v>26</v>
      </c>
      <c r="E152" s="113">
        <v>6</v>
      </c>
      <c r="F152" s="113">
        <v>6</v>
      </c>
      <c r="K152" s="112">
        <v>5</v>
      </c>
      <c r="L152" s="317">
        <v>41569</v>
      </c>
      <c r="S152" s="318">
        <v>1547.91</v>
      </c>
      <c r="T152" s="153">
        <v>41527</v>
      </c>
      <c r="U152" s="136">
        <v>10.8</v>
      </c>
      <c r="Y152" s="136">
        <v>712.53</v>
      </c>
      <c r="Z152" s="153">
        <v>41527</v>
      </c>
      <c r="AA152" s="318" t="s">
        <v>7718</v>
      </c>
      <c r="AB152" s="153">
        <v>41527</v>
      </c>
      <c r="AE152">
        <v>35.1</v>
      </c>
      <c r="AF152" s="153">
        <v>41527</v>
      </c>
      <c r="AG152" s="136" t="s">
        <v>7718</v>
      </c>
      <c r="AH152" s="153">
        <v>41527</v>
      </c>
      <c r="AI152" s="318">
        <v>125</v>
      </c>
      <c r="AJ152" s="153">
        <v>41527</v>
      </c>
      <c r="BS152" s="318">
        <v>44.1</v>
      </c>
      <c r="BT152" s="153">
        <v>41527</v>
      </c>
      <c r="BU152">
        <v>20.3</v>
      </c>
      <c r="BV152" s="153">
        <v>41527</v>
      </c>
      <c r="CC152" s="136">
        <v>8.1</v>
      </c>
      <c r="CD152" s="153">
        <v>41527</v>
      </c>
      <c r="CG152" s="136">
        <v>6.71</v>
      </c>
      <c r="CH152" s="153">
        <v>41527</v>
      </c>
      <c r="CK152" s="136">
        <v>10</v>
      </c>
    </row>
    <row r="153" spans="1:89">
      <c r="A153" s="154" t="s">
        <v>7823</v>
      </c>
      <c r="B153" t="s">
        <v>259</v>
      </c>
      <c r="C153" t="s">
        <v>405</v>
      </c>
      <c r="D153">
        <v>26</v>
      </c>
      <c r="E153" s="113">
        <v>3</v>
      </c>
      <c r="F153" s="113">
        <v>7</v>
      </c>
      <c r="K153" s="112">
        <v>5</v>
      </c>
      <c r="L153" s="317">
        <v>41569</v>
      </c>
      <c r="S153" s="318">
        <v>2352.3710000000001</v>
      </c>
      <c r="T153" s="153">
        <v>41527</v>
      </c>
      <c r="U153" s="136">
        <v>10.8</v>
      </c>
      <c r="Y153" s="136">
        <v>1173.4939999999999</v>
      </c>
      <c r="Z153" s="153">
        <v>41527</v>
      </c>
      <c r="AA153" s="318" t="s">
        <v>7718</v>
      </c>
      <c r="AB153" s="153">
        <v>41527</v>
      </c>
      <c r="AE153">
        <v>53.83</v>
      </c>
      <c r="AF153" s="153">
        <v>41527</v>
      </c>
      <c r="AG153" s="136" t="s">
        <v>7718</v>
      </c>
      <c r="AH153" s="153">
        <v>41527</v>
      </c>
      <c r="AI153" s="318">
        <v>150</v>
      </c>
      <c r="AJ153" s="153">
        <v>41527</v>
      </c>
      <c r="BS153" s="318">
        <v>43.7</v>
      </c>
      <c r="BT153" s="153">
        <v>41527</v>
      </c>
      <c r="BU153">
        <v>21.8</v>
      </c>
      <c r="BV153" s="153">
        <v>41527</v>
      </c>
      <c r="CC153" s="136">
        <v>8</v>
      </c>
      <c r="CD153" s="153">
        <v>41527</v>
      </c>
      <c r="CG153" s="136">
        <v>0.45</v>
      </c>
      <c r="CH153" s="153">
        <v>41527</v>
      </c>
      <c r="CK153" s="136">
        <v>20</v>
      </c>
    </row>
    <row r="154" spans="1:89">
      <c r="A154" s="154" t="s">
        <v>7823</v>
      </c>
      <c r="B154" t="s">
        <v>257</v>
      </c>
      <c r="C154" t="s">
        <v>7794</v>
      </c>
      <c r="D154">
        <v>26</v>
      </c>
      <c r="E154" s="113">
        <v>1</v>
      </c>
      <c r="F154" s="113">
        <v>41</v>
      </c>
      <c r="K154" s="112">
        <v>5</v>
      </c>
      <c r="L154" s="317">
        <v>41569</v>
      </c>
      <c r="S154" s="318">
        <v>1950.0070000000001</v>
      </c>
      <c r="T154" s="153">
        <v>41527</v>
      </c>
      <c r="U154" s="136">
        <v>10.8</v>
      </c>
      <c r="Y154" s="136">
        <v>859.91399999999999</v>
      </c>
      <c r="Z154" s="153">
        <v>41527</v>
      </c>
      <c r="AA154" s="318" t="s">
        <v>7718</v>
      </c>
      <c r="AB154" s="153">
        <v>41527</v>
      </c>
      <c r="AE154">
        <v>43.43</v>
      </c>
      <c r="AF154" s="153">
        <v>41527</v>
      </c>
      <c r="AG154" s="136" t="s">
        <v>7718</v>
      </c>
      <c r="AH154" s="153">
        <v>41527</v>
      </c>
      <c r="AI154" s="318">
        <v>145</v>
      </c>
      <c r="AJ154" s="153">
        <v>41527</v>
      </c>
      <c r="BS154" s="318">
        <v>44.9</v>
      </c>
      <c r="BT154" s="153">
        <v>41527</v>
      </c>
      <c r="BU154">
        <v>19.8</v>
      </c>
      <c r="BV154" s="153">
        <v>41527</v>
      </c>
      <c r="CC154" s="136">
        <v>8.6</v>
      </c>
      <c r="CD154" s="153">
        <v>41527</v>
      </c>
      <c r="CG154" s="136">
        <v>4.07</v>
      </c>
      <c r="CH154" s="153">
        <v>41527</v>
      </c>
      <c r="CK154" s="136">
        <v>10</v>
      </c>
    </row>
    <row r="155" spans="1:89">
      <c r="A155" s="154" t="s">
        <v>7823</v>
      </c>
      <c r="B155" t="s">
        <v>259</v>
      </c>
      <c r="C155" t="s">
        <v>7794</v>
      </c>
      <c r="D155">
        <v>26</v>
      </c>
      <c r="E155" s="113">
        <v>4</v>
      </c>
      <c r="F155" s="113">
        <v>36</v>
      </c>
      <c r="K155" s="112">
        <v>5</v>
      </c>
      <c r="L155" s="317">
        <v>41569</v>
      </c>
      <c r="S155" s="318">
        <v>2148.4650000000001</v>
      </c>
      <c r="T155" s="153">
        <v>41527</v>
      </c>
      <c r="U155" s="136">
        <v>10.8</v>
      </c>
      <c r="Y155" s="136">
        <v>1086.58</v>
      </c>
      <c r="Z155" s="153">
        <v>41527</v>
      </c>
      <c r="AA155" s="318" t="s">
        <v>7718</v>
      </c>
      <c r="AB155" s="153">
        <v>41527</v>
      </c>
      <c r="AE155">
        <v>49.39</v>
      </c>
      <c r="AF155" s="153">
        <v>41527</v>
      </c>
      <c r="AG155" s="136" t="s">
        <v>7718</v>
      </c>
      <c r="AH155" s="153">
        <v>41527</v>
      </c>
      <c r="AI155" s="318">
        <v>145</v>
      </c>
      <c r="AJ155" s="153">
        <v>41527</v>
      </c>
      <c r="BS155" s="318">
        <v>43.5</v>
      </c>
      <c r="BT155" s="153">
        <v>41527</v>
      </c>
      <c r="BU155">
        <v>22</v>
      </c>
      <c r="BV155" s="153">
        <v>41527</v>
      </c>
      <c r="CC155" s="136">
        <v>7.5</v>
      </c>
      <c r="CD155" s="153">
        <v>41527</v>
      </c>
      <c r="CG155" s="136">
        <v>1.87</v>
      </c>
      <c r="CH155" s="153">
        <v>41527</v>
      </c>
      <c r="CK155" s="136">
        <v>10</v>
      </c>
    </row>
    <row r="156" spans="1:89">
      <c r="A156" s="154" t="s">
        <v>7823</v>
      </c>
      <c r="B156" t="s">
        <v>257</v>
      </c>
      <c r="C156" t="s">
        <v>7795</v>
      </c>
      <c r="D156">
        <v>26</v>
      </c>
      <c r="E156" s="113">
        <v>6</v>
      </c>
      <c r="F156" s="113">
        <v>62</v>
      </c>
      <c r="K156" s="112">
        <v>5</v>
      </c>
      <c r="L156" s="317">
        <v>41569</v>
      </c>
      <c r="S156" s="318">
        <v>1864.8</v>
      </c>
      <c r="T156" s="153">
        <v>41527</v>
      </c>
      <c r="U156" s="136">
        <v>10.8</v>
      </c>
      <c r="Y156" s="136">
        <v>812.22400000000005</v>
      </c>
      <c r="Z156" s="153">
        <v>41527</v>
      </c>
      <c r="AA156" s="318">
        <v>99376.498800000001</v>
      </c>
      <c r="AB156" s="153">
        <v>41527</v>
      </c>
      <c r="AE156">
        <v>41.44</v>
      </c>
      <c r="AF156" s="153">
        <v>41527</v>
      </c>
      <c r="AG156" s="136">
        <v>4.17</v>
      </c>
      <c r="AH156" s="153">
        <v>41527</v>
      </c>
      <c r="AI156" s="318">
        <v>135</v>
      </c>
      <c r="AJ156" s="153">
        <v>41527</v>
      </c>
      <c r="BS156" s="318">
        <v>45</v>
      </c>
      <c r="BT156" s="153">
        <v>41527</v>
      </c>
      <c r="BU156">
        <v>19.600000000000001</v>
      </c>
      <c r="BV156" s="153">
        <v>41527</v>
      </c>
      <c r="CC156" s="136">
        <v>8</v>
      </c>
      <c r="CD156" s="153">
        <v>41527</v>
      </c>
      <c r="CG156" s="136">
        <v>1.88</v>
      </c>
      <c r="CH156" s="153">
        <v>41527</v>
      </c>
      <c r="CK156" s="136">
        <v>20</v>
      </c>
    </row>
    <row r="157" spans="1:89">
      <c r="A157" s="154" t="s">
        <v>7823</v>
      </c>
      <c r="B157" t="s">
        <v>259</v>
      </c>
      <c r="C157" t="s">
        <v>7795</v>
      </c>
      <c r="D157">
        <v>26</v>
      </c>
      <c r="E157" s="113">
        <v>1</v>
      </c>
      <c r="F157" s="113">
        <v>71</v>
      </c>
      <c r="K157" s="112">
        <v>5</v>
      </c>
      <c r="L157" s="317">
        <v>41569</v>
      </c>
      <c r="S157" s="318">
        <v>1861.002</v>
      </c>
      <c r="T157" s="153">
        <v>41527</v>
      </c>
      <c r="U157" s="136">
        <v>10.8</v>
      </c>
      <c r="Y157" s="136">
        <v>932.67</v>
      </c>
      <c r="Z157" s="153">
        <v>41527</v>
      </c>
      <c r="AA157" s="318">
        <v>101118.8811</v>
      </c>
      <c r="AB157" s="153">
        <v>41527</v>
      </c>
      <c r="AE157">
        <v>43.38</v>
      </c>
      <c r="AF157" s="153">
        <v>41527</v>
      </c>
      <c r="AG157" s="136">
        <v>4.29</v>
      </c>
      <c r="AH157" s="153">
        <v>41527</v>
      </c>
      <c r="AI157" s="318">
        <v>135</v>
      </c>
      <c r="AJ157" s="153">
        <v>41527</v>
      </c>
      <c r="BS157" s="318">
        <v>42.9</v>
      </c>
      <c r="BT157" s="153">
        <v>41527</v>
      </c>
      <c r="BU157">
        <v>21.5</v>
      </c>
      <c r="BV157" s="153">
        <v>41527</v>
      </c>
      <c r="CC157" s="136">
        <v>8.6999999999999993</v>
      </c>
      <c r="CD157" s="153">
        <v>41527</v>
      </c>
      <c r="CG157" s="136">
        <v>8.74</v>
      </c>
      <c r="CH157" s="153">
        <v>41527</v>
      </c>
      <c r="CK157" s="136">
        <v>20</v>
      </c>
    </row>
    <row r="158" spans="1:89">
      <c r="A158" s="154" t="s">
        <v>7824</v>
      </c>
      <c r="B158" t="s">
        <v>257</v>
      </c>
      <c r="C158" t="s">
        <v>405</v>
      </c>
      <c r="D158">
        <v>27</v>
      </c>
      <c r="E158" s="113">
        <v>6</v>
      </c>
      <c r="F158" s="113">
        <v>23</v>
      </c>
      <c r="K158" s="112">
        <v>5</v>
      </c>
      <c r="L158" s="317">
        <v>41569</v>
      </c>
      <c r="S158" s="318">
        <v>1343.338</v>
      </c>
      <c r="T158" s="153">
        <v>41527</v>
      </c>
      <c r="U158" s="136">
        <v>10.8</v>
      </c>
      <c r="Y158" s="136">
        <v>596.35599999999999</v>
      </c>
      <c r="Z158" s="153">
        <v>41527</v>
      </c>
      <c r="AA158" s="318" t="s">
        <v>7718</v>
      </c>
      <c r="AB158" s="153">
        <v>41527</v>
      </c>
      <c r="AE158">
        <v>30.74</v>
      </c>
      <c r="AF158" s="153">
        <v>41527</v>
      </c>
      <c r="AG158" s="136" t="s">
        <v>7718</v>
      </c>
      <c r="AH158" s="153">
        <v>41527</v>
      </c>
      <c r="AI158" s="318">
        <v>105</v>
      </c>
      <c r="AJ158" s="153">
        <v>41527</v>
      </c>
      <c r="BS158" s="318">
        <v>43.7</v>
      </c>
      <c r="BT158" s="153">
        <v>41527</v>
      </c>
      <c r="BU158">
        <v>19.399999999999999</v>
      </c>
      <c r="BV158" s="153">
        <v>41527</v>
      </c>
      <c r="CC158" s="136">
        <v>8.5</v>
      </c>
      <c r="CD158" s="153">
        <v>41527</v>
      </c>
      <c r="CG158" s="136">
        <v>8.81</v>
      </c>
      <c r="CH158" s="153">
        <v>41527</v>
      </c>
      <c r="CK158" s="136">
        <v>20</v>
      </c>
    </row>
    <row r="159" spans="1:89">
      <c r="A159" s="154" t="s">
        <v>7824</v>
      </c>
      <c r="B159" t="s">
        <v>259</v>
      </c>
      <c r="C159" t="s">
        <v>405</v>
      </c>
      <c r="D159">
        <v>27</v>
      </c>
      <c r="E159" s="113">
        <v>2</v>
      </c>
      <c r="F159" s="113">
        <v>2</v>
      </c>
      <c r="K159" s="112">
        <v>5</v>
      </c>
      <c r="L159" s="317">
        <v>41569</v>
      </c>
      <c r="S159" s="318">
        <v>1657.51</v>
      </c>
      <c r="T159" s="153">
        <v>41527</v>
      </c>
      <c r="U159" s="136">
        <v>10.8</v>
      </c>
      <c r="Y159" s="136">
        <v>926.60799999999995</v>
      </c>
      <c r="Z159" s="153">
        <v>41527</v>
      </c>
      <c r="AA159" s="318" t="s">
        <v>7718</v>
      </c>
      <c r="AB159" s="153">
        <v>41527</v>
      </c>
      <c r="AE159">
        <v>39.94</v>
      </c>
      <c r="AF159" s="153">
        <v>41527</v>
      </c>
      <c r="AG159" s="136" t="s">
        <v>7718</v>
      </c>
      <c r="AH159" s="153">
        <v>41527</v>
      </c>
      <c r="AI159" s="318">
        <v>115</v>
      </c>
      <c r="AJ159" s="153">
        <v>41527</v>
      </c>
      <c r="BS159" s="318">
        <v>41.5</v>
      </c>
      <c r="BT159" s="153">
        <v>41527</v>
      </c>
      <c r="BU159">
        <v>23.2</v>
      </c>
      <c r="BV159" s="153">
        <v>41527</v>
      </c>
      <c r="CC159" s="136">
        <v>15.2</v>
      </c>
      <c r="CD159" s="153">
        <v>41527</v>
      </c>
      <c r="CG159" s="136">
        <v>3.1</v>
      </c>
      <c r="CH159" s="153">
        <v>41527</v>
      </c>
      <c r="CK159" s="136">
        <v>30</v>
      </c>
    </row>
    <row r="160" spans="1:89">
      <c r="A160" s="154" t="s">
        <v>7824</v>
      </c>
      <c r="B160" t="s">
        <v>257</v>
      </c>
      <c r="C160" t="s">
        <v>7794</v>
      </c>
      <c r="D160">
        <v>27</v>
      </c>
      <c r="E160" s="113">
        <v>1</v>
      </c>
      <c r="F160" s="113">
        <v>43</v>
      </c>
      <c r="K160" s="112">
        <v>5</v>
      </c>
      <c r="L160" s="317">
        <v>41569</v>
      </c>
      <c r="S160" s="318">
        <v>1843.2660000000001</v>
      </c>
      <c r="T160" s="153">
        <v>41527</v>
      </c>
      <c r="U160" s="136">
        <v>10.8</v>
      </c>
      <c r="Y160" s="136">
        <v>843.6</v>
      </c>
      <c r="Z160" s="153">
        <v>41527</v>
      </c>
      <c r="AA160" s="318" t="s">
        <v>7718</v>
      </c>
      <c r="AB160" s="153">
        <v>41527</v>
      </c>
      <c r="AE160">
        <v>42.18</v>
      </c>
      <c r="AF160" s="153">
        <v>41527</v>
      </c>
      <c r="AG160" s="136" t="s">
        <v>7718</v>
      </c>
      <c r="AH160" s="153">
        <v>41527</v>
      </c>
      <c r="AI160" s="318">
        <v>115</v>
      </c>
      <c r="AJ160" s="153">
        <v>41527</v>
      </c>
      <c r="BS160" s="318">
        <v>43.7</v>
      </c>
      <c r="BT160" s="153">
        <v>41527</v>
      </c>
      <c r="BU160">
        <v>20</v>
      </c>
      <c r="BV160" s="153">
        <v>41527</v>
      </c>
      <c r="CC160" s="136">
        <v>9.8000000000000007</v>
      </c>
      <c r="CD160" s="153">
        <v>41527</v>
      </c>
      <c r="CG160" s="136">
        <v>5.82</v>
      </c>
      <c r="CH160" s="153">
        <v>41527</v>
      </c>
      <c r="CK160" s="136">
        <v>10</v>
      </c>
    </row>
    <row r="161" spans="1:89">
      <c r="A161" s="154" t="s">
        <v>7824</v>
      </c>
      <c r="B161" t="s">
        <v>259</v>
      </c>
      <c r="C161" t="s">
        <v>7794</v>
      </c>
      <c r="D161">
        <v>27</v>
      </c>
      <c r="E161" s="113">
        <v>6</v>
      </c>
      <c r="F161" s="113">
        <v>36</v>
      </c>
      <c r="K161" s="112">
        <v>5</v>
      </c>
      <c r="L161" s="317">
        <v>41569</v>
      </c>
      <c r="S161" s="318">
        <v>1716.2239999999999</v>
      </c>
      <c r="T161" s="153">
        <v>41527</v>
      </c>
      <c r="U161" s="136">
        <v>10.8</v>
      </c>
      <c r="Y161" s="136">
        <v>897.024</v>
      </c>
      <c r="Z161" s="153">
        <v>41527</v>
      </c>
      <c r="AA161" s="318" t="s">
        <v>7718</v>
      </c>
      <c r="AB161" s="153">
        <v>41527</v>
      </c>
      <c r="AE161">
        <v>40.96</v>
      </c>
      <c r="AF161" s="153">
        <v>41527</v>
      </c>
      <c r="AG161" s="136" t="s">
        <v>7718</v>
      </c>
      <c r="AH161" s="153">
        <v>41527</v>
      </c>
      <c r="AI161" s="318">
        <v>110</v>
      </c>
      <c r="AJ161" s="153">
        <v>41527</v>
      </c>
      <c r="BS161" s="318">
        <v>41.9</v>
      </c>
      <c r="BT161" s="153">
        <v>41527</v>
      </c>
      <c r="BU161">
        <v>21.9</v>
      </c>
      <c r="BV161" s="153">
        <v>41527</v>
      </c>
      <c r="CC161" s="136">
        <v>8.1</v>
      </c>
      <c r="CD161" s="153">
        <v>41527</v>
      </c>
      <c r="CG161" s="136">
        <v>5.21</v>
      </c>
      <c r="CH161" s="153">
        <v>41527</v>
      </c>
      <c r="CK161" s="136">
        <v>20</v>
      </c>
    </row>
    <row r="162" spans="1:89">
      <c r="A162" s="154" t="s">
        <v>7824</v>
      </c>
      <c r="B162" t="s">
        <v>257</v>
      </c>
      <c r="C162" t="s">
        <v>7795</v>
      </c>
      <c r="D162">
        <v>27</v>
      </c>
      <c r="E162" s="113">
        <v>6</v>
      </c>
      <c r="F162" s="113">
        <v>60</v>
      </c>
      <c r="K162" s="112">
        <v>5</v>
      </c>
      <c r="L162" s="317">
        <v>41569</v>
      </c>
      <c r="S162" s="318">
        <v>1616.25</v>
      </c>
      <c r="T162" s="153">
        <v>41527</v>
      </c>
      <c r="U162" s="136">
        <v>10.8</v>
      </c>
      <c r="Y162" s="136">
        <v>772.5</v>
      </c>
      <c r="Z162" s="153">
        <v>41527</v>
      </c>
      <c r="AA162" s="318">
        <v>84650.112869999997</v>
      </c>
      <c r="AB162" s="153">
        <v>41527</v>
      </c>
      <c r="AE162">
        <v>37.5</v>
      </c>
      <c r="AF162" s="153">
        <v>41527</v>
      </c>
      <c r="AG162" s="136">
        <v>4.43</v>
      </c>
      <c r="AH162" s="153">
        <v>41527</v>
      </c>
      <c r="AI162" s="318">
        <v>100</v>
      </c>
      <c r="AJ162" s="153">
        <v>41527</v>
      </c>
      <c r="BS162" s="318">
        <v>43.1</v>
      </c>
      <c r="BT162" s="153">
        <v>41527</v>
      </c>
      <c r="BU162">
        <v>20.6</v>
      </c>
      <c r="BV162" s="153">
        <v>41527</v>
      </c>
      <c r="CC162" s="136">
        <v>8.8000000000000007</v>
      </c>
      <c r="CD162" s="153">
        <v>41527</v>
      </c>
      <c r="CG162" s="136">
        <v>3.19</v>
      </c>
      <c r="CH162" s="153">
        <v>41527</v>
      </c>
      <c r="CK162" s="136">
        <v>20</v>
      </c>
    </row>
    <row r="163" spans="1:89">
      <c r="A163" s="154" t="s">
        <v>7824</v>
      </c>
      <c r="B163" t="s">
        <v>259</v>
      </c>
      <c r="C163" t="s">
        <v>7795</v>
      </c>
      <c r="D163">
        <v>27</v>
      </c>
      <c r="E163" s="113">
        <v>2</v>
      </c>
      <c r="F163" s="113">
        <v>69</v>
      </c>
      <c r="K163" s="112">
        <v>5</v>
      </c>
      <c r="L163" s="317">
        <v>41569</v>
      </c>
      <c r="S163" s="318">
        <v>1873.3679999999999</v>
      </c>
      <c r="T163" s="153">
        <v>41527</v>
      </c>
      <c r="U163" s="136">
        <v>10.8</v>
      </c>
      <c r="Y163" s="136">
        <v>1029.672</v>
      </c>
      <c r="Z163" s="153">
        <v>41527</v>
      </c>
      <c r="AA163" s="318">
        <v>93719.008260000002</v>
      </c>
      <c r="AB163" s="153">
        <v>41527</v>
      </c>
      <c r="AE163">
        <v>45.36</v>
      </c>
      <c r="AF163" s="153">
        <v>41527</v>
      </c>
      <c r="AG163" s="136">
        <v>4.84</v>
      </c>
      <c r="AH163" s="153">
        <v>41527</v>
      </c>
      <c r="AI163" s="318">
        <v>115</v>
      </c>
      <c r="AJ163" s="153">
        <v>41527</v>
      </c>
      <c r="BS163" s="318">
        <v>41.3</v>
      </c>
      <c r="BT163" s="153">
        <v>41527</v>
      </c>
      <c r="BU163">
        <v>22.7</v>
      </c>
      <c r="BV163" s="153">
        <v>41527</v>
      </c>
      <c r="CC163" s="136">
        <v>9.1</v>
      </c>
      <c r="CD163" s="153">
        <v>41527</v>
      </c>
      <c r="CG163" s="136">
        <v>7.02</v>
      </c>
      <c r="CH163" s="153">
        <v>41527</v>
      </c>
      <c r="CK163" s="136">
        <v>20</v>
      </c>
    </row>
    <row r="164" spans="1:89">
      <c r="A164" s="154" t="s">
        <v>7825</v>
      </c>
      <c r="B164" t="s">
        <v>257</v>
      </c>
      <c r="C164" t="s">
        <v>405</v>
      </c>
      <c r="D164">
        <v>28</v>
      </c>
      <c r="E164" s="113">
        <v>5</v>
      </c>
      <c r="F164" s="113">
        <v>10</v>
      </c>
      <c r="K164" s="112">
        <v>5</v>
      </c>
      <c r="L164" s="317">
        <v>41569</v>
      </c>
      <c r="S164" s="318">
        <v>1690.0360000000001</v>
      </c>
      <c r="T164" s="153">
        <v>41527</v>
      </c>
      <c r="U164" s="136">
        <v>10.8</v>
      </c>
      <c r="Y164" s="136">
        <v>715.16</v>
      </c>
      <c r="Z164" s="153">
        <v>41527</v>
      </c>
      <c r="AA164" s="318" t="s">
        <v>7718</v>
      </c>
      <c r="AB164" s="153">
        <v>41527</v>
      </c>
      <c r="AE164">
        <v>37.64</v>
      </c>
      <c r="AF164" s="153">
        <v>41527</v>
      </c>
      <c r="AG164" s="136" t="s">
        <v>7718</v>
      </c>
      <c r="AH164" s="153">
        <v>41527</v>
      </c>
      <c r="AI164" s="318">
        <v>120</v>
      </c>
      <c r="AJ164" s="153">
        <v>41527</v>
      </c>
      <c r="BS164" s="318">
        <v>44.9</v>
      </c>
      <c r="BT164" s="153">
        <v>41527</v>
      </c>
      <c r="BU164">
        <v>19</v>
      </c>
      <c r="BV164" s="153">
        <v>41527</v>
      </c>
      <c r="CC164" s="136">
        <v>7</v>
      </c>
      <c r="CD164" s="153">
        <v>41527</v>
      </c>
      <c r="CG164" s="136">
        <v>5.42</v>
      </c>
      <c r="CH164" s="153">
        <v>41527</v>
      </c>
      <c r="CK164" s="136">
        <v>20</v>
      </c>
    </row>
    <row r="165" spans="1:89">
      <c r="A165" s="154" t="s">
        <v>7825</v>
      </c>
      <c r="B165" t="s">
        <v>259</v>
      </c>
      <c r="C165" t="s">
        <v>405</v>
      </c>
      <c r="D165">
        <v>28</v>
      </c>
      <c r="E165" s="113">
        <v>3</v>
      </c>
      <c r="F165" s="113">
        <v>16</v>
      </c>
      <c r="K165" s="112">
        <v>5</v>
      </c>
      <c r="L165" s="317">
        <v>41569</v>
      </c>
      <c r="S165" s="318">
        <v>2031.1759999999999</v>
      </c>
      <c r="T165" s="153">
        <v>41527</v>
      </c>
      <c r="U165" s="136">
        <v>10.8</v>
      </c>
      <c r="Y165" s="136">
        <v>976.08</v>
      </c>
      <c r="Z165" s="153">
        <v>41527</v>
      </c>
      <c r="AA165" s="318" t="s">
        <v>7718</v>
      </c>
      <c r="AB165" s="153">
        <v>41527</v>
      </c>
      <c r="AE165">
        <v>46.48</v>
      </c>
      <c r="AF165" s="153">
        <v>41527</v>
      </c>
      <c r="AG165" s="136" t="s">
        <v>7718</v>
      </c>
      <c r="AH165" s="153">
        <v>41527</v>
      </c>
      <c r="AI165" s="318">
        <v>120</v>
      </c>
      <c r="AJ165" s="153">
        <v>41527</v>
      </c>
      <c r="BS165" s="318">
        <v>43.7</v>
      </c>
      <c r="BT165" s="153">
        <v>41527</v>
      </c>
      <c r="BU165">
        <v>21</v>
      </c>
      <c r="BV165" s="153">
        <v>41527</v>
      </c>
      <c r="CC165" s="136">
        <v>8.1999999999999993</v>
      </c>
      <c r="CD165" s="153">
        <v>41527</v>
      </c>
      <c r="CG165" s="136">
        <v>8.17</v>
      </c>
      <c r="CH165" s="153">
        <v>41527</v>
      </c>
      <c r="CK165" s="136">
        <v>20</v>
      </c>
    </row>
    <row r="166" spans="1:89">
      <c r="A166" s="154" t="s">
        <v>7825</v>
      </c>
      <c r="B166" t="s">
        <v>257</v>
      </c>
      <c r="C166" t="s">
        <v>7794</v>
      </c>
      <c r="D166">
        <v>28</v>
      </c>
      <c r="E166" s="113">
        <v>2</v>
      </c>
      <c r="F166" s="113">
        <v>56</v>
      </c>
      <c r="K166" s="112">
        <v>5</v>
      </c>
      <c r="L166" s="317">
        <v>41569</v>
      </c>
      <c r="S166" s="318">
        <v>2071.2600000000002</v>
      </c>
      <c r="T166" s="153">
        <v>41527</v>
      </c>
      <c r="U166" s="136">
        <v>10.8</v>
      </c>
      <c r="Y166" s="136">
        <v>928.33500000000004</v>
      </c>
      <c r="Z166" s="153">
        <v>41527</v>
      </c>
      <c r="AA166" s="318" t="s">
        <v>7718</v>
      </c>
      <c r="AB166" s="153">
        <v>41527</v>
      </c>
      <c r="AE166">
        <v>46.65</v>
      </c>
      <c r="AF166" s="153">
        <v>41527</v>
      </c>
      <c r="AG166" s="136" t="s">
        <v>7718</v>
      </c>
      <c r="AH166" s="153">
        <v>41527</v>
      </c>
      <c r="AI166" s="318">
        <v>130</v>
      </c>
      <c r="AJ166" s="153">
        <v>41527</v>
      </c>
      <c r="BS166" s="318">
        <v>44.4</v>
      </c>
      <c r="BT166" s="153">
        <v>41527</v>
      </c>
      <c r="BU166">
        <v>19.899999999999999</v>
      </c>
      <c r="BV166" s="153">
        <v>41527</v>
      </c>
      <c r="CC166" s="136">
        <v>7.3</v>
      </c>
      <c r="CD166" s="153">
        <v>41527</v>
      </c>
      <c r="CG166" s="136">
        <v>3.4</v>
      </c>
      <c r="CH166" s="153">
        <v>41527</v>
      </c>
      <c r="CK166" s="136">
        <v>20</v>
      </c>
    </row>
    <row r="167" spans="1:89">
      <c r="A167" s="154" t="s">
        <v>7825</v>
      </c>
      <c r="B167" t="s">
        <v>259</v>
      </c>
      <c r="C167" t="s">
        <v>7794</v>
      </c>
      <c r="D167">
        <v>28</v>
      </c>
      <c r="E167" s="113">
        <v>6</v>
      </c>
      <c r="F167" s="113">
        <v>35</v>
      </c>
      <c r="K167" s="112">
        <v>5</v>
      </c>
      <c r="L167" s="317">
        <v>41569</v>
      </c>
      <c r="S167" s="318">
        <v>1725.0719999999999</v>
      </c>
      <c r="T167" s="153">
        <v>41527</v>
      </c>
      <c r="U167" s="136">
        <v>10.8</v>
      </c>
      <c r="Y167" s="136">
        <v>824.68799999999999</v>
      </c>
      <c r="Z167" s="153">
        <v>41527</v>
      </c>
      <c r="AA167" s="318" t="s">
        <v>7718</v>
      </c>
      <c r="AB167" s="153">
        <v>41527</v>
      </c>
      <c r="AE167">
        <v>39.840000000000003</v>
      </c>
      <c r="AF167" s="153">
        <v>41527</v>
      </c>
      <c r="AG167" s="136" t="s">
        <v>7718</v>
      </c>
      <c r="AH167" s="153">
        <v>41527</v>
      </c>
      <c r="AI167" s="318">
        <v>115</v>
      </c>
      <c r="AJ167" s="153">
        <v>41527</v>
      </c>
      <c r="BS167" s="318">
        <v>43.3</v>
      </c>
      <c r="BT167" s="153">
        <v>41527</v>
      </c>
      <c r="BU167">
        <v>20.7</v>
      </c>
      <c r="BV167" s="153">
        <v>41527</v>
      </c>
      <c r="CC167" s="136">
        <v>7.5</v>
      </c>
      <c r="CD167" s="153">
        <v>41527</v>
      </c>
      <c r="CG167" s="136">
        <v>5.4</v>
      </c>
      <c r="CH167" s="153">
        <v>41527</v>
      </c>
      <c r="CK167" s="136">
        <v>20</v>
      </c>
    </row>
    <row r="168" spans="1:89">
      <c r="A168" s="154" t="s">
        <v>7825</v>
      </c>
      <c r="B168" t="s">
        <v>257</v>
      </c>
      <c r="C168" t="s">
        <v>7795</v>
      </c>
      <c r="D168">
        <v>28</v>
      </c>
      <c r="E168" s="113">
        <v>4</v>
      </c>
      <c r="F168" s="113">
        <v>77</v>
      </c>
      <c r="K168" s="112">
        <v>5</v>
      </c>
      <c r="L168" s="317">
        <v>41569</v>
      </c>
      <c r="S168" s="318">
        <v>1879.1880000000001</v>
      </c>
      <c r="T168" s="153">
        <v>41527</v>
      </c>
      <c r="U168" s="136">
        <v>10.8</v>
      </c>
      <c r="Y168" s="136">
        <v>832.39200000000005</v>
      </c>
      <c r="Z168" s="153">
        <v>41527</v>
      </c>
      <c r="AA168" s="318">
        <v>100334.1289</v>
      </c>
      <c r="AB168" s="153">
        <v>41527</v>
      </c>
      <c r="AE168">
        <v>42.04</v>
      </c>
      <c r="AF168" s="153">
        <v>41527</v>
      </c>
      <c r="AG168" s="136">
        <v>4.1900000000000004</v>
      </c>
      <c r="AH168" s="153">
        <v>41527</v>
      </c>
      <c r="AI168" s="318">
        <v>123</v>
      </c>
      <c r="AJ168" s="153">
        <v>41527</v>
      </c>
      <c r="BS168" s="318">
        <v>44.7</v>
      </c>
      <c r="BT168" s="153">
        <v>41527</v>
      </c>
      <c r="BU168">
        <v>19.8</v>
      </c>
      <c r="BV168" s="153">
        <v>41527</v>
      </c>
      <c r="CC168" s="136">
        <v>5.7</v>
      </c>
      <c r="CD168" s="153">
        <v>41527</v>
      </c>
      <c r="CG168" s="136">
        <v>3.04</v>
      </c>
      <c r="CH168" s="153">
        <v>41527</v>
      </c>
      <c r="CK168" s="136">
        <v>20</v>
      </c>
    </row>
    <row r="169" spans="1:89">
      <c r="A169" s="154" t="s">
        <v>7825</v>
      </c>
      <c r="B169" t="s">
        <v>259</v>
      </c>
      <c r="C169" t="s">
        <v>7795</v>
      </c>
      <c r="D169">
        <v>28</v>
      </c>
      <c r="E169" s="113">
        <v>2</v>
      </c>
      <c r="F169" s="113">
        <v>71</v>
      </c>
      <c r="K169" s="112">
        <v>5</v>
      </c>
      <c r="L169" s="317">
        <v>41569</v>
      </c>
      <c r="S169" s="318">
        <v>1630.1120000000001</v>
      </c>
      <c r="T169" s="153">
        <v>41527</v>
      </c>
      <c r="U169" s="136">
        <v>10.8</v>
      </c>
      <c r="Y169" s="136">
        <v>844.096</v>
      </c>
      <c r="Z169" s="153">
        <v>41527</v>
      </c>
      <c r="AA169" s="318">
        <v>84726.477020000006</v>
      </c>
      <c r="AB169" s="153">
        <v>41527</v>
      </c>
      <c r="AE169">
        <v>38.72</v>
      </c>
      <c r="AF169" s="153">
        <v>41527</v>
      </c>
      <c r="AG169" s="136">
        <v>4.57</v>
      </c>
      <c r="AH169" s="153">
        <v>41527</v>
      </c>
      <c r="AI169" s="318">
        <v>120</v>
      </c>
      <c r="AJ169" s="153">
        <v>41527</v>
      </c>
      <c r="BS169" s="318">
        <v>42.1</v>
      </c>
      <c r="BT169" s="153">
        <v>41527</v>
      </c>
      <c r="BU169">
        <v>21.8</v>
      </c>
      <c r="BV169" s="153">
        <v>41527</v>
      </c>
      <c r="CC169" s="136">
        <v>10.199999999999999</v>
      </c>
      <c r="CD169" s="153">
        <v>41527</v>
      </c>
      <c r="CG169" s="136">
        <v>9.15</v>
      </c>
      <c r="CH169" s="153">
        <v>41527</v>
      </c>
      <c r="CK169" s="136">
        <v>30</v>
      </c>
    </row>
    <row r="170" spans="1:89">
      <c r="A170" s="154" t="s">
        <v>7826</v>
      </c>
      <c r="B170" t="s">
        <v>257</v>
      </c>
      <c r="C170" t="s">
        <v>405</v>
      </c>
      <c r="D170">
        <v>29</v>
      </c>
      <c r="E170" s="113">
        <v>6</v>
      </c>
      <c r="F170" s="113">
        <v>12</v>
      </c>
      <c r="K170" s="112">
        <v>3</v>
      </c>
      <c r="L170" s="317">
        <v>41569</v>
      </c>
      <c r="S170" s="318">
        <v>1663.81</v>
      </c>
      <c r="T170" s="153">
        <v>41527</v>
      </c>
      <c r="U170" s="136">
        <v>10.8</v>
      </c>
      <c r="Y170" s="136">
        <v>792.11</v>
      </c>
      <c r="Z170" s="153">
        <v>41527</v>
      </c>
      <c r="AA170" s="318" t="s">
        <v>7718</v>
      </c>
      <c r="AB170" s="153">
        <v>41527</v>
      </c>
      <c r="AE170">
        <v>37.9</v>
      </c>
      <c r="AF170" s="153">
        <v>41527</v>
      </c>
      <c r="AG170" s="136" t="s">
        <v>7718</v>
      </c>
      <c r="AH170" s="153">
        <v>41527</v>
      </c>
      <c r="AI170" s="318">
        <v>135</v>
      </c>
      <c r="AJ170" s="153">
        <v>41527</v>
      </c>
      <c r="BS170" s="318">
        <v>43.9</v>
      </c>
      <c r="BT170" s="153">
        <v>41527</v>
      </c>
      <c r="BU170">
        <v>20.9</v>
      </c>
      <c r="BV170" s="153">
        <v>41527</v>
      </c>
      <c r="CC170" s="136">
        <v>7.8</v>
      </c>
      <c r="CD170" s="153">
        <v>41527</v>
      </c>
      <c r="CG170" s="136">
        <v>2.79</v>
      </c>
      <c r="CH170" s="153">
        <v>41527</v>
      </c>
      <c r="CK170" s="136">
        <v>5</v>
      </c>
    </row>
    <row r="171" spans="1:89">
      <c r="A171" s="154" t="s">
        <v>7826</v>
      </c>
      <c r="B171" t="s">
        <v>259</v>
      </c>
      <c r="C171" t="s">
        <v>405</v>
      </c>
      <c r="D171">
        <v>29</v>
      </c>
      <c r="E171" s="113">
        <v>2</v>
      </c>
      <c r="F171" s="113">
        <v>11</v>
      </c>
      <c r="K171" s="112">
        <v>3</v>
      </c>
      <c r="L171" s="317">
        <v>41569</v>
      </c>
      <c r="S171" s="318">
        <v>1933.308</v>
      </c>
      <c r="T171" s="153">
        <v>41527</v>
      </c>
      <c r="U171" s="136">
        <v>10.8</v>
      </c>
      <c r="Y171" s="136">
        <v>905.41800000000001</v>
      </c>
      <c r="Z171" s="153">
        <v>41527</v>
      </c>
      <c r="AA171" s="318" t="s">
        <v>7718</v>
      </c>
      <c r="AB171" s="153">
        <v>41527</v>
      </c>
      <c r="AE171">
        <v>43.74</v>
      </c>
      <c r="AF171" s="153">
        <v>41527</v>
      </c>
      <c r="AG171" s="136" t="s">
        <v>7718</v>
      </c>
      <c r="AH171" s="153">
        <v>41527</v>
      </c>
      <c r="AI171" s="318">
        <v>140</v>
      </c>
      <c r="AJ171" s="153">
        <v>41527</v>
      </c>
      <c r="BS171" s="318">
        <v>44.2</v>
      </c>
      <c r="BT171" s="153">
        <v>41527</v>
      </c>
      <c r="BU171">
        <v>20.7</v>
      </c>
      <c r="BV171" s="153">
        <v>41527</v>
      </c>
      <c r="CC171" s="136">
        <v>7.6</v>
      </c>
      <c r="CD171" s="153">
        <v>41527</v>
      </c>
      <c r="CG171" s="136">
        <v>1.75</v>
      </c>
      <c r="CH171" s="153">
        <v>41527</v>
      </c>
      <c r="CK171" s="136">
        <v>5</v>
      </c>
    </row>
    <row r="172" spans="1:89">
      <c r="A172" s="154" t="s">
        <v>7826</v>
      </c>
      <c r="B172" t="s">
        <v>257</v>
      </c>
      <c r="C172" t="s">
        <v>7794</v>
      </c>
      <c r="D172">
        <v>29</v>
      </c>
      <c r="E172" s="113">
        <v>3</v>
      </c>
      <c r="F172" s="113">
        <v>47</v>
      </c>
      <c r="K172" s="112">
        <v>5</v>
      </c>
      <c r="L172" s="317">
        <v>41569</v>
      </c>
      <c r="S172" s="318">
        <v>2009.62</v>
      </c>
      <c r="T172" s="153">
        <v>41527</v>
      </c>
      <c r="U172" s="136">
        <v>10.8</v>
      </c>
      <c r="Y172" s="136">
        <v>885.13599999999997</v>
      </c>
      <c r="Z172" s="153">
        <v>41527</v>
      </c>
      <c r="AA172" s="318" t="s">
        <v>7718</v>
      </c>
      <c r="AB172" s="153">
        <v>41527</v>
      </c>
      <c r="AE172">
        <v>45.16</v>
      </c>
      <c r="AF172" s="153">
        <v>41527</v>
      </c>
      <c r="AG172" s="136" t="s">
        <v>7718</v>
      </c>
      <c r="AH172" s="153">
        <v>41527</v>
      </c>
      <c r="AI172" s="318">
        <v>140</v>
      </c>
      <c r="AJ172" s="153">
        <v>41527</v>
      </c>
      <c r="BS172" s="318">
        <v>44.5</v>
      </c>
      <c r="BT172" s="153">
        <v>41527</v>
      </c>
      <c r="BU172">
        <v>19.600000000000001</v>
      </c>
      <c r="BV172" s="153">
        <v>41527</v>
      </c>
      <c r="CC172" s="136">
        <v>10</v>
      </c>
      <c r="CD172" s="153">
        <v>41527</v>
      </c>
      <c r="CG172" s="136">
        <v>4.1399999999999997</v>
      </c>
      <c r="CH172" s="153">
        <v>41527</v>
      </c>
      <c r="CK172" s="136">
        <v>10</v>
      </c>
    </row>
    <row r="173" spans="1:89">
      <c r="A173" s="154" t="s">
        <v>7826</v>
      </c>
      <c r="B173" t="s">
        <v>259</v>
      </c>
      <c r="C173" t="s">
        <v>7794</v>
      </c>
      <c r="D173">
        <v>29</v>
      </c>
      <c r="E173" s="113">
        <v>5</v>
      </c>
      <c r="F173" s="113">
        <v>50</v>
      </c>
      <c r="K173" s="112">
        <v>3</v>
      </c>
      <c r="L173" s="317">
        <v>41569</v>
      </c>
      <c r="S173" s="318">
        <v>1969.482</v>
      </c>
      <c r="T173" s="153">
        <v>41527</v>
      </c>
      <c r="U173" s="136">
        <v>10.8</v>
      </c>
      <c r="Y173" s="136">
        <v>841.54600000000005</v>
      </c>
      <c r="Z173" s="153">
        <v>41527</v>
      </c>
      <c r="AA173" s="318" t="s">
        <v>7718</v>
      </c>
      <c r="AB173" s="153">
        <v>41527</v>
      </c>
      <c r="AE173">
        <v>44.06</v>
      </c>
      <c r="AF173" s="153">
        <v>41527</v>
      </c>
      <c r="AG173" s="136" t="s">
        <v>7718</v>
      </c>
      <c r="AH173" s="153">
        <v>41527</v>
      </c>
      <c r="AI173" s="318">
        <v>140</v>
      </c>
      <c r="AJ173" s="153">
        <v>41527</v>
      </c>
      <c r="BS173" s="318">
        <v>44.7</v>
      </c>
      <c r="BT173" s="153">
        <v>41527</v>
      </c>
      <c r="BU173">
        <v>19.100000000000001</v>
      </c>
      <c r="BV173" s="153">
        <v>41527</v>
      </c>
      <c r="CC173" s="136">
        <v>9.1999999999999993</v>
      </c>
      <c r="CD173" s="153">
        <v>41527</v>
      </c>
      <c r="CG173" s="136">
        <v>5.43</v>
      </c>
      <c r="CH173" s="153">
        <v>41527</v>
      </c>
      <c r="CK173" s="136">
        <v>10</v>
      </c>
    </row>
    <row r="174" spans="1:89">
      <c r="A174" s="154" t="s">
        <v>7826</v>
      </c>
      <c r="B174" t="s">
        <v>257</v>
      </c>
      <c r="C174" t="s">
        <v>7795</v>
      </c>
      <c r="D174">
        <v>29</v>
      </c>
      <c r="E174" s="113">
        <v>5</v>
      </c>
      <c r="F174" s="113">
        <v>87</v>
      </c>
      <c r="K174" s="112">
        <v>5</v>
      </c>
      <c r="L174" s="317">
        <v>41569</v>
      </c>
      <c r="S174" s="318">
        <v>1557</v>
      </c>
      <c r="T174" s="153">
        <v>41527</v>
      </c>
      <c r="U174" s="136">
        <v>10.8</v>
      </c>
      <c r="Y174" s="136">
        <v>671.24</v>
      </c>
      <c r="Z174" s="153">
        <v>41527</v>
      </c>
      <c r="AA174" s="318">
        <v>77927.927930000005</v>
      </c>
      <c r="AB174" s="153">
        <v>41527</v>
      </c>
      <c r="AE174">
        <v>34.6</v>
      </c>
      <c r="AF174" s="153">
        <v>41527</v>
      </c>
      <c r="AG174" s="136">
        <v>4.4400000000000004</v>
      </c>
      <c r="AH174" s="153">
        <v>41527</v>
      </c>
      <c r="AI174" s="318">
        <v>135</v>
      </c>
      <c r="AJ174" s="153">
        <v>41527</v>
      </c>
      <c r="BS174" s="318">
        <v>45</v>
      </c>
      <c r="BT174" s="153">
        <v>41527</v>
      </c>
      <c r="BU174">
        <v>19.399999999999999</v>
      </c>
      <c r="BV174" s="153">
        <v>41527</v>
      </c>
      <c r="CC174" s="136">
        <v>8.6</v>
      </c>
      <c r="CD174" s="153">
        <v>41527</v>
      </c>
      <c r="CG174" s="136">
        <v>2.5499999999999998</v>
      </c>
      <c r="CH174" s="153">
        <v>41527</v>
      </c>
      <c r="CK174" s="136">
        <v>5</v>
      </c>
    </row>
    <row r="175" spans="1:89">
      <c r="A175" s="154" t="s">
        <v>7826</v>
      </c>
      <c r="B175" t="s">
        <v>259</v>
      </c>
      <c r="C175" t="s">
        <v>7795</v>
      </c>
      <c r="D175">
        <v>29</v>
      </c>
      <c r="E175" s="113">
        <v>1</v>
      </c>
      <c r="F175" s="113">
        <v>64</v>
      </c>
      <c r="K175" s="112">
        <v>5</v>
      </c>
      <c r="L175" s="317">
        <v>41569</v>
      </c>
      <c r="S175" s="318">
        <v>2003.645</v>
      </c>
      <c r="T175" s="153">
        <v>41527</v>
      </c>
      <c r="U175" s="136">
        <v>10.8</v>
      </c>
      <c r="Y175" s="136">
        <v>949.09500000000003</v>
      </c>
      <c r="Z175" s="153">
        <v>41527</v>
      </c>
      <c r="AA175" s="318">
        <v>97970.085470000005</v>
      </c>
      <c r="AB175" s="153">
        <v>41527</v>
      </c>
      <c r="AE175">
        <v>45.85</v>
      </c>
      <c r="AF175" s="153">
        <v>41527</v>
      </c>
      <c r="AG175" s="136">
        <v>4.68</v>
      </c>
      <c r="AH175" s="153">
        <v>41527</v>
      </c>
      <c r="AI175" s="318">
        <v>135</v>
      </c>
      <c r="AJ175" s="153">
        <v>41527</v>
      </c>
      <c r="BS175" s="318">
        <v>43.7</v>
      </c>
      <c r="BT175" s="153">
        <v>41527</v>
      </c>
      <c r="BU175">
        <v>20.7</v>
      </c>
      <c r="BV175" s="153">
        <v>41527</v>
      </c>
      <c r="CC175" s="136">
        <v>9.1</v>
      </c>
      <c r="CD175" s="153">
        <v>41527</v>
      </c>
      <c r="CG175" s="136">
        <v>4.1500000000000004</v>
      </c>
      <c r="CH175" s="153">
        <v>41527</v>
      </c>
      <c r="CK175" s="136">
        <v>5</v>
      </c>
    </row>
    <row r="176" spans="1:89">
      <c r="A176" s="154" t="s">
        <v>7827</v>
      </c>
      <c r="B176" t="s">
        <v>257</v>
      </c>
      <c r="C176" t="s">
        <v>405</v>
      </c>
      <c r="D176">
        <v>30</v>
      </c>
      <c r="E176" s="113">
        <v>4</v>
      </c>
      <c r="F176" s="113">
        <v>3</v>
      </c>
      <c r="K176" s="112">
        <v>5</v>
      </c>
      <c r="L176" s="317">
        <v>41569</v>
      </c>
      <c r="S176" s="318">
        <v>1569.96</v>
      </c>
      <c r="T176" s="153">
        <v>41527</v>
      </c>
      <c r="U176" s="136">
        <v>10.8</v>
      </c>
      <c r="Y176" s="136">
        <v>712.65599999999995</v>
      </c>
      <c r="Z176" s="153">
        <v>41527</v>
      </c>
      <c r="AA176" s="318" t="s">
        <v>7718</v>
      </c>
      <c r="AB176" s="153">
        <v>41527</v>
      </c>
      <c r="AE176">
        <v>35.28</v>
      </c>
      <c r="AF176" s="153">
        <v>41527</v>
      </c>
      <c r="AG176" s="136" t="s">
        <v>7718</v>
      </c>
      <c r="AH176" s="153">
        <v>41527</v>
      </c>
      <c r="AI176" s="318">
        <v>120</v>
      </c>
      <c r="AJ176" s="153">
        <v>41527</v>
      </c>
      <c r="BS176" s="318">
        <v>44.5</v>
      </c>
      <c r="BT176" s="153">
        <v>41527</v>
      </c>
      <c r="BU176">
        <v>20.2</v>
      </c>
      <c r="BV176" s="153">
        <v>41527</v>
      </c>
      <c r="CC176" s="136">
        <v>10.9</v>
      </c>
      <c r="CD176" s="153">
        <v>41527</v>
      </c>
      <c r="CG176" s="136">
        <v>1.53</v>
      </c>
      <c r="CH176" s="153">
        <v>41527</v>
      </c>
      <c r="CK176" s="136">
        <v>30</v>
      </c>
    </row>
    <row r="177" spans="1:89">
      <c r="A177" s="154" t="s">
        <v>7827</v>
      </c>
      <c r="B177" t="s">
        <v>259</v>
      </c>
      <c r="C177" t="s">
        <v>405</v>
      </c>
      <c r="D177">
        <v>30</v>
      </c>
      <c r="E177" s="113">
        <v>3</v>
      </c>
      <c r="F177" s="113">
        <v>15</v>
      </c>
      <c r="K177" s="112">
        <v>5</v>
      </c>
      <c r="L177" s="317">
        <v>41569</v>
      </c>
      <c r="S177" s="318">
        <v>1823.29</v>
      </c>
      <c r="T177" s="153">
        <v>41527</v>
      </c>
      <c r="U177" s="136">
        <v>10.8</v>
      </c>
      <c r="Y177" s="136">
        <v>965.02</v>
      </c>
      <c r="Z177" s="153">
        <v>41527</v>
      </c>
      <c r="AA177" s="318" t="s">
        <v>7718</v>
      </c>
      <c r="AB177" s="153">
        <v>41527</v>
      </c>
      <c r="AE177">
        <v>42.7</v>
      </c>
      <c r="AF177" s="153">
        <v>41527</v>
      </c>
      <c r="AG177" s="136" t="s">
        <v>7718</v>
      </c>
      <c r="AH177" s="153">
        <v>41527</v>
      </c>
      <c r="AI177" s="318">
        <v>135</v>
      </c>
      <c r="AJ177" s="153">
        <v>41527</v>
      </c>
      <c r="BS177" s="318">
        <v>42.7</v>
      </c>
      <c r="BT177" s="153">
        <v>41527</v>
      </c>
      <c r="BU177">
        <v>22.6</v>
      </c>
      <c r="BV177" s="153">
        <v>41527</v>
      </c>
      <c r="CC177" s="136">
        <v>6.9</v>
      </c>
      <c r="CD177" s="153">
        <v>41527</v>
      </c>
      <c r="CG177" s="136">
        <v>0.96</v>
      </c>
      <c r="CH177" s="153">
        <v>41527</v>
      </c>
      <c r="CK177" s="136">
        <v>30</v>
      </c>
    </row>
    <row r="178" spans="1:89">
      <c r="A178" s="154" t="s">
        <v>7827</v>
      </c>
      <c r="B178" t="s">
        <v>257</v>
      </c>
      <c r="C178" t="s">
        <v>7794</v>
      </c>
      <c r="D178">
        <v>30</v>
      </c>
      <c r="E178" s="113">
        <v>1</v>
      </c>
      <c r="F178" s="113">
        <v>47</v>
      </c>
      <c r="K178" s="112">
        <v>5</v>
      </c>
      <c r="L178" s="317">
        <v>41569</v>
      </c>
      <c r="S178" s="318">
        <v>1802.6949999999999</v>
      </c>
      <c r="T178" s="153">
        <v>41527</v>
      </c>
      <c r="U178" s="136">
        <v>10.8</v>
      </c>
      <c r="Y178" s="136">
        <v>826.404</v>
      </c>
      <c r="Z178" s="153">
        <v>41527</v>
      </c>
      <c r="AA178" s="318" t="s">
        <v>7718</v>
      </c>
      <c r="AB178" s="153">
        <v>41527</v>
      </c>
      <c r="AE178">
        <v>40.51</v>
      </c>
      <c r="AF178" s="153">
        <v>41527</v>
      </c>
      <c r="AG178" s="136" t="s">
        <v>7718</v>
      </c>
      <c r="AH178" s="153">
        <v>41527</v>
      </c>
      <c r="AI178" s="318">
        <v>135</v>
      </c>
      <c r="AJ178" s="153">
        <v>41527</v>
      </c>
      <c r="BS178" s="318">
        <v>44.5</v>
      </c>
      <c r="BT178" s="153">
        <v>41527</v>
      </c>
      <c r="BU178">
        <v>20.399999999999999</v>
      </c>
      <c r="BV178" s="153">
        <v>41527</v>
      </c>
      <c r="CC178" s="136">
        <v>8.1999999999999993</v>
      </c>
      <c r="CD178" s="153">
        <v>41527</v>
      </c>
      <c r="CG178" s="136">
        <v>2.52</v>
      </c>
      <c r="CH178" s="153">
        <v>41527</v>
      </c>
      <c r="CK178" s="136">
        <v>20</v>
      </c>
    </row>
    <row r="179" spans="1:89">
      <c r="A179" s="154" t="s">
        <v>7827</v>
      </c>
      <c r="B179" t="s">
        <v>259</v>
      </c>
      <c r="C179" t="s">
        <v>7794</v>
      </c>
      <c r="D179">
        <v>30</v>
      </c>
      <c r="E179" s="113">
        <v>6</v>
      </c>
      <c r="F179" s="113">
        <v>33</v>
      </c>
      <c r="K179" s="112">
        <v>3</v>
      </c>
      <c r="L179" s="317">
        <v>41569</v>
      </c>
      <c r="S179" s="318">
        <v>1805.912</v>
      </c>
      <c r="T179" s="153">
        <v>41527</v>
      </c>
      <c r="U179" s="136">
        <v>10.8</v>
      </c>
      <c r="Y179" s="136">
        <v>882.24599999999998</v>
      </c>
      <c r="Z179" s="153">
        <v>41527</v>
      </c>
      <c r="AA179" s="318" t="s">
        <v>7718</v>
      </c>
      <c r="AB179" s="153">
        <v>41527</v>
      </c>
      <c r="AE179">
        <v>41.42</v>
      </c>
      <c r="AF179" s="153">
        <v>41527</v>
      </c>
      <c r="AG179" s="136" t="s">
        <v>7718</v>
      </c>
      <c r="AH179" s="153">
        <v>41527</v>
      </c>
      <c r="AI179" s="318">
        <v>130</v>
      </c>
      <c r="AJ179" s="153">
        <v>41527</v>
      </c>
      <c r="BS179" s="318">
        <v>43.6</v>
      </c>
      <c r="BT179" s="153">
        <v>41527</v>
      </c>
      <c r="BU179">
        <v>21.3</v>
      </c>
      <c r="BV179" s="153">
        <v>41527</v>
      </c>
      <c r="CC179" s="136">
        <v>5.8</v>
      </c>
      <c r="CD179" s="153">
        <v>41527</v>
      </c>
      <c r="CG179" s="136">
        <v>3.1</v>
      </c>
      <c r="CH179" s="153">
        <v>41527</v>
      </c>
      <c r="CK179" s="136">
        <v>20</v>
      </c>
    </row>
    <row r="180" spans="1:89">
      <c r="A180" s="154" t="s">
        <v>7827</v>
      </c>
      <c r="B180" t="s">
        <v>257</v>
      </c>
      <c r="C180" t="s">
        <v>7795</v>
      </c>
      <c r="D180">
        <v>30</v>
      </c>
      <c r="E180" s="113">
        <v>4</v>
      </c>
      <c r="F180" s="113">
        <v>69</v>
      </c>
      <c r="K180" s="112">
        <v>5</v>
      </c>
      <c r="L180" s="317">
        <v>41569</v>
      </c>
      <c r="S180" s="318">
        <v>1628.346</v>
      </c>
      <c r="T180" s="153">
        <v>41527</v>
      </c>
      <c r="U180" s="136">
        <v>10.8</v>
      </c>
      <c r="Y180" s="136">
        <v>726.54899999999998</v>
      </c>
      <c r="Z180" s="153">
        <v>41527</v>
      </c>
      <c r="AA180" s="318">
        <v>78516.129029999996</v>
      </c>
      <c r="AB180" s="153">
        <v>41527</v>
      </c>
      <c r="AE180">
        <v>36.51</v>
      </c>
      <c r="AF180" s="153">
        <v>41527</v>
      </c>
      <c r="AG180" s="136">
        <v>4.6500000000000004</v>
      </c>
      <c r="AH180" s="153">
        <v>41527</v>
      </c>
      <c r="AI180" s="318">
        <v>125</v>
      </c>
      <c r="AJ180" s="153">
        <v>41527</v>
      </c>
      <c r="BS180" s="318">
        <v>44.6</v>
      </c>
      <c r="BT180" s="153">
        <v>41527</v>
      </c>
      <c r="BU180">
        <v>19.899999999999999</v>
      </c>
      <c r="BV180" s="153">
        <v>41527</v>
      </c>
      <c r="CC180" s="136">
        <v>6.5</v>
      </c>
      <c r="CD180" s="153">
        <v>41527</v>
      </c>
      <c r="CG180" s="136">
        <v>3.38</v>
      </c>
      <c r="CH180" s="153">
        <v>41527</v>
      </c>
      <c r="CK180" s="136">
        <v>20</v>
      </c>
    </row>
    <row r="181" spans="1:89">
      <c r="A181" s="154" t="s">
        <v>7827</v>
      </c>
      <c r="B181" t="s">
        <v>259</v>
      </c>
      <c r="C181" t="s">
        <v>7795</v>
      </c>
      <c r="D181">
        <v>30</v>
      </c>
      <c r="E181" s="113">
        <v>3</v>
      </c>
      <c r="F181" s="113">
        <v>81</v>
      </c>
      <c r="K181" s="112">
        <v>5</v>
      </c>
      <c r="L181" s="317">
        <v>41569</v>
      </c>
      <c r="S181" s="318">
        <v>1802.402</v>
      </c>
      <c r="T181" s="153">
        <v>41527</v>
      </c>
      <c r="U181" s="136">
        <v>10.8</v>
      </c>
      <c r="Y181" s="136">
        <v>905.35400000000004</v>
      </c>
      <c r="Z181" s="153">
        <v>41527</v>
      </c>
      <c r="AA181" s="318">
        <v>89120.171669999996</v>
      </c>
      <c r="AB181" s="153">
        <v>41527</v>
      </c>
      <c r="AE181">
        <v>41.53</v>
      </c>
      <c r="AF181" s="153">
        <v>41527</v>
      </c>
      <c r="AG181" s="136">
        <v>4.66</v>
      </c>
      <c r="AH181" s="153">
        <v>41527</v>
      </c>
      <c r="AI181" s="318">
        <v>140</v>
      </c>
      <c r="AJ181" s="153">
        <v>41527</v>
      </c>
      <c r="BS181" s="318">
        <v>43.4</v>
      </c>
      <c r="BT181" s="153">
        <v>41527</v>
      </c>
      <c r="BU181">
        <v>21.8</v>
      </c>
      <c r="BV181" s="153">
        <v>41527</v>
      </c>
      <c r="CC181" s="136">
        <v>7.8</v>
      </c>
      <c r="CD181" s="153">
        <v>41527</v>
      </c>
      <c r="CG181" s="136">
        <v>3.17</v>
      </c>
      <c r="CH181" s="153">
        <v>41527</v>
      </c>
      <c r="CK181" s="136">
        <v>10</v>
      </c>
    </row>
    <row r="182" spans="1:89">
      <c r="A182" s="154" t="s">
        <v>7828</v>
      </c>
      <c r="B182" t="s">
        <v>257</v>
      </c>
      <c r="C182" t="s">
        <v>405</v>
      </c>
      <c r="D182">
        <v>31</v>
      </c>
      <c r="E182" s="113">
        <v>5</v>
      </c>
      <c r="F182" s="113">
        <v>7</v>
      </c>
      <c r="K182" s="112">
        <v>5</v>
      </c>
      <c r="L182" s="317">
        <v>41569</v>
      </c>
      <c r="S182" s="318">
        <v>1768.5</v>
      </c>
      <c r="T182" s="153">
        <v>41527</v>
      </c>
      <c r="U182" s="136">
        <v>10.8</v>
      </c>
      <c r="Y182" s="136">
        <v>797.79</v>
      </c>
      <c r="Z182" s="153">
        <v>41527</v>
      </c>
      <c r="AA182" s="318" t="s">
        <v>7718</v>
      </c>
      <c r="AB182" s="153">
        <v>41527</v>
      </c>
      <c r="AE182">
        <v>39.299999999999997</v>
      </c>
      <c r="AF182" s="153">
        <v>41527</v>
      </c>
      <c r="AG182" s="136" t="s">
        <v>7718</v>
      </c>
      <c r="AH182" s="153">
        <v>41527</v>
      </c>
      <c r="AI182" s="318">
        <v>145</v>
      </c>
      <c r="AJ182" s="153">
        <v>41527</v>
      </c>
      <c r="BS182" s="318">
        <v>45</v>
      </c>
      <c r="BT182" s="153">
        <v>41527</v>
      </c>
      <c r="BU182">
        <v>20.3</v>
      </c>
      <c r="BV182" s="153">
        <v>41527</v>
      </c>
      <c r="CC182" s="136">
        <v>8.1999999999999993</v>
      </c>
      <c r="CD182" s="153">
        <v>41527</v>
      </c>
      <c r="CG182" s="136">
        <v>2.33</v>
      </c>
      <c r="CH182" s="153">
        <v>41527</v>
      </c>
      <c r="CK182" s="136">
        <v>10</v>
      </c>
    </row>
    <row r="183" spans="1:89">
      <c r="A183" s="154" t="s">
        <v>7828</v>
      </c>
      <c r="B183" t="s">
        <v>259</v>
      </c>
      <c r="C183" t="s">
        <v>405</v>
      </c>
      <c r="D183">
        <v>31</v>
      </c>
      <c r="E183" s="113">
        <v>3</v>
      </c>
      <c r="F183" s="113">
        <v>21</v>
      </c>
      <c r="K183" s="112">
        <v>5</v>
      </c>
      <c r="L183" s="317">
        <v>41569</v>
      </c>
      <c r="S183" s="318">
        <v>1994.49</v>
      </c>
      <c r="T183" s="153">
        <v>41527</v>
      </c>
      <c r="U183" s="136">
        <v>10.8</v>
      </c>
      <c r="Y183" s="136">
        <v>923.29200000000003</v>
      </c>
      <c r="Z183" s="153">
        <v>41527</v>
      </c>
      <c r="AA183" s="318" t="s">
        <v>7718</v>
      </c>
      <c r="AB183" s="153">
        <v>41527</v>
      </c>
      <c r="AE183">
        <v>44.82</v>
      </c>
      <c r="AF183" s="153">
        <v>41527</v>
      </c>
      <c r="AG183" s="136" t="s">
        <v>7718</v>
      </c>
      <c r="AH183" s="153">
        <v>41527</v>
      </c>
      <c r="AI183" s="318">
        <v>150</v>
      </c>
      <c r="AJ183" s="153">
        <v>41527</v>
      </c>
      <c r="BS183" s="318">
        <v>44.5</v>
      </c>
      <c r="BT183" s="153">
        <v>41527</v>
      </c>
      <c r="BU183">
        <v>20.6</v>
      </c>
      <c r="BV183" s="153">
        <v>41527</v>
      </c>
      <c r="CC183" s="136">
        <v>8.8000000000000007</v>
      </c>
      <c r="CD183" s="153">
        <v>41527</v>
      </c>
      <c r="CG183" s="136">
        <v>2.44</v>
      </c>
      <c r="CH183" s="153">
        <v>41527</v>
      </c>
      <c r="CK183" s="136">
        <v>20</v>
      </c>
    </row>
    <row r="184" spans="1:89">
      <c r="A184" s="154" t="s">
        <v>7828</v>
      </c>
      <c r="B184" t="s">
        <v>257</v>
      </c>
      <c r="C184" t="s">
        <v>7794</v>
      </c>
      <c r="D184">
        <v>31</v>
      </c>
      <c r="E184" s="113">
        <v>3</v>
      </c>
      <c r="F184" s="113">
        <v>36</v>
      </c>
      <c r="K184" s="112">
        <v>5</v>
      </c>
      <c r="L184" s="317">
        <v>41569</v>
      </c>
      <c r="S184" s="318" t="s">
        <v>7718</v>
      </c>
      <c r="T184" s="153">
        <v>41527</v>
      </c>
      <c r="U184" s="136">
        <v>10.8</v>
      </c>
      <c r="Y184" s="136" t="s">
        <v>7718</v>
      </c>
      <c r="Z184" s="153">
        <v>41527</v>
      </c>
      <c r="AA184" s="318" t="s">
        <v>7718</v>
      </c>
      <c r="AB184" s="153">
        <v>41527</v>
      </c>
      <c r="AE184" t="s">
        <v>7718</v>
      </c>
      <c r="AF184" s="153">
        <v>41527</v>
      </c>
      <c r="AG184" s="136" t="s">
        <v>7718</v>
      </c>
      <c r="AH184" s="153">
        <v>41527</v>
      </c>
      <c r="AI184" s="318">
        <v>155</v>
      </c>
      <c r="AJ184" s="153">
        <v>41527</v>
      </c>
      <c r="BS184" s="318">
        <v>45.9</v>
      </c>
      <c r="BT184" s="153">
        <v>41527</v>
      </c>
      <c r="BU184">
        <v>19.3</v>
      </c>
      <c r="BV184" s="153">
        <v>41527</v>
      </c>
      <c r="CC184" s="136">
        <v>10.3</v>
      </c>
      <c r="CD184" s="153">
        <v>41527</v>
      </c>
      <c r="CG184" s="136">
        <v>5.54</v>
      </c>
      <c r="CH184" s="153">
        <v>41527</v>
      </c>
      <c r="CK184" s="136">
        <v>20</v>
      </c>
    </row>
    <row r="185" spans="1:89">
      <c r="A185" s="154" t="s">
        <v>7828</v>
      </c>
      <c r="B185" t="s">
        <v>259</v>
      </c>
      <c r="C185" t="s">
        <v>7794</v>
      </c>
      <c r="D185">
        <v>31</v>
      </c>
      <c r="E185" s="113">
        <v>5</v>
      </c>
      <c r="F185" s="113">
        <v>56</v>
      </c>
      <c r="K185" s="112">
        <v>5</v>
      </c>
      <c r="L185" s="317">
        <v>41569</v>
      </c>
      <c r="S185" s="318">
        <v>1875.72</v>
      </c>
      <c r="T185" s="153">
        <v>41527</v>
      </c>
      <c r="U185" s="136">
        <v>10.8</v>
      </c>
      <c r="Y185" s="136">
        <v>895.23</v>
      </c>
      <c r="Z185" s="153">
        <v>41527</v>
      </c>
      <c r="AA185" s="318" t="s">
        <v>7718</v>
      </c>
      <c r="AB185" s="153">
        <v>41527</v>
      </c>
      <c r="AE185">
        <v>42.63</v>
      </c>
      <c r="AF185" s="153">
        <v>41527</v>
      </c>
      <c r="AG185" s="136" t="s">
        <v>7718</v>
      </c>
      <c r="AH185" s="153">
        <v>41527</v>
      </c>
      <c r="AI185" s="318">
        <v>130</v>
      </c>
      <c r="AJ185" s="153">
        <v>41527</v>
      </c>
      <c r="BS185" s="318">
        <v>44</v>
      </c>
      <c r="BT185" s="153">
        <v>41527</v>
      </c>
      <c r="BU185">
        <v>21</v>
      </c>
      <c r="BV185" s="153">
        <v>41527</v>
      </c>
      <c r="CC185" s="136">
        <v>5.7</v>
      </c>
      <c r="CD185" s="153">
        <v>41527</v>
      </c>
      <c r="CG185" s="136">
        <v>1.67</v>
      </c>
      <c r="CH185" s="153">
        <v>41527</v>
      </c>
      <c r="CK185" s="136">
        <v>10</v>
      </c>
    </row>
    <row r="186" spans="1:89">
      <c r="A186" s="154" t="s">
        <v>7828</v>
      </c>
      <c r="B186" t="s">
        <v>257</v>
      </c>
      <c r="C186" t="s">
        <v>7795</v>
      </c>
      <c r="D186">
        <v>31</v>
      </c>
      <c r="E186" s="113">
        <v>5</v>
      </c>
      <c r="F186" s="113">
        <v>69</v>
      </c>
      <c r="K186" s="112">
        <v>5</v>
      </c>
      <c r="L186" s="317">
        <v>41569</v>
      </c>
      <c r="S186" s="318">
        <v>1729.3520000000001</v>
      </c>
      <c r="T186" s="153">
        <v>41527</v>
      </c>
      <c r="U186" s="136">
        <v>10.8</v>
      </c>
      <c r="Y186" s="136">
        <v>761.37400000000002</v>
      </c>
      <c r="Z186" s="153">
        <v>41527</v>
      </c>
      <c r="AA186" s="318">
        <v>83355.119829999996</v>
      </c>
      <c r="AB186" s="153">
        <v>41527</v>
      </c>
      <c r="AE186">
        <v>38.26</v>
      </c>
      <c r="AF186" s="153">
        <v>41527</v>
      </c>
      <c r="AG186" s="136">
        <v>4.59</v>
      </c>
      <c r="AH186" s="153">
        <v>41527</v>
      </c>
      <c r="AI186" s="318">
        <v>135</v>
      </c>
      <c r="AJ186" s="153">
        <v>41527</v>
      </c>
      <c r="BS186" s="318">
        <v>45.2</v>
      </c>
      <c r="BT186" s="153">
        <v>41527</v>
      </c>
      <c r="BU186">
        <v>19.899999999999999</v>
      </c>
      <c r="BV186" s="153">
        <v>41527</v>
      </c>
      <c r="CC186" s="136">
        <v>6.1</v>
      </c>
      <c r="CD186" s="153">
        <v>41527</v>
      </c>
      <c r="CG186" s="136">
        <v>1.44</v>
      </c>
      <c r="CH186" s="153">
        <v>41527</v>
      </c>
      <c r="CK186" s="136">
        <v>10</v>
      </c>
    </row>
    <row r="187" spans="1:89">
      <c r="A187" s="154" t="s">
        <v>7828</v>
      </c>
      <c r="B187" t="s">
        <v>259</v>
      </c>
      <c r="C187" t="s">
        <v>7795</v>
      </c>
      <c r="D187">
        <v>31</v>
      </c>
      <c r="E187" s="113">
        <v>3</v>
      </c>
      <c r="F187" s="113">
        <v>87</v>
      </c>
      <c r="K187" s="112">
        <v>5</v>
      </c>
      <c r="L187" s="317">
        <v>41569</v>
      </c>
      <c r="S187" s="318">
        <v>1699.5250000000001</v>
      </c>
      <c r="T187" s="153">
        <v>41527</v>
      </c>
      <c r="U187" s="136">
        <v>10.8</v>
      </c>
      <c r="Y187" s="136">
        <v>847.8</v>
      </c>
      <c r="Z187" s="153">
        <v>41527</v>
      </c>
      <c r="AA187" s="318">
        <v>84408.602150000006</v>
      </c>
      <c r="AB187" s="153">
        <v>41527</v>
      </c>
      <c r="AE187">
        <v>39.25</v>
      </c>
      <c r="AF187" s="153">
        <v>41527</v>
      </c>
      <c r="AG187" s="136">
        <v>4.6500000000000004</v>
      </c>
      <c r="AH187" s="153">
        <v>41527</v>
      </c>
      <c r="AI187" s="318">
        <v>140</v>
      </c>
      <c r="AJ187" s="153">
        <v>41527</v>
      </c>
      <c r="BS187" s="318">
        <v>43.3</v>
      </c>
      <c r="BT187" s="153">
        <v>41527</v>
      </c>
      <c r="BU187">
        <v>21.6</v>
      </c>
      <c r="BV187" s="153">
        <v>41527</v>
      </c>
      <c r="CC187" s="136">
        <v>9.5</v>
      </c>
      <c r="CD187" s="153">
        <v>41527</v>
      </c>
      <c r="CG187" s="136">
        <v>2.82</v>
      </c>
      <c r="CH187" s="153">
        <v>41527</v>
      </c>
      <c r="CK187" s="136">
        <v>20</v>
      </c>
    </row>
    <row r="188" spans="1:89">
      <c r="A188" s="154" t="s">
        <v>7829</v>
      </c>
      <c r="B188" t="s">
        <v>257</v>
      </c>
      <c r="C188" t="s">
        <v>405</v>
      </c>
      <c r="D188">
        <v>32</v>
      </c>
      <c r="E188" s="113">
        <v>4</v>
      </c>
      <c r="F188" s="113">
        <v>9</v>
      </c>
      <c r="K188" s="112">
        <v>5</v>
      </c>
      <c r="L188" s="317">
        <v>41569</v>
      </c>
      <c r="S188" s="318">
        <v>2065.183</v>
      </c>
      <c r="T188" s="153">
        <v>41527</v>
      </c>
      <c r="U188" s="136">
        <v>10.8</v>
      </c>
      <c r="Y188" s="136">
        <v>863.12900000000002</v>
      </c>
      <c r="Z188" s="153">
        <v>41527</v>
      </c>
      <c r="AA188" s="318" t="s">
        <v>7718</v>
      </c>
      <c r="AB188" s="153">
        <v>41527</v>
      </c>
      <c r="AE188">
        <v>45.19</v>
      </c>
      <c r="AF188" s="153">
        <v>41527</v>
      </c>
      <c r="AG188" s="136" t="s">
        <v>7718</v>
      </c>
      <c r="AH188" s="153">
        <v>41527</v>
      </c>
      <c r="AI188" s="318">
        <v>130</v>
      </c>
      <c r="AJ188" s="153">
        <v>41527</v>
      </c>
      <c r="BS188" s="318">
        <v>45.7</v>
      </c>
      <c r="BT188" s="153">
        <v>41527</v>
      </c>
      <c r="BU188">
        <v>19.100000000000001</v>
      </c>
      <c r="BV188" s="153">
        <v>41527</v>
      </c>
      <c r="CC188" s="136">
        <v>7.1</v>
      </c>
      <c r="CD188" s="153">
        <v>41527</v>
      </c>
      <c r="CG188" s="136">
        <v>0.31</v>
      </c>
      <c r="CH188" s="153">
        <v>41527</v>
      </c>
      <c r="CK188" s="136">
        <v>20</v>
      </c>
    </row>
    <row r="189" spans="1:89">
      <c r="A189" s="154" t="s">
        <v>7829</v>
      </c>
      <c r="B189" t="s">
        <v>259</v>
      </c>
      <c r="C189" t="s">
        <v>405</v>
      </c>
      <c r="D189">
        <v>32</v>
      </c>
      <c r="E189" s="113">
        <v>1</v>
      </c>
      <c r="F189" s="113">
        <v>3</v>
      </c>
      <c r="K189" s="112">
        <v>7</v>
      </c>
      <c r="L189" s="317">
        <v>41569</v>
      </c>
      <c r="S189" s="318">
        <v>2113.788</v>
      </c>
      <c r="T189" s="153">
        <v>41527</v>
      </c>
      <c r="U189" s="136">
        <v>10.8</v>
      </c>
      <c r="Y189" s="136">
        <v>1037.5899999999999</v>
      </c>
      <c r="Z189" s="153">
        <v>41527</v>
      </c>
      <c r="AA189" s="318" t="s">
        <v>7718</v>
      </c>
      <c r="AB189" s="153">
        <v>41527</v>
      </c>
      <c r="AE189">
        <v>48.26</v>
      </c>
      <c r="AF189" s="153">
        <v>41527</v>
      </c>
      <c r="AG189" s="136" t="s">
        <v>7718</v>
      </c>
      <c r="AH189" s="153">
        <v>41527</v>
      </c>
      <c r="AI189" s="318">
        <v>130</v>
      </c>
      <c r="AJ189" s="153">
        <v>41527</v>
      </c>
      <c r="BS189" s="318">
        <v>43.8</v>
      </c>
      <c r="BT189" s="153">
        <v>41527</v>
      </c>
      <c r="BU189">
        <v>21.5</v>
      </c>
      <c r="BV189" s="153">
        <v>41527</v>
      </c>
      <c r="CC189" s="136">
        <v>10.7</v>
      </c>
      <c r="CD189" s="153">
        <v>41527</v>
      </c>
      <c r="CG189" s="136">
        <v>1.21</v>
      </c>
      <c r="CH189" s="153">
        <v>41527</v>
      </c>
      <c r="CK189" s="136">
        <v>20</v>
      </c>
    </row>
    <row r="190" spans="1:89">
      <c r="A190" s="154" t="s">
        <v>7829</v>
      </c>
      <c r="B190" t="s">
        <v>257</v>
      </c>
      <c r="C190" t="s">
        <v>7794</v>
      </c>
      <c r="D190">
        <v>32</v>
      </c>
      <c r="E190" s="113">
        <v>2</v>
      </c>
      <c r="F190" s="113">
        <v>36</v>
      </c>
      <c r="K190" s="112">
        <v>5</v>
      </c>
      <c r="L190" s="317">
        <v>41569</v>
      </c>
      <c r="S190" s="318">
        <v>4031.7550000000001</v>
      </c>
      <c r="T190" s="153">
        <v>41527</v>
      </c>
      <c r="U190" s="136">
        <v>10.8</v>
      </c>
      <c r="Y190" s="136">
        <v>1710.173</v>
      </c>
      <c r="Z190" s="153">
        <v>41527</v>
      </c>
      <c r="AA190" s="318" t="s">
        <v>7718</v>
      </c>
      <c r="AB190" s="153">
        <v>41527</v>
      </c>
      <c r="AE190" t="s">
        <v>7718</v>
      </c>
      <c r="AF190" s="153">
        <v>41527</v>
      </c>
      <c r="AG190" s="136" t="s">
        <v>7718</v>
      </c>
      <c r="AH190" s="153">
        <v>41527</v>
      </c>
      <c r="AI190" s="318">
        <v>135</v>
      </c>
      <c r="AJ190" s="153">
        <v>41527</v>
      </c>
      <c r="BS190" s="318">
        <v>45.5</v>
      </c>
      <c r="BT190" s="153">
        <v>41527</v>
      </c>
      <c r="BU190">
        <v>19.3</v>
      </c>
      <c r="BV190" s="153">
        <v>41527</v>
      </c>
      <c r="CC190" s="136">
        <v>8.1999999999999993</v>
      </c>
      <c r="CD190" s="153">
        <v>41527</v>
      </c>
      <c r="CG190" s="136">
        <v>1.45</v>
      </c>
      <c r="CH190" s="153">
        <v>41527</v>
      </c>
      <c r="CK190" s="136">
        <v>20</v>
      </c>
    </row>
    <row r="191" spans="1:89">
      <c r="A191" s="154" t="s">
        <v>7829</v>
      </c>
      <c r="B191" t="s">
        <v>259</v>
      </c>
      <c r="C191" t="s">
        <v>7794</v>
      </c>
      <c r="D191">
        <v>32</v>
      </c>
      <c r="E191" s="113">
        <v>4</v>
      </c>
      <c r="F191" s="113">
        <v>41</v>
      </c>
      <c r="K191" s="112">
        <v>5</v>
      </c>
      <c r="L191" s="317">
        <v>41569</v>
      </c>
      <c r="S191" s="318">
        <v>2537.5219999999999</v>
      </c>
      <c r="T191" s="153">
        <v>41527</v>
      </c>
      <c r="U191" s="136">
        <v>10.8</v>
      </c>
      <c r="Y191" s="136">
        <v>1205.6099999999999</v>
      </c>
      <c r="Z191" s="153">
        <v>41527</v>
      </c>
      <c r="AA191" s="318" t="s">
        <v>7718</v>
      </c>
      <c r="AB191" s="153">
        <v>41527</v>
      </c>
      <c r="AE191">
        <v>57.41</v>
      </c>
      <c r="AF191" s="153">
        <v>41527</v>
      </c>
      <c r="AG191" s="136" t="s">
        <v>7718</v>
      </c>
      <c r="AH191" s="153">
        <v>41527</v>
      </c>
      <c r="AI191" s="318">
        <v>135</v>
      </c>
      <c r="AJ191" s="153">
        <v>41527</v>
      </c>
      <c r="BS191" s="318">
        <v>44.2</v>
      </c>
      <c r="BT191" s="153">
        <v>41527</v>
      </c>
      <c r="BU191">
        <v>21</v>
      </c>
      <c r="BV191" s="153">
        <v>41527</v>
      </c>
      <c r="CC191" s="136">
        <v>7.3</v>
      </c>
      <c r="CD191" s="153">
        <v>41527</v>
      </c>
      <c r="CG191" s="136">
        <v>1.1200000000000001</v>
      </c>
      <c r="CH191" s="153">
        <v>41527</v>
      </c>
      <c r="CK191" s="136">
        <v>30</v>
      </c>
    </row>
    <row r="192" spans="1:89">
      <c r="A192" s="154" t="s">
        <v>7829</v>
      </c>
      <c r="B192" t="s">
        <v>257</v>
      </c>
      <c r="C192" t="s">
        <v>7795</v>
      </c>
      <c r="D192">
        <v>32</v>
      </c>
      <c r="E192" s="113">
        <v>4</v>
      </c>
      <c r="F192" s="113">
        <v>78</v>
      </c>
      <c r="K192" s="112">
        <v>5</v>
      </c>
      <c r="L192" s="317">
        <v>41569</v>
      </c>
      <c r="S192" s="318">
        <v>1957.3309999999999</v>
      </c>
      <c r="T192" s="153">
        <v>41527</v>
      </c>
      <c r="U192" s="136">
        <v>10.8</v>
      </c>
      <c r="Y192" s="136">
        <v>809.48699999999997</v>
      </c>
      <c r="Z192" s="153">
        <v>41527</v>
      </c>
      <c r="AA192" s="318">
        <v>93925.438599999994</v>
      </c>
      <c r="AB192" s="153">
        <v>41527</v>
      </c>
      <c r="AE192">
        <v>42.83</v>
      </c>
      <c r="AF192" s="153">
        <v>41527</v>
      </c>
      <c r="AG192" s="136">
        <v>4.5599999999999996</v>
      </c>
      <c r="AH192" s="153">
        <v>41527</v>
      </c>
      <c r="AI192" s="318">
        <v>130</v>
      </c>
      <c r="AJ192" s="153">
        <v>41527</v>
      </c>
      <c r="BS192" s="318">
        <v>45.7</v>
      </c>
      <c r="BT192" s="153">
        <v>41527</v>
      </c>
      <c r="BU192">
        <v>18.899999999999999</v>
      </c>
      <c r="BV192" s="153">
        <v>41527</v>
      </c>
      <c r="CC192" s="136">
        <v>5.9</v>
      </c>
      <c r="CD192" s="153">
        <v>41527</v>
      </c>
      <c r="CG192" s="136">
        <v>1.94</v>
      </c>
      <c r="CH192" s="153">
        <v>41527</v>
      </c>
      <c r="CK192" s="136">
        <v>30</v>
      </c>
    </row>
    <row r="193" spans="1:89">
      <c r="A193" s="154" t="s">
        <v>7829</v>
      </c>
      <c r="B193" t="s">
        <v>259</v>
      </c>
      <c r="C193" t="s">
        <v>7795</v>
      </c>
      <c r="D193">
        <v>32</v>
      </c>
      <c r="E193" s="113">
        <v>2</v>
      </c>
      <c r="F193" s="113">
        <v>62</v>
      </c>
      <c r="K193" s="112">
        <v>5</v>
      </c>
      <c r="L193" s="317">
        <v>41569</v>
      </c>
      <c r="S193" s="318">
        <v>2209.7370000000001</v>
      </c>
      <c r="T193" s="153">
        <v>41527</v>
      </c>
      <c r="U193" s="136">
        <v>10.8</v>
      </c>
      <c r="Y193" s="136">
        <v>1112.559</v>
      </c>
      <c r="Z193" s="153">
        <v>41527</v>
      </c>
      <c r="AA193" s="318">
        <v>106590.4366</v>
      </c>
      <c r="AB193" s="153">
        <v>41527</v>
      </c>
      <c r="AE193">
        <v>51.27</v>
      </c>
      <c r="AF193" s="153">
        <v>41527</v>
      </c>
      <c r="AG193" s="136">
        <v>4.8099999999999996</v>
      </c>
      <c r="AH193" s="153">
        <v>41527</v>
      </c>
      <c r="AI193" s="318">
        <v>135</v>
      </c>
      <c r="AJ193" s="153">
        <v>41527</v>
      </c>
      <c r="BS193" s="318">
        <v>43.1</v>
      </c>
      <c r="BT193" s="153">
        <v>41527</v>
      </c>
      <c r="BU193">
        <v>21.7</v>
      </c>
      <c r="BV193" s="153">
        <v>41527</v>
      </c>
      <c r="CC193" s="136">
        <v>8.6</v>
      </c>
      <c r="CD193" s="153">
        <v>41527</v>
      </c>
      <c r="CG193" s="136">
        <v>2.39</v>
      </c>
      <c r="CH193" s="153">
        <v>41527</v>
      </c>
      <c r="CK193" s="136">
        <v>30</v>
      </c>
    </row>
    <row r="194" spans="1:89">
      <c r="A194" s="154" t="s">
        <v>7830</v>
      </c>
      <c r="B194" t="s">
        <v>257</v>
      </c>
      <c r="C194" t="s">
        <v>405</v>
      </c>
      <c r="D194">
        <v>33</v>
      </c>
      <c r="E194" s="113">
        <v>4</v>
      </c>
      <c r="F194" s="113">
        <v>16</v>
      </c>
      <c r="K194" s="112">
        <v>5</v>
      </c>
      <c r="L194" s="317">
        <v>41569</v>
      </c>
      <c r="S194" s="318">
        <v>1783.877</v>
      </c>
      <c r="T194" s="153">
        <v>41527</v>
      </c>
      <c r="U194" s="136">
        <v>10.8</v>
      </c>
      <c r="Y194" s="136">
        <v>810.49199999999996</v>
      </c>
      <c r="Z194" s="153">
        <v>41527</v>
      </c>
      <c r="AA194" s="318" t="s">
        <v>7718</v>
      </c>
      <c r="AB194" s="153">
        <v>41527</v>
      </c>
      <c r="AE194">
        <v>39.729999999999997</v>
      </c>
      <c r="AF194" s="153">
        <v>41527</v>
      </c>
      <c r="AG194" s="136" t="s">
        <v>7718</v>
      </c>
      <c r="AH194" s="153">
        <v>41527</v>
      </c>
      <c r="AI194" s="318">
        <v>135</v>
      </c>
      <c r="AJ194" s="153">
        <v>41527</v>
      </c>
      <c r="BS194" s="318">
        <v>44.9</v>
      </c>
      <c r="BT194" s="153">
        <v>41527</v>
      </c>
      <c r="BU194">
        <v>20.399999999999999</v>
      </c>
      <c r="BV194" s="153">
        <v>41527</v>
      </c>
      <c r="CC194" s="136">
        <v>6.6</v>
      </c>
      <c r="CD194" s="153">
        <v>41527</v>
      </c>
      <c r="CG194" s="136">
        <v>1.28</v>
      </c>
      <c r="CH194" s="153">
        <v>41527</v>
      </c>
      <c r="CK194" s="136">
        <v>5</v>
      </c>
    </row>
    <row r="195" spans="1:89">
      <c r="A195" s="154" t="s">
        <v>7830</v>
      </c>
      <c r="B195" t="s">
        <v>259</v>
      </c>
      <c r="C195" t="s">
        <v>405</v>
      </c>
      <c r="D195">
        <v>33</v>
      </c>
      <c r="E195" s="113">
        <v>1</v>
      </c>
      <c r="F195" s="113">
        <v>5</v>
      </c>
      <c r="K195" s="112">
        <v>5</v>
      </c>
      <c r="L195" s="317">
        <v>41569</v>
      </c>
      <c r="S195" s="318">
        <v>1985.9839999999999</v>
      </c>
      <c r="T195" s="153">
        <v>41527</v>
      </c>
      <c r="U195" s="136">
        <v>10.8</v>
      </c>
      <c r="Y195" s="136">
        <v>1047.904</v>
      </c>
      <c r="Z195" s="153">
        <v>41527</v>
      </c>
      <c r="AA195" s="318" t="s">
        <v>7718</v>
      </c>
      <c r="AB195" s="153">
        <v>41527</v>
      </c>
      <c r="AE195">
        <v>45.76</v>
      </c>
      <c r="AF195" s="153">
        <v>41527</v>
      </c>
      <c r="AG195" s="136" t="s">
        <v>7718</v>
      </c>
      <c r="AH195" s="153">
        <v>41527</v>
      </c>
      <c r="AI195" s="318">
        <v>135</v>
      </c>
      <c r="AJ195" s="153">
        <v>41527</v>
      </c>
      <c r="BS195" s="318">
        <v>43.4</v>
      </c>
      <c r="BT195" s="153">
        <v>41527</v>
      </c>
      <c r="BU195">
        <v>22.9</v>
      </c>
      <c r="BV195" s="153">
        <v>41527</v>
      </c>
      <c r="CC195" s="136">
        <v>10</v>
      </c>
      <c r="CD195" s="153">
        <v>41527</v>
      </c>
      <c r="CG195" s="136">
        <v>2.4</v>
      </c>
      <c r="CH195" s="153">
        <v>41527</v>
      </c>
      <c r="CK195" s="136">
        <v>5</v>
      </c>
    </row>
    <row r="196" spans="1:89">
      <c r="A196" s="154" t="s">
        <v>7830</v>
      </c>
      <c r="B196" t="s">
        <v>257</v>
      </c>
      <c r="C196" t="s">
        <v>7794</v>
      </c>
      <c r="D196">
        <v>33</v>
      </c>
      <c r="E196" s="113">
        <v>1</v>
      </c>
      <c r="F196" s="113">
        <v>56</v>
      </c>
      <c r="K196" s="112">
        <v>5</v>
      </c>
      <c r="L196" s="317">
        <v>41569</v>
      </c>
      <c r="S196" s="318">
        <v>1741.95</v>
      </c>
      <c r="T196" s="153">
        <v>41527</v>
      </c>
      <c r="U196" s="136">
        <v>10.8</v>
      </c>
      <c r="Y196" s="136">
        <v>797.9</v>
      </c>
      <c r="Z196" s="153">
        <v>41527</v>
      </c>
      <c r="AA196" s="318" t="s">
        <v>7718</v>
      </c>
      <c r="AB196" s="153">
        <v>41527</v>
      </c>
      <c r="AE196">
        <v>39.5</v>
      </c>
      <c r="AF196" s="153">
        <v>41527</v>
      </c>
      <c r="AG196" s="136" t="s">
        <v>7718</v>
      </c>
      <c r="AH196" s="153">
        <v>41527</v>
      </c>
      <c r="AI196" s="318">
        <v>135</v>
      </c>
      <c r="AJ196" s="153">
        <v>41527</v>
      </c>
      <c r="BS196" s="318">
        <v>44.1</v>
      </c>
      <c r="BT196" s="153">
        <v>41527</v>
      </c>
      <c r="BU196">
        <v>20.2</v>
      </c>
      <c r="BV196" s="153">
        <v>41527</v>
      </c>
      <c r="CC196" s="136">
        <v>7.7</v>
      </c>
      <c r="CD196" s="153">
        <v>41527</v>
      </c>
      <c r="CG196" s="136">
        <v>3.95</v>
      </c>
      <c r="CH196" s="153">
        <v>41527</v>
      </c>
      <c r="CK196" s="136">
        <v>10</v>
      </c>
    </row>
    <row r="197" spans="1:89">
      <c r="A197" s="154" t="s">
        <v>7830</v>
      </c>
      <c r="B197" t="s">
        <v>259</v>
      </c>
      <c r="C197" t="s">
        <v>7794</v>
      </c>
      <c r="D197">
        <v>33</v>
      </c>
      <c r="E197" s="113">
        <v>6</v>
      </c>
      <c r="F197" s="113">
        <v>45</v>
      </c>
      <c r="K197" s="112">
        <v>5</v>
      </c>
      <c r="L197" s="317">
        <v>41569</v>
      </c>
      <c r="S197" s="318">
        <v>1837.44</v>
      </c>
      <c r="T197" s="153">
        <v>41527</v>
      </c>
      <c r="U197" s="136">
        <v>10.8</v>
      </c>
      <c r="Y197" s="136">
        <v>908.16</v>
      </c>
      <c r="Z197" s="153">
        <v>41527</v>
      </c>
      <c r="AA197" s="318" t="s">
        <v>7718</v>
      </c>
      <c r="AB197" s="153">
        <v>41527</v>
      </c>
      <c r="AE197">
        <v>42.24</v>
      </c>
      <c r="AF197" s="153">
        <v>41527</v>
      </c>
      <c r="AG197" s="136" t="s">
        <v>7718</v>
      </c>
      <c r="AH197" s="153">
        <v>41527</v>
      </c>
      <c r="AI197" s="318">
        <v>130</v>
      </c>
      <c r="AJ197" s="153">
        <v>41527</v>
      </c>
      <c r="BS197" s="318">
        <v>43.5</v>
      </c>
      <c r="BT197" s="153">
        <v>41527</v>
      </c>
      <c r="BU197">
        <v>21.5</v>
      </c>
      <c r="BV197" s="153">
        <v>41527</v>
      </c>
      <c r="CC197" s="136">
        <v>7.4</v>
      </c>
      <c r="CD197" s="153">
        <v>41527</v>
      </c>
      <c r="CG197" s="136">
        <v>2.41</v>
      </c>
      <c r="CH197" s="153">
        <v>41527</v>
      </c>
      <c r="CK197" s="136">
        <v>10</v>
      </c>
    </row>
    <row r="198" spans="1:89">
      <c r="A198" s="154" t="s">
        <v>7830</v>
      </c>
      <c r="B198" t="s">
        <v>257</v>
      </c>
      <c r="C198" t="s">
        <v>7795</v>
      </c>
      <c r="D198">
        <v>33</v>
      </c>
      <c r="E198" s="113">
        <v>5</v>
      </c>
      <c r="F198" s="113">
        <v>66</v>
      </c>
      <c r="K198" s="112">
        <v>5</v>
      </c>
      <c r="L198" s="317">
        <v>41569</v>
      </c>
      <c r="S198" s="318">
        <v>1722.63</v>
      </c>
      <c r="T198" s="153">
        <v>41527</v>
      </c>
      <c r="U198" s="136">
        <v>10.8</v>
      </c>
      <c r="Y198" s="136">
        <v>745.84199999999998</v>
      </c>
      <c r="Z198" s="153">
        <v>41527</v>
      </c>
      <c r="AA198" s="318">
        <v>77107.942970000004</v>
      </c>
      <c r="AB198" s="153">
        <v>41527</v>
      </c>
      <c r="AE198">
        <v>37.86</v>
      </c>
      <c r="AF198" s="153">
        <v>41527</v>
      </c>
      <c r="AG198" s="136">
        <v>4.91</v>
      </c>
      <c r="AH198" s="153">
        <v>41527</v>
      </c>
      <c r="AI198" s="318">
        <v>130</v>
      </c>
      <c r="AJ198" s="153">
        <v>41527</v>
      </c>
      <c r="BS198" s="318">
        <v>45.5</v>
      </c>
      <c r="BT198" s="153">
        <v>41527</v>
      </c>
      <c r="BU198">
        <v>19.7</v>
      </c>
      <c r="BV198" s="153">
        <v>41527</v>
      </c>
      <c r="CC198" s="136">
        <v>6.3</v>
      </c>
      <c r="CD198" s="153">
        <v>41527</v>
      </c>
      <c r="CG198" s="136">
        <v>0.81</v>
      </c>
      <c r="CH198" s="153">
        <v>41527</v>
      </c>
      <c r="CK198" s="136">
        <v>10</v>
      </c>
    </row>
    <row r="199" spans="1:89">
      <c r="A199" s="154" t="s">
        <v>7830</v>
      </c>
      <c r="B199" t="s">
        <v>259</v>
      </c>
      <c r="C199" t="s">
        <v>7795</v>
      </c>
      <c r="D199">
        <v>33</v>
      </c>
      <c r="E199" s="113">
        <v>2</v>
      </c>
      <c r="F199" s="113">
        <v>84</v>
      </c>
      <c r="K199" s="112">
        <v>5</v>
      </c>
      <c r="L199" s="317">
        <v>41569</v>
      </c>
      <c r="S199" s="318">
        <v>1736.64</v>
      </c>
      <c r="T199" s="153">
        <v>41527</v>
      </c>
      <c r="U199" s="136">
        <v>10.8</v>
      </c>
      <c r="Y199" s="136">
        <v>892.44</v>
      </c>
      <c r="Z199" s="153">
        <v>41527</v>
      </c>
      <c r="AA199" s="318">
        <v>81541.582150000002</v>
      </c>
      <c r="AB199" s="153">
        <v>41527</v>
      </c>
      <c r="AE199">
        <v>40.200000000000003</v>
      </c>
      <c r="AF199" s="153">
        <v>41527</v>
      </c>
      <c r="AG199" s="136">
        <v>4.93</v>
      </c>
      <c r="AH199" s="153">
        <v>41527</v>
      </c>
      <c r="AI199" s="318">
        <v>140</v>
      </c>
      <c r="AJ199" s="153">
        <v>41527</v>
      </c>
      <c r="BS199" s="318">
        <v>43.2</v>
      </c>
      <c r="BT199" s="153">
        <v>41527</v>
      </c>
      <c r="BU199">
        <v>22.2</v>
      </c>
      <c r="BV199" s="153">
        <v>41527</v>
      </c>
      <c r="CC199" s="136">
        <v>12.3</v>
      </c>
      <c r="CD199" s="153">
        <v>41527</v>
      </c>
      <c r="CG199" s="136">
        <v>6.38</v>
      </c>
      <c r="CH199" s="153">
        <v>41527</v>
      </c>
      <c r="CK199" s="136">
        <v>5</v>
      </c>
    </row>
    <row r="200" spans="1:89">
      <c r="A200" s="154" t="s">
        <v>7831</v>
      </c>
      <c r="B200" t="s">
        <v>257</v>
      </c>
      <c r="C200" t="s">
        <v>405</v>
      </c>
      <c r="D200">
        <v>34</v>
      </c>
      <c r="E200" s="113">
        <v>5</v>
      </c>
      <c r="F200" s="113">
        <v>24</v>
      </c>
      <c r="K200" s="112">
        <v>5</v>
      </c>
      <c r="L200" s="317">
        <v>41569</v>
      </c>
      <c r="S200" s="318">
        <v>1716.44</v>
      </c>
      <c r="T200" s="153">
        <v>41527</v>
      </c>
      <c r="U200" s="136">
        <v>10.8</v>
      </c>
      <c r="Y200" s="136">
        <v>745.09100000000001</v>
      </c>
      <c r="Z200" s="153">
        <v>41527</v>
      </c>
      <c r="AA200" s="318" t="s">
        <v>7718</v>
      </c>
      <c r="AB200" s="153">
        <v>41527</v>
      </c>
      <c r="AE200">
        <v>39.01</v>
      </c>
      <c r="AF200" s="153">
        <v>41527</v>
      </c>
      <c r="AG200" s="136" t="s">
        <v>7718</v>
      </c>
      <c r="AH200" s="153">
        <v>41527</v>
      </c>
      <c r="AI200" s="318">
        <v>125</v>
      </c>
      <c r="AJ200" s="153">
        <v>41527</v>
      </c>
      <c r="BS200" s="318">
        <v>44</v>
      </c>
      <c r="BT200" s="153">
        <v>41527</v>
      </c>
      <c r="BU200">
        <v>19.100000000000001</v>
      </c>
      <c r="BV200" s="153">
        <v>41527</v>
      </c>
      <c r="CC200" s="136">
        <v>8.3000000000000007</v>
      </c>
      <c r="CD200" s="153">
        <v>41527</v>
      </c>
      <c r="CG200" s="136">
        <v>3.87</v>
      </c>
      <c r="CH200" s="153">
        <v>41527</v>
      </c>
      <c r="CK200" s="136">
        <v>20</v>
      </c>
    </row>
    <row r="201" spans="1:89">
      <c r="A201" s="154" t="s">
        <v>7831</v>
      </c>
      <c r="B201" t="s">
        <v>259</v>
      </c>
      <c r="C201" t="s">
        <v>405</v>
      </c>
      <c r="D201">
        <v>34</v>
      </c>
      <c r="E201" s="113">
        <v>1</v>
      </c>
      <c r="F201" s="113">
        <v>25</v>
      </c>
      <c r="K201" s="112">
        <v>5</v>
      </c>
      <c r="L201" s="317">
        <v>41569</v>
      </c>
      <c r="S201" s="318">
        <v>2015.0129999999999</v>
      </c>
      <c r="T201" s="153">
        <v>41527</v>
      </c>
      <c r="U201" s="136">
        <v>10.8</v>
      </c>
      <c r="Y201" s="136">
        <v>948.79399999999998</v>
      </c>
      <c r="Z201" s="153">
        <v>41527</v>
      </c>
      <c r="AA201" s="318" t="s">
        <v>7718</v>
      </c>
      <c r="AB201" s="153">
        <v>41527</v>
      </c>
      <c r="AE201">
        <v>46.97</v>
      </c>
      <c r="AF201" s="153">
        <v>41527</v>
      </c>
      <c r="AG201" s="136" t="s">
        <v>7718</v>
      </c>
      <c r="AH201" s="153">
        <v>41527</v>
      </c>
      <c r="AI201" s="318">
        <v>140</v>
      </c>
      <c r="AJ201" s="153">
        <v>41527</v>
      </c>
      <c r="BS201" s="318">
        <v>42.9</v>
      </c>
      <c r="BT201" s="153">
        <v>41527</v>
      </c>
      <c r="BU201">
        <v>20.2</v>
      </c>
      <c r="BV201" s="153">
        <v>41527</v>
      </c>
      <c r="CC201" s="136">
        <v>10.8</v>
      </c>
      <c r="CD201" s="153">
        <v>41527</v>
      </c>
      <c r="CG201" s="136">
        <v>1.87</v>
      </c>
      <c r="CH201" s="153">
        <v>41527</v>
      </c>
      <c r="CK201" s="136">
        <v>10</v>
      </c>
    </row>
    <row r="202" spans="1:89">
      <c r="A202" s="154" t="s">
        <v>7831</v>
      </c>
      <c r="B202" t="s">
        <v>257</v>
      </c>
      <c r="C202" t="s">
        <v>7794</v>
      </c>
      <c r="D202">
        <v>34</v>
      </c>
      <c r="E202" s="113">
        <v>3</v>
      </c>
      <c r="F202" s="113">
        <v>46</v>
      </c>
      <c r="K202" s="112">
        <v>5</v>
      </c>
      <c r="L202" s="317">
        <v>41569</v>
      </c>
      <c r="S202" s="318">
        <v>1777.68</v>
      </c>
      <c r="T202" s="153">
        <v>41527</v>
      </c>
      <c r="U202" s="136">
        <v>10.8</v>
      </c>
      <c r="Y202" s="136">
        <v>785.96500000000003</v>
      </c>
      <c r="Z202" s="153">
        <v>41527</v>
      </c>
      <c r="AA202" s="318" t="s">
        <v>7718</v>
      </c>
      <c r="AB202" s="153">
        <v>41527</v>
      </c>
      <c r="AE202">
        <v>41.15</v>
      </c>
      <c r="AF202" s="153">
        <v>41527</v>
      </c>
      <c r="AG202" s="136" t="s">
        <v>7718</v>
      </c>
      <c r="AH202" s="153">
        <v>41527</v>
      </c>
      <c r="AI202" s="318">
        <v>135</v>
      </c>
      <c r="AJ202" s="153">
        <v>41527</v>
      </c>
      <c r="BS202" s="318">
        <v>43.2</v>
      </c>
      <c r="BT202" s="153">
        <v>41527</v>
      </c>
      <c r="BU202">
        <v>19.100000000000001</v>
      </c>
      <c r="BV202" s="153">
        <v>41527</v>
      </c>
      <c r="CC202" s="136">
        <v>9.3000000000000007</v>
      </c>
      <c r="CD202" s="153">
        <v>41527</v>
      </c>
      <c r="CG202" s="136">
        <v>3.55</v>
      </c>
      <c r="CH202" s="153">
        <v>41527</v>
      </c>
      <c r="CK202" s="136">
        <v>30</v>
      </c>
    </row>
    <row r="203" spans="1:89">
      <c r="A203" s="154" t="s">
        <v>7831</v>
      </c>
      <c r="B203" t="s">
        <v>259</v>
      </c>
      <c r="C203" t="s">
        <v>7794</v>
      </c>
      <c r="D203">
        <v>34</v>
      </c>
      <c r="E203" s="113">
        <v>5</v>
      </c>
      <c r="F203" s="113">
        <v>53</v>
      </c>
      <c r="K203" s="112">
        <v>5</v>
      </c>
      <c r="L203" s="317">
        <v>41569</v>
      </c>
      <c r="S203" s="318">
        <v>2021.6320000000001</v>
      </c>
      <c r="T203" s="153">
        <v>41527</v>
      </c>
      <c r="U203" s="136">
        <v>10.8</v>
      </c>
      <c r="Y203" s="136">
        <v>977.44</v>
      </c>
      <c r="Z203" s="153">
        <v>41527</v>
      </c>
      <c r="AA203" s="318" t="s">
        <v>7718</v>
      </c>
      <c r="AB203" s="153">
        <v>41527</v>
      </c>
      <c r="AE203">
        <v>47.68</v>
      </c>
      <c r="AF203" s="153">
        <v>41527</v>
      </c>
      <c r="AG203" s="136" t="s">
        <v>7718</v>
      </c>
      <c r="AH203" s="153">
        <v>41527</v>
      </c>
      <c r="AI203" s="318">
        <v>135</v>
      </c>
      <c r="AJ203" s="153">
        <v>41527</v>
      </c>
      <c r="BS203" s="318">
        <v>42.4</v>
      </c>
      <c r="BT203" s="153">
        <v>41527</v>
      </c>
      <c r="BU203">
        <v>20.5</v>
      </c>
      <c r="BV203" s="153">
        <v>41527</v>
      </c>
      <c r="CC203" s="136">
        <v>8.3000000000000007</v>
      </c>
      <c r="CD203" s="153">
        <v>41527</v>
      </c>
      <c r="CG203" s="136">
        <v>1.47</v>
      </c>
      <c r="CH203" s="153">
        <v>41527</v>
      </c>
      <c r="CK203" s="136">
        <v>20</v>
      </c>
    </row>
    <row r="204" spans="1:89">
      <c r="A204" s="154" t="s">
        <v>7831</v>
      </c>
      <c r="B204" t="s">
        <v>257</v>
      </c>
      <c r="C204" t="s">
        <v>7795</v>
      </c>
      <c r="D204">
        <v>34</v>
      </c>
      <c r="E204" s="113">
        <v>5</v>
      </c>
      <c r="F204" s="113">
        <v>74</v>
      </c>
      <c r="K204" s="112">
        <v>5</v>
      </c>
      <c r="L204" s="317">
        <v>41569</v>
      </c>
      <c r="S204" s="318">
        <v>1844.58</v>
      </c>
      <c r="T204" s="153">
        <v>41527</v>
      </c>
      <c r="U204" s="136">
        <v>10.8</v>
      </c>
      <c r="Y204" s="136">
        <v>834.96</v>
      </c>
      <c r="Z204" s="153">
        <v>41527</v>
      </c>
      <c r="AA204" s="318">
        <v>84523.809519999995</v>
      </c>
      <c r="AB204" s="153">
        <v>41527</v>
      </c>
      <c r="AE204">
        <v>42.6</v>
      </c>
      <c r="AF204" s="153">
        <v>41527</v>
      </c>
      <c r="AG204" s="136">
        <v>5.04</v>
      </c>
      <c r="AH204" s="153">
        <v>41527</v>
      </c>
      <c r="AI204" s="318">
        <v>125</v>
      </c>
      <c r="AJ204" s="153">
        <v>41527</v>
      </c>
      <c r="BS204" s="318">
        <v>43.3</v>
      </c>
      <c r="BT204" s="153">
        <v>41527</v>
      </c>
      <c r="BU204">
        <v>19.600000000000001</v>
      </c>
      <c r="BV204" s="153">
        <v>41527</v>
      </c>
      <c r="CC204" s="136">
        <v>6.2</v>
      </c>
      <c r="CD204" s="153">
        <v>41527</v>
      </c>
      <c r="CG204" s="136">
        <v>1.79</v>
      </c>
      <c r="CH204" s="153">
        <v>41527</v>
      </c>
      <c r="CK204" s="136">
        <v>20</v>
      </c>
    </row>
    <row r="205" spans="1:89">
      <c r="A205" s="154" t="s">
        <v>7831</v>
      </c>
      <c r="B205" t="s">
        <v>259</v>
      </c>
      <c r="C205" t="s">
        <v>7795</v>
      </c>
      <c r="D205">
        <v>34</v>
      </c>
      <c r="E205" s="113">
        <v>3</v>
      </c>
      <c r="F205" s="113">
        <v>70</v>
      </c>
      <c r="K205" s="112">
        <v>5</v>
      </c>
      <c r="L205" s="317">
        <v>41569</v>
      </c>
      <c r="S205" s="318">
        <v>1888.942</v>
      </c>
      <c r="T205" s="153">
        <v>41527</v>
      </c>
      <c r="U205" s="136">
        <v>10.8</v>
      </c>
      <c r="Y205" s="136">
        <v>953.50900000000001</v>
      </c>
      <c r="Z205" s="153">
        <v>41527</v>
      </c>
      <c r="AA205" s="318">
        <v>87747.572820000001</v>
      </c>
      <c r="AB205" s="153">
        <v>41527</v>
      </c>
      <c r="AE205">
        <v>45.19</v>
      </c>
      <c r="AF205" s="153">
        <v>41527</v>
      </c>
      <c r="AG205" s="136">
        <v>5.15</v>
      </c>
      <c r="AH205" s="153">
        <v>41527</v>
      </c>
      <c r="AI205" s="318">
        <v>130</v>
      </c>
      <c r="AJ205" s="153">
        <v>41527</v>
      </c>
      <c r="BS205" s="318">
        <v>41.8</v>
      </c>
      <c r="BT205" s="153">
        <v>41527</v>
      </c>
      <c r="BU205">
        <v>21.1</v>
      </c>
      <c r="BV205" s="153">
        <v>41527</v>
      </c>
      <c r="CC205" s="136">
        <v>8.1</v>
      </c>
      <c r="CD205" s="153">
        <v>41527</v>
      </c>
      <c r="CG205" s="136">
        <v>4.2300000000000004</v>
      </c>
      <c r="CH205" s="153">
        <v>41527</v>
      </c>
      <c r="CK205" s="136">
        <v>20</v>
      </c>
    </row>
    <row r="206" spans="1:89">
      <c r="A206" s="154" t="s">
        <v>7832</v>
      </c>
      <c r="B206" t="s">
        <v>257</v>
      </c>
      <c r="C206" t="s">
        <v>405</v>
      </c>
      <c r="D206">
        <v>35</v>
      </c>
      <c r="E206" s="113">
        <v>5</v>
      </c>
      <c r="F206" s="113">
        <v>15</v>
      </c>
      <c r="K206" s="112">
        <v>5</v>
      </c>
      <c r="L206" s="317">
        <v>41569</v>
      </c>
      <c r="S206" s="318">
        <v>1676.068</v>
      </c>
      <c r="T206" s="153">
        <v>41527</v>
      </c>
      <c r="U206" s="136">
        <v>10.8</v>
      </c>
      <c r="Y206" s="136">
        <v>759.11599999999999</v>
      </c>
      <c r="Z206" s="153">
        <v>41527</v>
      </c>
      <c r="AA206" s="318" t="s">
        <v>7718</v>
      </c>
      <c r="AB206" s="153">
        <v>41527</v>
      </c>
      <c r="AE206">
        <v>37.58</v>
      </c>
      <c r="AF206" s="153">
        <v>41527</v>
      </c>
      <c r="AG206" s="136" t="s">
        <v>7718</v>
      </c>
      <c r="AH206" s="153">
        <v>41527</v>
      </c>
      <c r="AI206" s="318">
        <v>135</v>
      </c>
      <c r="AJ206" s="153">
        <v>41527</v>
      </c>
      <c r="BS206" s="318">
        <v>44.6</v>
      </c>
      <c r="BT206" s="153">
        <v>41527</v>
      </c>
      <c r="BU206">
        <v>20.2</v>
      </c>
      <c r="BV206" s="153">
        <v>41527</v>
      </c>
      <c r="CC206" s="136">
        <v>6.7</v>
      </c>
      <c r="CD206" s="153">
        <v>41527</v>
      </c>
      <c r="CG206" s="136">
        <v>2.74</v>
      </c>
      <c r="CH206" s="153">
        <v>41527</v>
      </c>
      <c r="CK206" s="136">
        <v>10</v>
      </c>
    </row>
    <row r="207" spans="1:89">
      <c r="A207" s="154" t="s">
        <v>7832</v>
      </c>
      <c r="B207" t="s">
        <v>259</v>
      </c>
      <c r="C207" t="s">
        <v>405</v>
      </c>
      <c r="D207">
        <v>35</v>
      </c>
      <c r="E207" s="113">
        <v>1</v>
      </c>
      <c r="F207" s="113">
        <v>19</v>
      </c>
      <c r="K207" s="112">
        <v>5</v>
      </c>
      <c r="L207" s="317">
        <v>41569</v>
      </c>
      <c r="S207" s="318">
        <v>2221.12</v>
      </c>
      <c r="T207" s="153">
        <v>41527</v>
      </c>
      <c r="U207" s="136">
        <v>10.8</v>
      </c>
      <c r="Y207" s="136">
        <v>1090.3679999999999</v>
      </c>
      <c r="Z207" s="153">
        <v>41527</v>
      </c>
      <c r="AA207" s="318" t="s">
        <v>7718</v>
      </c>
      <c r="AB207" s="153">
        <v>41527</v>
      </c>
      <c r="AE207">
        <v>50.48</v>
      </c>
      <c r="AF207" s="153">
        <v>41527</v>
      </c>
      <c r="AG207" s="136" t="s">
        <v>7718</v>
      </c>
      <c r="AH207" s="153">
        <v>41527</v>
      </c>
      <c r="AI207" s="318">
        <v>145</v>
      </c>
      <c r="AJ207" s="153">
        <v>41527</v>
      </c>
      <c r="BS207" s="318">
        <v>44</v>
      </c>
      <c r="BT207" s="153">
        <v>41527</v>
      </c>
      <c r="BU207">
        <v>21.6</v>
      </c>
      <c r="BV207" s="153">
        <v>41527</v>
      </c>
      <c r="CC207" s="136">
        <v>6.9</v>
      </c>
      <c r="CD207" s="153">
        <v>41527</v>
      </c>
      <c r="CG207" s="136">
        <v>1.89</v>
      </c>
      <c r="CH207" s="153">
        <v>41527</v>
      </c>
      <c r="CK207" s="136">
        <v>20</v>
      </c>
    </row>
    <row r="208" spans="1:89">
      <c r="A208" s="154" t="s">
        <v>7832</v>
      </c>
      <c r="B208" t="s">
        <v>257</v>
      </c>
      <c r="C208" t="s">
        <v>7794</v>
      </c>
      <c r="D208">
        <v>35</v>
      </c>
      <c r="E208" s="113">
        <v>3</v>
      </c>
      <c r="F208" s="113">
        <v>44</v>
      </c>
      <c r="K208" s="112">
        <v>7</v>
      </c>
      <c r="L208" s="317">
        <v>41569</v>
      </c>
      <c r="S208" s="318">
        <v>1700.2339999999999</v>
      </c>
      <c r="T208" s="153">
        <v>41527</v>
      </c>
      <c r="U208" s="136">
        <v>10.8</v>
      </c>
      <c r="Y208" s="136">
        <v>779.11400000000003</v>
      </c>
      <c r="Z208" s="153">
        <v>41527</v>
      </c>
      <c r="AA208" s="318" t="s">
        <v>7718</v>
      </c>
      <c r="AB208" s="153">
        <v>41527</v>
      </c>
      <c r="AE208">
        <v>38.380000000000003</v>
      </c>
      <c r="AF208" s="153">
        <v>41527</v>
      </c>
      <c r="AG208" s="136" t="s">
        <v>7718</v>
      </c>
      <c r="AH208" s="153">
        <v>41527</v>
      </c>
      <c r="AI208" s="318">
        <v>150</v>
      </c>
      <c r="AJ208" s="153">
        <v>41527</v>
      </c>
      <c r="BS208" s="318">
        <v>44.3</v>
      </c>
      <c r="BT208" s="153">
        <v>41527</v>
      </c>
      <c r="BU208">
        <v>20.3</v>
      </c>
      <c r="BV208" s="153">
        <v>41527</v>
      </c>
      <c r="CC208" s="136">
        <v>10.3</v>
      </c>
      <c r="CD208" s="153">
        <v>41527</v>
      </c>
      <c r="CG208" s="136">
        <v>6.14</v>
      </c>
      <c r="CH208" s="153">
        <v>41527</v>
      </c>
      <c r="CK208" s="136">
        <v>10</v>
      </c>
    </row>
    <row r="209" spans="1:89">
      <c r="A209" s="154" t="s">
        <v>7832</v>
      </c>
      <c r="B209" t="s">
        <v>259</v>
      </c>
      <c r="C209" t="s">
        <v>7794</v>
      </c>
      <c r="D209">
        <v>35</v>
      </c>
      <c r="E209" s="113">
        <v>6</v>
      </c>
      <c r="F209" s="113">
        <v>47</v>
      </c>
      <c r="K209" s="112">
        <v>3</v>
      </c>
      <c r="L209" s="317">
        <v>41569</v>
      </c>
      <c r="S209" s="318">
        <v>2046.268</v>
      </c>
      <c r="T209" s="153">
        <v>41527</v>
      </c>
      <c r="U209" s="136">
        <v>10.8</v>
      </c>
      <c r="Y209" s="136">
        <v>1061.3820000000001</v>
      </c>
      <c r="Z209" s="153">
        <v>41527</v>
      </c>
      <c r="AA209" s="318" t="s">
        <v>7718</v>
      </c>
      <c r="AB209" s="153">
        <v>41527</v>
      </c>
      <c r="AE209">
        <v>47.81</v>
      </c>
      <c r="AF209" s="153">
        <v>41527</v>
      </c>
      <c r="AG209" s="136" t="s">
        <v>7718</v>
      </c>
      <c r="AH209" s="153">
        <v>41527</v>
      </c>
      <c r="AI209" s="318">
        <v>145</v>
      </c>
      <c r="AJ209" s="153">
        <v>41527</v>
      </c>
      <c r="BS209" s="318">
        <v>42.8</v>
      </c>
      <c r="BT209" s="153">
        <v>41527</v>
      </c>
      <c r="BU209">
        <v>22.2</v>
      </c>
      <c r="BV209" s="153">
        <v>41527</v>
      </c>
      <c r="CC209" s="136">
        <v>7.5</v>
      </c>
      <c r="CD209" s="153">
        <v>41527</v>
      </c>
      <c r="CG209" s="136">
        <v>2.46</v>
      </c>
      <c r="CH209" s="153">
        <v>41527</v>
      </c>
      <c r="CK209" s="136">
        <v>20</v>
      </c>
    </row>
    <row r="210" spans="1:89">
      <c r="A210" s="154" t="s">
        <v>7832</v>
      </c>
      <c r="B210" t="s">
        <v>257</v>
      </c>
      <c r="C210" t="s">
        <v>7795</v>
      </c>
      <c r="D210">
        <v>35</v>
      </c>
      <c r="E210" s="113">
        <v>5</v>
      </c>
      <c r="F210" s="113">
        <v>73</v>
      </c>
      <c r="K210" s="112">
        <v>5</v>
      </c>
      <c r="L210" s="317">
        <v>41569</v>
      </c>
      <c r="S210" s="318">
        <v>1922.1690000000001</v>
      </c>
      <c r="T210" s="153">
        <v>41527</v>
      </c>
      <c r="U210" s="136">
        <v>10.8</v>
      </c>
      <c r="Y210" s="136">
        <v>847.63800000000003</v>
      </c>
      <c r="Z210" s="153">
        <v>41527</v>
      </c>
      <c r="AA210" s="318">
        <v>94295.154190000001</v>
      </c>
      <c r="AB210" s="153">
        <v>41527</v>
      </c>
      <c r="AE210">
        <v>42.81</v>
      </c>
      <c r="AF210" s="153">
        <v>41527</v>
      </c>
      <c r="AG210" s="136">
        <v>4.54</v>
      </c>
      <c r="AH210" s="153">
        <v>41527</v>
      </c>
      <c r="AI210" s="318">
        <v>140</v>
      </c>
      <c r="AJ210" s="153">
        <v>41527</v>
      </c>
      <c r="BS210" s="318">
        <v>44.9</v>
      </c>
      <c r="BT210" s="153">
        <v>41527</v>
      </c>
      <c r="BU210">
        <v>19.8</v>
      </c>
      <c r="BV210" s="153">
        <v>41527</v>
      </c>
      <c r="CC210" s="136">
        <v>5.8</v>
      </c>
      <c r="CD210" s="153">
        <v>41527</v>
      </c>
      <c r="CG210" s="136">
        <v>0.78</v>
      </c>
      <c r="CH210" s="153">
        <v>41527</v>
      </c>
      <c r="CK210" s="136">
        <v>5</v>
      </c>
    </row>
    <row r="211" spans="1:89">
      <c r="A211" s="154" t="s">
        <v>7832</v>
      </c>
      <c r="B211" t="s">
        <v>259</v>
      </c>
      <c r="C211" t="s">
        <v>7795</v>
      </c>
      <c r="D211">
        <v>35</v>
      </c>
      <c r="E211" s="113">
        <v>3</v>
      </c>
      <c r="F211" s="113">
        <v>72</v>
      </c>
      <c r="K211" s="112">
        <v>7</v>
      </c>
      <c r="L211" s="317">
        <v>41569</v>
      </c>
      <c r="S211" s="318">
        <v>2104.9650000000001</v>
      </c>
      <c r="T211" s="153">
        <v>41527</v>
      </c>
      <c r="U211" s="136">
        <v>10.8</v>
      </c>
      <c r="Y211" s="136">
        <v>1025.8679999999999</v>
      </c>
      <c r="Z211" s="153">
        <v>41527</v>
      </c>
      <c r="AA211" s="318">
        <v>100186.3354</v>
      </c>
      <c r="AB211" s="153">
        <v>41527</v>
      </c>
      <c r="AE211">
        <v>48.39</v>
      </c>
      <c r="AF211" s="153">
        <v>41527</v>
      </c>
      <c r="AG211" s="136">
        <v>4.83</v>
      </c>
      <c r="AH211" s="153">
        <v>41527</v>
      </c>
      <c r="AI211" s="318">
        <v>150</v>
      </c>
      <c r="AJ211" s="153">
        <v>41527</v>
      </c>
      <c r="BS211" s="318">
        <v>43.5</v>
      </c>
      <c r="BT211" s="153">
        <v>41527</v>
      </c>
      <c r="BU211">
        <v>21.2</v>
      </c>
      <c r="BV211" s="153">
        <v>41527</v>
      </c>
      <c r="CC211" s="136">
        <v>7.9</v>
      </c>
      <c r="CD211" s="153">
        <v>41527</v>
      </c>
      <c r="CG211" s="136">
        <v>2.46</v>
      </c>
      <c r="CH211" s="153">
        <v>41527</v>
      </c>
      <c r="CK211" s="136">
        <v>20</v>
      </c>
    </row>
    <row r="212" spans="1:89">
      <c r="A212" s="154" t="s">
        <v>7833</v>
      </c>
      <c r="B212" t="s">
        <v>257</v>
      </c>
      <c r="C212" t="s">
        <v>405</v>
      </c>
      <c r="D212">
        <v>36</v>
      </c>
      <c r="E212" s="113">
        <v>4</v>
      </c>
      <c r="F212" s="113">
        <v>8</v>
      </c>
      <c r="K212" s="112">
        <v>5</v>
      </c>
      <c r="L212" s="317">
        <v>41569</v>
      </c>
      <c r="S212" s="318">
        <v>1728.22</v>
      </c>
      <c r="T212" s="153">
        <v>41527</v>
      </c>
      <c r="U212" s="136">
        <v>10.8</v>
      </c>
      <c r="Y212" s="136">
        <v>793.73</v>
      </c>
      <c r="Z212" s="153">
        <v>41527</v>
      </c>
      <c r="AA212" s="318" t="s">
        <v>7718</v>
      </c>
      <c r="AB212" s="153">
        <v>41527</v>
      </c>
      <c r="AE212">
        <v>39.1</v>
      </c>
      <c r="AF212" s="153">
        <v>41527</v>
      </c>
      <c r="AG212" s="136" t="s">
        <v>7718</v>
      </c>
      <c r="AH212" s="153">
        <v>41527</v>
      </c>
      <c r="AI212" s="318">
        <v>125</v>
      </c>
      <c r="AJ212" s="153">
        <v>41527</v>
      </c>
      <c r="BS212" s="318">
        <v>44.2</v>
      </c>
      <c r="BT212" s="153">
        <v>41527</v>
      </c>
      <c r="BU212">
        <v>20.3</v>
      </c>
      <c r="BV212" s="153">
        <v>41527</v>
      </c>
      <c r="CC212" s="136">
        <v>7.9</v>
      </c>
      <c r="CD212" s="153">
        <v>41527</v>
      </c>
      <c r="CG212" s="136">
        <v>0.79</v>
      </c>
      <c r="CH212" s="153">
        <v>41527</v>
      </c>
      <c r="CK212" s="136">
        <v>20</v>
      </c>
    </row>
    <row r="213" spans="1:89">
      <c r="A213" s="154" t="s">
        <v>7833</v>
      </c>
      <c r="B213" t="s">
        <v>259</v>
      </c>
      <c r="C213" t="s">
        <v>405</v>
      </c>
      <c r="D213">
        <v>36</v>
      </c>
      <c r="E213" s="113">
        <v>3</v>
      </c>
      <c r="F213" s="113">
        <v>11</v>
      </c>
      <c r="K213" s="112">
        <v>5</v>
      </c>
      <c r="L213" s="317">
        <v>41569</v>
      </c>
      <c r="S213" s="318">
        <v>1917.568</v>
      </c>
      <c r="T213" s="153">
        <v>41527</v>
      </c>
      <c r="U213" s="136">
        <v>10.8</v>
      </c>
      <c r="Y213" s="136">
        <v>1004.224</v>
      </c>
      <c r="Z213" s="153">
        <v>41527</v>
      </c>
      <c r="AA213" s="318" t="s">
        <v>7718</v>
      </c>
      <c r="AB213" s="153">
        <v>41527</v>
      </c>
      <c r="AE213">
        <v>45.44</v>
      </c>
      <c r="AF213" s="153">
        <v>41527</v>
      </c>
      <c r="AG213" s="136" t="s">
        <v>7718</v>
      </c>
      <c r="AH213" s="153">
        <v>41527</v>
      </c>
      <c r="AI213" s="318">
        <v>135</v>
      </c>
      <c r="AJ213" s="153">
        <v>41527</v>
      </c>
      <c r="BS213" s="318">
        <v>42.2</v>
      </c>
      <c r="BT213" s="153">
        <v>41527</v>
      </c>
      <c r="BU213">
        <v>22.1</v>
      </c>
      <c r="BV213" s="153">
        <v>41527</v>
      </c>
      <c r="CC213" s="136">
        <v>9.3000000000000007</v>
      </c>
      <c r="CD213" s="153">
        <v>41527</v>
      </c>
      <c r="CG213" s="136">
        <v>4.13</v>
      </c>
      <c r="CH213" s="153">
        <v>41527</v>
      </c>
      <c r="CK213" s="136">
        <v>20</v>
      </c>
    </row>
    <row r="214" spans="1:89">
      <c r="A214" s="154" t="s">
        <v>7833</v>
      </c>
      <c r="B214" t="s">
        <v>257</v>
      </c>
      <c r="C214" t="s">
        <v>7794</v>
      </c>
      <c r="D214">
        <v>36</v>
      </c>
      <c r="E214" s="113">
        <v>1</v>
      </c>
      <c r="F214" s="113">
        <v>33</v>
      </c>
      <c r="K214" s="112">
        <v>5</v>
      </c>
      <c r="L214" s="317">
        <v>41569</v>
      </c>
      <c r="S214" s="318">
        <v>1926.771</v>
      </c>
      <c r="T214" s="153">
        <v>41527</v>
      </c>
      <c r="U214" s="136">
        <v>10.8</v>
      </c>
      <c r="Y214" s="136">
        <v>890.96699999999998</v>
      </c>
      <c r="Z214" s="153">
        <v>41527</v>
      </c>
      <c r="AA214" s="318" t="s">
        <v>7718</v>
      </c>
      <c r="AB214" s="153">
        <v>41527</v>
      </c>
      <c r="AE214">
        <v>43.89</v>
      </c>
      <c r="AF214" s="153">
        <v>41527</v>
      </c>
      <c r="AG214" s="136" t="s">
        <v>7718</v>
      </c>
      <c r="AH214" s="153">
        <v>41527</v>
      </c>
      <c r="AI214" s="318">
        <v>135</v>
      </c>
      <c r="AJ214" s="153">
        <v>41527</v>
      </c>
      <c r="BS214" s="318">
        <v>43.9</v>
      </c>
      <c r="BT214" s="153">
        <v>41527</v>
      </c>
      <c r="BU214">
        <v>20.3</v>
      </c>
      <c r="BV214" s="153">
        <v>41527</v>
      </c>
      <c r="CC214" s="136">
        <v>6.3</v>
      </c>
      <c r="CD214" s="153">
        <v>41527</v>
      </c>
      <c r="CG214" s="136">
        <v>3.29</v>
      </c>
      <c r="CH214" s="153">
        <v>41527</v>
      </c>
      <c r="CK214" s="136">
        <v>20</v>
      </c>
    </row>
    <row r="215" spans="1:89">
      <c r="A215" s="154" t="s">
        <v>7833</v>
      </c>
      <c r="B215" t="s">
        <v>259</v>
      </c>
      <c r="C215" t="s">
        <v>7794</v>
      </c>
      <c r="D215">
        <v>36</v>
      </c>
      <c r="E215" s="113">
        <v>4</v>
      </c>
      <c r="F215" s="113">
        <v>53</v>
      </c>
      <c r="K215" s="112">
        <v>5</v>
      </c>
      <c r="L215" s="317">
        <v>41569</v>
      </c>
      <c r="S215" s="318">
        <v>1786.114</v>
      </c>
      <c r="T215" s="153">
        <v>41527</v>
      </c>
      <c r="U215" s="136">
        <v>10.8</v>
      </c>
      <c r="Y215" s="136">
        <v>935.78700000000003</v>
      </c>
      <c r="Z215" s="153">
        <v>41527</v>
      </c>
      <c r="AA215" s="318" t="s">
        <v>7718</v>
      </c>
      <c r="AB215" s="153">
        <v>41527</v>
      </c>
      <c r="AE215">
        <v>42.73</v>
      </c>
      <c r="AF215" s="153">
        <v>41527</v>
      </c>
      <c r="AG215" s="136" t="s">
        <v>7718</v>
      </c>
      <c r="AH215" s="153">
        <v>41527</v>
      </c>
      <c r="AI215" s="318">
        <v>135</v>
      </c>
      <c r="AJ215" s="153">
        <v>41527</v>
      </c>
      <c r="BS215" s="318">
        <v>41.8</v>
      </c>
      <c r="BT215" s="153">
        <v>41527</v>
      </c>
      <c r="BU215">
        <v>21.9</v>
      </c>
      <c r="BV215" s="153">
        <v>41527</v>
      </c>
      <c r="CC215" s="136">
        <v>8.5</v>
      </c>
      <c r="CD215" s="153">
        <v>41527</v>
      </c>
      <c r="CG215" s="136">
        <v>3.12</v>
      </c>
      <c r="CH215" s="153">
        <v>41527</v>
      </c>
      <c r="CK215" s="136">
        <v>20</v>
      </c>
    </row>
    <row r="216" spans="1:89">
      <c r="A216" s="154" t="s">
        <v>7833</v>
      </c>
      <c r="B216" t="s">
        <v>257</v>
      </c>
      <c r="C216" t="s">
        <v>7795</v>
      </c>
      <c r="D216">
        <v>36</v>
      </c>
      <c r="E216" s="113">
        <v>6</v>
      </c>
      <c r="F216" s="113">
        <v>80</v>
      </c>
      <c r="K216" s="112">
        <v>5</v>
      </c>
      <c r="L216" s="317">
        <v>41569</v>
      </c>
      <c r="S216" s="318">
        <v>1401.6210000000001</v>
      </c>
      <c r="T216" s="153">
        <v>41527</v>
      </c>
      <c r="U216" s="136">
        <v>10.8</v>
      </c>
      <c r="Y216" s="136">
        <v>679.77</v>
      </c>
      <c r="Z216" s="153">
        <v>41527</v>
      </c>
      <c r="AA216" s="318">
        <v>72093.541200000007</v>
      </c>
      <c r="AB216" s="153">
        <v>41527</v>
      </c>
      <c r="AE216">
        <v>32.369999999999997</v>
      </c>
      <c r="AF216" s="153">
        <v>41527</v>
      </c>
      <c r="AG216" s="136">
        <v>4.49</v>
      </c>
      <c r="AH216" s="153">
        <v>41527</v>
      </c>
      <c r="AI216" s="318">
        <v>110</v>
      </c>
      <c r="AJ216" s="153">
        <v>41527</v>
      </c>
      <c r="BS216" s="318">
        <v>43.3</v>
      </c>
      <c r="BT216" s="153">
        <v>41527</v>
      </c>
      <c r="BU216">
        <v>21</v>
      </c>
      <c r="BV216" s="153">
        <v>41527</v>
      </c>
      <c r="CC216" s="136">
        <v>6.7</v>
      </c>
      <c r="CD216" s="153">
        <v>41527</v>
      </c>
      <c r="CG216" s="136">
        <v>2.63</v>
      </c>
      <c r="CH216" s="153">
        <v>41527</v>
      </c>
      <c r="CK216" s="136">
        <v>10</v>
      </c>
    </row>
    <row r="217" spans="1:89">
      <c r="A217" s="154" t="s">
        <v>7833</v>
      </c>
      <c r="B217" t="s">
        <v>259</v>
      </c>
      <c r="C217" t="s">
        <v>7795</v>
      </c>
      <c r="D217">
        <v>36</v>
      </c>
      <c r="E217" s="113">
        <v>2</v>
      </c>
      <c r="F217" s="113">
        <v>77</v>
      </c>
      <c r="K217" s="112">
        <v>5</v>
      </c>
      <c r="L217" s="317">
        <v>41569</v>
      </c>
      <c r="S217" s="318">
        <v>1915.2</v>
      </c>
      <c r="T217" s="153">
        <v>41527</v>
      </c>
      <c r="U217" s="136">
        <v>10.8</v>
      </c>
      <c r="Y217" s="136">
        <v>1012.32</v>
      </c>
      <c r="Z217" s="153">
        <v>41527</v>
      </c>
      <c r="AA217" s="318">
        <v>97854.077250000002</v>
      </c>
      <c r="AB217" s="153">
        <v>41527</v>
      </c>
      <c r="AE217">
        <v>45.6</v>
      </c>
      <c r="AF217" s="153">
        <v>41527</v>
      </c>
      <c r="AG217" s="136">
        <v>4.66</v>
      </c>
      <c r="AH217" s="153">
        <v>41527</v>
      </c>
      <c r="AI217" s="318">
        <v>140</v>
      </c>
      <c r="AJ217" s="153">
        <v>41527</v>
      </c>
      <c r="BS217" s="318">
        <v>42</v>
      </c>
      <c r="BT217" s="153">
        <v>41527</v>
      </c>
      <c r="BU217">
        <v>22.2</v>
      </c>
      <c r="BV217" s="153">
        <v>41527</v>
      </c>
      <c r="CC217" s="136">
        <v>7.7</v>
      </c>
      <c r="CD217" s="153">
        <v>41527</v>
      </c>
      <c r="CG217" s="136">
        <v>2.2799999999999998</v>
      </c>
      <c r="CH217" s="153">
        <v>41527</v>
      </c>
      <c r="CK217" s="136">
        <v>20</v>
      </c>
    </row>
    <row r="218" spans="1:89">
      <c r="A218" s="154" t="s">
        <v>7834</v>
      </c>
      <c r="B218" t="s">
        <v>257</v>
      </c>
      <c r="C218" t="s">
        <v>405</v>
      </c>
      <c r="D218">
        <v>37</v>
      </c>
      <c r="E218" s="113">
        <v>5</v>
      </c>
      <c r="F218" s="113">
        <v>6</v>
      </c>
      <c r="K218" s="112">
        <v>5</v>
      </c>
      <c r="L218" s="317">
        <v>41569</v>
      </c>
      <c r="S218" s="318">
        <v>1745.8</v>
      </c>
      <c r="T218" s="153">
        <v>41527</v>
      </c>
      <c r="U218" s="136">
        <v>10.8</v>
      </c>
      <c r="Y218" s="136">
        <v>876.96</v>
      </c>
      <c r="Z218" s="153">
        <v>41527</v>
      </c>
      <c r="AA218" s="318" t="s">
        <v>7718</v>
      </c>
      <c r="AB218" s="153">
        <v>41527</v>
      </c>
      <c r="AE218">
        <v>40.6</v>
      </c>
      <c r="AF218" s="153">
        <v>41527</v>
      </c>
      <c r="AG218" s="136" t="s">
        <v>7718</v>
      </c>
      <c r="AH218" s="153">
        <v>41527</v>
      </c>
      <c r="AI218" s="318">
        <v>135</v>
      </c>
      <c r="AJ218" s="153">
        <v>41527</v>
      </c>
      <c r="BS218" s="318">
        <v>43</v>
      </c>
      <c r="BT218" s="153">
        <v>41527</v>
      </c>
      <c r="BU218">
        <v>21.6</v>
      </c>
      <c r="BV218" s="153">
        <v>41527</v>
      </c>
      <c r="CC218" s="136">
        <v>8</v>
      </c>
      <c r="CD218" s="153">
        <v>41527</v>
      </c>
      <c r="CG218" s="136">
        <v>2.78</v>
      </c>
      <c r="CH218" s="153">
        <v>41527</v>
      </c>
      <c r="CK218" s="136">
        <v>5</v>
      </c>
    </row>
    <row r="219" spans="1:89">
      <c r="A219" s="154" t="s">
        <v>7834</v>
      </c>
      <c r="B219" t="s">
        <v>259</v>
      </c>
      <c r="C219" t="s">
        <v>405</v>
      </c>
      <c r="D219">
        <v>37</v>
      </c>
      <c r="E219" s="113">
        <v>3</v>
      </c>
      <c r="F219" s="113">
        <v>23</v>
      </c>
      <c r="K219" s="112">
        <v>5</v>
      </c>
      <c r="L219" s="317">
        <v>41569</v>
      </c>
      <c r="S219" s="318">
        <v>1812.912</v>
      </c>
      <c r="T219" s="153">
        <v>41527</v>
      </c>
      <c r="U219" s="136">
        <v>10.8</v>
      </c>
      <c r="Y219" s="136">
        <v>979.48800000000006</v>
      </c>
      <c r="Z219" s="153">
        <v>41527</v>
      </c>
      <c r="AA219" s="318" t="s">
        <v>7718</v>
      </c>
      <c r="AB219" s="153">
        <v>41527</v>
      </c>
      <c r="AE219">
        <v>42.96</v>
      </c>
      <c r="AF219" s="153">
        <v>41527</v>
      </c>
      <c r="AG219" s="136" t="s">
        <v>7718</v>
      </c>
      <c r="AH219" s="153">
        <v>41527</v>
      </c>
      <c r="AI219" s="318">
        <v>140</v>
      </c>
      <c r="AJ219" s="153">
        <v>41527</v>
      </c>
      <c r="BS219" s="318">
        <v>42.2</v>
      </c>
      <c r="BT219" s="153">
        <v>41527</v>
      </c>
      <c r="BU219">
        <v>22.8</v>
      </c>
      <c r="BV219" s="153">
        <v>41527</v>
      </c>
      <c r="CC219" s="136">
        <v>9.3000000000000007</v>
      </c>
      <c r="CD219" s="153">
        <v>41527</v>
      </c>
      <c r="CG219" s="136">
        <v>5.96</v>
      </c>
      <c r="CH219" s="153">
        <v>41527</v>
      </c>
      <c r="CK219" s="136">
        <v>5</v>
      </c>
    </row>
    <row r="220" spans="1:89">
      <c r="A220" s="154" t="s">
        <v>7834</v>
      </c>
      <c r="B220" t="s">
        <v>257</v>
      </c>
      <c r="C220" t="s">
        <v>7794</v>
      </c>
      <c r="D220">
        <v>37</v>
      </c>
      <c r="E220" s="113">
        <v>2</v>
      </c>
      <c r="F220" s="113">
        <v>45</v>
      </c>
      <c r="K220" s="112">
        <v>5</v>
      </c>
      <c r="L220" s="317">
        <v>41569</v>
      </c>
      <c r="S220" s="318">
        <v>1816.125</v>
      </c>
      <c r="T220" s="153">
        <v>41527</v>
      </c>
      <c r="U220" s="136">
        <v>10.8</v>
      </c>
      <c r="Y220" s="136">
        <v>864.22500000000002</v>
      </c>
      <c r="Z220" s="153">
        <v>41527</v>
      </c>
      <c r="AA220" s="318" t="s">
        <v>7718</v>
      </c>
      <c r="AB220" s="153">
        <v>41527</v>
      </c>
      <c r="AE220">
        <v>41.75</v>
      </c>
      <c r="AF220" s="153">
        <v>41527</v>
      </c>
      <c r="AG220" s="136" t="s">
        <v>7718</v>
      </c>
      <c r="AH220" s="153">
        <v>41527</v>
      </c>
      <c r="AI220" s="318">
        <v>140</v>
      </c>
      <c r="AJ220" s="153">
        <v>41527</v>
      </c>
      <c r="BS220" s="318">
        <v>43.5</v>
      </c>
      <c r="BT220" s="153">
        <v>41527</v>
      </c>
      <c r="BU220">
        <v>20.7</v>
      </c>
      <c r="BV220" s="153">
        <v>41527</v>
      </c>
      <c r="CC220" s="136">
        <v>9</v>
      </c>
      <c r="CD220" s="153">
        <v>41527</v>
      </c>
      <c r="CG220" s="136">
        <v>3.53</v>
      </c>
      <c r="CH220" s="153">
        <v>41527</v>
      </c>
      <c r="CK220" s="136">
        <v>10</v>
      </c>
    </row>
    <row r="221" spans="1:89">
      <c r="A221" s="154" t="s">
        <v>7834</v>
      </c>
      <c r="B221" t="s">
        <v>259</v>
      </c>
      <c r="C221" t="s">
        <v>7794</v>
      </c>
      <c r="D221">
        <v>37</v>
      </c>
      <c r="E221" s="113">
        <v>6</v>
      </c>
      <c r="F221" s="113">
        <v>40</v>
      </c>
      <c r="K221" s="112">
        <v>5</v>
      </c>
      <c r="L221" s="317">
        <v>41569</v>
      </c>
      <c r="S221" s="318">
        <v>1867.0640000000001</v>
      </c>
      <c r="T221" s="153">
        <v>41527</v>
      </c>
      <c r="U221" s="136">
        <v>10.8</v>
      </c>
      <c r="Y221" s="136">
        <v>989.23199999999997</v>
      </c>
      <c r="Z221" s="153">
        <v>41527</v>
      </c>
      <c r="AA221" s="318" t="s">
        <v>7718</v>
      </c>
      <c r="AB221" s="153">
        <v>41527</v>
      </c>
      <c r="AE221">
        <v>44.56</v>
      </c>
      <c r="AF221" s="153">
        <v>41527</v>
      </c>
      <c r="AG221" s="136" t="s">
        <v>7718</v>
      </c>
      <c r="AH221" s="153">
        <v>41527</v>
      </c>
      <c r="AI221" s="318">
        <v>120</v>
      </c>
      <c r="AJ221" s="153">
        <v>41527</v>
      </c>
      <c r="BS221" s="318">
        <v>41.9</v>
      </c>
      <c r="BT221" s="153">
        <v>41527</v>
      </c>
      <c r="BU221">
        <v>22.2</v>
      </c>
      <c r="BV221" s="153">
        <v>41527</v>
      </c>
      <c r="CC221" s="136">
        <v>7.4</v>
      </c>
      <c r="CD221" s="153">
        <v>41527</v>
      </c>
      <c r="CG221" s="136">
        <v>3.21</v>
      </c>
      <c r="CH221" s="153">
        <v>41527</v>
      </c>
      <c r="CK221" s="136">
        <v>5</v>
      </c>
    </row>
    <row r="222" spans="1:89">
      <c r="A222" s="154" t="s">
        <v>7834</v>
      </c>
      <c r="B222" t="s">
        <v>257</v>
      </c>
      <c r="C222" t="s">
        <v>7795</v>
      </c>
      <c r="D222">
        <v>37</v>
      </c>
      <c r="E222" s="113">
        <v>5</v>
      </c>
      <c r="F222" s="113">
        <v>76</v>
      </c>
      <c r="K222" s="112">
        <v>7</v>
      </c>
      <c r="L222" s="317">
        <v>41569</v>
      </c>
      <c r="S222" s="318">
        <v>1579.92</v>
      </c>
      <c r="T222" s="153">
        <v>41527</v>
      </c>
      <c r="U222" s="136">
        <v>10.8</v>
      </c>
      <c r="Y222" s="136">
        <v>769.98400000000004</v>
      </c>
      <c r="Z222" s="153">
        <v>41527</v>
      </c>
      <c r="AA222" s="318">
        <v>81071.428570000004</v>
      </c>
      <c r="AB222" s="153">
        <v>41527</v>
      </c>
      <c r="AE222">
        <v>36.32</v>
      </c>
      <c r="AF222" s="153">
        <v>41527</v>
      </c>
      <c r="AG222" s="136">
        <v>4.4800000000000004</v>
      </c>
      <c r="AH222" s="153">
        <v>41527</v>
      </c>
      <c r="AI222" s="318">
        <v>125</v>
      </c>
      <c r="AJ222" s="153">
        <v>41527</v>
      </c>
      <c r="BS222" s="318">
        <v>43.5</v>
      </c>
      <c r="BT222" s="153">
        <v>41527</v>
      </c>
      <c r="BU222">
        <v>21.2</v>
      </c>
      <c r="BV222" s="153">
        <v>41527</v>
      </c>
      <c r="CC222" s="136">
        <v>6.4</v>
      </c>
      <c r="CD222" s="153">
        <v>41527</v>
      </c>
      <c r="CG222" s="136">
        <v>1.44</v>
      </c>
      <c r="CH222" s="153">
        <v>41527</v>
      </c>
      <c r="CK222" s="136">
        <v>5</v>
      </c>
    </row>
    <row r="223" spans="1:89">
      <c r="A223" s="154" t="s">
        <v>7834</v>
      </c>
      <c r="B223" t="s">
        <v>259</v>
      </c>
      <c r="C223" t="s">
        <v>7795</v>
      </c>
      <c r="D223">
        <v>37</v>
      </c>
      <c r="E223" s="113">
        <v>1</v>
      </c>
      <c r="F223" s="113">
        <v>60</v>
      </c>
      <c r="K223" s="112">
        <v>7</v>
      </c>
      <c r="L223" s="317">
        <v>41569</v>
      </c>
      <c r="S223" s="318">
        <v>1442.008</v>
      </c>
      <c r="T223" s="153">
        <v>41527</v>
      </c>
      <c r="U223" s="136">
        <v>10.8</v>
      </c>
      <c r="Y223" s="136">
        <v>922</v>
      </c>
      <c r="Z223" s="153">
        <v>41527</v>
      </c>
      <c r="AA223" s="318">
        <v>82690.58296</v>
      </c>
      <c r="AB223" s="153">
        <v>41527</v>
      </c>
      <c r="AE223">
        <v>36.880000000000003</v>
      </c>
      <c r="AF223" s="153">
        <v>41527</v>
      </c>
      <c r="AG223" s="136">
        <v>4.46</v>
      </c>
      <c r="AH223" s="153">
        <v>41527</v>
      </c>
      <c r="AI223" s="318">
        <v>130</v>
      </c>
      <c r="AJ223" s="153">
        <v>41527</v>
      </c>
      <c r="BS223" s="318">
        <v>39.1</v>
      </c>
      <c r="BT223" s="153">
        <v>41527</v>
      </c>
      <c r="BU223">
        <v>25</v>
      </c>
      <c r="BV223" s="153">
        <v>41527</v>
      </c>
      <c r="CC223" s="136">
        <v>10.4</v>
      </c>
      <c r="CD223" s="153">
        <v>41527</v>
      </c>
      <c r="CG223" s="136">
        <v>4.2699999999999996</v>
      </c>
      <c r="CH223" s="153">
        <v>41527</v>
      </c>
      <c r="CK223" s="136">
        <v>5</v>
      </c>
    </row>
    <row r="224" spans="1:89">
      <c r="A224" s="154" t="s">
        <v>7835</v>
      </c>
      <c r="B224" t="s">
        <v>257</v>
      </c>
      <c r="C224" t="s">
        <v>405</v>
      </c>
      <c r="D224">
        <v>38</v>
      </c>
      <c r="E224" s="113">
        <v>5</v>
      </c>
      <c r="F224" s="113">
        <v>11</v>
      </c>
      <c r="K224" s="112">
        <v>5</v>
      </c>
      <c r="L224" s="317">
        <v>41569</v>
      </c>
      <c r="S224" s="318">
        <v>1851.027</v>
      </c>
      <c r="T224" s="153">
        <v>41527</v>
      </c>
      <c r="U224" s="136">
        <v>10.8</v>
      </c>
      <c r="Y224" s="136">
        <v>848.90499999999997</v>
      </c>
      <c r="Z224" s="153">
        <v>41527</v>
      </c>
      <c r="AA224" s="318" t="s">
        <v>7718</v>
      </c>
      <c r="AB224" s="153">
        <v>41527</v>
      </c>
      <c r="AE224">
        <v>41.41</v>
      </c>
      <c r="AF224" s="153">
        <v>41527</v>
      </c>
      <c r="AG224" s="136" t="s">
        <v>7718</v>
      </c>
      <c r="AH224" s="153">
        <v>41527</v>
      </c>
      <c r="AI224" s="318">
        <v>125</v>
      </c>
      <c r="AJ224" s="153">
        <v>41527</v>
      </c>
      <c r="BS224" s="318">
        <v>44.7</v>
      </c>
      <c r="BT224" s="153">
        <v>41527</v>
      </c>
      <c r="BU224">
        <v>20.5</v>
      </c>
      <c r="BV224" s="153">
        <v>41527</v>
      </c>
      <c r="CC224" s="136">
        <v>6.7</v>
      </c>
      <c r="CD224" s="153">
        <v>41527</v>
      </c>
      <c r="CG224" s="136">
        <v>1.73</v>
      </c>
      <c r="CH224" s="153">
        <v>41527</v>
      </c>
      <c r="CK224" s="136">
        <v>20</v>
      </c>
    </row>
    <row r="225" spans="1:89">
      <c r="A225" s="154" t="s">
        <v>7835</v>
      </c>
      <c r="B225" t="s">
        <v>259</v>
      </c>
      <c r="C225" t="s">
        <v>405</v>
      </c>
      <c r="D225">
        <v>38</v>
      </c>
      <c r="E225" s="113">
        <v>1</v>
      </c>
      <c r="F225" s="113">
        <v>15</v>
      </c>
      <c r="K225" s="112">
        <v>5</v>
      </c>
      <c r="L225" s="317">
        <v>41569</v>
      </c>
      <c r="S225" s="318">
        <v>1724.431</v>
      </c>
      <c r="T225" s="153">
        <v>41527</v>
      </c>
      <c r="U225" s="136">
        <v>10.8</v>
      </c>
      <c r="Y225" s="136">
        <v>900.22500000000002</v>
      </c>
      <c r="Z225" s="153">
        <v>41527</v>
      </c>
      <c r="AA225" s="318" t="s">
        <v>7718</v>
      </c>
      <c r="AB225" s="153">
        <v>41527</v>
      </c>
      <c r="AE225">
        <v>40.01</v>
      </c>
      <c r="AF225" s="153">
        <v>41527</v>
      </c>
      <c r="AG225" s="136" t="s">
        <v>7718</v>
      </c>
      <c r="AH225" s="153">
        <v>41527</v>
      </c>
      <c r="AI225" s="318">
        <v>130</v>
      </c>
      <c r="AJ225" s="153">
        <v>41527</v>
      </c>
      <c r="BS225" s="318">
        <v>43.1</v>
      </c>
      <c r="BT225" s="153">
        <v>41527</v>
      </c>
      <c r="BU225">
        <v>22.5</v>
      </c>
      <c r="BV225" s="153">
        <v>41527</v>
      </c>
      <c r="CC225" s="136">
        <v>7.9</v>
      </c>
      <c r="CD225" s="153">
        <v>41527</v>
      </c>
      <c r="CG225" s="136">
        <v>3.62</v>
      </c>
      <c r="CH225" s="153">
        <v>41527</v>
      </c>
      <c r="CK225" s="136">
        <v>20</v>
      </c>
    </row>
    <row r="226" spans="1:89">
      <c r="A226" s="154" t="s">
        <v>7835</v>
      </c>
      <c r="B226" t="s">
        <v>257</v>
      </c>
      <c r="C226" t="s">
        <v>7794</v>
      </c>
      <c r="D226">
        <v>38</v>
      </c>
      <c r="E226" s="113">
        <v>2</v>
      </c>
      <c r="F226" s="113">
        <v>37</v>
      </c>
      <c r="K226" s="112">
        <v>5</v>
      </c>
      <c r="L226" s="317">
        <v>41569</v>
      </c>
      <c r="S226" s="318">
        <v>2052.0500000000002</v>
      </c>
      <c r="T226" s="153">
        <v>41527</v>
      </c>
      <c r="U226" s="136">
        <v>10.8</v>
      </c>
      <c r="Y226" s="136">
        <v>874.94</v>
      </c>
      <c r="Z226" s="153">
        <v>41527</v>
      </c>
      <c r="AA226" s="318" t="s">
        <v>7718</v>
      </c>
      <c r="AB226" s="153">
        <v>41527</v>
      </c>
      <c r="AE226">
        <v>45.1</v>
      </c>
      <c r="AF226" s="153">
        <v>41527</v>
      </c>
      <c r="AG226" s="136" t="s">
        <v>7718</v>
      </c>
      <c r="AH226" s="153">
        <v>41527</v>
      </c>
      <c r="AI226" s="318">
        <v>135</v>
      </c>
      <c r="AJ226" s="153">
        <v>41527</v>
      </c>
      <c r="BS226" s="318">
        <v>45.5</v>
      </c>
      <c r="BT226" s="153">
        <v>41527</v>
      </c>
      <c r="BU226">
        <v>19.399999999999999</v>
      </c>
      <c r="BV226" s="153">
        <v>41527</v>
      </c>
      <c r="CC226" s="136">
        <v>8.3000000000000007</v>
      </c>
      <c r="CD226" s="153">
        <v>41527</v>
      </c>
      <c r="CG226" s="136">
        <v>2.77</v>
      </c>
      <c r="CH226" s="153">
        <v>41527</v>
      </c>
      <c r="CK226" s="136">
        <v>20</v>
      </c>
    </row>
    <row r="227" spans="1:89">
      <c r="A227" s="154" t="s">
        <v>7835</v>
      </c>
      <c r="B227" t="s">
        <v>259</v>
      </c>
      <c r="C227" t="s">
        <v>7794</v>
      </c>
      <c r="D227">
        <v>38</v>
      </c>
      <c r="E227" s="113">
        <v>4</v>
      </c>
      <c r="F227" s="113">
        <v>44</v>
      </c>
      <c r="K227" s="112">
        <v>5</v>
      </c>
      <c r="L227" s="317">
        <v>41569</v>
      </c>
      <c r="S227" s="318">
        <v>1864.03</v>
      </c>
      <c r="T227" s="153">
        <v>41527</v>
      </c>
      <c r="U227" s="136">
        <v>10.8</v>
      </c>
      <c r="Y227" s="136">
        <v>953.49</v>
      </c>
      <c r="Z227" s="153">
        <v>41527</v>
      </c>
      <c r="AA227" s="318" t="s">
        <v>7718</v>
      </c>
      <c r="AB227" s="153">
        <v>41527</v>
      </c>
      <c r="AE227">
        <v>42.95</v>
      </c>
      <c r="AF227" s="153">
        <v>41527</v>
      </c>
      <c r="AG227" s="136" t="s">
        <v>7718</v>
      </c>
      <c r="AH227" s="153">
        <v>41527</v>
      </c>
      <c r="AI227" s="318">
        <v>135</v>
      </c>
      <c r="AJ227" s="153">
        <v>41527</v>
      </c>
      <c r="BS227" s="318">
        <v>43.4</v>
      </c>
      <c r="BT227" s="153">
        <v>41527</v>
      </c>
      <c r="BU227">
        <v>22.2</v>
      </c>
      <c r="BV227" s="153">
        <v>41527</v>
      </c>
      <c r="CC227" s="136">
        <v>7.2</v>
      </c>
      <c r="CD227" s="153">
        <v>41527</v>
      </c>
      <c r="CG227" s="136">
        <v>1.79</v>
      </c>
      <c r="CH227" s="153">
        <v>41527</v>
      </c>
      <c r="CK227" s="136">
        <v>20</v>
      </c>
    </row>
    <row r="228" spans="1:89">
      <c r="A228" s="154" t="s">
        <v>7835</v>
      </c>
      <c r="B228" t="s">
        <v>257</v>
      </c>
      <c r="C228" t="s">
        <v>7795</v>
      </c>
      <c r="D228">
        <v>38</v>
      </c>
      <c r="E228" s="113">
        <v>4</v>
      </c>
      <c r="F228" s="113">
        <v>82</v>
      </c>
      <c r="K228" s="112">
        <v>5</v>
      </c>
      <c r="L228" s="317">
        <v>41569</v>
      </c>
      <c r="S228" s="318">
        <v>1558.2049999999999</v>
      </c>
      <c r="T228" s="153">
        <v>41527</v>
      </c>
      <c r="U228" s="136">
        <v>10.8</v>
      </c>
      <c r="Y228" s="136">
        <v>704.82</v>
      </c>
      <c r="Z228" s="153">
        <v>41527</v>
      </c>
      <c r="AA228" s="318">
        <v>71829.521829999998</v>
      </c>
      <c r="AB228" s="153">
        <v>41527</v>
      </c>
      <c r="AE228">
        <v>34.549999999999997</v>
      </c>
      <c r="AF228" s="153">
        <v>41527</v>
      </c>
      <c r="AG228" s="136">
        <v>4.8099999999999996</v>
      </c>
      <c r="AH228" s="153">
        <v>41527</v>
      </c>
      <c r="AI228" s="318">
        <v>130</v>
      </c>
      <c r="AJ228" s="153">
        <v>41527</v>
      </c>
      <c r="BS228" s="318">
        <v>45.1</v>
      </c>
      <c r="BT228" s="153">
        <v>41527</v>
      </c>
      <c r="BU228">
        <v>20.399999999999999</v>
      </c>
      <c r="BV228" s="153">
        <v>41527</v>
      </c>
      <c r="CC228" s="136">
        <v>6.6</v>
      </c>
      <c r="CD228" s="153">
        <v>41527</v>
      </c>
      <c r="CG228" s="136">
        <v>4.55</v>
      </c>
      <c r="CH228" s="153">
        <v>41527</v>
      </c>
      <c r="CK228" s="136">
        <v>20</v>
      </c>
    </row>
    <row r="229" spans="1:89">
      <c r="A229" s="154" t="s">
        <v>7835</v>
      </c>
      <c r="B229" t="s">
        <v>259</v>
      </c>
      <c r="C229" t="s">
        <v>7795</v>
      </c>
      <c r="D229">
        <v>38</v>
      </c>
      <c r="E229" s="113">
        <v>2</v>
      </c>
      <c r="F229" s="113">
        <v>72</v>
      </c>
      <c r="K229" s="112">
        <v>5</v>
      </c>
      <c r="L229" s="317">
        <v>41569</v>
      </c>
      <c r="S229" s="318">
        <v>1956.8140000000001</v>
      </c>
      <c r="T229" s="153">
        <v>41527</v>
      </c>
      <c r="U229" s="136">
        <v>10.8</v>
      </c>
      <c r="Y229" s="136">
        <v>1020.14</v>
      </c>
      <c r="Z229" s="153">
        <v>41527</v>
      </c>
      <c r="AA229" s="318">
        <v>99720.430110000001</v>
      </c>
      <c r="AB229" s="153">
        <v>41527</v>
      </c>
      <c r="AE229">
        <v>46.37</v>
      </c>
      <c r="AF229" s="153">
        <v>41527</v>
      </c>
      <c r="AG229" s="136">
        <v>4.6500000000000004</v>
      </c>
      <c r="AH229" s="153">
        <v>41527</v>
      </c>
      <c r="AI229" s="318">
        <v>125</v>
      </c>
      <c r="AJ229" s="153">
        <v>41527</v>
      </c>
      <c r="BS229" s="318">
        <v>42.2</v>
      </c>
      <c r="BT229" s="153">
        <v>41527</v>
      </c>
      <c r="BU229">
        <v>22</v>
      </c>
      <c r="BV229" s="153">
        <v>41527</v>
      </c>
      <c r="CC229" s="136">
        <v>10.6</v>
      </c>
      <c r="CD229" s="153">
        <v>41527</v>
      </c>
      <c r="CG229" s="136">
        <v>8.83</v>
      </c>
      <c r="CH229" s="153">
        <v>41527</v>
      </c>
      <c r="CK229" s="136">
        <v>30</v>
      </c>
    </row>
    <row r="230" spans="1:89">
      <c r="A230" s="154" t="s">
        <v>7836</v>
      </c>
      <c r="B230" t="s">
        <v>257</v>
      </c>
      <c r="C230" t="s">
        <v>405</v>
      </c>
      <c r="D230">
        <v>39</v>
      </c>
      <c r="E230" s="113">
        <v>6</v>
      </c>
      <c r="F230" s="113">
        <v>10</v>
      </c>
      <c r="K230" s="112">
        <v>5</v>
      </c>
      <c r="L230" s="317">
        <v>41569</v>
      </c>
      <c r="S230" s="318">
        <v>1536.4780000000001</v>
      </c>
      <c r="T230" s="153">
        <v>41527</v>
      </c>
      <c r="U230" s="136">
        <v>10.8</v>
      </c>
      <c r="Y230" s="136">
        <v>701.51</v>
      </c>
      <c r="Z230" s="153">
        <v>41527</v>
      </c>
      <c r="AA230" s="318" t="s">
        <v>7718</v>
      </c>
      <c r="AB230" s="153">
        <v>41527</v>
      </c>
      <c r="AE230">
        <v>34.22</v>
      </c>
      <c r="AF230" s="153">
        <v>41527</v>
      </c>
      <c r="AG230" s="136" t="s">
        <v>7718</v>
      </c>
      <c r="AH230" s="153">
        <v>41527</v>
      </c>
      <c r="AI230" s="318">
        <v>120</v>
      </c>
      <c r="AJ230" s="153">
        <v>41527</v>
      </c>
      <c r="BS230" s="318">
        <v>44.9</v>
      </c>
      <c r="BT230" s="153">
        <v>41527</v>
      </c>
      <c r="BU230">
        <v>20.5</v>
      </c>
      <c r="BV230" s="153">
        <v>41527</v>
      </c>
      <c r="CC230" s="136">
        <v>7.7</v>
      </c>
      <c r="CD230" s="153">
        <v>41527</v>
      </c>
      <c r="CG230" s="136">
        <v>5.6</v>
      </c>
      <c r="CH230" s="153">
        <v>41527</v>
      </c>
      <c r="CK230" s="136">
        <v>20</v>
      </c>
    </row>
    <row r="231" spans="1:89">
      <c r="A231" s="154" t="s">
        <v>7836</v>
      </c>
      <c r="B231" t="s">
        <v>259</v>
      </c>
      <c r="C231" t="s">
        <v>405</v>
      </c>
      <c r="D231">
        <v>39</v>
      </c>
      <c r="E231" s="113">
        <v>3</v>
      </c>
      <c r="F231" s="113">
        <v>13</v>
      </c>
      <c r="K231" s="112">
        <v>5</v>
      </c>
      <c r="L231" s="317">
        <v>41569</v>
      </c>
      <c r="S231" s="318">
        <v>1950.5429999999999</v>
      </c>
      <c r="T231" s="153">
        <v>41527</v>
      </c>
      <c r="U231" s="136">
        <v>10.8</v>
      </c>
      <c r="Y231" s="136">
        <v>964.21400000000006</v>
      </c>
      <c r="Z231" s="153">
        <v>41527</v>
      </c>
      <c r="AA231" s="318" t="s">
        <v>7718</v>
      </c>
      <c r="AB231" s="153">
        <v>41527</v>
      </c>
      <c r="AE231">
        <v>44.23</v>
      </c>
      <c r="AF231" s="153">
        <v>41527</v>
      </c>
      <c r="AG231" s="136" t="s">
        <v>7718</v>
      </c>
      <c r="AH231" s="153">
        <v>41527</v>
      </c>
      <c r="AI231" s="318">
        <v>140</v>
      </c>
      <c r="AJ231" s="153">
        <v>41527</v>
      </c>
      <c r="BS231" s="318">
        <v>44.1</v>
      </c>
      <c r="BT231" s="153">
        <v>41527</v>
      </c>
      <c r="BU231">
        <v>21.8</v>
      </c>
      <c r="BV231" s="153">
        <v>41527</v>
      </c>
      <c r="CC231" s="136">
        <v>7.3</v>
      </c>
      <c r="CD231" s="153">
        <v>41527</v>
      </c>
      <c r="CG231" s="136">
        <v>1.23</v>
      </c>
      <c r="CH231" s="153">
        <v>41527</v>
      </c>
      <c r="CK231" s="136">
        <v>20</v>
      </c>
    </row>
    <row r="232" spans="1:89">
      <c r="A232" s="154" t="s">
        <v>7836</v>
      </c>
      <c r="B232" t="s">
        <v>257</v>
      </c>
      <c r="C232" t="s">
        <v>7794</v>
      </c>
      <c r="D232">
        <v>39</v>
      </c>
      <c r="E232" s="113">
        <v>2</v>
      </c>
      <c r="F232" s="113">
        <v>42</v>
      </c>
      <c r="K232" s="112">
        <v>5</v>
      </c>
      <c r="L232" s="317">
        <v>41569</v>
      </c>
      <c r="S232" s="318">
        <v>1955.625</v>
      </c>
      <c r="T232" s="153">
        <v>41527</v>
      </c>
      <c r="U232" s="136">
        <v>10.8</v>
      </c>
      <c r="Y232" s="136">
        <v>910</v>
      </c>
      <c r="Z232" s="153">
        <v>41527</v>
      </c>
      <c r="AA232" s="318" t="s">
        <v>7718</v>
      </c>
      <c r="AB232" s="153">
        <v>41527</v>
      </c>
      <c r="AE232">
        <v>43.75</v>
      </c>
      <c r="AF232" s="153">
        <v>41527</v>
      </c>
      <c r="AG232" s="136" t="s">
        <v>7718</v>
      </c>
      <c r="AH232" s="153">
        <v>41527</v>
      </c>
      <c r="AI232" s="318">
        <v>135</v>
      </c>
      <c r="AJ232" s="153">
        <v>41527</v>
      </c>
      <c r="BS232" s="318">
        <v>44.7</v>
      </c>
      <c r="BT232" s="153">
        <v>41527</v>
      </c>
      <c r="BU232">
        <v>20.8</v>
      </c>
      <c r="BV232" s="153">
        <v>41527</v>
      </c>
      <c r="CC232" s="136">
        <v>8.8000000000000007</v>
      </c>
      <c r="CD232" s="153">
        <v>41527</v>
      </c>
      <c r="CG232" s="136">
        <v>2.31</v>
      </c>
      <c r="CH232" s="153">
        <v>41527</v>
      </c>
      <c r="CK232" s="136">
        <v>20</v>
      </c>
    </row>
    <row r="233" spans="1:89">
      <c r="A233" s="154" t="s">
        <v>7836</v>
      </c>
      <c r="B233" t="s">
        <v>259</v>
      </c>
      <c r="C233" t="s">
        <v>7794</v>
      </c>
      <c r="D233">
        <v>39</v>
      </c>
      <c r="E233" s="113">
        <v>5</v>
      </c>
      <c r="F233" s="113">
        <v>35</v>
      </c>
      <c r="K233" s="112">
        <v>5</v>
      </c>
      <c r="L233" s="317">
        <v>41569</v>
      </c>
      <c r="S233" s="318">
        <v>1691.627</v>
      </c>
      <c r="T233" s="153">
        <v>41527</v>
      </c>
      <c r="U233" s="136">
        <v>10.8</v>
      </c>
      <c r="Y233" s="136">
        <v>870.97500000000002</v>
      </c>
      <c r="Z233" s="153">
        <v>41527</v>
      </c>
      <c r="AA233" s="318" t="s">
        <v>7718</v>
      </c>
      <c r="AB233" s="153">
        <v>41527</v>
      </c>
      <c r="AE233">
        <v>38.71</v>
      </c>
      <c r="AF233" s="153">
        <v>41527</v>
      </c>
      <c r="AG233" s="136" t="s">
        <v>7718</v>
      </c>
      <c r="AH233" s="153">
        <v>41527</v>
      </c>
      <c r="AI233" s="318">
        <v>130</v>
      </c>
      <c r="AJ233" s="153">
        <v>41527</v>
      </c>
      <c r="BS233" s="318">
        <v>43.7</v>
      </c>
      <c r="BT233" s="153">
        <v>41527</v>
      </c>
      <c r="BU233">
        <v>22.5</v>
      </c>
      <c r="BV233" s="153">
        <v>41527</v>
      </c>
      <c r="CC233" s="136">
        <v>8.1999999999999993</v>
      </c>
      <c r="CD233" s="153">
        <v>41527</v>
      </c>
      <c r="CG233" s="136">
        <v>1.3</v>
      </c>
      <c r="CH233" s="153">
        <v>41527</v>
      </c>
      <c r="CK233" s="136">
        <v>20</v>
      </c>
    </row>
    <row r="234" spans="1:89">
      <c r="A234" s="154" t="s">
        <v>7836</v>
      </c>
      <c r="B234" t="s">
        <v>257</v>
      </c>
      <c r="C234" t="s">
        <v>7795</v>
      </c>
      <c r="D234">
        <v>39</v>
      </c>
      <c r="E234" s="113">
        <v>5</v>
      </c>
      <c r="F234" s="113">
        <v>81</v>
      </c>
      <c r="K234" s="112">
        <v>5</v>
      </c>
      <c r="L234" s="317">
        <v>41569</v>
      </c>
      <c r="S234" s="318">
        <v>1606.5</v>
      </c>
      <c r="T234" s="153">
        <v>41527</v>
      </c>
      <c r="U234" s="136">
        <v>10.8</v>
      </c>
      <c r="Y234" s="136">
        <v>724.71</v>
      </c>
      <c r="Z234" s="153">
        <v>41527</v>
      </c>
      <c r="AA234" s="318">
        <v>81880.733940000006</v>
      </c>
      <c r="AB234" s="153">
        <v>41527</v>
      </c>
      <c r="AE234">
        <v>35.700000000000003</v>
      </c>
      <c r="AF234" s="153">
        <v>41527</v>
      </c>
      <c r="AG234" s="136">
        <v>4.3600000000000003</v>
      </c>
      <c r="AH234" s="153">
        <v>41527</v>
      </c>
      <c r="AI234" s="318">
        <v>125</v>
      </c>
      <c r="AJ234" s="153">
        <v>41527</v>
      </c>
      <c r="BS234" s="318">
        <v>45</v>
      </c>
      <c r="BT234" s="153">
        <v>41527</v>
      </c>
      <c r="BU234">
        <v>20.3</v>
      </c>
      <c r="BV234" s="153">
        <v>41527</v>
      </c>
      <c r="CC234" s="136">
        <v>6.6</v>
      </c>
      <c r="CD234" s="153">
        <v>41527</v>
      </c>
      <c r="CG234" s="136">
        <v>1.8</v>
      </c>
      <c r="CH234" s="153">
        <v>41527</v>
      </c>
      <c r="CK234" s="136">
        <v>5</v>
      </c>
    </row>
    <row r="235" spans="1:89">
      <c r="A235" s="154" t="s">
        <v>7836</v>
      </c>
      <c r="B235" t="s">
        <v>259</v>
      </c>
      <c r="C235" t="s">
        <v>7795</v>
      </c>
      <c r="D235">
        <v>39</v>
      </c>
      <c r="E235" s="113">
        <v>2</v>
      </c>
      <c r="F235" s="113">
        <v>63</v>
      </c>
      <c r="K235" s="112">
        <v>5</v>
      </c>
      <c r="L235" s="317">
        <v>41569</v>
      </c>
      <c r="S235" s="318">
        <v>1872.24</v>
      </c>
      <c r="T235" s="153">
        <v>41527</v>
      </c>
      <c r="U235" s="136">
        <v>10.8</v>
      </c>
      <c r="Y235" s="136">
        <v>964.096</v>
      </c>
      <c r="Z235" s="153">
        <v>41527</v>
      </c>
      <c r="AA235" s="318">
        <v>93362.255969999998</v>
      </c>
      <c r="AB235" s="153">
        <v>41527</v>
      </c>
      <c r="AE235">
        <v>43.04</v>
      </c>
      <c r="AF235" s="153">
        <v>41527</v>
      </c>
      <c r="AG235" s="136">
        <v>4.6100000000000003</v>
      </c>
      <c r="AH235" s="153">
        <v>41527</v>
      </c>
      <c r="AI235" s="318">
        <v>130</v>
      </c>
      <c r="AJ235" s="153">
        <v>41527</v>
      </c>
      <c r="BS235" s="318">
        <v>43.5</v>
      </c>
      <c r="BT235" s="153">
        <v>41527</v>
      </c>
      <c r="BU235">
        <v>22.4</v>
      </c>
      <c r="BV235" s="153">
        <v>41527</v>
      </c>
      <c r="CC235" s="136">
        <v>9</v>
      </c>
      <c r="CD235" s="153">
        <v>41527</v>
      </c>
      <c r="CG235" s="136">
        <v>3.32</v>
      </c>
      <c r="CH235" s="153">
        <v>41527</v>
      </c>
      <c r="CK235" s="136">
        <v>20</v>
      </c>
    </row>
    <row r="236" spans="1:89">
      <c r="A236" s="154" t="s">
        <v>7837</v>
      </c>
      <c r="B236" t="s">
        <v>257</v>
      </c>
      <c r="C236" t="s">
        <v>405</v>
      </c>
      <c r="D236">
        <v>40</v>
      </c>
      <c r="E236" s="113">
        <v>4</v>
      </c>
      <c r="F236" s="113">
        <v>28</v>
      </c>
      <c r="K236" s="112">
        <v>5</v>
      </c>
      <c r="L236" s="317">
        <v>41569</v>
      </c>
      <c r="S236" s="318">
        <v>1969.4</v>
      </c>
      <c r="T236" s="153">
        <v>41527</v>
      </c>
      <c r="U236" s="136">
        <v>10.8</v>
      </c>
      <c r="Y236" s="136">
        <v>860</v>
      </c>
      <c r="Z236" s="153">
        <v>41527</v>
      </c>
      <c r="AA236" s="318" t="s">
        <v>7718</v>
      </c>
      <c r="AB236" s="153">
        <v>41527</v>
      </c>
      <c r="AE236">
        <v>43</v>
      </c>
      <c r="AF236" s="153">
        <v>41527</v>
      </c>
      <c r="AG236" s="136" t="s">
        <v>7718</v>
      </c>
      <c r="AH236" s="153">
        <v>41527</v>
      </c>
      <c r="AI236" s="318">
        <v>140</v>
      </c>
      <c r="AJ236" s="153">
        <v>41527</v>
      </c>
      <c r="BS236" s="318">
        <v>45.8</v>
      </c>
      <c r="BT236" s="153">
        <v>41527</v>
      </c>
      <c r="BU236">
        <v>20</v>
      </c>
      <c r="BV236" s="153">
        <v>41527</v>
      </c>
      <c r="CC236" s="136">
        <v>10.7</v>
      </c>
      <c r="CD236" s="153">
        <v>41527</v>
      </c>
      <c r="CG236" s="136">
        <v>2.33</v>
      </c>
      <c r="CH236" s="153">
        <v>41527</v>
      </c>
      <c r="CK236" s="136">
        <v>10</v>
      </c>
    </row>
    <row r="237" spans="1:89">
      <c r="A237" s="154" t="s">
        <v>7837</v>
      </c>
      <c r="B237" t="s">
        <v>259</v>
      </c>
      <c r="C237" t="s">
        <v>405</v>
      </c>
      <c r="D237">
        <v>40</v>
      </c>
      <c r="E237" s="113">
        <v>1</v>
      </c>
      <c r="F237" s="113">
        <v>10</v>
      </c>
      <c r="K237" s="112">
        <v>5</v>
      </c>
      <c r="L237" s="317">
        <v>41569</v>
      </c>
      <c r="S237" s="318">
        <v>2158.6</v>
      </c>
      <c r="T237" s="153">
        <v>41527</v>
      </c>
      <c r="U237" s="136">
        <v>10.8</v>
      </c>
      <c r="Y237" s="136">
        <v>1134.52</v>
      </c>
      <c r="Z237" s="153">
        <v>41527</v>
      </c>
      <c r="AA237" s="318" t="s">
        <v>7718</v>
      </c>
      <c r="AB237" s="153">
        <v>41527</v>
      </c>
      <c r="AE237">
        <v>50.2</v>
      </c>
      <c r="AF237" s="153">
        <v>41527</v>
      </c>
      <c r="AG237" s="136" t="s">
        <v>7718</v>
      </c>
      <c r="AH237" s="153">
        <v>41527</v>
      </c>
      <c r="AI237" s="318">
        <v>140</v>
      </c>
      <c r="AJ237" s="153">
        <v>41527</v>
      </c>
      <c r="BS237" s="318">
        <v>43</v>
      </c>
      <c r="BT237" s="153">
        <v>41527</v>
      </c>
      <c r="BU237">
        <v>22.6</v>
      </c>
      <c r="BV237" s="153">
        <v>41527</v>
      </c>
      <c r="CC237" s="136">
        <v>8.3000000000000007</v>
      </c>
      <c r="CD237" s="153">
        <v>41527</v>
      </c>
      <c r="CG237" s="136">
        <v>1.71</v>
      </c>
      <c r="CH237" s="153">
        <v>41527</v>
      </c>
      <c r="CK237" s="136">
        <v>5</v>
      </c>
    </row>
    <row r="238" spans="1:89">
      <c r="A238" s="154" t="s">
        <v>7837</v>
      </c>
      <c r="B238" t="s">
        <v>257</v>
      </c>
      <c r="C238" t="s">
        <v>7794</v>
      </c>
      <c r="D238">
        <v>40</v>
      </c>
      <c r="E238" s="113">
        <v>3</v>
      </c>
      <c r="F238" s="113">
        <v>56</v>
      </c>
      <c r="K238" s="112">
        <v>7</v>
      </c>
      <c r="L238" s="317">
        <v>41569</v>
      </c>
      <c r="S238" s="318">
        <v>2197.41</v>
      </c>
      <c r="T238" s="153">
        <v>41527</v>
      </c>
      <c r="U238" s="136">
        <v>10.8</v>
      </c>
      <c r="Y238" s="136">
        <v>1017.228</v>
      </c>
      <c r="Z238" s="153">
        <v>41527</v>
      </c>
      <c r="AA238" s="318" t="s">
        <v>7718</v>
      </c>
      <c r="AB238" s="153">
        <v>41527</v>
      </c>
      <c r="AE238">
        <v>49.38</v>
      </c>
      <c r="AF238" s="153">
        <v>41527</v>
      </c>
      <c r="AG238" s="136" t="s">
        <v>7718</v>
      </c>
      <c r="AH238" s="153">
        <v>41527</v>
      </c>
      <c r="AI238" s="318">
        <v>140</v>
      </c>
      <c r="AJ238" s="153">
        <v>41527</v>
      </c>
      <c r="BS238" s="318">
        <v>44.5</v>
      </c>
      <c r="BT238" s="153">
        <v>41527</v>
      </c>
      <c r="BU238">
        <v>20.6</v>
      </c>
      <c r="BV238" s="153">
        <v>41527</v>
      </c>
      <c r="CC238" s="136">
        <v>6.1</v>
      </c>
      <c r="CD238" s="153">
        <v>41527</v>
      </c>
      <c r="CG238" s="136">
        <v>2.0299999999999998</v>
      </c>
      <c r="CH238" s="153">
        <v>41527</v>
      </c>
      <c r="CK238" s="136">
        <v>10</v>
      </c>
    </row>
    <row r="239" spans="1:89">
      <c r="A239" s="154" t="s">
        <v>7837</v>
      </c>
      <c r="B239" t="s">
        <v>259</v>
      </c>
      <c r="C239" t="s">
        <v>7794</v>
      </c>
      <c r="D239">
        <v>40</v>
      </c>
      <c r="E239" s="113">
        <v>5</v>
      </c>
      <c r="F239" s="113">
        <v>58</v>
      </c>
      <c r="K239" s="112">
        <v>5</v>
      </c>
      <c r="L239" s="317">
        <v>41569</v>
      </c>
      <c r="S239" s="318">
        <v>2530.7640000000001</v>
      </c>
      <c r="T239" s="153">
        <v>41527</v>
      </c>
      <c r="U239" s="136">
        <v>10.8</v>
      </c>
      <c r="Y239" s="136">
        <v>1294.9469999999999</v>
      </c>
      <c r="Z239" s="153">
        <v>41527</v>
      </c>
      <c r="AA239" s="318" t="s">
        <v>7718</v>
      </c>
      <c r="AB239" s="153">
        <v>41527</v>
      </c>
      <c r="AE239">
        <v>59.13</v>
      </c>
      <c r="AF239" s="153">
        <v>41527</v>
      </c>
      <c r="AG239" s="136" t="s">
        <v>7718</v>
      </c>
      <c r="AH239" s="153">
        <v>41527</v>
      </c>
      <c r="AI239" s="318">
        <v>130</v>
      </c>
      <c r="AJ239" s="153">
        <v>41527</v>
      </c>
      <c r="BS239" s="318">
        <v>42.8</v>
      </c>
      <c r="BT239" s="153">
        <v>41527</v>
      </c>
      <c r="BU239">
        <v>21.9</v>
      </c>
      <c r="BV239" s="153">
        <v>41527</v>
      </c>
      <c r="CC239" s="136">
        <v>5.8</v>
      </c>
      <c r="CD239" s="153">
        <v>41527</v>
      </c>
      <c r="CG239" s="136">
        <v>4.0599999999999996</v>
      </c>
      <c r="CH239" s="153">
        <v>41527</v>
      </c>
      <c r="CK239" s="136">
        <v>1</v>
      </c>
    </row>
    <row r="240" spans="1:89">
      <c r="A240" s="154" t="s">
        <v>7837</v>
      </c>
      <c r="B240" t="s">
        <v>257</v>
      </c>
      <c r="C240" t="s">
        <v>7795</v>
      </c>
      <c r="D240">
        <v>40</v>
      </c>
      <c r="E240" s="113">
        <v>4</v>
      </c>
      <c r="F240" s="113">
        <v>72</v>
      </c>
      <c r="K240" s="112">
        <v>5</v>
      </c>
      <c r="L240" s="317">
        <v>41569</v>
      </c>
      <c r="S240" s="318">
        <v>2073.2550000000001</v>
      </c>
      <c r="T240" s="153">
        <v>41527</v>
      </c>
      <c r="U240" s="136">
        <v>10.8</v>
      </c>
      <c r="Y240" s="136">
        <v>959.75400000000002</v>
      </c>
      <c r="Z240" s="153">
        <v>41527</v>
      </c>
      <c r="AA240" s="318">
        <v>99978.540770000007</v>
      </c>
      <c r="AB240" s="153">
        <v>41527</v>
      </c>
      <c r="AE240">
        <v>46.59</v>
      </c>
      <c r="AF240" s="153">
        <v>41527</v>
      </c>
      <c r="AG240" s="136">
        <v>4.66</v>
      </c>
      <c r="AH240" s="153">
        <v>41527</v>
      </c>
      <c r="AI240" s="318">
        <v>135</v>
      </c>
      <c r="AJ240" s="153">
        <v>41527</v>
      </c>
      <c r="BS240" s="318">
        <v>44.5</v>
      </c>
      <c r="BT240" s="153">
        <v>41527</v>
      </c>
      <c r="BU240">
        <v>20.6</v>
      </c>
      <c r="BV240" s="153">
        <v>41527</v>
      </c>
      <c r="CC240" s="136">
        <v>5.8</v>
      </c>
      <c r="CD240" s="153">
        <v>41527</v>
      </c>
      <c r="CG240" s="136">
        <v>1.03</v>
      </c>
      <c r="CH240" s="153">
        <v>41527</v>
      </c>
      <c r="CK240" s="136">
        <v>5</v>
      </c>
    </row>
    <row r="241" spans="1:89">
      <c r="A241" s="154" t="s">
        <v>7837</v>
      </c>
      <c r="B241" t="s">
        <v>259</v>
      </c>
      <c r="C241" t="s">
        <v>7795</v>
      </c>
      <c r="D241">
        <v>40</v>
      </c>
      <c r="E241" s="113">
        <v>3</v>
      </c>
      <c r="F241" s="113">
        <v>71</v>
      </c>
      <c r="K241" s="112">
        <v>5</v>
      </c>
      <c r="L241" s="317">
        <v>41569</v>
      </c>
      <c r="S241" s="318">
        <v>2110.08</v>
      </c>
      <c r="T241" s="153">
        <v>41527</v>
      </c>
      <c r="U241" s="136">
        <v>10.8</v>
      </c>
      <c r="Y241" s="136">
        <v>1150.4960000000001</v>
      </c>
      <c r="Z241" s="153">
        <v>41527</v>
      </c>
      <c r="AA241" s="318">
        <v>102530.6122</v>
      </c>
      <c r="AB241" s="153">
        <v>41527</v>
      </c>
      <c r="AE241">
        <v>50.24</v>
      </c>
      <c r="AF241" s="153">
        <v>41527</v>
      </c>
      <c r="AG241" s="136">
        <v>4.9000000000000004</v>
      </c>
      <c r="AH241" s="153">
        <v>41527</v>
      </c>
      <c r="AI241" s="318">
        <v>140</v>
      </c>
      <c r="AJ241" s="153">
        <v>41527</v>
      </c>
      <c r="BS241" s="318">
        <v>42</v>
      </c>
      <c r="BT241" s="153">
        <v>41527</v>
      </c>
      <c r="BU241">
        <v>22.9</v>
      </c>
      <c r="BV241" s="153">
        <v>41527</v>
      </c>
      <c r="CC241" s="136">
        <v>7.6</v>
      </c>
      <c r="CD241" s="153">
        <v>41527</v>
      </c>
      <c r="CG241" s="136">
        <v>2.59</v>
      </c>
      <c r="CH241" s="153">
        <v>41527</v>
      </c>
      <c r="CK241" s="136">
        <v>5</v>
      </c>
    </row>
    <row r="242" spans="1:89">
      <c r="A242" s="154" t="s">
        <v>7838</v>
      </c>
      <c r="B242" t="s">
        <v>257</v>
      </c>
      <c r="C242" t="s">
        <v>405</v>
      </c>
      <c r="D242">
        <v>41</v>
      </c>
      <c r="E242" s="113">
        <v>5</v>
      </c>
      <c r="F242" s="113">
        <v>14</v>
      </c>
      <c r="K242" s="112">
        <v>3</v>
      </c>
      <c r="L242" s="317">
        <v>41569</v>
      </c>
      <c r="S242" s="318" t="s">
        <v>7718</v>
      </c>
      <c r="T242" s="153">
        <v>41527</v>
      </c>
      <c r="U242" s="136">
        <v>10.8</v>
      </c>
      <c r="Y242" s="136" t="s">
        <v>7718</v>
      </c>
      <c r="Z242" s="153">
        <v>41527</v>
      </c>
      <c r="AA242" s="318" t="s">
        <v>7718</v>
      </c>
      <c r="AB242" s="153">
        <v>41527</v>
      </c>
      <c r="AE242" t="s">
        <v>7718</v>
      </c>
      <c r="AF242" s="153">
        <v>41527</v>
      </c>
      <c r="AG242" s="136" t="s">
        <v>7718</v>
      </c>
      <c r="AH242" s="153">
        <v>41527</v>
      </c>
      <c r="AI242" s="318">
        <v>115</v>
      </c>
      <c r="AJ242" s="153">
        <v>41527</v>
      </c>
      <c r="BS242" s="318" t="s">
        <v>7718</v>
      </c>
      <c r="BT242" s="153">
        <v>41527</v>
      </c>
      <c r="BU242" t="s">
        <v>7718</v>
      </c>
      <c r="BV242" s="153">
        <v>41527</v>
      </c>
      <c r="CC242" s="136" t="s">
        <v>7718</v>
      </c>
      <c r="CD242" s="153">
        <v>41527</v>
      </c>
      <c r="CG242" s="136" t="s">
        <v>7718</v>
      </c>
      <c r="CH242" s="153">
        <v>41527</v>
      </c>
      <c r="CK242" s="136">
        <v>20</v>
      </c>
    </row>
    <row r="243" spans="1:89">
      <c r="A243" s="154" t="s">
        <v>7838</v>
      </c>
      <c r="B243" t="s">
        <v>259</v>
      </c>
      <c r="C243" t="s">
        <v>405</v>
      </c>
      <c r="D243">
        <v>41</v>
      </c>
      <c r="E243" s="113">
        <v>2</v>
      </c>
      <c r="F243" s="113">
        <v>10</v>
      </c>
      <c r="K243" s="112">
        <v>3</v>
      </c>
      <c r="L243" s="317">
        <v>41569</v>
      </c>
      <c r="S243" s="318">
        <v>1590.4380000000001</v>
      </c>
      <c r="T243" s="153">
        <v>41527</v>
      </c>
      <c r="U243" s="136">
        <v>10.8</v>
      </c>
      <c r="Y243" s="136">
        <v>846.70799999999997</v>
      </c>
      <c r="Z243" s="153">
        <v>41527</v>
      </c>
      <c r="AA243" s="318" t="s">
        <v>7718</v>
      </c>
      <c r="AB243" s="153">
        <v>41527</v>
      </c>
      <c r="AE243">
        <v>38.14</v>
      </c>
      <c r="AF243" s="153">
        <v>41527</v>
      </c>
      <c r="AG243" s="136" t="s">
        <v>7718</v>
      </c>
      <c r="AH243" s="153">
        <v>41527</v>
      </c>
      <c r="AI243" s="318">
        <v>125</v>
      </c>
      <c r="AJ243" s="153">
        <v>41527</v>
      </c>
      <c r="BS243" s="318">
        <v>41.7</v>
      </c>
      <c r="BT243" s="153">
        <v>41527</v>
      </c>
      <c r="BU243">
        <v>22.2</v>
      </c>
      <c r="BV243" s="153">
        <v>41527</v>
      </c>
      <c r="CC243" s="136">
        <v>8.5</v>
      </c>
      <c r="CD243" s="153">
        <v>41527</v>
      </c>
      <c r="CG243" s="136">
        <v>3.57</v>
      </c>
      <c r="CH243" s="153">
        <v>41527</v>
      </c>
      <c r="CK243" s="136">
        <v>30</v>
      </c>
    </row>
    <row r="244" spans="1:89">
      <c r="A244" s="154" t="s">
        <v>7838</v>
      </c>
      <c r="B244" t="s">
        <v>257</v>
      </c>
      <c r="C244" t="s">
        <v>7794</v>
      </c>
      <c r="D244">
        <v>41</v>
      </c>
      <c r="E244" s="113">
        <v>2</v>
      </c>
      <c r="F244" s="113">
        <v>33</v>
      </c>
      <c r="K244" s="112">
        <v>5</v>
      </c>
      <c r="L244" s="317">
        <v>41569</v>
      </c>
      <c r="S244" s="318">
        <v>1294.1880000000001</v>
      </c>
      <c r="T244" s="153">
        <v>41527</v>
      </c>
      <c r="U244" s="136">
        <v>10.8</v>
      </c>
      <c r="Y244" s="136">
        <v>604.56200000000001</v>
      </c>
      <c r="Z244" s="153">
        <v>41527</v>
      </c>
      <c r="AA244" s="318" t="s">
        <v>7718</v>
      </c>
      <c r="AB244" s="153">
        <v>41527</v>
      </c>
      <c r="AE244">
        <v>30.38</v>
      </c>
      <c r="AF244" s="153">
        <v>41527</v>
      </c>
      <c r="AG244" s="136" t="s">
        <v>7718</v>
      </c>
      <c r="AH244" s="153">
        <v>41527</v>
      </c>
      <c r="AI244" s="318">
        <v>130</v>
      </c>
      <c r="AJ244" s="153">
        <v>41527</v>
      </c>
      <c r="BS244" s="318">
        <v>42.6</v>
      </c>
      <c r="BT244" s="153">
        <v>41527</v>
      </c>
      <c r="BU244">
        <v>19.899999999999999</v>
      </c>
      <c r="BV244" s="153">
        <v>41527</v>
      </c>
      <c r="CC244" s="136">
        <v>8.5</v>
      </c>
      <c r="CD244" s="153">
        <v>41527</v>
      </c>
      <c r="CG244" s="136">
        <v>6.79</v>
      </c>
      <c r="CH244" s="153">
        <v>41527</v>
      </c>
      <c r="CK244" s="136">
        <v>20</v>
      </c>
    </row>
    <row r="245" spans="1:89">
      <c r="A245" s="154" t="s">
        <v>7838</v>
      </c>
      <c r="B245" t="s">
        <v>259</v>
      </c>
      <c r="C245" t="s">
        <v>7794</v>
      </c>
      <c r="D245">
        <v>41</v>
      </c>
      <c r="E245" s="113">
        <v>6</v>
      </c>
      <c r="F245" s="113">
        <v>51</v>
      </c>
      <c r="K245" s="112">
        <v>5</v>
      </c>
      <c r="L245" s="317">
        <v>41569</v>
      </c>
      <c r="S245" s="318">
        <v>920.05499999999995</v>
      </c>
      <c r="T245" s="153">
        <v>41527</v>
      </c>
      <c r="U245" s="136">
        <v>10.8</v>
      </c>
      <c r="Y245" s="136">
        <v>474.43799999999999</v>
      </c>
      <c r="Z245" s="153">
        <v>41527</v>
      </c>
      <c r="AA245" s="318" t="s">
        <v>7718</v>
      </c>
      <c r="AB245" s="153">
        <v>41527</v>
      </c>
      <c r="AE245">
        <v>22.17</v>
      </c>
      <c r="AF245" s="153">
        <v>41527</v>
      </c>
      <c r="AG245" s="136" t="s">
        <v>7718</v>
      </c>
      <c r="AH245" s="153">
        <v>41527</v>
      </c>
      <c r="AI245" s="318">
        <v>105</v>
      </c>
      <c r="AJ245" s="153">
        <v>41527</v>
      </c>
      <c r="BS245" s="318">
        <v>41.5</v>
      </c>
      <c r="BT245" s="153">
        <v>41527</v>
      </c>
      <c r="BU245">
        <v>21.4</v>
      </c>
      <c r="BV245" s="153">
        <v>41527</v>
      </c>
      <c r="CC245" s="136">
        <v>8.3000000000000007</v>
      </c>
      <c r="CD245" s="153">
        <v>41527</v>
      </c>
      <c r="CG245" s="136">
        <v>5.39</v>
      </c>
      <c r="CH245" s="153">
        <v>41527</v>
      </c>
      <c r="CK245" s="136">
        <v>20</v>
      </c>
    </row>
    <row r="246" spans="1:89">
      <c r="A246" s="154" t="s">
        <v>7838</v>
      </c>
      <c r="B246" t="s">
        <v>257</v>
      </c>
      <c r="C246" t="s">
        <v>7795</v>
      </c>
      <c r="D246">
        <v>41</v>
      </c>
      <c r="E246" s="113">
        <v>4</v>
      </c>
      <c r="F246" s="113">
        <v>71</v>
      </c>
      <c r="K246" s="112">
        <v>3</v>
      </c>
      <c r="L246" s="317">
        <v>41569</v>
      </c>
      <c r="S246" s="318">
        <v>1062.576</v>
      </c>
      <c r="T246" s="153">
        <v>41527</v>
      </c>
      <c r="U246" s="136">
        <v>10.8</v>
      </c>
      <c r="Y246" s="136">
        <v>535.05600000000004</v>
      </c>
      <c r="Z246" s="153">
        <v>41527</v>
      </c>
      <c r="AA246" s="318">
        <v>57747.12644</v>
      </c>
      <c r="AB246" s="153">
        <v>41527</v>
      </c>
      <c r="AE246">
        <v>25.12</v>
      </c>
      <c r="AF246" s="153">
        <v>41527</v>
      </c>
      <c r="AG246" s="136">
        <v>4.3499999999999996</v>
      </c>
      <c r="AH246" s="153">
        <v>41527</v>
      </c>
      <c r="AI246" s="318">
        <v>120</v>
      </c>
      <c r="AJ246" s="153">
        <v>41527</v>
      </c>
      <c r="BS246" s="318">
        <v>42.3</v>
      </c>
      <c r="BT246" s="153">
        <v>41527</v>
      </c>
      <c r="BU246">
        <v>21.3</v>
      </c>
      <c r="BV246" s="153">
        <v>41527</v>
      </c>
      <c r="CC246" s="136">
        <v>7</v>
      </c>
      <c r="CD246" s="153">
        <v>41527</v>
      </c>
      <c r="CG246" s="136">
        <v>6.8</v>
      </c>
      <c r="CH246" s="153">
        <v>41527</v>
      </c>
      <c r="CK246" s="136">
        <v>20</v>
      </c>
    </row>
    <row r="247" spans="1:89">
      <c r="A247" s="154" t="s">
        <v>7838</v>
      </c>
      <c r="B247" t="s">
        <v>259</v>
      </c>
      <c r="C247" t="s">
        <v>7795</v>
      </c>
      <c r="D247">
        <v>41</v>
      </c>
      <c r="E247" s="113">
        <v>2</v>
      </c>
      <c r="F247" s="113">
        <v>82</v>
      </c>
      <c r="K247" s="112">
        <v>3</v>
      </c>
      <c r="L247" s="317">
        <v>41569</v>
      </c>
      <c r="S247" s="318">
        <v>1275.75</v>
      </c>
      <c r="T247" s="153">
        <v>41527</v>
      </c>
      <c r="U247" s="136">
        <v>10.8</v>
      </c>
      <c r="Y247" s="136">
        <v>711.9</v>
      </c>
      <c r="Z247" s="153">
        <v>41527</v>
      </c>
      <c r="AA247" s="318">
        <v>74117.647060000003</v>
      </c>
      <c r="AB247" s="153">
        <v>41527</v>
      </c>
      <c r="AE247">
        <v>31.5</v>
      </c>
      <c r="AF247" s="153">
        <v>41527</v>
      </c>
      <c r="AG247" s="136">
        <v>4.25</v>
      </c>
      <c r="AH247" s="153">
        <v>41527</v>
      </c>
      <c r="AI247" s="318">
        <v>135</v>
      </c>
      <c r="AJ247" s="153">
        <v>41527</v>
      </c>
      <c r="BS247" s="318">
        <v>40.5</v>
      </c>
      <c r="BT247" s="153">
        <v>41527</v>
      </c>
      <c r="BU247">
        <v>22.6</v>
      </c>
      <c r="BV247" s="153">
        <v>41527</v>
      </c>
      <c r="CC247" s="136">
        <v>13.4</v>
      </c>
      <c r="CD247" s="153">
        <v>41527</v>
      </c>
      <c r="CG247" s="136">
        <v>9.24</v>
      </c>
      <c r="CH247" s="153">
        <v>41527</v>
      </c>
      <c r="CK247" s="136">
        <v>20</v>
      </c>
    </row>
    <row r="248" spans="1:89">
      <c r="A248" s="154" t="s">
        <v>7839</v>
      </c>
      <c r="B248" t="s">
        <v>257</v>
      </c>
      <c r="C248" t="s">
        <v>405</v>
      </c>
      <c r="D248">
        <v>42</v>
      </c>
      <c r="E248" s="113">
        <v>4</v>
      </c>
      <c r="F248" s="113">
        <v>13</v>
      </c>
      <c r="K248" s="112">
        <v>5</v>
      </c>
      <c r="L248" s="317">
        <v>41569</v>
      </c>
      <c r="S248" s="318">
        <v>1698.905</v>
      </c>
      <c r="T248" s="153">
        <v>41527</v>
      </c>
      <c r="U248" s="136">
        <v>10.8</v>
      </c>
      <c r="Y248" s="136">
        <v>767</v>
      </c>
      <c r="Z248" s="153">
        <v>41527</v>
      </c>
      <c r="AA248" s="318" t="s">
        <v>7718</v>
      </c>
      <c r="AB248" s="153">
        <v>41527</v>
      </c>
      <c r="AE248">
        <v>38.35</v>
      </c>
      <c r="AF248" s="153">
        <v>41527</v>
      </c>
      <c r="AG248" s="136" t="s">
        <v>7718</v>
      </c>
      <c r="AH248" s="153">
        <v>41527</v>
      </c>
      <c r="AI248" s="318">
        <v>120</v>
      </c>
      <c r="AJ248" s="153">
        <v>41527</v>
      </c>
      <c r="BS248" s="318">
        <v>44.3</v>
      </c>
      <c r="BT248" s="153">
        <v>41527</v>
      </c>
      <c r="BU248">
        <v>20</v>
      </c>
      <c r="BV248" s="153">
        <v>41527</v>
      </c>
      <c r="CC248" s="136">
        <v>7</v>
      </c>
      <c r="CD248" s="153">
        <v>41527</v>
      </c>
      <c r="CG248" s="136">
        <v>1.97</v>
      </c>
      <c r="CH248" s="153">
        <v>41527</v>
      </c>
      <c r="CK248" s="136">
        <v>20</v>
      </c>
    </row>
    <row r="249" spans="1:89">
      <c r="A249" s="154" t="s">
        <v>7839</v>
      </c>
      <c r="B249" t="s">
        <v>259</v>
      </c>
      <c r="C249" t="s">
        <v>405</v>
      </c>
      <c r="D249">
        <v>42</v>
      </c>
      <c r="E249" s="113">
        <v>1</v>
      </c>
      <c r="F249" s="113">
        <v>9</v>
      </c>
      <c r="K249" s="112">
        <v>7</v>
      </c>
      <c r="L249" s="317">
        <v>41569</v>
      </c>
      <c r="S249" s="318">
        <v>2096.9520000000002</v>
      </c>
      <c r="T249" s="153">
        <v>41527</v>
      </c>
      <c r="U249" s="136">
        <v>10.8</v>
      </c>
      <c r="Y249" s="136">
        <v>1060.6959999999999</v>
      </c>
      <c r="Z249" s="153">
        <v>41527</v>
      </c>
      <c r="AA249" s="318" t="s">
        <v>7718</v>
      </c>
      <c r="AB249" s="153">
        <v>41527</v>
      </c>
      <c r="AE249">
        <v>48.88</v>
      </c>
      <c r="AF249" s="153">
        <v>41527</v>
      </c>
      <c r="AG249" s="136" t="s">
        <v>7718</v>
      </c>
      <c r="AH249" s="153">
        <v>41527</v>
      </c>
      <c r="AI249" s="318">
        <v>140</v>
      </c>
      <c r="AJ249" s="153">
        <v>41527</v>
      </c>
      <c r="BS249" s="318">
        <v>42.9</v>
      </c>
      <c r="BT249" s="153">
        <v>41527</v>
      </c>
      <c r="BU249">
        <v>21.7</v>
      </c>
      <c r="BV249" s="153">
        <v>41527</v>
      </c>
      <c r="CC249" s="136">
        <v>9</v>
      </c>
      <c r="CD249" s="153">
        <v>41527</v>
      </c>
      <c r="CG249" s="136">
        <v>3.26</v>
      </c>
      <c r="CH249" s="153">
        <v>41527</v>
      </c>
      <c r="CK249" s="136">
        <v>20</v>
      </c>
    </row>
    <row r="250" spans="1:89">
      <c r="A250" s="154" t="s">
        <v>7839</v>
      </c>
      <c r="B250" t="s">
        <v>257</v>
      </c>
      <c r="C250" t="s">
        <v>7794</v>
      </c>
      <c r="D250">
        <v>42</v>
      </c>
      <c r="E250" s="113">
        <v>3</v>
      </c>
      <c r="F250" s="113">
        <v>48</v>
      </c>
      <c r="K250" s="112">
        <v>5</v>
      </c>
      <c r="L250" s="317">
        <v>41569</v>
      </c>
      <c r="S250" s="318">
        <v>2041.2149999999999</v>
      </c>
      <c r="T250" s="153">
        <v>41527</v>
      </c>
      <c r="U250" s="136">
        <v>10.8</v>
      </c>
      <c r="Y250" s="136">
        <v>889.87800000000004</v>
      </c>
      <c r="Z250" s="153">
        <v>41527</v>
      </c>
      <c r="AA250" s="318" t="s">
        <v>7718</v>
      </c>
      <c r="AB250" s="153">
        <v>41527</v>
      </c>
      <c r="AE250">
        <v>45.87</v>
      </c>
      <c r="AF250" s="153">
        <v>41527</v>
      </c>
      <c r="AG250" s="136" t="s">
        <v>7718</v>
      </c>
      <c r="AH250" s="153">
        <v>41527</v>
      </c>
      <c r="AI250" s="318">
        <v>140</v>
      </c>
      <c r="AJ250" s="153">
        <v>41527</v>
      </c>
      <c r="BS250" s="318">
        <v>44.5</v>
      </c>
      <c r="BT250" s="153">
        <v>41527</v>
      </c>
      <c r="BU250">
        <v>19.399999999999999</v>
      </c>
      <c r="BV250" s="153">
        <v>41527</v>
      </c>
      <c r="CC250" s="136">
        <v>9.8000000000000007</v>
      </c>
      <c r="CD250" s="153">
        <v>41527</v>
      </c>
      <c r="CG250" s="136">
        <v>5.4</v>
      </c>
      <c r="CH250" s="153">
        <v>41527</v>
      </c>
      <c r="CK250" s="136">
        <v>20</v>
      </c>
    </row>
    <row r="251" spans="1:89">
      <c r="A251" s="154" t="s">
        <v>7839</v>
      </c>
      <c r="B251" t="s">
        <v>259</v>
      </c>
      <c r="C251" t="s">
        <v>7794</v>
      </c>
      <c r="D251">
        <v>42</v>
      </c>
      <c r="E251" s="113">
        <v>5</v>
      </c>
      <c r="F251" s="113">
        <v>34</v>
      </c>
      <c r="K251" s="112">
        <v>5</v>
      </c>
      <c r="L251" s="317">
        <v>41569</v>
      </c>
      <c r="S251" s="318">
        <v>2008.3030000000001</v>
      </c>
      <c r="T251" s="153">
        <v>41527</v>
      </c>
      <c r="U251" s="136">
        <v>10.8</v>
      </c>
      <c r="Y251" s="136">
        <v>881.69399999999996</v>
      </c>
      <c r="Z251" s="153">
        <v>41527</v>
      </c>
      <c r="AA251" s="318" t="s">
        <v>7718</v>
      </c>
      <c r="AB251" s="153">
        <v>41527</v>
      </c>
      <c r="AE251">
        <v>44.53</v>
      </c>
      <c r="AF251" s="153">
        <v>41527</v>
      </c>
      <c r="AG251" s="136" t="s">
        <v>7718</v>
      </c>
      <c r="AH251" s="153">
        <v>41527</v>
      </c>
      <c r="AI251" s="318">
        <v>130</v>
      </c>
      <c r="AJ251" s="153">
        <v>41527</v>
      </c>
      <c r="BS251" s="318">
        <v>45.1</v>
      </c>
      <c r="BT251" s="153">
        <v>41527</v>
      </c>
      <c r="BU251">
        <v>19.8</v>
      </c>
      <c r="BV251" s="153">
        <v>41527</v>
      </c>
      <c r="CC251" s="136">
        <v>9.3000000000000007</v>
      </c>
      <c r="CD251" s="153">
        <v>41527</v>
      </c>
      <c r="CG251" s="136">
        <v>2.33</v>
      </c>
      <c r="CH251" s="153">
        <v>41527</v>
      </c>
      <c r="CK251" s="136">
        <v>20</v>
      </c>
    </row>
    <row r="252" spans="1:89">
      <c r="A252" s="154" t="s">
        <v>7839</v>
      </c>
      <c r="B252" t="s">
        <v>257</v>
      </c>
      <c r="C252" t="s">
        <v>7795</v>
      </c>
      <c r="D252">
        <v>42</v>
      </c>
      <c r="E252" s="113">
        <v>5</v>
      </c>
      <c r="F252" s="113">
        <v>60</v>
      </c>
      <c r="K252" s="112">
        <v>5</v>
      </c>
      <c r="L252" s="317">
        <v>41569</v>
      </c>
      <c r="S252" s="318">
        <v>1487.808</v>
      </c>
      <c r="T252" s="153">
        <v>41527</v>
      </c>
      <c r="U252" s="136">
        <v>10.8</v>
      </c>
      <c r="Y252" s="136">
        <v>730.12800000000004</v>
      </c>
      <c r="Z252" s="153">
        <v>41527</v>
      </c>
      <c r="AA252" s="318">
        <v>67928.994080000004</v>
      </c>
      <c r="AB252" s="153">
        <v>41527</v>
      </c>
      <c r="AE252">
        <v>34.44</v>
      </c>
      <c r="AF252" s="153">
        <v>41527</v>
      </c>
      <c r="AG252" s="136">
        <v>5.07</v>
      </c>
      <c r="AH252" s="153">
        <v>41527</v>
      </c>
      <c r="AI252" s="318">
        <v>130</v>
      </c>
      <c r="AJ252" s="153">
        <v>41527</v>
      </c>
      <c r="BS252" s="318">
        <v>43.2</v>
      </c>
      <c r="BT252" s="153">
        <v>41527</v>
      </c>
      <c r="BU252">
        <v>21.2</v>
      </c>
      <c r="BV252" s="153">
        <v>41527</v>
      </c>
      <c r="CC252" s="136">
        <v>8.6999999999999993</v>
      </c>
      <c r="CD252" s="153">
        <v>41527</v>
      </c>
      <c r="CG252" s="136">
        <v>24.33</v>
      </c>
      <c r="CH252" s="153">
        <v>41527</v>
      </c>
      <c r="CK252" s="136">
        <v>5</v>
      </c>
    </row>
    <row r="253" spans="1:89">
      <c r="A253" s="154" t="s">
        <v>7839</v>
      </c>
      <c r="B253" t="s">
        <v>259</v>
      </c>
      <c r="C253" t="s">
        <v>7795</v>
      </c>
      <c r="D253">
        <v>42</v>
      </c>
      <c r="E253" s="113">
        <v>3</v>
      </c>
      <c r="F253" s="113">
        <v>84</v>
      </c>
      <c r="K253" s="112">
        <v>5</v>
      </c>
      <c r="L253" s="317">
        <v>41569</v>
      </c>
      <c r="S253" s="318">
        <v>2034.9480000000001</v>
      </c>
      <c r="T253" s="153">
        <v>41527</v>
      </c>
      <c r="U253" s="136">
        <v>10.8</v>
      </c>
      <c r="Y253" s="136">
        <v>901.32399999999996</v>
      </c>
      <c r="Z253" s="153">
        <v>41527</v>
      </c>
      <c r="AA253" s="318">
        <v>101441.048</v>
      </c>
      <c r="AB253" s="153">
        <v>41527</v>
      </c>
      <c r="AE253">
        <v>46.46</v>
      </c>
      <c r="AF253" s="153">
        <v>41527</v>
      </c>
      <c r="AG253" s="136">
        <v>4.58</v>
      </c>
      <c r="AH253" s="153">
        <v>41527</v>
      </c>
      <c r="AI253" s="318">
        <v>130</v>
      </c>
      <c r="AJ253" s="153">
        <v>41527</v>
      </c>
      <c r="BS253" s="318">
        <v>43.8</v>
      </c>
      <c r="BT253" s="153">
        <v>41527</v>
      </c>
      <c r="BU253">
        <v>19.399999999999999</v>
      </c>
      <c r="BV253" s="153">
        <v>41527</v>
      </c>
      <c r="CC253" s="136">
        <v>8.6999999999999993</v>
      </c>
      <c r="CD253" s="153">
        <v>41527</v>
      </c>
      <c r="CG253" s="136">
        <v>2.29</v>
      </c>
      <c r="CH253" s="153">
        <v>41527</v>
      </c>
      <c r="CK253" s="136">
        <v>10</v>
      </c>
    </row>
    <row r="254" spans="1:89">
      <c r="A254" s="154" t="s">
        <v>7840</v>
      </c>
      <c r="B254" t="s">
        <v>257</v>
      </c>
      <c r="C254" t="s">
        <v>405</v>
      </c>
      <c r="D254">
        <v>43</v>
      </c>
      <c r="E254" s="113">
        <v>4</v>
      </c>
      <c r="F254" s="113">
        <v>22</v>
      </c>
      <c r="K254" s="112">
        <v>5</v>
      </c>
      <c r="L254" s="317">
        <v>41569</v>
      </c>
      <c r="S254" s="318">
        <v>1457.47</v>
      </c>
      <c r="T254" s="153">
        <v>41527</v>
      </c>
      <c r="U254" s="136">
        <v>10.8</v>
      </c>
      <c r="Y254" s="136">
        <v>628.39</v>
      </c>
      <c r="Z254" s="153">
        <v>41527</v>
      </c>
      <c r="AA254" s="318" t="s">
        <v>7718</v>
      </c>
      <c r="AB254" s="153">
        <v>41527</v>
      </c>
      <c r="AE254">
        <v>32.9</v>
      </c>
      <c r="AF254" s="153">
        <v>41527</v>
      </c>
      <c r="AG254" s="136" t="s">
        <v>7718</v>
      </c>
      <c r="AH254" s="153">
        <v>41527</v>
      </c>
      <c r="AI254" s="318">
        <v>135</v>
      </c>
      <c r="AJ254" s="153">
        <v>41527</v>
      </c>
      <c r="BS254" s="318">
        <v>44.3</v>
      </c>
      <c r="BT254" s="153">
        <v>41527</v>
      </c>
      <c r="BU254">
        <v>19.100000000000001</v>
      </c>
      <c r="BV254" s="153">
        <v>41527</v>
      </c>
      <c r="CC254" s="136">
        <v>7.6</v>
      </c>
      <c r="CD254" s="153">
        <v>41527</v>
      </c>
      <c r="CG254" s="136">
        <v>3.14</v>
      </c>
      <c r="CH254" s="153">
        <v>41527</v>
      </c>
      <c r="CK254" s="136">
        <v>30</v>
      </c>
    </row>
    <row r="255" spans="1:89">
      <c r="A255" s="154" t="s">
        <v>7840</v>
      </c>
      <c r="B255" t="s">
        <v>259</v>
      </c>
      <c r="C255" t="s">
        <v>405</v>
      </c>
      <c r="D255">
        <v>43</v>
      </c>
      <c r="E255" s="113">
        <v>1</v>
      </c>
      <c r="F255" s="113">
        <v>29</v>
      </c>
      <c r="K255" s="112">
        <v>7</v>
      </c>
      <c r="L255" s="317">
        <v>41569</v>
      </c>
      <c r="S255" s="318">
        <v>1788.048</v>
      </c>
      <c r="T255" s="153">
        <v>41527</v>
      </c>
      <c r="U255" s="136">
        <v>10.8</v>
      </c>
      <c r="Y255" s="136">
        <v>881.60699999999997</v>
      </c>
      <c r="Z255" s="153">
        <v>41527</v>
      </c>
      <c r="AA255" s="318" t="s">
        <v>7718</v>
      </c>
      <c r="AB255" s="153">
        <v>41527</v>
      </c>
      <c r="AE255">
        <v>41.39</v>
      </c>
      <c r="AF255" s="153">
        <v>41527</v>
      </c>
      <c r="AG255" s="136" t="s">
        <v>7718</v>
      </c>
      <c r="AH255" s="153">
        <v>41527</v>
      </c>
      <c r="AI255" s="318">
        <v>135</v>
      </c>
      <c r="AJ255" s="153">
        <v>41527</v>
      </c>
      <c r="BS255" s="318">
        <v>43.2</v>
      </c>
      <c r="BT255" s="153">
        <v>41527</v>
      </c>
      <c r="BU255">
        <v>21.3</v>
      </c>
      <c r="BV255" s="153">
        <v>41527</v>
      </c>
      <c r="CC255" s="136">
        <v>13.6</v>
      </c>
      <c r="CD255" s="153">
        <v>41527</v>
      </c>
      <c r="CG255" s="136">
        <v>3.58</v>
      </c>
      <c r="CH255" s="153">
        <v>41527</v>
      </c>
      <c r="CK255" s="136">
        <v>20</v>
      </c>
    </row>
    <row r="256" spans="1:89">
      <c r="A256" s="154" t="s">
        <v>7840</v>
      </c>
      <c r="B256" t="s">
        <v>257</v>
      </c>
      <c r="C256" t="s">
        <v>7794</v>
      </c>
      <c r="D256">
        <v>43</v>
      </c>
      <c r="E256" s="113">
        <v>3</v>
      </c>
      <c r="F256" s="113">
        <v>57</v>
      </c>
      <c r="K256" s="112">
        <v>5</v>
      </c>
      <c r="L256" s="317">
        <v>41569</v>
      </c>
      <c r="S256" s="318">
        <v>1739.13</v>
      </c>
      <c r="T256" s="153">
        <v>41527</v>
      </c>
      <c r="U256" s="136">
        <v>10.8</v>
      </c>
      <c r="Y256" s="136">
        <v>783.60799999999995</v>
      </c>
      <c r="Z256" s="153">
        <v>41527</v>
      </c>
      <c r="AA256" s="318" t="s">
        <v>7718</v>
      </c>
      <c r="AB256" s="153">
        <v>41527</v>
      </c>
      <c r="AE256">
        <v>39.979999999999997</v>
      </c>
      <c r="AF256" s="153">
        <v>41527</v>
      </c>
      <c r="AG256" s="136" t="s">
        <v>7718</v>
      </c>
      <c r="AH256" s="153">
        <v>41527</v>
      </c>
      <c r="AI256" s="318">
        <v>140</v>
      </c>
      <c r="AJ256" s="153">
        <v>41527</v>
      </c>
      <c r="BS256" s="318">
        <v>43.5</v>
      </c>
      <c r="BT256" s="153">
        <v>41527</v>
      </c>
      <c r="BU256">
        <v>19.600000000000001</v>
      </c>
      <c r="BV256" s="153">
        <v>41527</v>
      </c>
      <c r="CC256" s="136">
        <v>7.8</v>
      </c>
      <c r="CD256" s="153">
        <v>41527</v>
      </c>
      <c r="CG256" s="136">
        <v>4.25</v>
      </c>
      <c r="CH256" s="153">
        <v>41527</v>
      </c>
      <c r="CK256" s="136">
        <v>20</v>
      </c>
    </row>
    <row r="257" spans="1:89">
      <c r="A257" s="154" t="s">
        <v>7840</v>
      </c>
      <c r="B257" t="s">
        <v>259</v>
      </c>
      <c r="C257" t="s">
        <v>7794</v>
      </c>
      <c r="D257">
        <v>43</v>
      </c>
      <c r="E257" s="113">
        <v>6</v>
      </c>
      <c r="F257" s="113">
        <v>44</v>
      </c>
      <c r="K257" s="112">
        <v>5</v>
      </c>
      <c r="L257" s="317">
        <v>41569</v>
      </c>
      <c r="S257" s="318">
        <v>1576.81</v>
      </c>
      <c r="T257" s="153">
        <v>41527</v>
      </c>
      <c r="U257" s="136">
        <v>10.8</v>
      </c>
      <c r="Y257" s="136">
        <v>759.06899999999996</v>
      </c>
      <c r="Z257" s="153">
        <v>41527</v>
      </c>
      <c r="AA257" s="318" t="s">
        <v>7718</v>
      </c>
      <c r="AB257" s="153">
        <v>41527</v>
      </c>
      <c r="AE257">
        <v>36.67</v>
      </c>
      <c r="AF257" s="153">
        <v>41527</v>
      </c>
      <c r="AG257" s="136" t="s">
        <v>7718</v>
      </c>
      <c r="AH257" s="153">
        <v>41527</v>
      </c>
      <c r="AI257" s="318">
        <v>120</v>
      </c>
      <c r="AJ257" s="153">
        <v>41527</v>
      </c>
      <c r="BS257" s="318">
        <v>43</v>
      </c>
      <c r="BT257" s="153">
        <v>41527</v>
      </c>
      <c r="BU257">
        <v>20.7</v>
      </c>
      <c r="BV257" s="153">
        <v>41527</v>
      </c>
      <c r="CC257" s="136">
        <v>8.1</v>
      </c>
      <c r="CD257" s="153">
        <v>41527</v>
      </c>
      <c r="CG257" s="136">
        <v>5.13</v>
      </c>
      <c r="CH257" s="153">
        <v>41527</v>
      </c>
      <c r="CK257" s="136">
        <v>10</v>
      </c>
    </row>
    <row r="258" spans="1:89">
      <c r="A258" s="154" t="s">
        <v>7840</v>
      </c>
      <c r="B258" t="s">
        <v>257</v>
      </c>
      <c r="C258" t="s">
        <v>7795</v>
      </c>
      <c r="D258">
        <v>43</v>
      </c>
      <c r="E258" s="113">
        <v>4</v>
      </c>
      <c r="F258" s="113">
        <v>86</v>
      </c>
      <c r="K258" s="112">
        <v>5</v>
      </c>
      <c r="L258" s="317">
        <v>41569</v>
      </c>
      <c r="S258" s="318">
        <v>1478.912</v>
      </c>
      <c r="T258" s="153">
        <v>41527</v>
      </c>
      <c r="U258" s="136">
        <v>10.8</v>
      </c>
      <c r="Y258" s="136">
        <v>678.4</v>
      </c>
      <c r="Z258" s="153">
        <v>41527</v>
      </c>
      <c r="AA258" s="318">
        <v>82330.097089999996</v>
      </c>
      <c r="AB258" s="153">
        <v>41527</v>
      </c>
      <c r="AE258">
        <v>33.92</v>
      </c>
      <c r="AF258" s="153">
        <v>41527</v>
      </c>
      <c r="AG258" s="136">
        <v>4.12</v>
      </c>
      <c r="AH258" s="153">
        <v>41527</v>
      </c>
      <c r="AI258" s="318">
        <v>125</v>
      </c>
      <c r="AJ258" s="153">
        <v>41527</v>
      </c>
      <c r="BS258" s="318">
        <v>43.6</v>
      </c>
      <c r="BT258" s="153">
        <v>41527</v>
      </c>
      <c r="BU258">
        <v>20</v>
      </c>
      <c r="BV258" s="153">
        <v>41527</v>
      </c>
      <c r="CC258" s="136">
        <v>8.8000000000000007</v>
      </c>
      <c r="CD258" s="153">
        <v>41527</v>
      </c>
      <c r="CG258" s="136">
        <v>3.13</v>
      </c>
      <c r="CH258" s="153">
        <v>41527</v>
      </c>
      <c r="CK258" s="136">
        <v>20</v>
      </c>
    </row>
    <row r="259" spans="1:89">
      <c r="A259" s="154" t="s">
        <v>7840</v>
      </c>
      <c r="B259" t="s">
        <v>259</v>
      </c>
      <c r="C259" t="s">
        <v>7795</v>
      </c>
      <c r="D259">
        <v>43</v>
      </c>
      <c r="E259" s="113">
        <v>3</v>
      </c>
      <c r="F259" s="113">
        <v>67</v>
      </c>
      <c r="K259" s="112">
        <v>5</v>
      </c>
      <c r="L259" s="317">
        <v>41569</v>
      </c>
      <c r="S259" s="318">
        <v>1792.6179999999999</v>
      </c>
      <c r="T259" s="153">
        <v>41527</v>
      </c>
      <c r="U259" s="136">
        <v>10.8</v>
      </c>
      <c r="Y259" s="136">
        <v>932.50199999999995</v>
      </c>
      <c r="Z259" s="153">
        <v>41527</v>
      </c>
      <c r="AA259" s="318">
        <v>100188.2353</v>
      </c>
      <c r="AB259" s="153">
        <v>41527</v>
      </c>
      <c r="AE259">
        <v>42.58</v>
      </c>
      <c r="AF259" s="153">
        <v>41527</v>
      </c>
      <c r="AG259" s="136">
        <v>4.25</v>
      </c>
      <c r="AH259" s="153">
        <v>41527</v>
      </c>
      <c r="AI259" s="318">
        <v>135</v>
      </c>
      <c r="AJ259" s="153">
        <v>41527</v>
      </c>
      <c r="BS259" s="318">
        <v>42.1</v>
      </c>
      <c r="BT259" s="153">
        <v>41527</v>
      </c>
      <c r="BU259">
        <v>21.9</v>
      </c>
      <c r="BV259" s="153">
        <v>41527</v>
      </c>
      <c r="CC259" s="136">
        <v>8.1999999999999993</v>
      </c>
      <c r="CD259" s="153">
        <v>41527</v>
      </c>
      <c r="CG259" s="136">
        <v>4.32</v>
      </c>
      <c r="CH259" s="153">
        <v>41527</v>
      </c>
      <c r="CK259" s="136">
        <v>30</v>
      </c>
    </row>
    <row r="260" spans="1:89">
      <c r="A260" s="154" t="s">
        <v>7841</v>
      </c>
      <c r="B260" t="s">
        <v>257</v>
      </c>
      <c r="C260" t="s">
        <v>405</v>
      </c>
      <c r="D260">
        <v>44</v>
      </c>
      <c r="E260" s="113">
        <v>5</v>
      </c>
      <c r="F260" s="113">
        <v>3</v>
      </c>
      <c r="K260" s="112">
        <v>5</v>
      </c>
      <c r="L260" s="317">
        <v>41569</v>
      </c>
      <c r="S260" s="318">
        <v>1809.558</v>
      </c>
      <c r="T260" s="153">
        <v>41527</v>
      </c>
      <c r="U260" s="136">
        <v>10.8</v>
      </c>
      <c r="Y260" s="136">
        <v>795.54600000000005</v>
      </c>
      <c r="Z260" s="153">
        <v>41527</v>
      </c>
      <c r="AA260" s="318" t="s">
        <v>7718</v>
      </c>
      <c r="AB260" s="153">
        <v>41527</v>
      </c>
      <c r="AE260">
        <v>41.22</v>
      </c>
      <c r="AF260" s="153">
        <v>41527</v>
      </c>
      <c r="AG260" s="136" t="s">
        <v>7718</v>
      </c>
      <c r="AH260" s="153">
        <v>41527</v>
      </c>
      <c r="AI260" s="318">
        <v>125</v>
      </c>
      <c r="AJ260" s="153">
        <v>41527</v>
      </c>
      <c r="BS260" s="318">
        <v>43.9</v>
      </c>
      <c r="BT260" s="153">
        <v>41527</v>
      </c>
      <c r="BU260">
        <v>19.3</v>
      </c>
      <c r="BV260" s="153">
        <v>41527</v>
      </c>
      <c r="CC260" s="136">
        <v>10.7</v>
      </c>
      <c r="CD260" s="153">
        <v>41527</v>
      </c>
      <c r="CG260" s="136">
        <v>3.45</v>
      </c>
      <c r="CH260" s="153">
        <v>41527</v>
      </c>
      <c r="CK260" s="136">
        <v>20</v>
      </c>
    </row>
    <row r="261" spans="1:89">
      <c r="A261" s="154" t="s">
        <v>7841</v>
      </c>
      <c r="B261" t="s">
        <v>259</v>
      </c>
      <c r="C261" t="s">
        <v>405</v>
      </c>
      <c r="D261">
        <v>44</v>
      </c>
      <c r="E261" s="113">
        <v>2</v>
      </c>
      <c r="F261" s="113">
        <v>16</v>
      </c>
      <c r="K261" s="112">
        <v>5</v>
      </c>
      <c r="L261" s="317">
        <v>41569</v>
      </c>
      <c r="S261" s="318">
        <v>2232.13</v>
      </c>
      <c r="T261" s="153">
        <v>41527</v>
      </c>
      <c r="U261" s="136">
        <v>10.8</v>
      </c>
      <c r="Y261" s="136">
        <v>1069.346</v>
      </c>
      <c r="Z261" s="153">
        <v>41527</v>
      </c>
      <c r="AA261" s="318" t="s">
        <v>7718</v>
      </c>
      <c r="AB261" s="153">
        <v>41527</v>
      </c>
      <c r="AE261">
        <v>51.91</v>
      </c>
      <c r="AF261" s="153">
        <v>41527</v>
      </c>
      <c r="AG261" s="136" t="s">
        <v>7718</v>
      </c>
      <c r="AH261" s="153">
        <v>41527</v>
      </c>
      <c r="AI261" s="318">
        <v>135</v>
      </c>
      <c r="AJ261" s="153">
        <v>41527</v>
      </c>
      <c r="BS261" s="318">
        <v>43</v>
      </c>
      <c r="BT261" s="153">
        <v>41527</v>
      </c>
      <c r="BU261">
        <v>20.6</v>
      </c>
      <c r="BV261" s="153">
        <v>41527</v>
      </c>
      <c r="CC261" s="136">
        <v>7.2</v>
      </c>
      <c r="CD261" s="153">
        <v>41527</v>
      </c>
      <c r="CG261" s="136">
        <v>1.06</v>
      </c>
      <c r="CH261" s="153">
        <v>41527</v>
      </c>
      <c r="CK261" s="136">
        <v>20</v>
      </c>
    </row>
    <row r="262" spans="1:89">
      <c r="A262" s="154" t="s">
        <v>7841</v>
      </c>
      <c r="B262" t="s">
        <v>257</v>
      </c>
      <c r="C262" t="s">
        <v>7794</v>
      </c>
      <c r="D262">
        <v>44</v>
      </c>
      <c r="E262" s="113">
        <v>3</v>
      </c>
      <c r="F262" s="113">
        <v>32</v>
      </c>
      <c r="K262" s="112">
        <v>5</v>
      </c>
      <c r="L262" s="317">
        <v>41569</v>
      </c>
      <c r="S262" s="318">
        <v>2345.5949999999998</v>
      </c>
      <c r="T262" s="153">
        <v>41527</v>
      </c>
      <c r="U262" s="136">
        <v>10.8</v>
      </c>
      <c r="Y262" s="136">
        <v>1022.574</v>
      </c>
      <c r="Z262" s="153">
        <v>41527</v>
      </c>
      <c r="AA262" s="318" t="s">
        <v>7718</v>
      </c>
      <c r="AB262" s="153">
        <v>41527</v>
      </c>
      <c r="AE262">
        <v>52.71</v>
      </c>
      <c r="AF262" s="153">
        <v>41527</v>
      </c>
      <c r="AG262" s="136" t="s">
        <v>7718</v>
      </c>
      <c r="AH262" s="153">
        <v>41527</v>
      </c>
      <c r="AI262" s="318">
        <v>135</v>
      </c>
      <c r="AJ262" s="153">
        <v>41527</v>
      </c>
      <c r="BS262" s="318">
        <v>44.5</v>
      </c>
      <c r="BT262" s="153">
        <v>41527</v>
      </c>
      <c r="BU262">
        <v>19.399999999999999</v>
      </c>
      <c r="BV262" s="153">
        <v>41527</v>
      </c>
      <c r="CC262" s="136">
        <v>7.6</v>
      </c>
      <c r="CD262" s="153">
        <v>41527</v>
      </c>
      <c r="CG262" s="136">
        <v>2.94</v>
      </c>
      <c r="CH262" s="153">
        <v>41527</v>
      </c>
      <c r="CK262" s="136">
        <v>30</v>
      </c>
    </row>
    <row r="263" spans="1:89">
      <c r="A263" s="154" t="s">
        <v>7841</v>
      </c>
      <c r="B263" t="s">
        <v>259</v>
      </c>
      <c r="C263" t="s">
        <v>7794</v>
      </c>
      <c r="D263">
        <v>44</v>
      </c>
      <c r="E263" s="113">
        <v>6</v>
      </c>
      <c r="F263" s="113">
        <v>48</v>
      </c>
      <c r="K263" s="112">
        <v>3</v>
      </c>
      <c r="L263" s="317">
        <v>41569</v>
      </c>
      <c r="S263" s="318">
        <v>2190.076</v>
      </c>
      <c r="T263" s="153">
        <v>41527</v>
      </c>
      <c r="U263" s="136">
        <v>10.8</v>
      </c>
      <c r="Y263" s="136">
        <v>1074.57</v>
      </c>
      <c r="Z263" s="153">
        <v>41527</v>
      </c>
      <c r="AA263" s="318" t="s">
        <v>7718</v>
      </c>
      <c r="AB263" s="153">
        <v>41527</v>
      </c>
      <c r="AE263">
        <v>51.17</v>
      </c>
      <c r="AF263" s="153">
        <v>41527</v>
      </c>
      <c r="AG263" s="136" t="s">
        <v>7718</v>
      </c>
      <c r="AH263" s="153">
        <v>41527</v>
      </c>
      <c r="AI263" s="318">
        <v>130</v>
      </c>
      <c r="AJ263" s="153">
        <v>41527</v>
      </c>
      <c r="BS263" s="318">
        <v>42.8</v>
      </c>
      <c r="BT263" s="153">
        <v>41527</v>
      </c>
      <c r="BU263">
        <v>21</v>
      </c>
      <c r="BV263" s="153">
        <v>41527</v>
      </c>
      <c r="CC263" s="136">
        <v>7.9</v>
      </c>
      <c r="CD263" s="153">
        <v>41527</v>
      </c>
      <c r="CG263" s="136">
        <v>2.82</v>
      </c>
      <c r="CH263" s="153">
        <v>41527</v>
      </c>
      <c r="CK263" s="136">
        <v>20</v>
      </c>
    </row>
    <row r="264" spans="1:89">
      <c r="A264" s="154" t="s">
        <v>7841</v>
      </c>
      <c r="B264" t="s">
        <v>257</v>
      </c>
      <c r="C264" t="s">
        <v>7795</v>
      </c>
      <c r="D264">
        <v>44</v>
      </c>
      <c r="E264" s="113">
        <v>5</v>
      </c>
      <c r="F264" s="113">
        <v>67</v>
      </c>
      <c r="K264" s="112">
        <v>5</v>
      </c>
      <c r="L264" s="317">
        <v>41569</v>
      </c>
      <c r="S264" s="318">
        <v>2016.204</v>
      </c>
      <c r="T264" s="153">
        <v>41527</v>
      </c>
      <c r="U264" s="136">
        <v>10.8</v>
      </c>
      <c r="Y264" s="136">
        <v>862.79</v>
      </c>
      <c r="Z264" s="153">
        <v>41527</v>
      </c>
      <c r="AA264" s="318">
        <v>98717.391300000003</v>
      </c>
      <c r="AB264" s="153">
        <v>41527</v>
      </c>
      <c r="AE264">
        <v>45.41</v>
      </c>
      <c r="AF264" s="153">
        <v>41527</v>
      </c>
      <c r="AG264" s="136">
        <v>4.5999999999999996</v>
      </c>
      <c r="AH264" s="153">
        <v>41527</v>
      </c>
      <c r="AI264" s="318">
        <v>130</v>
      </c>
      <c r="AJ264" s="153">
        <v>41527</v>
      </c>
      <c r="BS264" s="318">
        <v>44.4</v>
      </c>
      <c r="BT264" s="153">
        <v>41527</v>
      </c>
      <c r="BU264">
        <v>19</v>
      </c>
      <c r="BV264" s="153">
        <v>41527</v>
      </c>
      <c r="CC264" s="136">
        <v>6.2</v>
      </c>
      <c r="CD264" s="153">
        <v>41527</v>
      </c>
      <c r="CG264" s="136">
        <v>2.23</v>
      </c>
      <c r="CH264" s="153">
        <v>41527</v>
      </c>
      <c r="CK264" s="136">
        <v>20</v>
      </c>
    </row>
    <row r="265" spans="1:89">
      <c r="A265" s="154" t="s">
        <v>7841</v>
      </c>
      <c r="B265" t="s">
        <v>259</v>
      </c>
      <c r="C265" t="s">
        <v>7795</v>
      </c>
      <c r="D265">
        <v>44</v>
      </c>
      <c r="E265" s="113">
        <v>3</v>
      </c>
      <c r="F265" s="113">
        <v>73</v>
      </c>
      <c r="K265" s="112">
        <v>5</v>
      </c>
      <c r="L265" s="317">
        <v>41569</v>
      </c>
      <c r="S265" s="318">
        <v>2271.9839999999999</v>
      </c>
      <c r="T265" s="153">
        <v>41527</v>
      </c>
      <c r="U265" s="136">
        <v>10.8</v>
      </c>
      <c r="Y265" s="136">
        <v>1080.384</v>
      </c>
      <c r="Z265" s="153">
        <v>41527</v>
      </c>
      <c r="AA265" s="318">
        <v>106345.3815</v>
      </c>
      <c r="AB265" s="153">
        <v>41527</v>
      </c>
      <c r="AE265">
        <v>52.96</v>
      </c>
      <c r="AF265" s="153">
        <v>41527</v>
      </c>
      <c r="AG265" s="136">
        <v>4.9800000000000004</v>
      </c>
      <c r="AH265" s="153">
        <v>41527</v>
      </c>
      <c r="AI265" s="318">
        <v>140</v>
      </c>
      <c r="AJ265" s="153">
        <v>41527</v>
      </c>
      <c r="BS265" s="318">
        <v>42.9</v>
      </c>
      <c r="BT265" s="153">
        <v>41527</v>
      </c>
      <c r="BU265">
        <v>20.399999999999999</v>
      </c>
      <c r="BV265" s="153">
        <v>41527</v>
      </c>
      <c r="CC265" s="136">
        <v>6.9</v>
      </c>
      <c r="CD265" s="153">
        <v>41527</v>
      </c>
      <c r="CG265" s="136">
        <v>2.7</v>
      </c>
      <c r="CH265" s="153">
        <v>41527</v>
      </c>
      <c r="CK265" s="136">
        <v>30</v>
      </c>
    </row>
    <row r="266" spans="1:89">
      <c r="A266" s="154" t="s">
        <v>7842</v>
      </c>
      <c r="B266" t="s">
        <v>257</v>
      </c>
      <c r="C266" t="s">
        <v>405</v>
      </c>
      <c r="D266">
        <v>45</v>
      </c>
      <c r="E266" s="113">
        <v>4</v>
      </c>
      <c r="F266" s="113">
        <v>6</v>
      </c>
      <c r="K266" s="112">
        <v>5</v>
      </c>
      <c r="L266" s="317">
        <v>41569</v>
      </c>
      <c r="S266" s="318">
        <v>1436.64</v>
      </c>
      <c r="T266" s="153">
        <v>41527</v>
      </c>
      <c r="U266" s="136">
        <v>10.8</v>
      </c>
      <c r="Y266" s="136">
        <v>662.56</v>
      </c>
      <c r="Z266" s="153">
        <v>41527</v>
      </c>
      <c r="AA266" s="318" t="s">
        <v>7718</v>
      </c>
      <c r="AB266" s="153">
        <v>41527</v>
      </c>
      <c r="AE266">
        <v>32.799999999999997</v>
      </c>
      <c r="AF266" s="153">
        <v>41527</v>
      </c>
      <c r="AG266" s="136" t="s">
        <v>7718</v>
      </c>
      <c r="AH266" s="153">
        <v>41527</v>
      </c>
      <c r="AI266" s="318">
        <v>120</v>
      </c>
      <c r="AJ266" s="153">
        <v>41527</v>
      </c>
      <c r="BS266" s="318">
        <v>43.8</v>
      </c>
      <c r="BT266" s="153">
        <v>41527</v>
      </c>
      <c r="BU266">
        <v>20.2</v>
      </c>
      <c r="BV266" s="153">
        <v>41527</v>
      </c>
      <c r="CC266" s="136">
        <v>8.6999999999999993</v>
      </c>
      <c r="CD266" s="153">
        <v>41527</v>
      </c>
      <c r="CG266" s="136">
        <v>1.93</v>
      </c>
      <c r="CH266" s="153">
        <v>41527</v>
      </c>
      <c r="CK266" s="136">
        <v>1</v>
      </c>
    </row>
    <row r="267" spans="1:89">
      <c r="A267" s="154" t="s">
        <v>7842</v>
      </c>
      <c r="B267" t="s">
        <v>259</v>
      </c>
      <c r="C267" t="s">
        <v>405</v>
      </c>
      <c r="D267">
        <v>45</v>
      </c>
      <c r="E267" s="113">
        <v>2</v>
      </c>
      <c r="F267" s="113">
        <v>19</v>
      </c>
      <c r="K267" s="112">
        <v>5</v>
      </c>
      <c r="L267" s="317">
        <v>41569</v>
      </c>
      <c r="S267" s="318">
        <v>1621.3589999999999</v>
      </c>
      <c r="T267" s="153">
        <v>41527</v>
      </c>
      <c r="U267" s="136">
        <v>10.8</v>
      </c>
      <c r="Y267" s="136">
        <v>866.25800000000004</v>
      </c>
      <c r="Z267" s="153">
        <v>41527</v>
      </c>
      <c r="AA267" s="318" t="s">
        <v>7718</v>
      </c>
      <c r="AB267" s="153">
        <v>41527</v>
      </c>
      <c r="AE267">
        <v>38.33</v>
      </c>
      <c r="AF267" s="153">
        <v>41527</v>
      </c>
      <c r="AG267" s="136" t="s">
        <v>7718</v>
      </c>
      <c r="AH267" s="153">
        <v>41527</v>
      </c>
      <c r="AI267" s="318">
        <v>125</v>
      </c>
      <c r="AJ267" s="153">
        <v>41527</v>
      </c>
      <c r="BS267" s="318">
        <v>42.3</v>
      </c>
      <c r="BT267" s="153">
        <v>41527</v>
      </c>
      <c r="BU267">
        <v>22.6</v>
      </c>
      <c r="BV267" s="153">
        <v>41527</v>
      </c>
      <c r="CC267" s="136">
        <v>8.5</v>
      </c>
      <c r="CD267" s="153">
        <v>41527</v>
      </c>
      <c r="CG267" s="136">
        <v>3.75</v>
      </c>
      <c r="CH267" s="153">
        <v>41527</v>
      </c>
      <c r="CK267" s="136">
        <v>1</v>
      </c>
    </row>
    <row r="268" spans="1:89">
      <c r="A268" s="154" t="s">
        <v>7842</v>
      </c>
      <c r="B268" t="s">
        <v>257</v>
      </c>
      <c r="C268" t="s">
        <v>7794</v>
      </c>
      <c r="D268">
        <v>45</v>
      </c>
      <c r="E268" s="113">
        <v>1</v>
      </c>
      <c r="F268" s="113">
        <v>55</v>
      </c>
      <c r="K268" s="112">
        <v>5</v>
      </c>
      <c r="L268" s="317">
        <v>41569</v>
      </c>
      <c r="S268" s="318">
        <v>1557.03</v>
      </c>
      <c r="T268" s="153">
        <v>41527</v>
      </c>
      <c r="U268" s="136">
        <v>10.8</v>
      </c>
      <c r="Y268" s="136">
        <v>764.03099999999995</v>
      </c>
      <c r="Z268" s="153">
        <v>41527</v>
      </c>
      <c r="AA268" s="318" t="s">
        <v>7718</v>
      </c>
      <c r="AB268" s="153">
        <v>41527</v>
      </c>
      <c r="AE268">
        <v>36.21</v>
      </c>
      <c r="AF268" s="153">
        <v>41527</v>
      </c>
      <c r="AG268" s="136" t="s">
        <v>7718</v>
      </c>
      <c r="AH268" s="153">
        <v>41527</v>
      </c>
      <c r="AI268" s="318">
        <v>125</v>
      </c>
      <c r="AJ268" s="153">
        <v>41527</v>
      </c>
      <c r="BS268" s="318">
        <v>43</v>
      </c>
      <c r="BT268" s="153">
        <v>41527</v>
      </c>
      <c r="BU268">
        <v>21.1</v>
      </c>
      <c r="BV268" s="153">
        <v>41527</v>
      </c>
      <c r="CC268" s="136">
        <v>8.6999999999999993</v>
      </c>
      <c r="CD268" s="153">
        <v>41527</v>
      </c>
      <c r="CG268" s="136">
        <v>4.25</v>
      </c>
      <c r="CH268" s="153">
        <v>41527</v>
      </c>
      <c r="CK268" s="136">
        <v>5</v>
      </c>
    </row>
    <row r="269" spans="1:89">
      <c r="A269" s="154" t="s">
        <v>7842</v>
      </c>
      <c r="B269" t="s">
        <v>259</v>
      </c>
      <c r="C269" t="s">
        <v>7794</v>
      </c>
      <c r="D269">
        <v>45</v>
      </c>
      <c r="E269" s="113">
        <v>5</v>
      </c>
      <c r="F269" s="113">
        <v>55</v>
      </c>
      <c r="K269" s="112">
        <v>5</v>
      </c>
      <c r="L269" s="317">
        <v>41569</v>
      </c>
      <c r="S269" s="318">
        <v>1873.126</v>
      </c>
      <c r="T269" s="153">
        <v>41527</v>
      </c>
      <c r="U269" s="136">
        <v>10.8</v>
      </c>
      <c r="Y269" s="136">
        <v>960.46600000000001</v>
      </c>
      <c r="Z269" s="153">
        <v>41527</v>
      </c>
      <c r="AA269" s="318" t="s">
        <v>7718</v>
      </c>
      <c r="AB269" s="153">
        <v>41527</v>
      </c>
      <c r="AE269">
        <v>43.46</v>
      </c>
      <c r="AF269" s="153">
        <v>41527</v>
      </c>
      <c r="AG269" s="136" t="s">
        <v>7718</v>
      </c>
      <c r="AH269" s="153">
        <v>41527</v>
      </c>
      <c r="AI269" s="318">
        <v>125</v>
      </c>
      <c r="AJ269" s="153">
        <v>41527</v>
      </c>
      <c r="BS269" s="318">
        <v>43.1</v>
      </c>
      <c r="BT269" s="153">
        <v>41527</v>
      </c>
      <c r="BU269">
        <v>22.1</v>
      </c>
      <c r="BV269" s="153">
        <v>41527</v>
      </c>
      <c r="CC269" s="136">
        <v>5.7</v>
      </c>
      <c r="CD269" s="153">
        <v>41527</v>
      </c>
      <c r="CG269" s="136">
        <v>3.33</v>
      </c>
      <c r="CH269" s="153">
        <v>41527</v>
      </c>
      <c r="CK269" s="136">
        <v>10</v>
      </c>
    </row>
    <row r="270" spans="1:89">
      <c r="A270" s="154" t="s">
        <v>7842</v>
      </c>
      <c r="B270" t="s">
        <v>257</v>
      </c>
      <c r="C270" t="s">
        <v>7795</v>
      </c>
      <c r="D270">
        <v>45</v>
      </c>
      <c r="E270" s="113">
        <v>4</v>
      </c>
      <c r="F270" s="113">
        <v>62</v>
      </c>
      <c r="K270" s="112">
        <v>5</v>
      </c>
      <c r="L270" s="317">
        <v>41569</v>
      </c>
      <c r="S270" s="318">
        <v>1587.3150000000001</v>
      </c>
      <c r="T270" s="153">
        <v>41527</v>
      </c>
      <c r="U270" s="136">
        <v>10.8</v>
      </c>
      <c r="Y270" s="136">
        <v>766.29</v>
      </c>
      <c r="Z270" s="153">
        <v>41527</v>
      </c>
      <c r="AA270" s="318">
        <v>86061.320749999999</v>
      </c>
      <c r="AB270" s="153">
        <v>41527</v>
      </c>
      <c r="AE270">
        <v>36.49</v>
      </c>
      <c r="AF270" s="153">
        <v>41527</v>
      </c>
      <c r="AG270" s="136">
        <v>4.24</v>
      </c>
      <c r="AH270" s="153">
        <v>41527</v>
      </c>
      <c r="AI270" s="318">
        <v>130</v>
      </c>
      <c r="AJ270" s="153">
        <v>41527</v>
      </c>
      <c r="BS270" s="318">
        <v>43.5</v>
      </c>
      <c r="BT270" s="153">
        <v>41527</v>
      </c>
      <c r="BU270">
        <v>21</v>
      </c>
      <c r="BV270" s="153">
        <v>41527</v>
      </c>
      <c r="CC270" s="136">
        <v>7.8</v>
      </c>
      <c r="CD270" s="153">
        <v>41527</v>
      </c>
      <c r="CG270" s="136">
        <v>2.3199999999999998</v>
      </c>
      <c r="CH270" s="153">
        <v>41527</v>
      </c>
      <c r="CK270" s="136">
        <v>5</v>
      </c>
    </row>
    <row r="271" spans="1:89">
      <c r="A271" s="154" t="s">
        <v>7842</v>
      </c>
      <c r="B271" t="s">
        <v>259</v>
      </c>
      <c r="C271" t="s">
        <v>7795</v>
      </c>
      <c r="D271">
        <v>45</v>
      </c>
      <c r="E271" s="113">
        <v>2</v>
      </c>
      <c r="F271" s="113">
        <v>68</v>
      </c>
      <c r="K271" s="112">
        <v>5</v>
      </c>
      <c r="L271" s="317">
        <v>41569</v>
      </c>
      <c r="S271" s="318">
        <v>2088.875</v>
      </c>
      <c r="T271" s="153">
        <v>41527</v>
      </c>
      <c r="U271" s="136">
        <v>10.8</v>
      </c>
      <c r="Y271" s="136">
        <v>1076.385</v>
      </c>
      <c r="Z271" s="153">
        <v>41527</v>
      </c>
      <c r="AA271" s="318">
        <v>117023.8095</v>
      </c>
      <c r="AB271" s="153">
        <v>41527</v>
      </c>
      <c r="AE271">
        <v>49.15</v>
      </c>
      <c r="AF271" s="153">
        <v>41527</v>
      </c>
      <c r="AG271" s="136">
        <v>4.2</v>
      </c>
      <c r="AH271" s="153">
        <v>41527</v>
      </c>
      <c r="AI271" s="318">
        <v>135</v>
      </c>
      <c r="AJ271" s="153">
        <v>41527</v>
      </c>
      <c r="BS271" s="318">
        <v>42.5</v>
      </c>
      <c r="BT271" s="153">
        <v>41527</v>
      </c>
      <c r="BU271">
        <v>21.9</v>
      </c>
      <c r="BV271" s="153">
        <v>41527</v>
      </c>
      <c r="CC271" s="136">
        <v>9.6999999999999993</v>
      </c>
      <c r="CD271" s="153">
        <v>41527</v>
      </c>
      <c r="CG271" s="136">
        <v>5.64</v>
      </c>
      <c r="CH271" s="153">
        <v>41527</v>
      </c>
      <c r="CK271" s="136">
        <v>5</v>
      </c>
    </row>
    <row r="272" spans="1:89">
      <c r="A272" s="154" t="s">
        <v>7843</v>
      </c>
      <c r="B272" t="s">
        <v>257</v>
      </c>
      <c r="C272" t="s">
        <v>405</v>
      </c>
      <c r="D272">
        <v>46</v>
      </c>
      <c r="E272" s="113">
        <v>6</v>
      </c>
      <c r="F272" s="113">
        <v>29</v>
      </c>
      <c r="K272" s="112">
        <v>5</v>
      </c>
      <c r="L272" s="317">
        <v>41569</v>
      </c>
      <c r="S272" s="318">
        <v>1231.8520000000001</v>
      </c>
      <c r="T272" s="153">
        <v>41527</v>
      </c>
      <c r="U272" s="136">
        <v>10.8</v>
      </c>
      <c r="Y272" s="136">
        <v>546.87599999999998</v>
      </c>
      <c r="Z272" s="153">
        <v>41527</v>
      </c>
      <c r="AA272" s="318" t="s">
        <v>7718</v>
      </c>
      <c r="AB272" s="153">
        <v>41527</v>
      </c>
      <c r="AE272">
        <v>27.62</v>
      </c>
      <c r="AF272" s="153">
        <v>41527</v>
      </c>
      <c r="AG272" s="136" t="s">
        <v>7718</v>
      </c>
      <c r="AH272" s="153">
        <v>41527</v>
      </c>
      <c r="AI272" s="318">
        <v>130</v>
      </c>
      <c r="AJ272" s="153">
        <v>41527</v>
      </c>
      <c r="BS272" s="318">
        <v>44.6</v>
      </c>
      <c r="BT272" s="153">
        <v>41527</v>
      </c>
      <c r="BU272">
        <v>19.8</v>
      </c>
      <c r="BV272" s="153">
        <v>41527</v>
      </c>
      <c r="CC272" s="136">
        <v>12.1</v>
      </c>
      <c r="CD272" s="153">
        <v>41527</v>
      </c>
      <c r="CG272" s="136">
        <v>10.49</v>
      </c>
      <c r="CH272" s="153">
        <v>41527</v>
      </c>
      <c r="CK272" s="136">
        <v>20</v>
      </c>
    </row>
    <row r="273" spans="1:89">
      <c r="A273" s="154" t="s">
        <v>7843</v>
      </c>
      <c r="B273" t="s">
        <v>259</v>
      </c>
      <c r="C273" t="s">
        <v>405</v>
      </c>
      <c r="D273">
        <v>46</v>
      </c>
      <c r="E273" s="113">
        <v>3</v>
      </c>
      <c r="F273" s="113">
        <v>8</v>
      </c>
      <c r="K273" s="112">
        <v>5</v>
      </c>
      <c r="L273" s="317">
        <v>41569</v>
      </c>
      <c r="S273" s="318">
        <v>1905.4559999999999</v>
      </c>
      <c r="T273" s="153">
        <v>41527</v>
      </c>
      <c r="U273" s="136">
        <v>10.8</v>
      </c>
      <c r="Y273" s="136">
        <v>979.69200000000001</v>
      </c>
      <c r="Z273" s="153">
        <v>41527</v>
      </c>
      <c r="AA273" s="318" t="s">
        <v>7718</v>
      </c>
      <c r="AB273" s="153">
        <v>41527</v>
      </c>
      <c r="AE273">
        <v>44.94</v>
      </c>
      <c r="AF273" s="153">
        <v>41527</v>
      </c>
      <c r="AG273" s="136" t="s">
        <v>7718</v>
      </c>
      <c r="AH273" s="153">
        <v>41527</v>
      </c>
      <c r="AI273" s="318">
        <v>140</v>
      </c>
      <c r="AJ273" s="153">
        <v>41527</v>
      </c>
      <c r="BS273" s="318">
        <v>42.4</v>
      </c>
      <c r="BT273" s="153">
        <v>41527</v>
      </c>
      <c r="BU273">
        <v>21.8</v>
      </c>
      <c r="BV273" s="153">
        <v>41527</v>
      </c>
      <c r="CC273" s="136">
        <v>8.8000000000000007</v>
      </c>
      <c r="CD273" s="153">
        <v>41527</v>
      </c>
      <c r="CG273" s="136">
        <v>1.32</v>
      </c>
      <c r="CH273" s="153">
        <v>41527</v>
      </c>
      <c r="CK273" s="136">
        <v>30</v>
      </c>
    </row>
    <row r="274" spans="1:89">
      <c r="A274" s="154" t="s">
        <v>7843</v>
      </c>
      <c r="B274" t="s">
        <v>257</v>
      </c>
      <c r="C274" t="s">
        <v>7794</v>
      </c>
      <c r="D274">
        <v>46</v>
      </c>
      <c r="E274" s="113">
        <v>3</v>
      </c>
      <c r="F274" s="113">
        <v>50</v>
      </c>
      <c r="K274" s="112">
        <v>5</v>
      </c>
      <c r="L274" s="317">
        <v>41569</v>
      </c>
      <c r="S274" s="318">
        <v>1798.998</v>
      </c>
      <c r="T274" s="153">
        <v>41527</v>
      </c>
      <c r="U274" s="136">
        <v>10.8</v>
      </c>
      <c r="Y274" s="136">
        <v>848.82299999999998</v>
      </c>
      <c r="Z274" s="153">
        <v>41527</v>
      </c>
      <c r="AA274" s="318" t="s">
        <v>7718</v>
      </c>
      <c r="AB274" s="153">
        <v>41527</v>
      </c>
      <c r="AE274">
        <v>42.23</v>
      </c>
      <c r="AF274" s="153">
        <v>41527</v>
      </c>
      <c r="AG274" s="136" t="s">
        <v>7718</v>
      </c>
      <c r="AH274" s="153">
        <v>41527</v>
      </c>
      <c r="AI274" s="318">
        <v>140</v>
      </c>
      <c r="AJ274" s="153">
        <v>41527</v>
      </c>
      <c r="BS274" s="318">
        <v>42.6</v>
      </c>
      <c r="BT274" s="153">
        <v>41527</v>
      </c>
      <c r="BU274">
        <v>20.100000000000001</v>
      </c>
      <c r="BV274" s="153">
        <v>41527</v>
      </c>
      <c r="CC274" s="136">
        <v>7.9</v>
      </c>
      <c r="CD274" s="153">
        <v>41527</v>
      </c>
      <c r="CG274" s="136">
        <v>3.41</v>
      </c>
      <c r="CH274" s="153">
        <v>41527</v>
      </c>
      <c r="CK274" s="136">
        <v>30</v>
      </c>
    </row>
    <row r="275" spans="1:89">
      <c r="A275" s="154" t="s">
        <v>7843</v>
      </c>
      <c r="B275" t="s">
        <v>259</v>
      </c>
      <c r="C275" t="s">
        <v>7794</v>
      </c>
      <c r="D275">
        <v>46</v>
      </c>
      <c r="E275" s="113">
        <v>5</v>
      </c>
      <c r="F275" s="113">
        <v>54</v>
      </c>
      <c r="K275" s="112">
        <v>5</v>
      </c>
      <c r="L275" s="317">
        <v>41569</v>
      </c>
      <c r="S275" s="318">
        <v>1582.922</v>
      </c>
      <c r="T275" s="153">
        <v>41527</v>
      </c>
      <c r="U275" s="136">
        <v>10.8</v>
      </c>
      <c r="Y275" s="136">
        <v>806.46500000000003</v>
      </c>
      <c r="Z275" s="153">
        <v>41527</v>
      </c>
      <c r="AA275" s="318" t="s">
        <v>7718</v>
      </c>
      <c r="AB275" s="153">
        <v>41527</v>
      </c>
      <c r="AE275">
        <v>37.51</v>
      </c>
      <c r="AF275" s="153">
        <v>41527</v>
      </c>
      <c r="AG275" s="136" t="s">
        <v>7718</v>
      </c>
      <c r="AH275" s="153">
        <v>41527</v>
      </c>
      <c r="AI275" s="318">
        <v>130</v>
      </c>
      <c r="AJ275" s="153">
        <v>41527</v>
      </c>
      <c r="BS275" s="318">
        <v>42.2</v>
      </c>
      <c r="BT275" s="153">
        <v>41527</v>
      </c>
      <c r="BU275">
        <v>21.5</v>
      </c>
      <c r="BV275" s="153">
        <v>41527</v>
      </c>
      <c r="CC275" s="136">
        <v>9.5</v>
      </c>
      <c r="CD275" s="153">
        <v>41527</v>
      </c>
      <c r="CG275" s="136">
        <v>2.73</v>
      </c>
      <c r="CH275" s="153">
        <v>41527</v>
      </c>
      <c r="CK275" s="136">
        <v>20</v>
      </c>
    </row>
    <row r="276" spans="1:89">
      <c r="A276" s="154" t="s">
        <v>7843</v>
      </c>
      <c r="B276" t="s">
        <v>257</v>
      </c>
      <c r="C276" t="s">
        <v>7795</v>
      </c>
      <c r="D276">
        <v>46</v>
      </c>
      <c r="E276" s="113">
        <v>4</v>
      </c>
      <c r="F276" s="113">
        <v>76</v>
      </c>
      <c r="K276" s="112">
        <v>5</v>
      </c>
      <c r="L276" s="317">
        <v>41569</v>
      </c>
      <c r="S276" s="318">
        <v>1500.7719999999999</v>
      </c>
      <c r="T276" s="153">
        <v>41527</v>
      </c>
      <c r="U276" s="136">
        <v>10.8</v>
      </c>
      <c r="Y276" s="136">
        <v>701.97400000000005</v>
      </c>
      <c r="Z276" s="153">
        <v>41527</v>
      </c>
      <c r="AA276" s="318">
        <v>75502.183409999998</v>
      </c>
      <c r="AB276" s="153">
        <v>41527</v>
      </c>
      <c r="AE276">
        <v>34.58</v>
      </c>
      <c r="AF276" s="153">
        <v>41527</v>
      </c>
      <c r="AG276" s="136">
        <v>4.58</v>
      </c>
      <c r="AH276" s="153">
        <v>41527</v>
      </c>
      <c r="AI276" s="318">
        <v>135</v>
      </c>
      <c r="AJ276" s="153">
        <v>41527</v>
      </c>
      <c r="BS276" s="318">
        <v>43.4</v>
      </c>
      <c r="BT276" s="153">
        <v>41527</v>
      </c>
      <c r="BU276">
        <v>20.3</v>
      </c>
      <c r="BV276" s="153">
        <v>41527</v>
      </c>
      <c r="CC276" s="136">
        <v>6.8</v>
      </c>
      <c r="CD276" s="153">
        <v>41527</v>
      </c>
      <c r="CG276" s="136">
        <v>2.93</v>
      </c>
      <c r="CH276" s="153">
        <v>41527</v>
      </c>
      <c r="CK276" s="136">
        <v>20</v>
      </c>
    </row>
    <row r="277" spans="1:89">
      <c r="A277" s="154" t="s">
        <v>7843</v>
      </c>
      <c r="B277" t="s">
        <v>259</v>
      </c>
      <c r="C277" t="s">
        <v>7795</v>
      </c>
      <c r="D277">
        <v>46</v>
      </c>
      <c r="E277" s="113">
        <v>3</v>
      </c>
      <c r="F277" s="113">
        <v>80</v>
      </c>
      <c r="K277" s="112">
        <v>5</v>
      </c>
      <c r="L277" s="317">
        <v>41569</v>
      </c>
      <c r="S277" s="318">
        <v>1530.58</v>
      </c>
      <c r="T277" s="153">
        <v>41527</v>
      </c>
      <c r="U277" s="136">
        <v>10.8</v>
      </c>
      <c r="Y277" s="136">
        <v>828.44500000000005</v>
      </c>
      <c r="Z277" s="153">
        <v>41527</v>
      </c>
      <c r="AA277" s="318">
        <v>79042.553190000006</v>
      </c>
      <c r="AB277" s="153">
        <v>41527</v>
      </c>
      <c r="AE277">
        <v>37.15</v>
      </c>
      <c r="AF277" s="153">
        <v>41527</v>
      </c>
      <c r="AG277" s="136">
        <v>4.7</v>
      </c>
      <c r="AH277" s="153">
        <v>41527</v>
      </c>
      <c r="AI277" s="318">
        <v>135</v>
      </c>
      <c r="AJ277" s="153">
        <v>41527</v>
      </c>
      <c r="BS277" s="318">
        <v>41.2</v>
      </c>
      <c r="BT277" s="153">
        <v>41527</v>
      </c>
      <c r="BU277">
        <v>22.3</v>
      </c>
      <c r="BV277" s="153">
        <v>41527</v>
      </c>
      <c r="CC277" s="136">
        <v>8.1</v>
      </c>
      <c r="CD277" s="153">
        <v>41527</v>
      </c>
      <c r="CG277" s="136">
        <v>2.2000000000000002</v>
      </c>
      <c r="CH277" s="153">
        <v>41527</v>
      </c>
      <c r="CK277" s="136">
        <v>20</v>
      </c>
    </row>
    <row r="278" spans="1:89">
      <c r="A278" s="154" t="s">
        <v>7844</v>
      </c>
      <c r="B278" t="s">
        <v>257</v>
      </c>
      <c r="C278" t="s">
        <v>405</v>
      </c>
      <c r="D278">
        <v>47</v>
      </c>
      <c r="E278" s="113">
        <v>4</v>
      </c>
      <c r="F278" s="113">
        <v>25</v>
      </c>
      <c r="K278" s="112">
        <v>5</v>
      </c>
      <c r="L278" s="317">
        <v>41569</v>
      </c>
      <c r="S278" s="318">
        <v>1660.23</v>
      </c>
      <c r="T278" s="153">
        <v>41527</v>
      </c>
      <c r="U278" s="136">
        <v>10.8</v>
      </c>
      <c r="Y278" s="136">
        <v>758.52</v>
      </c>
      <c r="Z278" s="153">
        <v>41527</v>
      </c>
      <c r="AA278" s="318" t="s">
        <v>7718</v>
      </c>
      <c r="AB278" s="153">
        <v>41527</v>
      </c>
      <c r="AE278">
        <v>38.700000000000003</v>
      </c>
      <c r="AF278" s="153">
        <v>41527</v>
      </c>
      <c r="AG278" s="136" t="s">
        <v>7718</v>
      </c>
      <c r="AH278" s="153">
        <v>41527</v>
      </c>
      <c r="AI278" s="318">
        <v>130</v>
      </c>
      <c r="AJ278" s="153">
        <v>41527</v>
      </c>
      <c r="BS278" s="318">
        <v>42.9</v>
      </c>
      <c r="BT278" s="153">
        <v>41527</v>
      </c>
      <c r="BU278">
        <v>19.600000000000001</v>
      </c>
      <c r="BV278" s="153">
        <v>41527</v>
      </c>
      <c r="CC278" s="136">
        <v>9.9</v>
      </c>
      <c r="CD278" s="153">
        <v>41527</v>
      </c>
      <c r="CG278" s="136">
        <v>2.61</v>
      </c>
      <c r="CH278" s="153">
        <v>41527</v>
      </c>
      <c r="CK278" s="136">
        <v>5</v>
      </c>
    </row>
    <row r="279" spans="1:89">
      <c r="A279" s="154" t="s">
        <v>7844</v>
      </c>
      <c r="B279" t="s">
        <v>259</v>
      </c>
      <c r="C279" t="s">
        <v>405</v>
      </c>
      <c r="D279">
        <v>47</v>
      </c>
      <c r="E279" s="113">
        <v>2</v>
      </c>
      <c r="F279" s="113">
        <v>20</v>
      </c>
      <c r="K279" s="112">
        <v>5</v>
      </c>
      <c r="L279" s="317">
        <v>41569</v>
      </c>
      <c r="S279" s="318">
        <v>1842.393</v>
      </c>
      <c r="T279" s="153">
        <v>41527</v>
      </c>
      <c r="U279" s="136">
        <v>10.8</v>
      </c>
      <c r="Y279" s="136">
        <v>972.49800000000005</v>
      </c>
      <c r="Z279" s="153">
        <v>41527</v>
      </c>
      <c r="AA279" s="318" t="s">
        <v>7718</v>
      </c>
      <c r="AB279" s="153">
        <v>41527</v>
      </c>
      <c r="AE279">
        <v>44.61</v>
      </c>
      <c r="AF279" s="153">
        <v>41527</v>
      </c>
      <c r="AG279" s="136" t="s">
        <v>7718</v>
      </c>
      <c r="AH279" s="153">
        <v>41527</v>
      </c>
      <c r="AI279" s="318">
        <v>120</v>
      </c>
      <c r="AJ279" s="153">
        <v>41527</v>
      </c>
      <c r="BS279" s="318">
        <v>41.3</v>
      </c>
      <c r="BT279" s="153">
        <v>41527</v>
      </c>
      <c r="BU279">
        <v>21.8</v>
      </c>
      <c r="BV279" s="153">
        <v>41527</v>
      </c>
      <c r="CC279" s="136">
        <v>8.3000000000000007</v>
      </c>
      <c r="CD279" s="153">
        <v>41527</v>
      </c>
      <c r="CG279" s="136">
        <v>3.56</v>
      </c>
      <c r="CH279" s="153">
        <v>41527</v>
      </c>
      <c r="CK279" s="136">
        <v>5</v>
      </c>
    </row>
    <row r="280" spans="1:89">
      <c r="A280" s="154" t="s">
        <v>7844</v>
      </c>
      <c r="B280" t="s">
        <v>257</v>
      </c>
      <c r="C280" t="s">
        <v>7794</v>
      </c>
      <c r="D280">
        <v>47</v>
      </c>
      <c r="E280" s="113">
        <v>3</v>
      </c>
      <c r="F280" s="113">
        <v>39</v>
      </c>
      <c r="K280" s="112">
        <v>5</v>
      </c>
      <c r="L280" s="317">
        <v>41569</v>
      </c>
      <c r="S280" s="318">
        <v>2030.432</v>
      </c>
      <c r="T280" s="153">
        <v>41527</v>
      </c>
      <c r="U280" s="136">
        <v>10.8</v>
      </c>
      <c r="Y280" s="136">
        <v>944.05600000000004</v>
      </c>
      <c r="Z280" s="153">
        <v>41527</v>
      </c>
      <c r="AA280" s="318" t="s">
        <v>7718</v>
      </c>
      <c r="AB280" s="153">
        <v>41527</v>
      </c>
      <c r="AE280">
        <v>47.44</v>
      </c>
      <c r="AF280" s="153">
        <v>41527</v>
      </c>
      <c r="AG280" s="136" t="s">
        <v>7718</v>
      </c>
      <c r="AH280" s="153">
        <v>41527</v>
      </c>
      <c r="AI280" s="318">
        <v>135</v>
      </c>
      <c r="AJ280" s="153">
        <v>41527</v>
      </c>
      <c r="BS280" s="318">
        <v>42.8</v>
      </c>
      <c r="BT280" s="153">
        <v>41527</v>
      </c>
      <c r="BU280">
        <v>19.899999999999999</v>
      </c>
      <c r="BV280" s="153">
        <v>41527</v>
      </c>
      <c r="CC280" s="136">
        <v>9.6</v>
      </c>
      <c r="CD280" s="153">
        <v>41527</v>
      </c>
      <c r="CG280" s="136">
        <v>4.18</v>
      </c>
      <c r="CH280" s="153">
        <v>41527</v>
      </c>
      <c r="CK280" s="136">
        <v>5</v>
      </c>
    </row>
    <row r="281" spans="1:89">
      <c r="A281" s="154" t="s">
        <v>7844</v>
      </c>
      <c r="B281" t="s">
        <v>259</v>
      </c>
      <c r="C281" t="s">
        <v>7794</v>
      </c>
      <c r="D281">
        <v>47</v>
      </c>
      <c r="E281" s="113">
        <v>5</v>
      </c>
      <c r="F281" s="113">
        <v>51</v>
      </c>
      <c r="K281" s="112">
        <v>5</v>
      </c>
      <c r="L281" s="317">
        <v>41569</v>
      </c>
      <c r="S281" s="318">
        <v>1689.61</v>
      </c>
      <c r="T281" s="153">
        <v>41527</v>
      </c>
      <c r="U281" s="136">
        <v>10.8</v>
      </c>
      <c r="Y281" s="136">
        <v>898.37800000000004</v>
      </c>
      <c r="Z281" s="153">
        <v>41527</v>
      </c>
      <c r="AA281" s="318" t="s">
        <v>7718</v>
      </c>
      <c r="AB281" s="153">
        <v>41527</v>
      </c>
      <c r="AE281">
        <v>41.21</v>
      </c>
      <c r="AF281" s="153">
        <v>41527</v>
      </c>
      <c r="AG281" s="136" t="s">
        <v>7718</v>
      </c>
      <c r="AH281" s="153">
        <v>41527</v>
      </c>
      <c r="AI281" s="318">
        <v>125</v>
      </c>
      <c r="AJ281" s="153">
        <v>41527</v>
      </c>
      <c r="BS281" s="318">
        <v>41</v>
      </c>
      <c r="BT281" s="153">
        <v>41527</v>
      </c>
      <c r="BU281">
        <v>21.8</v>
      </c>
      <c r="BV281" s="153">
        <v>41527</v>
      </c>
      <c r="CC281" s="136">
        <v>7.5</v>
      </c>
      <c r="CD281" s="153">
        <v>41527</v>
      </c>
      <c r="CG281" s="136">
        <v>7.23</v>
      </c>
      <c r="CH281" s="153">
        <v>41527</v>
      </c>
      <c r="CK281" s="136">
        <v>10</v>
      </c>
    </row>
    <row r="282" spans="1:89">
      <c r="A282" s="154" t="s">
        <v>7844</v>
      </c>
      <c r="B282" t="s">
        <v>257</v>
      </c>
      <c r="C282" t="s">
        <v>7795</v>
      </c>
      <c r="D282">
        <v>47</v>
      </c>
      <c r="E282" s="113">
        <v>6</v>
      </c>
      <c r="F282" s="113">
        <v>86</v>
      </c>
      <c r="K282" s="112">
        <v>5</v>
      </c>
      <c r="L282" s="317">
        <v>41569</v>
      </c>
      <c r="S282" s="318">
        <v>1199.7090000000001</v>
      </c>
      <c r="T282" s="153">
        <v>41527</v>
      </c>
      <c r="U282" s="136">
        <v>10.8</v>
      </c>
      <c r="Y282" s="136">
        <v>595.53899999999999</v>
      </c>
      <c r="Z282" s="153">
        <v>41527</v>
      </c>
      <c r="AA282" s="318">
        <v>64362.416109999998</v>
      </c>
      <c r="AB282" s="153">
        <v>41527</v>
      </c>
      <c r="AE282">
        <v>28.77</v>
      </c>
      <c r="AF282" s="153">
        <v>41527</v>
      </c>
      <c r="AG282" s="136">
        <v>4.47</v>
      </c>
      <c r="AH282" s="153">
        <v>41527</v>
      </c>
      <c r="AI282" s="318">
        <v>115</v>
      </c>
      <c r="AJ282" s="153">
        <v>41527</v>
      </c>
      <c r="BS282" s="318">
        <v>41.7</v>
      </c>
      <c r="BT282" s="153">
        <v>41527</v>
      </c>
      <c r="BU282">
        <v>20.7</v>
      </c>
      <c r="BV282" s="153">
        <v>41527</v>
      </c>
      <c r="CC282" s="136">
        <v>9</v>
      </c>
      <c r="CD282" s="153">
        <v>41527</v>
      </c>
      <c r="CG282" s="136">
        <v>5.74</v>
      </c>
      <c r="CH282" s="153">
        <v>41527</v>
      </c>
      <c r="CK282" s="136">
        <v>5</v>
      </c>
    </row>
    <row r="283" spans="1:89">
      <c r="A283" s="154" t="s">
        <v>7844</v>
      </c>
      <c r="B283" t="s">
        <v>259</v>
      </c>
      <c r="C283" t="s">
        <v>7795</v>
      </c>
      <c r="D283">
        <v>47</v>
      </c>
      <c r="E283" s="113">
        <v>1</v>
      </c>
      <c r="F283" s="113">
        <v>78</v>
      </c>
      <c r="K283" s="112">
        <v>5</v>
      </c>
      <c r="L283" s="317">
        <v>41569</v>
      </c>
      <c r="S283" s="318">
        <v>1608.4639999999999</v>
      </c>
      <c r="T283" s="153">
        <v>41527</v>
      </c>
      <c r="U283" s="136">
        <v>10.8</v>
      </c>
      <c r="Y283" s="136">
        <v>849.68</v>
      </c>
      <c r="Z283" s="153">
        <v>41527</v>
      </c>
      <c r="AA283" s="318">
        <v>88609.865470000004</v>
      </c>
      <c r="AB283" s="153">
        <v>41527</v>
      </c>
      <c r="AE283">
        <v>39.520000000000003</v>
      </c>
      <c r="AF283" s="153">
        <v>41527</v>
      </c>
      <c r="AG283" s="136">
        <v>4.46</v>
      </c>
      <c r="AH283" s="153">
        <v>41527</v>
      </c>
      <c r="AI283" s="318">
        <v>120</v>
      </c>
      <c r="AJ283" s="153">
        <v>41527</v>
      </c>
      <c r="BS283" s="318">
        <v>40.700000000000003</v>
      </c>
      <c r="BT283" s="153">
        <v>41527</v>
      </c>
      <c r="BU283">
        <v>21.5</v>
      </c>
      <c r="BV283" s="153">
        <v>41527</v>
      </c>
      <c r="CC283" s="136">
        <v>8.6</v>
      </c>
      <c r="CD283" s="153">
        <v>41527</v>
      </c>
      <c r="CG283" s="136">
        <v>5.65</v>
      </c>
      <c r="CH283" s="153">
        <v>41527</v>
      </c>
      <c r="CK283" s="136">
        <v>10</v>
      </c>
    </row>
    <row r="284" spans="1:89">
      <c r="A284" s="154" t="s">
        <v>7845</v>
      </c>
      <c r="B284" t="s">
        <v>257</v>
      </c>
      <c r="C284" t="s">
        <v>405</v>
      </c>
      <c r="D284">
        <v>48</v>
      </c>
      <c r="E284" s="113">
        <v>5</v>
      </c>
      <c r="F284" s="113">
        <v>27</v>
      </c>
      <c r="K284" s="112">
        <v>3</v>
      </c>
      <c r="L284" s="317">
        <v>41569</v>
      </c>
      <c r="S284" s="318">
        <v>1358.55</v>
      </c>
      <c r="T284" s="153">
        <v>41527</v>
      </c>
      <c r="U284" s="136">
        <v>10.8</v>
      </c>
      <c r="Y284" s="136">
        <v>552.47699999999998</v>
      </c>
      <c r="Z284" s="153">
        <v>41527</v>
      </c>
      <c r="AA284" s="318" t="s">
        <v>7718</v>
      </c>
      <c r="AB284" s="153">
        <v>41527</v>
      </c>
      <c r="AE284">
        <v>30.19</v>
      </c>
      <c r="AF284" s="153">
        <v>41527</v>
      </c>
      <c r="AG284" s="136" t="s">
        <v>7718</v>
      </c>
      <c r="AH284" s="153">
        <v>41527</v>
      </c>
      <c r="AI284" s="318">
        <v>120</v>
      </c>
      <c r="AJ284" s="153">
        <v>41527</v>
      </c>
      <c r="BS284" s="318">
        <v>45</v>
      </c>
      <c r="BT284" s="153">
        <v>41527</v>
      </c>
      <c r="BU284">
        <v>18.3</v>
      </c>
      <c r="BV284" s="153">
        <v>41527</v>
      </c>
      <c r="CC284" s="136">
        <v>10.7</v>
      </c>
      <c r="CD284" s="153">
        <v>41527</v>
      </c>
      <c r="CG284" s="136">
        <v>6.72</v>
      </c>
      <c r="CH284" s="153">
        <v>41527</v>
      </c>
      <c r="CK284" s="136">
        <v>5</v>
      </c>
    </row>
    <row r="285" spans="1:89">
      <c r="A285" s="154" t="s">
        <v>7845</v>
      </c>
      <c r="B285" t="s">
        <v>259</v>
      </c>
      <c r="C285" t="s">
        <v>405</v>
      </c>
      <c r="D285">
        <v>48</v>
      </c>
      <c r="E285" s="113">
        <v>1</v>
      </c>
      <c r="F285" s="113">
        <v>14</v>
      </c>
      <c r="K285" s="112">
        <v>5</v>
      </c>
      <c r="L285" s="317">
        <v>41569</v>
      </c>
      <c r="S285" s="318">
        <v>1799.98</v>
      </c>
      <c r="T285" s="153">
        <v>41527</v>
      </c>
      <c r="U285" s="136">
        <v>10.8</v>
      </c>
      <c r="Y285" s="136">
        <v>874.87400000000002</v>
      </c>
      <c r="Z285" s="153">
        <v>41527</v>
      </c>
      <c r="AA285" s="318" t="s">
        <v>7718</v>
      </c>
      <c r="AB285" s="153">
        <v>41527</v>
      </c>
      <c r="AE285">
        <v>41.86</v>
      </c>
      <c r="AF285" s="153">
        <v>41527</v>
      </c>
      <c r="AG285" s="136" t="s">
        <v>7718</v>
      </c>
      <c r="AH285" s="153">
        <v>41527</v>
      </c>
      <c r="AI285" s="318">
        <v>135</v>
      </c>
      <c r="AJ285" s="153">
        <v>41527</v>
      </c>
      <c r="BS285" s="318">
        <v>43</v>
      </c>
      <c r="BT285" s="153">
        <v>41527</v>
      </c>
      <c r="BU285">
        <v>20.9</v>
      </c>
      <c r="BV285" s="153">
        <v>41527</v>
      </c>
      <c r="CC285" s="136">
        <v>7.8</v>
      </c>
      <c r="CD285" s="153">
        <v>41527</v>
      </c>
      <c r="CG285" s="136">
        <v>3.47</v>
      </c>
      <c r="CH285" s="153">
        <v>41527</v>
      </c>
      <c r="CK285" s="136">
        <v>5</v>
      </c>
    </row>
    <row r="286" spans="1:89">
      <c r="A286" s="154" t="s">
        <v>7845</v>
      </c>
      <c r="B286" t="s">
        <v>257</v>
      </c>
      <c r="C286" t="s">
        <v>7794</v>
      </c>
      <c r="D286">
        <v>48</v>
      </c>
      <c r="E286" s="113">
        <v>1</v>
      </c>
      <c r="F286" s="113">
        <v>38</v>
      </c>
      <c r="K286" s="112">
        <v>5</v>
      </c>
      <c r="L286" s="317">
        <v>41569</v>
      </c>
      <c r="S286" s="318">
        <v>1690.5550000000001</v>
      </c>
      <c r="T286" s="153">
        <v>41527</v>
      </c>
      <c r="U286" s="136">
        <v>10.8</v>
      </c>
      <c r="Y286" s="136">
        <v>721.81</v>
      </c>
      <c r="Z286" s="153">
        <v>41527</v>
      </c>
      <c r="AA286" s="318" t="s">
        <v>7718</v>
      </c>
      <c r="AB286" s="153">
        <v>41527</v>
      </c>
      <c r="AE286">
        <v>37.99</v>
      </c>
      <c r="AF286" s="153">
        <v>41527</v>
      </c>
      <c r="AG286" s="136" t="s">
        <v>7718</v>
      </c>
      <c r="AH286" s="153">
        <v>41527</v>
      </c>
      <c r="AI286" s="318">
        <v>140</v>
      </c>
      <c r="AJ286" s="153">
        <v>41527</v>
      </c>
      <c r="BS286" s="318">
        <v>44.5</v>
      </c>
      <c r="BT286" s="153">
        <v>41527</v>
      </c>
      <c r="BU286">
        <v>19</v>
      </c>
      <c r="BV286" s="153">
        <v>41527</v>
      </c>
      <c r="CC286" s="136">
        <v>9.5</v>
      </c>
      <c r="CD286" s="153">
        <v>41527</v>
      </c>
      <c r="CG286" s="136">
        <v>6.14</v>
      </c>
      <c r="CH286" s="153">
        <v>41527</v>
      </c>
      <c r="CK286" s="136">
        <v>5</v>
      </c>
    </row>
    <row r="287" spans="1:89">
      <c r="A287" s="154" t="s">
        <v>7845</v>
      </c>
      <c r="B287" t="s">
        <v>259</v>
      </c>
      <c r="C287" t="s">
        <v>7794</v>
      </c>
      <c r="D287">
        <v>48</v>
      </c>
      <c r="E287" s="113">
        <v>6</v>
      </c>
      <c r="F287" s="113">
        <v>34</v>
      </c>
      <c r="K287" s="112">
        <v>3</v>
      </c>
      <c r="L287" s="317">
        <v>41569</v>
      </c>
      <c r="S287" s="318">
        <v>1781.4960000000001</v>
      </c>
      <c r="T287" s="153">
        <v>41527</v>
      </c>
      <c r="U287" s="136">
        <v>10.8</v>
      </c>
      <c r="Y287" s="136">
        <v>729.86400000000003</v>
      </c>
      <c r="Z287" s="153">
        <v>41527</v>
      </c>
      <c r="AA287" s="318" t="s">
        <v>7718</v>
      </c>
      <c r="AB287" s="153">
        <v>41527</v>
      </c>
      <c r="AE287">
        <v>39.24</v>
      </c>
      <c r="AF287" s="153">
        <v>41527</v>
      </c>
      <c r="AG287" s="136" t="s">
        <v>7718</v>
      </c>
      <c r="AH287" s="153">
        <v>41527</v>
      </c>
      <c r="AI287" s="318">
        <v>130</v>
      </c>
      <c r="AJ287" s="153">
        <v>41527</v>
      </c>
      <c r="BS287" s="318">
        <v>45.4</v>
      </c>
      <c r="BT287" s="153">
        <v>41527</v>
      </c>
      <c r="BU287">
        <v>18.600000000000001</v>
      </c>
      <c r="BV287" s="153">
        <v>41527</v>
      </c>
      <c r="CC287" s="136">
        <v>9.1999999999999993</v>
      </c>
      <c r="CD287" s="153">
        <v>41527</v>
      </c>
      <c r="CG287" s="136">
        <v>2.34</v>
      </c>
      <c r="CH287" s="153">
        <v>41527</v>
      </c>
      <c r="CK287" s="136">
        <v>10</v>
      </c>
    </row>
    <row r="288" spans="1:89">
      <c r="A288" s="154" t="s">
        <v>7845</v>
      </c>
      <c r="B288" t="s">
        <v>257</v>
      </c>
      <c r="C288" t="s">
        <v>7795</v>
      </c>
      <c r="D288">
        <v>48</v>
      </c>
      <c r="E288" s="113">
        <v>6</v>
      </c>
      <c r="F288" s="113">
        <v>67</v>
      </c>
      <c r="K288" s="112">
        <v>3</v>
      </c>
      <c r="L288" s="317">
        <v>41569</v>
      </c>
      <c r="S288" s="318">
        <v>1323.26</v>
      </c>
      <c r="T288" s="153">
        <v>41527</v>
      </c>
      <c r="U288" s="136">
        <v>10.8</v>
      </c>
      <c r="Y288" s="136">
        <v>597.89499999999998</v>
      </c>
      <c r="Z288" s="153">
        <v>41527</v>
      </c>
      <c r="AA288" s="318">
        <v>66997.792490000007</v>
      </c>
      <c r="AB288" s="153">
        <v>41527</v>
      </c>
      <c r="AE288">
        <v>30.35</v>
      </c>
      <c r="AF288" s="153">
        <v>41527</v>
      </c>
      <c r="AG288" s="136">
        <v>4.53</v>
      </c>
      <c r="AH288" s="153">
        <v>41527</v>
      </c>
      <c r="AI288" s="318">
        <v>115</v>
      </c>
      <c r="AJ288" s="153">
        <v>41527</v>
      </c>
      <c r="BS288" s="318">
        <v>43.6</v>
      </c>
      <c r="BT288" s="153">
        <v>41527</v>
      </c>
      <c r="BU288">
        <v>19.7</v>
      </c>
      <c r="BV288" s="153">
        <v>41527</v>
      </c>
      <c r="CC288" s="136">
        <v>6.3</v>
      </c>
      <c r="CD288" s="153">
        <v>41527</v>
      </c>
      <c r="CG288" s="136">
        <v>4.55</v>
      </c>
      <c r="CH288" s="153">
        <v>41527</v>
      </c>
      <c r="CK288" s="136">
        <v>5</v>
      </c>
    </row>
    <row r="289" spans="1:89">
      <c r="A289" s="154" t="s">
        <v>7845</v>
      </c>
      <c r="B289" t="s">
        <v>259</v>
      </c>
      <c r="C289" t="s">
        <v>7795</v>
      </c>
      <c r="D289">
        <v>48</v>
      </c>
      <c r="E289" s="113">
        <v>1</v>
      </c>
      <c r="F289" s="113">
        <v>68</v>
      </c>
      <c r="K289" s="112">
        <v>3</v>
      </c>
      <c r="L289" s="317">
        <v>41569</v>
      </c>
      <c r="S289" s="318">
        <v>1570.8309999999999</v>
      </c>
      <c r="T289" s="153">
        <v>41527</v>
      </c>
      <c r="U289" s="136">
        <v>10.8</v>
      </c>
      <c r="Y289" s="136">
        <v>787.29</v>
      </c>
      <c r="Z289" s="153">
        <v>41527</v>
      </c>
      <c r="AA289" s="318">
        <v>85986.238530000002</v>
      </c>
      <c r="AB289" s="153">
        <v>41527</v>
      </c>
      <c r="AE289">
        <v>37.49</v>
      </c>
      <c r="AF289" s="153">
        <v>41527</v>
      </c>
      <c r="AG289" s="136">
        <v>4.3600000000000003</v>
      </c>
      <c r="AH289" s="153">
        <v>41527</v>
      </c>
      <c r="AI289" s="318">
        <v>120</v>
      </c>
      <c r="AJ289" s="153">
        <v>41527</v>
      </c>
      <c r="BS289" s="318">
        <v>41.9</v>
      </c>
      <c r="BT289" s="153">
        <v>41527</v>
      </c>
      <c r="BU289">
        <v>21</v>
      </c>
      <c r="BV289" s="153">
        <v>41527</v>
      </c>
      <c r="CC289" s="136">
        <v>10.4</v>
      </c>
      <c r="CD289" s="153">
        <v>41527</v>
      </c>
      <c r="CG289" s="136">
        <v>9</v>
      </c>
      <c r="CH289" s="153">
        <v>41527</v>
      </c>
      <c r="CK289" s="136">
        <v>5</v>
      </c>
    </row>
    <row r="290" spans="1:89">
      <c r="A290" s="154" t="s">
        <v>7846</v>
      </c>
      <c r="B290" t="s">
        <v>257</v>
      </c>
      <c r="C290" t="s">
        <v>405</v>
      </c>
      <c r="D290">
        <v>49</v>
      </c>
      <c r="E290" s="113">
        <v>4</v>
      </c>
      <c r="F290" s="113">
        <v>19</v>
      </c>
      <c r="K290" s="112">
        <v>3</v>
      </c>
      <c r="L290" s="317">
        <v>41569</v>
      </c>
      <c r="S290" s="318">
        <v>1283.98</v>
      </c>
      <c r="T290" s="153">
        <v>41527</v>
      </c>
      <c r="U290" s="136">
        <v>10.8</v>
      </c>
      <c r="Y290" s="136">
        <v>579.28399999999999</v>
      </c>
      <c r="Z290" s="153">
        <v>41527</v>
      </c>
      <c r="AA290" s="318" t="s">
        <v>7718</v>
      </c>
      <c r="AB290" s="153">
        <v>41527</v>
      </c>
      <c r="AE290">
        <v>29.86</v>
      </c>
      <c r="AF290" s="153">
        <v>41527</v>
      </c>
      <c r="AG290" s="136" t="s">
        <v>7718</v>
      </c>
      <c r="AH290" s="153">
        <v>41527</v>
      </c>
      <c r="AI290" s="318">
        <v>120</v>
      </c>
      <c r="AJ290" s="153">
        <v>41527</v>
      </c>
      <c r="BS290" s="318">
        <v>43</v>
      </c>
      <c r="BT290" s="153">
        <v>41527</v>
      </c>
      <c r="BU290">
        <v>19.399999999999999</v>
      </c>
      <c r="BV290" s="153">
        <v>41527</v>
      </c>
      <c r="CC290" s="136">
        <v>7.1</v>
      </c>
      <c r="CD290" s="153">
        <v>41527</v>
      </c>
      <c r="CG290" s="136">
        <v>5.6</v>
      </c>
      <c r="CH290" s="153">
        <v>41527</v>
      </c>
      <c r="CK290" s="136">
        <v>5</v>
      </c>
    </row>
    <row r="291" spans="1:89">
      <c r="A291" s="154" t="s">
        <v>7846</v>
      </c>
      <c r="B291" t="s">
        <v>259</v>
      </c>
      <c r="C291" t="s">
        <v>405</v>
      </c>
      <c r="D291">
        <v>49</v>
      </c>
      <c r="E291" s="113">
        <v>1</v>
      </c>
      <c r="F291" s="113">
        <v>22</v>
      </c>
      <c r="K291" s="112">
        <v>5</v>
      </c>
      <c r="L291" s="317">
        <v>41569</v>
      </c>
      <c r="S291" s="318">
        <v>1771.4</v>
      </c>
      <c r="T291" s="153">
        <v>41527</v>
      </c>
      <c r="U291" s="136">
        <v>10.8</v>
      </c>
      <c r="Y291" s="136">
        <v>866.94399999999996</v>
      </c>
      <c r="Z291" s="153">
        <v>41527</v>
      </c>
      <c r="AA291" s="318" t="s">
        <v>7718</v>
      </c>
      <c r="AB291" s="153">
        <v>41527</v>
      </c>
      <c r="AE291">
        <v>41.68</v>
      </c>
      <c r="AF291" s="153">
        <v>41527</v>
      </c>
      <c r="AG291" s="136" t="s">
        <v>7718</v>
      </c>
      <c r="AH291" s="153">
        <v>41527</v>
      </c>
      <c r="AI291" s="318">
        <v>135</v>
      </c>
      <c r="AJ291" s="153">
        <v>41527</v>
      </c>
      <c r="BS291" s="318">
        <v>42.5</v>
      </c>
      <c r="BT291" s="153">
        <v>41527</v>
      </c>
      <c r="BU291">
        <v>20.8</v>
      </c>
      <c r="BV291" s="153">
        <v>41527</v>
      </c>
      <c r="CC291" s="136">
        <v>8.3000000000000007</v>
      </c>
      <c r="CD291" s="153">
        <v>41527</v>
      </c>
      <c r="CG291" s="136">
        <v>2.74</v>
      </c>
      <c r="CH291" s="153">
        <v>41527</v>
      </c>
      <c r="CK291" s="136">
        <v>5</v>
      </c>
    </row>
    <row r="292" spans="1:89">
      <c r="A292" s="154" t="s">
        <v>7846</v>
      </c>
      <c r="B292" t="s">
        <v>257</v>
      </c>
      <c r="C292" t="s">
        <v>7794</v>
      </c>
      <c r="D292">
        <v>49</v>
      </c>
      <c r="E292" s="113">
        <v>2</v>
      </c>
      <c r="F292" s="113">
        <v>53</v>
      </c>
      <c r="K292" s="112">
        <v>3</v>
      </c>
      <c r="L292" s="317">
        <v>41569</v>
      </c>
      <c r="S292" s="318">
        <v>1496.83</v>
      </c>
      <c r="T292" s="153">
        <v>41527</v>
      </c>
      <c r="U292" s="136">
        <v>10.8</v>
      </c>
      <c r="Y292" s="136">
        <v>713.60500000000002</v>
      </c>
      <c r="Z292" s="153">
        <v>41527</v>
      </c>
      <c r="AA292" s="318" t="s">
        <v>7718</v>
      </c>
      <c r="AB292" s="153">
        <v>41527</v>
      </c>
      <c r="AE292">
        <v>34.81</v>
      </c>
      <c r="AF292" s="153">
        <v>41527</v>
      </c>
      <c r="AG292" s="136" t="s">
        <v>7718</v>
      </c>
      <c r="AH292" s="153">
        <v>41527</v>
      </c>
      <c r="AI292" s="318">
        <v>120</v>
      </c>
      <c r="AJ292" s="153">
        <v>41527</v>
      </c>
      <c r="BS292" s="318">
        <v>43</v>
      </c>
      <c r="BT292" s="153">
        <v>41527</v>
      </c>
      <c r="BU292">
        <v>20.5</v>
      </c>
      <c r="BV292" s="153">
        <v>41527</v>
      </c>
      <c r="CC292" s="136">
        <v>12.5</v>
      </c>
      <c r="CD292" s="153">
        <v>41527</v>
      </c>
      <c r="CG292" s="136">
        <v>10.14</v>
      </c>
      <c r="CH292" s="153">
        <v>41527</v>
      </c>
      <c r="CK292" s="136">
        <v>20</v>
      </c>
    </row>
    <row r="293" spans="1:89">
      <c r="A293" s="154" t="s">
        <v>7846</v>
      </c>
      <c r="B293" t="s">
        <v>259</v>
      </c>
      <c r="C293" t="s">
        <v>7794</v>
      </c>
      <c r="D293">
        <v>49</v>
      </c>
      <c r="E293" s="113">
        <v>6</v>
      </c>
      <c r="F293" s="113">
        <v>38</v>
      </c>
      <c r="K293" s="112">
        <v>3</v>
      </c>
      <c r="L293" s="317">
        <v>41569</v>
      </c>
      <c r="S293" s="318">
        <v>1554.9480000000001</v>
      </c>
      <c r="T293" s="153">
        <v>41527</v>
      </c>
      <c r="U293" s="136">
        <v>10.8</v>
      </c>
      <c r="Y293" s="136">
        <v>768.28399999999999</v>
      </c>
      <c r="Z293" s="153">
        <v>41527</v>
      </c>
      <c r="AA293" s="318" t="s">
        <v>7718</v>
      </c>
      <c r="AB293" s="153">
        <v>41527</v>
      </c>
      <c r="AE293">
        <v>36.76</v>
      </c>
      <c r="AF293" s="153">
        <v>41527</v>
      </c>
      <c r="AG293" s="136" t="s">
        <v>7718</v>
      </c>
      <c r="AH293" s="153">
        <v>41527</v>
      </c>
      <c r="AI293" s="318">
        <v>125</v>
      </c>
      <c r="AJ293" s="153">
        <v>41527</v>
      </c>
      <c r="BS293" s="318">
        <v>42.3</v>
      </c>
      <c r="BT293" s="153">
        <v>41527</v>
      </c>
      <c r="BU293">
        <v>20.9</v>
      </c>
      <c r="BV293" s="153">
        <v>41527</v>
      </c>
      <c r="CC293" s="136">
        <v>7.9</v>
      </c>
      <c r="CD293" s="153">
        <v>41527</v>
      </c>
      <c r="CG293" s="136">
        <v>5.18</v>
      </c>
      <c r="CH293" s="153">
        <v>41527</v>
      </c>
      <c r="CK293" s="136">
        <v>10</v>
      </c>
    </row>
    <row r="294" spans="1:89">
      <c r="A294" s="154" t="s">
        <v>7846</v>
      </c>
      <c r="B294" t="s">
        <v>257</v>
      </c>
      <c r="C294" t="s">
        <v>7795</v>
      </c>
      <c r="D294">
        <v>49</v>
      </c>
      <c r="E294" s="113">
        <v>4</v>
      </c>
      <c r="F294" s="113">
        <v>84</v>
      </c>
      <c r="K294" s="112">
        <v>3</v>
      </c>
      <c r="L294" s="317">
        <v>41569</v>
      </c>
      <c r="S294" s="318">
        <v>1460.16</v>
      </c>
      <c r="T294" s="153">
        <v>41527</v>
      </c>
      <c r="U294" s="136">
        <v>10.8</v>
      </c>
      <c r="Y294" s="136">
        <v>659.1</v>
      </c>
      <c r="Z294" s="153">
        <v>41527</v>
      </c>
      <c r="AA294" s="318" t="s">
        <v>7718</v>
      </c>
      <c r="AB294" s="153">
        <v>41527</v>
      </c>
      <c r="AE294">
        <v>33.799999999999997</v>
      </c>
      <c r="AF294" s="153">
        <v>41527</v>
      </c>
      <c r="AG294" s="136" t="s">
        <v>7718</v>
      </c>
      <c r="AH294" s="153">
        <v>41527</v>
      </c>
      <c r="AI294" s="318">
        <v>125</v>
      </c>
      <c r="AJ294" s="153">
        <v>41527</v>
      </c>
      <c r="BS294" s="318">
        <v>43.2</v>
      </c>
      <c r="BT294" s="153">
        <v>41527</v>
      </c>
      <c r="BU294">
        <v>19.5</v>
      </c>
      <c r="BV294" s="153">
        <v>41527</v>
      </c>
      <c r="CC294" s="136">
        <v>8</v>
      </c>
      <c r="CD294" s="153">
        <v>41527</v>
      </c>
      <c r="CG294" s="136">
        <v>3.69</v>
      </c>
      <c r="CH294" s="153">
        <v>41527</v>
      </c>
      <c r="CK294" s="136">
        <v>10</v>
      </c>
    </row>
    <row r="295" spans="1:89">
      <c r="A295" s="154" t="s">
        <v>7846</v>
      </c>
      <c r="B295" t="s">
        <v>259</v>
      </c>
      <c r="C295" t="s">
        <v>7795</v>
      </c>
      <c r="D295">
        <v>49</v>
      </c>
      <c r="E295" s="113">
        <v>2</v>
      </c>
      <c r="F295" s="113">
        <v>87</v>
      </c>
      <c r="K295" s="112">
        <v>3</v>
      </c>
      <c r="L295" s="317">
        <v>41569</v>
      </c>
      <c r="S295" s="318">
        <v>1269.6959999999999</v>
      </c>
      <c r="T295" s="153">
        <v>41527</v>
      </c>
      <c r="U295" s="136">
        <v>10.8</v>
      </c>
      <c r="Y295" s="136">
        <v>678.41600000000005</v>
      </c>
      <c r="Z295" s="153">
        <v>41527</v>
      </c>
      <c r="AA295" s="318" t="s">
        <v>7718</v>
      </c>
      <c r="AB295" s="153">
        <v>41527</v>
      </c>
      <c r="AE295">
        <v>31.12</v>
      </c>
      <c r="AF295" s="153">
        <v>41527</v>
      </c>
      <c r="AG295" s="136" t="s">
        <v>7718</v>
      </c>
      <c r="AH295" s="153">
        <v>41527</v>
      </c>
      <c r="AI295" s="318">
        <v>130</v>
      </c>
      <c r="AJ295" s="153">
        <v>41527</v>
      </c>
      <c r="BS295" s="318">
        <v>40.799999999999997</v>
      </c>
      <c r="BT295" s="153">
        <v>41527</v>
      </c>
      <c r="BU295">
        <v>21.8</v>
      </c>
      <c r="BV295" s="153">
        <v>41527</v>
      </c>
      <c r="CC295" s="136">
        <v>11.3</v>
      </c>
      <c r="CD295" s="153">
        <v>41527</v>
      </c>
      <c r="CG295" s="136">
        <v>8.76</v>
      </c>
      <c r="CH295" s="153">
        <v>41527</v>
      </c>
      <c r="CK295" s="136">
        <v>5</v>
      </c>
    </row>
    <row r="296" spans="1:89">
      <c r="A296" s="154" t="s">
        <v>7847</v>
      </c>
      <c r="B296" t="s">
        <v>257</v>
      </c>
      <c r="C296" t="s">
        <v>405</v>
      </c>
      <c r="D296">
        <v>50</v>
      </c>
      <c r="E296" s="113">
        <v>5</v>
      </c>
      <c r="F296" s="113">
        <v>13</v>
      </c>
      <c r="K296" s="112">
        <v>5</v>
      </c>
      <c r="L296" s="317">
        <v>41569</v>
      </c>
      <c r="S296" s="318">
        <v>1804.9860000000001</v>
      </c>
      <c r="T296" s="153">
        <v>41527</v>
      </c>
      <c r="U296" s="136">
        <v>10.8</v>
      </c>
      <c r="Y296" s="136">
        <v>779.33399999999995</v>
      </c>
      <c r="Z296" s="153">
        <v>41527</v>
      </c>
      <c r="AA296" s="318" t="s">
        <v>7718</v>
      </c>
      <c r="AB296" s="153">
        <v>41527</v>
      </c>
      <c r="AE296">
        <v>40.380000000000003</v>
      </c>
      <c r="AF296" s="153">
        <v>41527</v>
      </c>
      <c r="AG296" s="136" t="s">
        <v>7718</v>
      </c>
      <c r="AH296" s="153">
        <v>41527</v>
      </c>
      <c r="AI296" s="318">
        <v>130</v>
      </c>
      <c r="AJ296" s="153">
        <v>41527</v>
      </c>
      <c r="BS296" s="318">
        <v>44.7</v>
      </c>
      <c r="BT296" s="153">
        <v>41527</v>
      </c>
      <c r="BU296">
        <v>19.3</v>
      </c>
      <c r="BV296" s="153">
        <v>41527</v>
      </c>
      <c r="CC296" s="136">
        <v>7.4</v>
      </c>
      <c r="CD296" s="153">
        <v>41527</v>
      </c>
      <c r="CG296" s="136">
        <v>3.66</v>
      </c>
      <c r="CH296" s="153">
        <v>41527</v>
      </c>
      <c r="CK296" s="136">
        <v>10</v>
      </c>
    </row>
    <row r="297" spans="1:89">
      <c r="A297" s="154" t="s">
        <v>7847</v>
      </c>
      <c r="B297" t="s">
        <v>259</v>
      </c>
      <c r="C297" t="s">
        <v>405</v>
      </c>
      <c r="D297">
        <v>50</v>
      </c>
      <c r="E297" s="113">
        <v>2</v>
      </c>
      <c r="F297" s="113">
        <v>4</v>
      </c>
      <c r="K297" s="112">
        <v>5</v>
      </c>
      <c r="L297" s="317">
        <v>41569</v>
      </c>
      <c r="S297" s="318">
        <v>2075.6959999999999</v>
      </c>
      <c r="T297" s="153">
        <v>41527</v>
      </c>
      <c r="U297" s="136">
        <v>10.8</v>
      </c>
      <c r="Y297" s="136">
        <v>1035.44</v>
      </c>
      <c r="Z297" s="153">
        <v>41527</v>
      </c>
      <c r="AA297" s="318" t="s">
        <v>7718</v>
      </c>
      <c r="AB297" s="153">
        <v>41527</v>
      </c>
      <c r="AE297">
        <v>48.16</v>
      </c>
      <c r="AF297" s="153">
        <v>41527</v>
      </c>
      <c r="AG297" s="136" t="s">
        <v>7718</v>
      </c>
      <c r="AH297" s="153">
        <v>41527</v>
      </c>
      <c r="AI297" s="318">
        <v>135</v>
      </c>
      <c r="AJ297" s="153">
        <v>41527</v>
      </c>
      <c r="BS297" s="318">
        <v>43.1</v>
      </c>
      <c r="BT297" s="153">
        <v>41527</v>
      </c>
      <c r="BU297">
        <v>21.5</v>
      </c>
      <c r="BV297" s="153">
        <v>41527</v>
      </c>
      <c r="CC297" s="136">
        <v>12.4</v>
      </c>
      <c r="CD297" s="153">
        <v>41527</v>
      </c>
      <c r="CG297" s="136">
        <v>3.27</v>
      </c>
      <c r="CH297" s="153">
        <v>41527</v>
      </c>
      <c r="CK297" s="136">
        <v>30</v>
      </c>
    </row>
    <row r="298" spans="1:89">
      <c r="A298" s="154" t="s">
        <v>7847</v>
      </c>
      <c r="B298" t="s">
        <v>257</v>
      </c>
      <c r="C298" t="s">
        <v>7794</v>
      </c>
      <c r="D298">
        <v>50</v>
      </c>
      <c r="E298" s="113">
        <v>2</v>
      </c>
      <c r="F298" s="113">
        <v>57</v>
      </c>
      <c r="K298" s="112">
        <v>5</v>
      </c>
      <c r="L298" s="317">
        <v>41569</v>
      </c>
      <c r="S298" s="318">
        <v>1424.28</v>
      </c>
      <c r="T298" s="153">
        <v>41527</v>
      </c>
      <c r="U298" s="136">
        <v>10.8</v>
      </c>
      <c r="Y298" s="136">
        <v>644.16300000000001</v>
      </c>
      <c r="Z298" s="153">
        <v>41527</v>
      </c>
      <c r="AA298" s="318" t="s">
        <v>7718</v>
      </c>
      <c r="AB298" s="153">
        <v>41527</v>
      </c>
      <c r="AE298">
        <v>32.369999999999997</v>
      </c>
      <c r="AF298" s="153">
        <v>41527</v>
      </c>
      <c r="AG298" s="136" t="s">
        <v>7718</v>
      </c>
      <c r="AH298" s="153">
        <v>41527</v>
      </c>
      <c r="AI298" s="318">
        <v>140</v>
      </c>
      <c r="AJ298" s="153">
        <v>41527</v>
      </c>
      <c r="BS298" s="318">
        <v>44</v>
      </c>
      <c r="BT298" s="153">
        <v>41527</v>
      </c>
      <c r="BU298">
        <v>19.899999999999999</v>
      </c>
      <c r="BV298" s="153">
        <v>41527</v>
      </c>
      <c r="CC298" s="136">
        <v>6.8</v>
      </c>
      <c r="CD298" s="153">
        <v>41527</v>
      </c>
      <c r="CG298" s="136">
        <v>2.44</v>
      </c>
      <c r="CH298" s="153">
        <v>41527</v>
      </c>
      <c r="CK298" s="136">
        <v>30</v>
      </c>
    </row>
    <row r="299" spans="1:89">
      <c r="A299" s="154" t="s">
        <v>7847</v>
      </c>
      <c r="B299" t="s">
        <v>259</v>
      </c>
      <c r="C299" t="s">
        <v>7794</v>
      </c>
      <c r="D299">
        <v>50</v>
      </c>
      <c r="E299" s="113">
        <v>6</v>
      </c>
      <c r="F299" s="113">
        <v>49</v>
      </c>
      <c r="K299" s="112">
        <v>3</v>
      </c>
      <c r="L299" s="317">
        <v>41569</v>
      </c>
      <c r="S299" s="318">
        <v>1779.104</v>
      </c>
      <c r="T299" s="153">
        <v>41527</v>
      </c>
      <c r="U299" s="136">
        <v>10.8</v>
      </c>
      <c r="Y299" s="136">
        <v>914.72799999999995</v>
      </c>
      <c r="Z299" s="153">
        <v>41527</v>
      </c>
      <c r="AA299" s="318" t="s">
        <v>7718</v>
      </c>
      <c r="AB299" s="153">
        <v>41527</v>
      </c>
      <c r="AE299">
        <v>41.96</v>
      </c>
      <c r="AF299" s="153">
        <v>41527</v>
      </c>
      <c r="AG299" s="136" t="s">
        <v>7718</v>
      </c>
      <c r="AH299" s="153">
        <v>41527</v>
      </c>
      <c r="AI299" s="318">
        <v>130</v>
      </c>
      <c r="AJ299" s="153">
        <v>41527</v>
      </c>
      <c r="BS299" s="318">
        <v>42.4</v>
      </c>
      <c r="BT299" s="153">
        <v>41527</v>
      </c>
      <c r="BU299">
        <v>21.8</v>
      </c>
      <c r="BV299" s="153">
        <v>41527</v>
      </c>
      <c r="CC299" s="136">
        <v>8</v>
      </c>
      <c r="CD299" s="153">
        <v>41527</v>
      </c>
      <c r="CG299" s="136">
        <v>2.66</v>
      </c>
      <c r="CH299" s="153">
        <v>41527</v>
      </c>
      <c r="CK299" s="136">
        <v>20</v>
      </c>
    </row>
    <row r="300" spans="1:89">
      <c r="A300" s="154" t="s">
        <v>7847</v>
      </c>
      <c r="B300" t="s">
        <v>257</v>
      </c>
      <c r="C300" t="s">
        <v>7795</v>
      </c>
      <c r="D300">
        <v>50</v>
      </c>
      <c r="E300" s="113">
        <v>6</v>
      </c>
      <c r="F300" s="113">
        <v>87</v>
      </c>
      <c r="K300" s="112">
        <v>5</v>
      </c>
      <c r="L300" s="317">
        <v>41569</v>
      </c>
      <c r="S300" s="318">
        <v>1577.502</v>
      </c>
      <c r="T300" s="153">
        <v>41527</v>
      </c>
      <c r="U300" s="136">
        <v>10.8</v>
      </c>
      <c r="Y300" s="136">
        <v>696.78899999999999</v>
      </c>
      <c r="Z300" s="153">
        <v>41527</v>
      </c>
      <c r="AA300" s="318" t="s">
        <v>7718</v>
      </c>
      <c r="AB300" s="153">
        <v>41527</v>
      </c>
      <c r="AE300">
        <v>35.369999999999997</v>
      </c>
      <c r="AF300" s="153">
        <v>41527</v>
      </c>
      <c r="AG300" s="136" t="s">
        <v>7718</v>
      </c>
      <c r="AH300" s="153">
        <v>41527</v>
      </c>
      <c r="AI300" s="318">
        <v>130</v>
      </c>
      <c r="AJ300" s="153">
        <v>41527</v>
      </c>
      <c r="BS300" s="318">
        <v>44.6</v>
      </c>
      <c r="BT300" s="153">
        <v>41527</v>
      </c>
      <c r="BU300">
        <v>19.7</v>
      </c>
      <c r="BV300" s="153">
        <v>41527</v>
      </c>
      <c r="CC300" s="136">
        <v>9</v>
      </c>
      <c r="CD300" s="153">
        <v>41527</v>
      </c>
      <c r="CG300" s="136">
        <v>1.72</v>
      </c>
      <c r="CH300" s="153">
        <v>41527</v>
      </c>
      <c r="CK300" s="136">
        <v>10</v>
      </c>
    </row>
    <row r="301" spans="1:89">
      <c r="A301" s="154" t="s">
        <v>7847</v>
      </c>
      <c r="B301" t="s">
        <v>259</v>
      </c>
      <c r="C301" t="s">
        <v>7795</v>
      </c>
      <c r="D301">
        <v>50</v>
      </c>
      <c r="E301" s="113">
        <v>3</v>
      </c>
      <c r="F301" s="113">
        <v>76</v>
      </c>
      <c r="K301" s="112">
        <v>5</v>
      </c>
      <c r="L301" s="317">
        <v>41569</v>
      </c>
      <c r="S301" s="318">
        <v>1949.8050000000001</v>
      </c>
      <c r="T301" s="153">
        <v>41527</v>
      </c>
      <c r="U301" s="136">
        <v>10.8</v>
      </c>
      <c r="Y301" s="136">
        <v>949.90499999999997</v>
      </c>
      <c r="Z301" s="153">
        <v>41527</v>
      </c>
      <c r="AA301" s="318" t="s">
        <v>7718</v>
      </c>
      <c r="AB301" s="153">
        <v>41527</v>
      </c>
      <c r="AE301">
        <v>45.45</v>
      </c>
      <c r="AF301" s="153">
        <v>41527</v>
      </c>
      <c r="AG301" s="136" t="s">
        <v>7718</v>
      </c>
      <c r="AH301" s="153">
        <v>41527</v>
      </c>
      <c r="AI301" s="318">
        <v>145</v>
      </c>
      <c r="AJ301" s="153">
        <v>41527</v>
      </c>
      <c r="BS301" s="318">
        <v>42.9</v>
      </c>
      <c r="BT301" s="153">
        <v>41527</v>
      </c>
      <c r="BU301">
        <v>20.9</v>
      </c>
      <c r="BV301" s="153">
        <v>41527</v>
      </c>
      <c r="CC301" s="136">
        <v>7.8</v>
      </c>
      <c r="CD301" s="153">
        <v>41527</v>
      </c>
      <c r="CG301" s="136">
        <v>2.71</v>
      </c>
      <c r="CH301" s="153">
        <v>41527</v>
      </c>
      <c r="CK301" s="136">
        <v>20</v>
      </c>
    </row>
    <row r="302" spans="1:89">
      <c r="A302" s="154" t="s">
        <v>7848</v>
      </c>
      <c r="B302" t="s">
        <v>257</v>
      </c>
      <c r="C302" t="s">
        <v>405</v>
      </c>
      <c r="D302">
        <v>51</v>
      </c>
      <c r="E302" s="113">
        <v>4</v>
      </c>
      <c r="F302" s="113">
        <v>4</v>
      </c>
      <c r="K302" s="112">
        <v>5</v>
      </c>
      <c r="L302" s="317">
        <v>41569</v>
      </c>
      <c r="S302" s="318">
        <v>1479.28</v>
      </c>
      <c r="T302" s="153">
        <v>41527</v>
      </c>
      <c r="U302" s="136">
        <v>10.8</v>
      </c>
      <c r="Y302" s="136">
        <v>675.68</v>
      </c>
      <c r="Z302" s="153">
        <v>41527</v>
      </c>
      <c r="AA302" s="318" t="s">
        <v>7718</v>
      </c>
      <c r="AB302" s="153">
        <v>41527</v>
      </c>
      <c r="AE302">
        <v>32.799999999999997</v>
      </c>
      <c r="AF302" s="153">
        <v>41527</v>
      </c>
      <c r="AG302" s="136" t="s">
        <v>7718</v>
      </c>
      <c r="AH302" s="153">
        <v>41527</v>
      </c>
      <c r="AI302" s="318">
        <v>125</v>
      </c>
      <c r="AJ302" s="153">
        <v>41527</v>
      </c>
      <c r="BS302" s="318">
        <v>45.1</v>
      </c>
      <c r="BT302" s="153">
        <v>41527</v>
      </c>
      <c r="BU302">
        <v>20.6</v>
      </c>
      <c r="BV302" s="153">
        <v>41527</v>
      </c>
      <c r="CC302" s="136">
        <v>9.9</v>
      </c>
      <c r="CD302" s="153">
        <v>41527</v>
      </c>
      <c r="CG302" s="136">
        <v>1.26</v>
      </c>
      <c r="CH302" s="153">
        <v>41527</v>
      </c>
      <c r="CK302" s="136">
        <v>10</v>
      </c>
    </row>
    <row r="303" spans="1:89">
      <c r="A303" s="154" t="s">
        <v>7848</v>
      </c>
      <c r="B303" t="s">
        <v>259</v>
      </c>
      <c r="C303" t="s">
        <v>405</v>
      </c>
      <c r="D303">
        <v>51</v>
      </c>
      <c r="E303" s="113">
        <v>2</v>
      </c>
      <c r="F303" s="113">
        <v>14</v>
      </c>
      <c r="K303" s="112">
        <v>5</v>
      </c>
      <c r="L303" s="317">
        <v>41569</v>
      </c>
      <c r="S303" s="318">
        <v>1715.979</v>
      </c>
      <c r="T303" s="153">
        <v>41527</v>
      </c>
      <c r="U303" s="136">
        <v>10.8</v>
      </c>
      <c r="Y303" s="136">
        <v>883.74900000000002</v>
      </c>
      <c r="Z303" s="153">
        <v>41527</v>
      </c>
      <c r="AA303" s="318" t="s">
        <v>7718</v>
      </c>
      <c r="AB303" s="153">
        <v>41527</v>
      </c>
      <c r="AE303">
        <v>39.630000000000003</v>
      </c>
      <c r="AF303" s="153">
        <v>41527</v>
      </c>
      <c r="AG303" s="136" t="s">
        <v>7718</v>
      </c>
      <c r="AH303" s="153">
        <v>41527</v>
      </c>
      <c r="AI303" s="318">
        <v>135</v>
      </c>
      <c r="AJ303" s="153">
        <v>41527</v>
      </c>
      <c r="BS303" s="318">
        <v>43.3</v>
      </c>
      <c r="BT303" s="153">
        <v>41527</v>
      </c>
      <c r="BU303">
        <v>22.3</v>
      </c>
      <c r="BV303" s="153">
        <v>41527</v>
      </c>
      <c r="CC303" s="136">
        <v>8.1999999999999993</v>
      </c>
      <c r="CD303" s="153">
        <v>41527</v>
      </c>
      <c r="CG303" s="136">
        <v>2.39</v>
      </c>
      <c r="CH303" s="153">
        <v>41527</v>
      </c>
      <c r="CK303" s="136">
        <v>30</v>
      </c>
    </row>
    <row r="304" spans="1:89">
      <c r="A304" s="154" t="s">
        <v>7848</v>
      </c>
      <c r="B304" t="s">
        <v>257</v>
      </c>
      <c r="C304" t="s">
        <v>7794</v>
      </c>
      <c r="D304">
        <v>51</v>
      </c>
      <c r="E304" s="113">
        <v>2</v>
      </c>
      <c r="F304" s="113">
        <v>49</v>
      </c>
      <c r="K304" s="112">
        <v>5</v>
      </c>
      <c r="L304" s="317">
        <v>41569</v>
      </c>
      <c r="S304" s="318">
        <v>1515.3720000000001</v>
      </c>
      <c r="T304" s="153">
        <v>41527</v>
      </c>
      <c r="U304" s="136">
        <v>10.8</v>
      </c>
      <c r="Y304" s="136">
        <v>696.25199999999995</v>
      </c>
      <c r="Z304" s="153">
        <v>41527</v>
      </c>
      <c r="AA304" s="318" t="s">
        <v>7718</v>
      </c>
      <c r="AB304" s="153">
        <v>41527</v>
      </c>
      <c r="AE304">
        <v>34.130000000000003</v>
      </c>
      <c r="AF304" s="153">
        <v>41527</v>
      </c>
      <c r="AG304" s="136" t="s">
        <v>7718</v>
      </c>
      <c r="AH304" s="153">
        <v>41527</v>
      </c>
      <c r="AI304" s="318">
        <v>130</v>
      </c>
      <c r="AJ304" s="153">
        <v>41527</v>
      </c>
      <c r="BS304" s="318">
        <v>44.4</v>
      </c>
      <c r="BT304" s="153">
        <v>41527</v>
      </c>
      <c r="BU304">
        <v>20.399999999999999</v>
      </c>
      <c r="BV304" s="153">
        <v>41527</v>
      </c>
      <c r="CC304" s="136">
        <v>11</v>
      </c>
      <c r="CD304" s="153">
        <v>41527</v>
      </c>
      <c r="CG304" s="136">
        <v>7.24</v>
      </c>
      <c r="CH304" s="153">
        <v>41527</v>
      </c>
      <c r="CK304" s="136">
        <v>30</v>
      </c>
    </row>
    <row r="305" spans="1:89">
      <c r="A305" s="154" t="s">
        <v>7848</v>
      </c>
      <c r="B305" t="s">
        <v>259</v>
      </c>
      <c r="C305" t="s">
        <v>7794</v>
      </c>
      <c r="D305">
        <v>51</v>
      </c>
      <c r="E305" s="113">
        <v>4</v>
      </c>
      <c r="F305" s="113">
        <v>38</v>
      </c>
      <c r="K305" s="112">
        <v>5</v>
      </c>
      <c r="L305" s="317">
        <v>41569</v>
      </c>
      <c r="S305" s="318">
        <v>1973.595</v>
      </c>
      <c r="T305" s="153">
        <v>41527</v>
      </c>
      <c r="U305" s="136">
        <v>10.8</v>
      </c>
      <c r="Y305" s="136">
        <v>989.06600000000003</v>
      </c>
      <c r="Z305" s="153">
        <v>41527</v>
      </c>
      <c r="AA305" s="318" t="s">
        <v>7718</v>
      </c>
      <c r="AB305" s="153">
        <v>41527</v>
      </c>
      <c r="AE305">
        <v>45.37</v>
      </c>
      <c r="AF305" s="153">
        <v>41527</v>
      </c>
      <c r="AG305" s="136" t="s">
        <v>7718</v>
      </c>
      <c r="AH305" s="153">
        <v>41527</v>
      </c>
      <c r="AI305" s="318">
        <v>140</v>
      </c>
      <c r="AJ305" s="153">
        <v>41527</v>
      </c>
      <c r="BS305" s="318">
        <v>43.5</v>
      </c>
      <c r="BT305" s="153">
        <v>41527</v>
      </c>
      <c r="BU305">
        <v>21.8</v>
      </c>
      <c r="BV305" s="153">
        <v>41527</v>
      </c>
      <c r="CC305" s="136">
        <v>7.1</v>
      </c>
      <c r="CD305" s="153">
        <v>41527</v>
      </c>
      <c r="CG305" s="136">
        <v>1.35</v>
      </c>
      <c r="CH305" s="153">
        <v>41527</v>
      </c>
      <c r="CK305" s="136">
        <v>30</v>
      </c>
    </row>
    <row r="306" spans="1:89">
      <c r="A306" s="154" t="s">
        <v>7848</v>
      </c>
      <c r="B306" t="s">
        <v>257</v>
      </c>
      <c r="C306" t="s">
        <v>7795</v>
      </c>
      <c r="D306">
        <v>51</v>
      </c>
      <c r="E306" s="113">
        <v>4</v>
      </c>
      <c r="F306" s="113">
        <v>67</v>
      </c>
      <c r="K306" s="112">
        <v>5</v>
      </c>
      <c r="L306" s="317">
        <v>41569</v>
      </c>
      <c r="S306" s="318">
        <v>1709.89</v>
      </c>
      <c r="T306" s="153">
        <v>41527</v>
      </c>
      <c r="U306" s="136">
        <v>10.8</v>
      </c>
      <c r="Y306" s="136">
        <v>740.32600000000002</v>
      </c>
      <c r="Z306" s="153">
        <v>41527</v>
      </c>
      <c r="AA306" s="318" t="s">
        <v>7718</v>
      </c>
      <c r="AB306" s="153">
        <v>41527</v>
      </c>
      <c r="AE306">
        <v>37.58</v>
      </c>
      <c r="AF306" s="153">
        <v>41527</v>
      </c>
      <c r="AG306" s="136" t="s">
        <v>7718</v>
      </c>
      <c r="AH306" s="153">
        <v>41527</v>
      </c>
      <c r="AI306" s="318">
        <v>130</v>
      </c>
      <c r="AJ306" s="153">
        <v>41527</v>
      </c>
      <c r="BS306" s="318">
        <v>45.5</v>
      </c>
      <c r="BT306" s="153">
        <v>41527</v>
      </c>
      <c r="BU306">
        <v>19.7</v>
      </c>
      <c r="BV306" s="153">
        <v>41527</v>
      </c>
      <c r="CC306" s="136">
        <v>6.6</v>
      </c>
      <c r="CD306" s="153">
        <v>41527</v>
      </c>
      <c r="CG306" s="136">
        <v>2.13</v>
      </c>
      <c r="CH306" s="153">
        <v>41527</v>
      </c>
      <c r="CK306" s="136">
        <v>20</v>
      </c>
    </row>
    <row r="307" spans="1:89">
      <c r="A307" s="154" t="s">
        <v>7848</v>
      </c>
      <c r="B307" t="s">
        <v>259</v>
      </c>
      <c r="C307" t="s">
        <v>7795</v>
      </c>
      <c r="D307">
        <v>51</v>
      </c>
      <c r="E307" s="113">
        <v>3</v>
      </c>
      <c r="F307" s="113">
        <v>64</v>
      </c>
      <c r="K307" s="112">
        <v>5</v>
      </c>
      <c r="L307" s="317">
        <v>41569</v>
      </c>
      <c r="S307" s="318">
        <v>1706.048</v>
      </c>
      <c r="T307" s="153">
        <v>41527</v>
      </c>
      <c r="U307" s="136">
        <v>10.8</v>
      </c>
      <c r="Y307" s="136">
        <v>847.16800000000001</v>
      </c>
      <c r="Z307" s="153">
        <v>41527</v>
      </c>
      <c r="AA307" s="318" t="s">
        <v>7718</v>
      </c>
      <c r="AB307" s="153">
        <v>41527</v>
      </c>
      <c r="AE307">
        <v>39.04</v>
      </c>
      <c r="AF307" s="153">
        <v>41527</v>
      </c>
      <c r="AG307" s="136" t="s">
        <v>7718</v>
      </c>
      <c r="AH307" s="153">
        <v>41527</v>
      </c>
      <c r="AI307" s="318">
        <v>135</v>
      </c>
      <c r="AJ307" s="153">
        <v>41527</v>
      </c>
      <c r="BS307" s="318">
        <v>43.7</v>
      </c>
      <c r="BT307" s="153">
        <v>41527</v>
      </c>
      <c r="BU307">
        <v>21.7</v>
      </c>
      <c r="BV307" s="153">
        <v>41527</v>
      </c>
      <c r="CC307" s="136">
        <v>8.4</v>
      </c>
      <c r="CD307" s="153">
        <v>41527</v>
      </c>
      <c r="CG307" s="136">
        <v>3.15</v>
      </c>
      <c r="CH307" s="153">
        <v>41527</v>
      </c>
      <c r="CK307" s="136">
        <v>30</v>
      </c>
    </row>
    <row r="308" spans="1:89">
      <c r="A308" s="154" t="s">
        <v>7849</v>
      </c>
      <c r="B308" t="s">
        <v>257</v>
      </c>
      <c r="C308" t="s">
        <v>405</v>
      </c>
      <c r="D308">
        <v>52</v>
      </c>
      <c r="E308" s="113">
        <v>5</v>
      </c>
      <c r="F308" s="113">
        <v>21</v>
      </c>
      <c r="K308" s="112">
        <v>5</v>
      </c>
      <c r="L308" s="317">
        <v>41569</v>
      </c>
      <c r="S308" s="318">
        <v>1829.395</v>
      </c>
      <c r="T308" s="153">
        <v>41527</v>
      </c>
      <c r="U308" s="136">
        <v>10.8</v>
      </c>
      <c r="Y308" s="136">
        <v>789.31200000000001</v>
      </c>
      <c r="Z308" s="153">
        <v>41527</v>
      </c>
      <c r="AA308" s="318" t="s">
        <v>7718</v>
      </c>
      <c r="AB308" s="153">
        <v>41527</v>
      </c>
      <c r="AE308">
        <v>41.11</v>
      </c>
      <c r="AF308" s="153">
        <v>41527</v>
      </c>
      <c r="AG308" s="136" t="s">
        <v>7718</v>
      </c>
      <c r="AH308" s="153">
        <v>41527</v>
      </c>
      <c r="AI308" s="318">
        <v>130</v>
      </c>
      <c r="AJ308" s="153">
        <v>41527</v>
      </c>
      <c r="BS308" s="318">
        <v>44.5</v>
      </c>
      <c r="BT308" s="153">
        <v>41527</v>
      </c>
      <c r="BU308">
        <v>19.2</v>
      </c>
      <c r="BV308" s="153">
        <v>41527</v>
      </c>
      <c r="CC308" s="136">
        <v>7</v>
      </c>
      <c r="CD308" s="153">
        <v>41527</v>
      </c>
      <c r="CG308" s="136">
        <v>2.33</v>
      </c>
      <c r="CH308" s="153">
        <v>41527</v>
      </c>
      <c r="CK308" s="136">
        <v>20</v>
      </c>
    </row>
    <row r="309" spans="1:89">
      <c r="A309" s="154" t="s">
        <v>7849</v>
      </c>
      <c r="B309" t="s">
        <v>259</v>
      </c>
      <c r="C309" t="s">
        <v>405</v>
      </c>
      <c r="D309">
        <v>52</v>
      </c>
      <c r="E309" s="113">
        <v>3</v>
      </c>
      <c r="F309" s="113">
        <v>17</v>
      </c>
      <c r="K309" s="112">
        <v>5</v>
      </c>
      <c r="L309" s="317">
        <v>41569</v>
      </c>
      <c r="S309" s="318">
        <v>2133.8809999999999</v>
      </c>
      <c r="T309" s="153">
        <v>41527</v>
      </c>
      <c r="U309" s="136">
        <v>10.8</v>
      </c>
      <c r="Y309" s="136">
        <v>1079.318</v>
      </c>
      <c r="Z309" s="153">
        <v>41527</v>
      </c>
      <c r="AA309" s="318" t="s">
        <v>7718</v>
      </c>
      <c r="AB309" s="153">
        <v>41527</v>
      </c>
      <c r="AE309">
        <v>49.51</v>
      </c>
      <c r="AF309" s="153">
        <v>41527</v>
      </c>
      <c r="AG309" s="136" t="s">
        <v>7718</v>
      </c>
      <c r="AH309" s="153">
        <v>41527</v>
      </c>
      <c r="AI309" s="318">
        <v>140</v>
      </c>
      <c r="AJ309" s="153">
        <v>41527</v>
      </c>
      <c r="BS309" s="318">
        <v>43.1</v>
      </c>
      <c r="BT309" s="153">
        <v>41527</v>
      </c>
      <c r="BU309">
        <v>21.8</v>
      </c>
      <c r="BV309" s="153">
        <v>41527</v>
      </c>
      <c r="CC309" s="136">
        <v>7.3</v>
      </c>
      <c r="CD309" s="153">
        <v>41527</v>
      </c>
      <c r="CG309" s="136">
        <v>3.65</v>
      </c>
      <c r="CH309" s="153">
        <v>41527</v>
      </c>
      <c r="CK309" s="136">
        <v>30</v>
      </c>
    </row>
    <row r="310" spans="1:89">
      <c r="A310" s="154" t="s">
        <v>7849</v>
      </c>
      <c r="B310" t="s">
        <v>257</v>
      </c>
      <c r="C310" t="s">
        <v>7794</v>
      </c>
      <c r="D310">
        <v>52</v>
      </c>
      <c r="E310" s="113">
        <v>2</v>
      </c>
      <c r="F310" s="113">
        <v>47</v>
      </c>
      <c r="K310" s="112">
        <v>7</v>
      </c>
      <c r="L310" s="317">
        <v>41569</v>
      </c>
      <c r="S310" s="318">
        <v>2107.1999999999998</v>
      </c>
      <c r="T310" s="153">
        <v>41527</v>
      </c>
      <c r="U310" s="136">
        <v>10.8</v>
      </c>
      <c r="Y310" s="136">
        <v>955.2</v>
      </c>
      <c r="Z310" s="153">
        <v>41527</v>
      </c>
      <c r="AA310" s="318" t="s">
        <v>7718</v>
      </c>
      <c r="AB310" s="153">
        <v>41527</v>
      </c>
      <c r="AE310">
        <v>48</v>
      </c>
      <c r="AF310" s="153">
        <v>41527</v>
      </c>
      <c r="AG310" s="136" t="s">
        <v>7718</v>
      </c>
      <c r="AH310" s="153">
        <v>41527</v>
      </c>
      <c r="AI310" s="318">
        <v>140</v>
      </c>
      <c r="AJ310" s="153">
        <v>41527</v>
      </c>
      <c r="BS310" s="318">
        <v>43.9</v>
      </c>
      <c r="BT310" s="153">
        <v>41527</v>
      </c>
      <c r="BU310">
        <v>19.899999999999999</v>
      </c>
      <c r="BV310" s="153">
        <v>41527</v>
      </c>
      <c r="CC310" s="136">
        <v>8.6</v>
      </c>
      <c r="CD310" s="153">
        <v>41527</v>
      </c>
      <c r="CG310" s="136">
        <v>3.93</v>
      </c>
      <c r="CH310" s="153">
        <v>41527</v>
      </c>
      <c r="CK310" s="136">
        <v>30</v>
      </c>
    </row>
    <row r="311" spans="1:89">
      <c r="A311" s="154" t="s">
        <v>7849</v>
      </c>
      <c r="B311" t="s">
        <v>259</v>
      </c>
      <c r="C311" t="s">
        <v>7794</v>
      </c>
      <c r="D311">
        <v>52</v>
      </c>
      <c r="E311" s="113">
        <v>5</v>
      </c>
      <c r="F311" s="113">
        <v>40</v>
      </c>
      <c r="K311" s="112">
        <v>5</v>
      </c>
      <c r="L311" s="317">
        <v>41569</v>
      </c>
      <c r="S311" s="318">
        <v>2087.502</v>
      </c>
      <c r="T311" s="153">
        <v>41527</v>
      </c>
      <c r="U311" s="136">
        <v>10.8</v>
      </c>
      <c r="Y311" s="136">
        <v>1131.356</v>
      </c>
      <c r="Z311" s="153">
        <v>41527</v>
      </c>
      <c r="AA311" s="318" t="s">
        <v>7718</v>
      </c>
      <c r="AB311" s="153">
        <v>41527</v>
      </c>
      <c r="AE311">
        <v>50.06</v>
      </c>
      <c r="AF311" s="153">
        <v>41527</v>
      </c>
      <c r="AG311" s="136" t="s">
        <v>7718</v>
      </c>
      <c r="AH311" s="153">
        <v>41527</v>
      </c>
      <c r="AI311" s="318">
        <v>135</v>
      </c>
      <c r="AJ311" s="153">
        <v>41527</v>
      </c>
      <c r="BS311" s="318">
        <v>41.7</v>
      </c>
      <c r="BT311" s="153">
        <v>41527</v>
      </c>
      <c r="BU311">
        <v>22.6</v>
      </c>
      <c r="BV311" s="153">
        <v>41527</v>
      </c>
      <c r="CC311" s="136">
        <v>7.1</v>
      </c>
      <c r="CD311" s="153">
        <v>41527</v>
      </c>
      <c r="CG311" s="136">
        <v>2.31</v>
      </c>
      <c r="CH311" s="153">
        <v>41527</v>
      </c>
      <c r="CK311" s="136">
        <v>30</v>
      </c>
    </row>
    <row r="312" spans="1:89">
      <c r="A312" s="154" t="s">
        <v>7849</v>
      </c>
      <c r="B312" t="s">
        <v>257</v>
      </c>
      <c r="C312" t="s">
        <v>7795</v>
      </c>
      <c r="D312">
        <v>52</v>
      </c>
      <c r="E312" s="113">
        <v>6</v>
      </c>
      <c r="F312" s="113">
        <v>76</v>
      </c>
      <c r="K312" s="112">
        <v>5</v>
      </c>
      <c r="L312" s="317">
        <v>41569</v>
      </c>
      <c r="S312" s="318">
        <v>1872.62</v>
      </c>
      <c r="T312" s="153">
        <v>41527</v>
      </c>
      <c r="U312" s="136">
        <v>10.8</v>
      </c>
      <c r="Y312" s="136">
        <v>876.18</v>
      </c>
      <c r="Z312" s="153">
        <v>41527</v>
      </c>
      <c r="AA312" s="318" t="s">
        <v>7718</v>
      </c>
      <c r="AB312" s="153">
        <v>41527</v>
      </c>
      <c r="AE312">
        <v>42.95</v>
      </c>
      <c r="AF312" s="153">
        <v>41527</v>
      </c>
      <c r="AG312" s="136" t="s">
        <v>7718</v>
      </c>
      <c r="AH312" s="153">
        <v>41527</v>
      </c>
      <c r="AI312" s="318">
        <v>125</v>
      </c>
      <c r="AJ312" s="153">
        <v>41527</v>
      </c>
      <c r="BS312" s="318">
        <v>43.6</v>
      </c>
      <c r="BT312" s="153">
        <v>41527</v>
      </c>
      <c r="BU312">
        <v>20.399999999999999</v>
      </c>
      <c r="BV312" s="153">
        <v>41527</v>
      </c>
      <c r="CC312" s="136">
        <v>6.5</v>
      </c>
      <c r="CD312" s="153">
        <v>41527</v>
      </c>
      <c r="CG312" s="136">
        <v>2.95</v>
      </c>
      <c r="CH312" s="153">
        <v>41527</v>
      </c>
      <c r="CK312" s="136">
        <v>10</v>
      </c>
    </row>
    <row r="313" spans="1:89">
      <c r="A313" s="154" t="s">
        <v>7849</v>
      </c>
      <c r="B313" t="s">
        <v>259</v>
      </c>
      <c r="C313" t="s">
        <v>7795</v>
      </c>
      <c r="D313">
        <v>52</v>
      </c>
      <c r="E313" s="113">
        <v>2</v>
      </c>
      <c r="F313" s="113">
        <v>76</v>
      </c>
      <c r="K313" s="112">
        <v>5</v>
      </c>
      <c r="L313" s="317">
        <v>41569</v>
      </c>
      <c r="S313" s="318">
        <v>2009.9860000000001</v>
      </c>
      <c r="T313" s="153">
        <v>41527</v>
      </c>
      <c r="U313" s="136">
        <v>10.8</v>
      </c>
      <c r="Y313" s="136">
        <v>1043.097</v>
      </c>
      <c r="Z313" s="153">
        <v>41527</v>
      </c>
      <c r="AA313" s="318" t="s">
        <v>7718</v>
      </c>
      <c r="AB313" s="153">
        <v>41527</v>
      </c>
      <c r="AE313">
        <v>47.63</v>
      </c>
      <c r="AF313" s="153">
        <v>41527</v>
      </c>
      <c r="AG313" s="136" t="s">
        <v>7718</v>
      </c>
      <c r="AH313" s="153">
        <v>41527</v>
      </c>
      <c r="AI313" s="318">
        <v>135</v>
      </c>
      <c r="AJ313" s="153">
        <v>41527</v>
      </c>
      <c r="BS313" s="318">
        <v>42.2</v>
      </c>
      <c r="BT313" s="153">
        <v>41527</v>
      </c>
      <c r="BU313">
        <v>21.9</v>
      </c>
      <c r="BV313" s="153">
        <v>41527</v>
      </c>
      <c r="CC313" s="136">
        <v>7.5</v>
      </c>
      <c r="CD313" s="153">
        <v>41527</v>
      </c>
      <c r="CG313" s="136">
        <v>3.16</v>
      </c>
      <c r="CH313" s="153">
        <v>41527</v>
      </c>
      <c r="CK313" s="136">
        <v>20</v>
      </c>
    </row>
    <row r="314" spans="1:89">
      <c r="A314" s="154" t="s">
        <v>7850</v>
      </c>
      <c r="B314" t="s">
        <v>257</v>
      </c>
      <c r="C314" t="s">
        <v>405</v>
      </c>
      <c r="D314">
        <v>53</v>
      </c>
      <c r="E314" s="113">
        <v>4</v>
      </c>
      <c r="F314" s="113">
        <v>18</v>
      </c>
      <c r="K314" s="112">
        <v>5</v>
      </c>
      <c r="L314" s="317">
        <v>41569</v>
      </c>
      <c r="S314" s="318">
        <v>1611.461</v>
      </c>
      <c r="T314" s="153">
        <v>41527</v>
      </c>
      <c r="U314" s="136">
        <v>10.8</v>
      </c>
      <c r="Y314" s="136">
        <v>707.03300000000002</v>
      </c>
      <c r="Z314" s="153">
        <v>41527</v>
      </c>
      <c r="AA314" s="318" t="s">
        <v>7718</v>
      </c>
      <c r="AB314" s="153">
        <v>41527</v>
      </c>
      <c r="AE314">
        <v>35.89</v>
      </c>
      <c r="AF314" s="153">
        <v>41527</v>
      </c>
      <c r="AG314" s="136" t="s">
        <v>7718</v>
      </c>
      <c r="AH314" s="153">
        <v>41527</v>
      </c>
      <c r="AI314" s="318">
        <v>120</v>
      </c>
      <c r="AJ314" s="153">
        <v>41527</v>
      </c>
      <c r="BS314" s="318">
        <v>44.9</v>
      </c>
      <c r="BT314" s="153">
        <v>41527</v>
      </c>
      <c r="BU314">
        <v>19.7</v>
      </c>
      <c r="BV314" s="153">
        <v>41527</v>
      </c>
      <c r="CC314" s="136">
        <v>6.8</v>
      </c>
      <c r="CD314" s="153">
        <v>41527</v>
      </c>
      <c r="CG314" s="136">
        <v>2.95</v>
      </c>
      <c r="CH314" s="153">
        <v>41527</v>
      </c>
      <c r="CK314" s="136">
        <v>10</v>
      </c>
    </row>
    <row r="315" spans="1:89">
      <c r="A315" s="154" t="s">
        <v>7850</v>
      </c>
      <c r="B315" t="s">
        <v>259</v>
      </c>
      <c r="C315" t="s">
        <v>405</v>
      </c>
      <c r="D315">
        <v>53</v>
      </c>
      <c r="E315" s="113">
        <v>1</v>
      </c>
      <c r="F315" s="113">
        <v>27</v>
      </c>
      <c r="K315" s="112">
        <v>7</v>
      </c>
      <c r="L315" s="317">
        <v>41569</v>
      </c>
      <c r="S315" s="318">
        <v>2002</v>
      </c>
      <c r="T315" s="153">
        <v>41527</v>
      </c>
      <c r="U315" s="136">
        <v>10.8</v>
      </c>
      <c r="Y315" s="136">
        <v>946.4</v>
      </c>
      <c r="Z315" s="153">
        <v>41527</v>
      </c>
      <c r="AA315" s="318" t="s">
        <v>7718</v>
      </c>
      <c r="AB315" s="153">
        <v>41527</v>
      </c>
      <c r="AE315">
        <v>45.5</v>
      </c>
      <c r="AF315" s="153">
        <v>41527</v>
      </c>
      <c r="AG315" s="136" t="s">
        <v>7718</v>
      </c>
      <c r="AH315" s="153">
        <v>41527</v>
      </c>
      <c r="AI315" s="318">
        <v>130</v>
      </c>
      <c r="AJ315" s="153">
        <v>41527</v>
      </c>
      <c r="BS315" s="318">
        <v>44</v>
      </c>
      <c r="BT315" s="153">
        <v>41527</v>
      </c>
      <c r="BU315">
        <v>20.8</v>
      </c>
      <c r="BV315" s="153">
        <v>41527</v>
      </c>
      <c r="CC315" s="136">
        <v>12</v>
      </c>
      <c r="CD315" s="153">
        <v>41527</v>
      </c>
      <c r="CG315" s="136">
        <v>2.71</v>
      </c>
      <c r="CH315" s="153">
        <v>41527</v>
      </c>
      <c r="CK315" s="136">
        <v>10</v>
      </c>
    </row>
    <row r="316" spans="1:89">
      <c r="A316" s="154" t="s">
        <v>7850</v>
      </c>
      <c r="B316" t="s">
        <v>257</v>
      </c>
      <c r="C316" t="s">
        <v>7794</v>
      </c>
      <c r="D316">
        <v>53</v>
      </c>
      <c r="E316" s="113">
        <v>1</v>
      </c>
      <c r="F316" s="113">
        <v>53</v>
      </c>
      <c r="K316" s="112">
        <v>5</v>
      </c>
      <c r="L316" s="317">
        <v>41569</v>
      </c>
      <c r="S316" s="318">
        <v>1888.7760000000001</v>
      </c>
      <c r="T316" s="153">
        <v>41527</v>
      </c>
      <c r="U316" s="136">
        <v>10.8</v>
      </c>
      <c r="Y316" s="136">
        <v>850.8</v>
      </c>
      <c r="Z316" s="153">
        <v>41527</v>
      </c>
      <c r="AA316" s="318" t="s">
        <v>7718</v>
      </c>
      <c r="AB316" s="153">
        <v>41527</v>
      </c>
      <c r="AE316">
        <v>42.54</v>
      </c>
      <c r="AF316" s="153">
        <v>41527</v>
      </c>
      <c r="AG316" s="136" t="s">
        <v>7718</v>
      </c>
      <c r="AH316" s="153">
        <v>41527</v>
      </c>
      <c r="AI316" s="318">
        <v>125</v>
      </c>
      <c r="AJ316" s="153">
        <v>41527</v>
      </c>
      <c r="BS316" s="318">
        <v>44.4</v>
      </c>
      <c r="BT316" s="153">
        <v>41527</v>
      </c>
      <c r="BU316">
        <v>20</v>
      </c>
      <c r="BV316" s="153">
        <v>41527</v>
      </c>
      <c r="CC316" s="136">
        <v>9.8000000000000007</v>
      </c>
      <c r="CD316" s="153">
        <v>41527</v>
      </c>
      <c r="CG316" s="136">
        <v>5.78</v>
      </c>
      <c r="CH316" s="153">
        <v>41527</v>
      </c>
      <c r="CK316" s="136">
        <v>20</v>
      </c>
    </row>
    <row r="317" spans="1:89">
      <c r="A317" s="154" t="s">
        <v>7850</v>
      </c>
      <c r="B317" t="s">
        <v>259</v>
      </c>
      <c r="C317" t="s">
        <v>7794</v>
      </c>
      <c r="D317">
        <v>53</v>
      </c>
      <c r="E317" s="113">
        <v>5</v>
      </c>
      <c r="F317" s="113">
        <v>39</v>
      </c>
      <c r="K317" s="112">
        <v>5</v>
      </c>
      <c r="L317" s="317">
        <v>41569</v>
      </c>
      <c r="S317" s="318">
        <v>1885.4</v>
      </c>
      <c r="T317" s="153">
        <v>41527</v>
      </c>
      <c r="U317" s="136">
        <v>10.8</v>
      </c>
      <c r="Y317" s="136">
        <v>895.56500000000005</v>
      </c>
      <c r="Z317" s="153">
        <v>41527</v>
      </c>
      <c r="AA317" s="318" t="s">
        <v>7718</v>
      </c>
      <c r="AB317" s="153">
        <v>41527</v>
      </c>
      <c r="AE317">
        <v>42.85</v>
      </c>
      <c r="AF317" s="153">
        <v>41527</v>
      </c>
      <c r="AG317" s="136" t="s">
        <v>7718</v>
      </c>
      <c r="AH317" s="153">
        <v>41527</v>
      </c>
      <c r="AI317" s="318">
        <v>120</v>
      </c>
      <c r="AJ317" s="153">
        <v>41527</v>
      </c>
      <c r="BS317" s="318">
        <v>44</v>
      </c>
      <c r="BT317" s="153">
        <v>41527</v>
      </c>
      <c r="BU317">
        <v>20.9</v>
      </c>
      <c r="BV317" s="153">
        <v>41527</v>
      </c>
      <c r="CC317" s="136">
        <v>7.6</v>
      </c>
      <c r="CD317" s="153">
        <v>41527</v>
      </c>
      <c r="CG317" s="136">
        <v>1.18</v>
      </c>
      <c r="CH317" s="153">
        <v>41527</v>
      </c>
      <c r="CK317" s="136">
        <v>10</v>
      </c>
    </row>
    <row r="318" spans="1:89">
      <c r="A318" s="154" t="s">
        <v>7850</v>
      </c>
      <c r="B318" t="s">
        <v>257</v>
      </c>
      <c r="C318" t="s">
        <v>7795</v>
      </c>
      <c r="D318">
        <v>53</v>
      </c>
      <c r="E318" s="113">
        <v>5</v>
      </c>
      <c r="F318" s="113">
        <v>71</v>
      </c>
      <c r="K318" s="112">
        <v>5</v>
      </c>
      <c r="L318" s="317">
        <v>41569</v>
      </c>
      <c r="S318" s="318">
        <v>1811.15</v>
      </c>
      <c r="T318" s="153">
        <v>41527</v>
      </c>
      <c r="U318" s="136">
        <v>10.8</v>
      </c>
      <c r="Y318" s="136">
        <v>814</v>
      </c>
      <c r="Z318" s="153">
        <v>41527</v>
      </c>
      <c r="AA318" s="318" t="s">
        <v>7718</v>
      </c>
      <c r="AB318" s="153">
        <v>41527</v>
      </c>
      <c r="AE318">
        <v>40.700000000000003</v>
      </c>
      <c r="AF318" s="153">
        <v>41527</v>
      </c>
      <c r="AG318" s="136" t="s">
        <v>7718</v>
      </c>
      <c r="AH318" s="153">
        <v>41527</v>
      </c>
      <c r="AI318" s="318">
        <v>115</v>
      </c>
      <c r="AJ318" s="153">
        <v>41527</v>
      </c>
      <c r="BS318" s="318">
        <v>44.5</v>
      </c>
      <c r="BT318" s="153">
        <v>41527</v>
      </c>
      <c r="BU318">
        <v>20</v>
      </c>
      <c r="BV318" s="153">
        <v>41527</v>
      </c>
      <c r="CC318" s="136">
        <v>5.8</v>
      </c>
      <c r="CD318" s="153">
        <v>41527</v>
      </c>
      <c r="CG318" s="136">
        <v>2.5299999999999998</v>
      </c>
      <c r="CH318" s="153">
        <v>41527</v>
      </c>
      <c r="CK318" s="136">
        <v>10</v>
      </c>
    </row>
    <row r="319" spans="1:89">
      <c r="A319" s="154" t="s">
        <v>7850</v>
      </c>
      <c r="B319" t="s">
        <v>259</v>
      </c>
      <c r="C319" t="s">
        <v>7795</v>
      </c>
      <c r="D319">
        <v>53</v>
      </c>
      <c r="E319" s="113">
        <v>2</v>
      </c>
      <c r="F319" s="113">
        <v>75</v>
      </c>
      <c r="K319" s="112">
        <v>5</v>
      </c>
      <c r="L319" s="317">
        <v>41569</v>
      </c>
      <c r="S319" s="318">
        <v>1914.444</v>
      </c>
      <c r="T319" s="153">
        <v>41527</v>
      </c>
      <c r="U319" s="136">
        <v>10.8</v>
      </c>
      <c r="Y319" s="136">
        <v>979.58699999999999</v>
      </c>
      <c r="Z319" s="153">
        <v>41527</v>
      </c>
      <c r="AA319" s="318" t="s">
        <v>7718</v>
      </c>
      <c r="AB319" s="153">
        <v>41527</v>
      </c>
      <c r="AE319">
        <v>44.73</v>
      </c>
      <c r="AF319" s="153">
        <v>41527</v>
      </c>
      <c r="AG319" s="136" t="s">
        <v>7718</v>
      </c>
      <c r="AH319" s="153">
        <v>41527</v>
      </c>
      <c r="AI319" s="318">
        <v>120</v>
      </c>
      <c r="AJ319" s="153">
        <v>41527</v>
      </c>
      <c r="BS319" s="318">
        <v>42.8</v>
      </c>
      <c r="BT319" s="153">
        <v>41527</v>
      </c>
      <c r="BU319">
        <v>21.9</v>
      </c>
      <c r="BV319" s="153">
        <v>41527</v>
      </c>
      <c r="CC319" s="136">
        <v>8.3000000000000007</v>
      </c>
      <c r="CD319" s="153">
        <v>41527</v>
      </c>
      <c r="CG319" s="136">
        <v>3.98</v>
      </c>
      <c r="CH319" s="153">
        <v>41527</v>
      </c>
      <c r="CK319" s="136">
        <v>20</v>
      </c>
    </row>
    <row r="320" spans="1:89">
      <c r="A320" s="154" t="s">
        <v>7851</v>
      </c>
      <c r="B320" t="s">
        <v>257</v>
      </c>
      <c r="C320" t="s">
        <v>405</v>
      </c>
      <c r="D320">
        <v>54</v>
      </c>
      <c r="E320" s="113">
        <v>4</v>
      </c>
      <c r="F320" s="113">
        <v>10</v>
      </c>
      <c r="K320" s="112">
        <v>5</v>
      </c>
      <c r="L320" s="317">
        <v>41569</v>
      </c>
      <c r="S320" s="318">
        <v>1904.412</v>
      </c>
      <c r="T320" s="153">
        <v>41527</v>
      </c>
      <c r="U320" s="136">
        <v>10.8</v>
      </c>
      <c r="Y320" s="136">
        <v>781.94399999999996</v>
      </c>
      <c r="Z320" s="153">
        <v>41527</v>
      </c>
      <c r="AA320" s="318" t="s">
        <v>7718</v>
      </c>
      <c r="AB320" s="153">
        <v>41527</v>
      </c>
      <c r="AE320">
        <v>42.04</v>
      </c>
      <c r="AF320" s="153">
        <v>41527</v>
      </c>
      <c r="AG320" s="136" t="s">
        <v>7718</v>
      </c>
      <c r="AH320" s="153">
        <v>41527</v>
      </c>
      <c r="AI320" s="318">
        <v>150</v>
      </c>
      <c r="AJ320" s="153">
        <v>41527</v>
      </c>
      <c r="BS320" s="318">
        <v>45.3</v>
      </c>
      <c r="BT320" s="153">
        <v>41527</v>
      </c>
      <c r="BU320">
        <v>18.600000000000001</v>
      </c>
      <c r="BV320" s="153">
        <v>41527</v>
      </c>
      <c r="CC320" s="136">
        <v>7.4</v>
      </c>
      <c r="CD320" s="153">
        <v>41527</v>
      </c>
      <c r="CG320" s="136">
        <v>0.82</v>
      </c>
      <c r="CH320" s="153">
        <v>41527</v>
      </c>
      <c r="CK320" s="136">
        <v>30</v>
      </c>
    </row>
    <row r="321" spans="1:89">
      <c r="A321" s="154" t="s">
        <v>7851</v>
      </c>
      <c r="B321" t="s">
        <v>259</v>
      </c>
      <c r="C321" t="s">
        <v>405</v>
      </c>
      <c r="D321">
        <v>54</v>
      </c>
      <c r="E321" s="113">
        <v>1</v>
      </c>
      <c r="F321" s="113">
        <v>8</v>
      </c>
      <c r="K321" s="112">
        <v>7</v>
      </c>
      <c r="L321" s="317">
        <v>41569</v>
      </c>
      <c r="S321" s="318">
        <v>2198.4479999999999</v>
      </c>
      <c r="T321" s="153">
        <v>41527</v>
      </c>
      <c r="U321" s="136">
        <v>10.8</v>
      </c>
      <c r="Y321" s="136">
        <v>1078.8679999999999</v>
      </c>
      <c r="Z321" s="153">
        <v>41527</v>
      </c>
      <c r="AA321" s="318" t="s">
        <v>7718</v>
      </c>
      <c r="AB321" s="153">
        <v>41527</v>
      </c>
      <c r="AE321">
        <v>50.89</v>
      </c>
      <c r="AF321" s="153">
        <v>41527</v>
      </c>
      <c r="AG321" s="136" t="s">
        <v>7718</v>
      </c>
      <c r="AH321" s="153">
        <v>41527</v>
      </c>
      <c r="AI321" s="318">
        <v>155</v>
      </c>
      <c r="AJ321" s="153">
        <v>41527</v>
      </c>
      <c r="BS321" s="318">
        <v>43.2</v>
      </c>
      <c r="BT321" s="153">
        <v>41527</v>
      </c>
      <c r="BU321">
        <v>21.2</v>
      </c>
      <c r="BV321" s="153">
        <v>41527</v>
      </c>
      <c r="CC321" s="136">
        <v>8</v>
      </c>
      <c r="CD321" s="153">
        <v>41527</v>
      </c>
      <c r="CG321" s="136">
        <v>1.08</v>
      </c>
      <c r="CH321" s="153">
        <v>41527</v>
      </c>
      <c r="CK321" s="136">
        <v>20</v>
      </c>
    </row>
    <row r="322" spans="1:89">
      <c r="A322" s="154" t="s">
        <v>7851</v>
      </c>
      <c r="B322" t="s">
        <v>257</v>
      </c>
      <c r="C322" t="s">
        <v>7794</v>
      </c>
      <c r="D322">
        <v>54</v>
      </c>
      <c r="E322" s="113">
        <v>1</v>
      </c>
      <c r="F322" s="113">
        <v>34</v>
      </c>
      <c r="K322" s="112">
        <v>7</v>
      </c>
      <c r="L322" s="317">
        <v>41569</v>
      </c>
      <c r="S322" s="318">
        <v>1577.8520000000001</v>
      </c>
      <c r="T322" s="153">
        <v>41527</v>
      </c>
      <c r="U322" s="136">
        <v>10.8</v>
      </c>
      <c r="Y322" s="136">
        <v>743.37599999999998</v>
      </c>
      <c r="Z322" s="153">
        <v>41527</v>
      </c>
      <c r="AA322" s="318" t="s">
        <v>7718</v>
      </c>
      <c r="AB322" s="153">
        <v>41527</v>
      </c>
      <c r="AE322">
        <v>36.44</v>
      </c>
      <c r="AF322" s="153">
        <v>41527</v>
      </c>
      <c r="AG322" s="136" t="s">
        <v>7718</v>
      </c>
      <c r="AH322" s="153">
        <v>41527</v>
      </c>
      <c r="AI322" s="318">
        <v>155</v>
      </c>
      <c r="AJ322" s="153">
        <v>41527</v>
      </c>
      <c r="BS322" s="318">
        <v>43.3</v>
      </c>
      <c r="BT322" s="153">
        <v>41527</v>
      </c>
      <c r="BU322">
        <v>20.399999999999999</v>
      </c>
      <c r="BV322" s="153">
        <v>41527</v>
      </c>
      <c r="CC322" s="136">
        <v>9</v>
      </c>
      <c r="CD322" s="153">
        <v>41527</v>
      </c>
      <c r="CG322" s="136">
        <v>5.92</v>
      </c>
      <c r="CH322" s="153">
        <v>41527</v>
      </c>
      <c r="CK322" s="136">
        <v>20</v>
      </c>
    </row>
    <row r="323" spans="1:89">
      <c r="A323" s="154" t="s">
        <v>7851</v>
      </c>
      <c r="B323" t="s">
        <v>259</v>
      </c>
      <c r="C323" t="s">
        <v>7794</v>
      </c>
      <c r="D323">
        <v>54</v>
      </c>
      <c r="E323" s="113">
        <v>5</v>
      </c>
      <c r="F323" s="113">
        <v>36</v>
      </c>
      <c r="K323" s="112">
        <v>5</v>
      </c>
      <c r="L323" s="317">
        <v>41569</v>
      </c>
      <c r="S323" s="318">
        <v>1709.905</v>
      </c>
      <c r="T323" s="153">
        <v>41527</v>
      </c>
      <c r="U323" s="136">
        <v>10.8</v>
      </c>
      <c r="Y323" s="136">
        <v>767.31500000000005</v>
      </c>
      <c r="Z323" s="153">
        <v>41527</v>
      </c>
      <c r="AA323" s="318" t="s">
        <v>7718</v>
      </c>
      <c r="AB323" s="153">
        <v>41527</v>
      </c>
      <c r="AE323">
        <v>38.950000000000003</v>
      </c>
      <c r="AF323" s="153">
        <v>41527</v>
      </c>
      <c r="AG323" s="136" t="s">
        <v>7718</v>
      </c>
      <c r="AH323" s="153">
        <v>41527</v>
      </c>
      <c r="AI323" s="318">
        <v>145</v>
      </c>
      <c r="AJ323" s="153">
        <v>41527</v>
      </c>
      <c r="BS323" s="318">
        <v>43.9</v>
      </c>
      <c r="BT323" s="153">
        <v>41527</v>
      </c>
      <c r="BU323">
        <v>19.7</v>
      </c>
      <c r="BV323" s="153">
        <v>41527</v>
      </c>
      <c r="CC323" s="136">
        <v>7.5</v>
      </c>
      <c r="CD323" s="153">
        <v>41527</v>
      </c>
      <c r="CG323" s="136">
        <v>1.39</v>
      </c>
      <c r="CH323" s="153">
        <v>41527</v>
      </c>
      <c r="CK323" s="136">
        <v>20</v>
      </c>
    </row>
    <row r="324" spans="1:89">
      <c r="A324" s="154" t="s">
        <v>7851</v>
      </c>
      <c r="B324" t="s">
        <v>257</v>
      </c>
      <c r="C324" t="s">
        <v>7795</v>
      </c>
      <c r="D324">
        <v>54</v>
      </c>
      <c r="E324" s="113">
        <v>5</v>
      </c>
      <c r="F324" s="113">
        <v>75</v>
      </c>
      <c r="K324" s="112">
        <v>5</v>
      </c>
      <c r="L324" s="317">
        <v>41569</v>
      </c>
      <c r="S324" s="318">
        <v>1701.2349999999999</v>
      </c>
      <c r="T324" s="153">
        <v>41527</v>
      </c>
      <c r="U324" s="136">
        <v>10.8</v>
      </c>
      <c r="Y324" s="136">
        <v>734.01599999999996</v>
      </c>
      <c r="Z324" s="153">
        <v>41527</v>
      </c>
      <c r="AA324" s="318" t="s">
        <v>7718</v>
      </c>
      <c r="AB324" s="153">
        <v>41527</v>
      </c>
      <c r="AE324">
        <v>38.229999999999997</v>
      </c>
      <c r="AF324" s="153">
        <v>41527</v>
      </c>
      <c r="AG324" s="136" t="s">
        <v>7718</v>
      </c>
      <c r="AH324" s="153">
        <v>41527</v>
      </c>
      <c r="AI324" s="318">
        <v>145</v>
      </c>
      <c r="AJ324" s="153">
        <v>41527</v>
      </c>
      <c r="BS324" s="318">
        <v>44.5</v>
      </c>
      <c r="BT324" s="153">
        <v>41527</v>
      </c>
      <c r="BU324">
        <v>19.2</v>
      </c>
      <c r="BV324" s="153">
        <v>41527</v>
      </c>
      <c r="CC324" s="136">
        <v>6.1</v>
      </c>
      <c r="CD324" s="153">
        <v>41527</v>
      </c>
      <c r="CG324" s="136">
        <v>1.55</v>
      </c>
      <c r="CH324" s="153">
        <v>41527</v>
      </c>
      <c r="CK324" s="136">
        <v>20</v>
      </c>
    </row>
    <row r="325" spans="1:89">
      <c r="A325" s="154" t="s">
        <v>7851</v>
      </c>
      <c r="B325" t="s">
        <v>259</v>
      </c>
      <c r="C325" t="s">
        <v>7795</v>
      </c>
      <c r="D325">
        <v>54</v>
      </c>
      <c r="E325" s="113">
        <v>2</v>
      </c>
      <c r="F325" s="113">
        <v>70</v>
      </c>
      <c r="K325" s="112">
        <v>5</v>
      </c>
      <c r="L325" s="317">
        <v>41569</v>
      </c>
      <c r="S325" s="318">
        <v>2099.34</v>
      </c>
      <c r="T325" s="153">
        <v>41527</v>
      </c>
      <c r="U325" s="136">
        <v>10.8</v>
      </c>
      <c r="Y325" s="136">
        <v>967.81500000000005</v>
      </c>
      <c r="Z325" s="153">
        <v>41527</v>
      </c>
      <c r="AA325" s="318" t="s">
        <v>7718</v>
      </c>
      <c r="AB325" s="153">
        <v>41527</v>
      </c>
      <c r="AE325">
        <v>48.15</v>
      </c>
      <c r="AF325" s="153">
        <v>41527</v>
      </c>
      <c r="AG325" s="136" t="s">
        <v>7718</v>
      </c>
      <c r="AH325" s="153">
        <v>41527</v>
      </c>
      <c r="AI325" s="318">
        <v>155</v>
      </c>
      <c r="AJ325" s="153">
        <v>41527</v>
      </c>
      <c r="BS325" s="318">
        <v>43.6</v>
      </c>
      <c r="BT325" s="153">
        <v>41527</v>
      </c>
      <c r="BU325">
        <v>20.100000000000001</v>
      </c>
      <c r="BV325" s="153">
        <v>41527</v>
      </c>
      <c r="CC325" s="136">
        <v>8.1</v>
      </c>
      <c r="CD325" s="153">
        <v>41527</v>
      </c>
      <c r="CG325" s="136">
        <v>2.4700000000000002</v>
      </c>
      <c r="CH325" s="153">
        <v>41527</v>
      </c>
      <c r="CK325" s="136">
        <v>20</v>
      </c>
    </row>
    <row r="326" spans="1:89">
      <c r="A326" s="154" t="s">
        <v>7852</v>
      </c>
      <c r="B326" t="s">
        <v>257</v>
      </c>
      <c r="C326" t="s">
        <v>405</v>
      </c>
      <c r="D326">
        <v>55</v>
      </c>
      <c r="E326" s="113">
        <v>4</v>
      </c>
      <c r="F326" s="113">
        <v>7</v>
      </c>
      <c r="K326" s="112">
        <v>5</v>
      </c>
      <c r="L326" s="317">
        <v>41569</v>
      </c>
      <c r="S326" s="318">
        <v>1874.566</v>
      </c>
      <c r="T326" s="153">
        <v>41527</v>
      </c>
      <c r="U326" s="136">
        <v>10.8</v>
      </c>
      <c r="Y326" s="136">
        <v>792.76800000000003</v>
      </c>
      <c r="Z326" s="153">
        <v>41527</v>
      </c>
      <c r="AA326" s="318" t="s">
        <v>7718</v>
      </c>
      <c r="AB326" s="153">
        <v>41527</v>
      </c>
      <c r="AE326">
        <v>41.29</v>
      </c>
      <c r="AF326" s="153">
        <v>41527</v>
      </c>
      <c r="AG326" s="136" t="s">
        <v>7718</v>
      </c>
      <c r="AH326" s="153">
        <v>41527</v>
      </c>
      <c r="AI326" s="318">
        <v>115</v>
      </c>
      <c r="AJ326" s="153">
        <v>41527</v>
      </c>
      <c r="BS326" s="318">
        <v>45.4</v>
      </c>
      <c r="BT326" s="153">
        <v>41527</v>
      </c>
      <c r="BU326">
        <v>19.2</v>
      </c>
      <c r="BV326" s="153">
        <v>41527</v>
      </c>
      <c r="CC326" s="136">
        <v>7.7</v>
      </c>
      <c r="CD326" s="153">
        <v>41527</v>
      </c>
      <c r="CG326" s="136">
        <v>1.59</v>
      </c>
      <c r="CH326" s="153">
        <v>41527</v>
      </c>
      <c r="CK326" s="136">
        <v>20</v>
      </c>
    </row>
    <row r="327" spans="1:89">
      <c r="A327" s="154" t="s">
        <v>7852</v>
      </c>
      <c r="B327" t="s">
        <v>259</v>
      </c>
      <c r="C327" t="s">
        <v>405</v>
      </c>
      <c r="D327">
        <v>55</v>
      </c>
      <c r="E327" s="113">
        <v>3</v>
      </c>
      <c r="F327" s="113">
        <v>22</v>
      </c>
      <c r="K327" s="112">
        <v>5</v>
      </c>
      <c r="L327" s="317">
        <v>41569</v>
      </c>
      <c r="S327" s="318">
        <v>2267.694</v>
      </c>
      <c r="T327" s="153">
        <v>41527</v>
      </c>
      <c r="U327" s="136">
        <v>10.8</v>
      </c>
      <c r="Y327" s="136">
        <v>1157.634</v>
      </c>
      <c r="Z327" s="153">
        <v>41527</v>
      </c>
      <c r="AA327" s="318" t="s">
        <v>7718</v>
      </c>
      <c r="AB327" s="153">
        <v>41527</v>
      </c>
      <c r="AE327">
        <v>52.86</v>
      </c>
      <c r="AF327" s="153">
        <v>41527</v>
      </c>
      <c r="AG327" s="136" t="s">
        <v>7718</v>
      </c>
      <c r="AH327" s="153">
        <v>41527</v>
      </c>
      <c r="AI327" s="318">
        <v>130</v>
      </c>
      <c r="AJ327" s="153">
        <v>41527</v>
      </c>
      <c r="BS327" s="318">
        <v>42.9</v>
      </c>
      <c r="BT327" s="153">
        <v>41527</v>
      </c>
      <c r="BU327">
        <v>21.9</v>
      </c>
      <c r="BV327" s="153">
        <v>41527</v>
      </c>
      <c r="CC327" s="136">
        <v>8.8000000000000007</v>
      </c>
      <c r="CD327" s="153">
        <v>41527</v>
      </c>
      <c r="CG327" s="136">
        <v>2.73</v>
      </c>
      <c r="CH327" s="153">
        <v>41527</v>
      </c>
      <c r="CK327" s="136">
        <v>20</v>
      </c>
    </row>
    <row r="328" spans="1:89">
      <c r="A328" s="154" t="s">
        <v>7852</v>
      </c>
      <c r="B328" t="s">
        <v>257</v>
      </c>
      <c r="C328" t="s">
        <v>7794</v>
      </c>
      <c r="D328">
        <v>55</v>
      </c>
      <c r="E328" s="113">
        <v>2</v>
      </c>
      <c r="F328" s="113">
        <v>50</v>
      </c>
      <c r="K328" s="112">
        <v>5</v>
      </c>
      <c r="L328" s="317">
        <v>41569</v>
      </c>
      <c r="S328" s="318">
        <v>2209.241</v>
      </c>
      <c r="T328" s="153">
        <v>41527</v>
      </c>
      <c r="U328" s="136">
        <v>10.8</v>
      </c>
      <c r="Y328" s="136">
        <v>1027.3219999999999</v>
      </c>
      <c r="Z328" s="153">
        <v>41527</v>
      </c>
      <c r="AA328" s="318" t="s">
        <v>7718</v>
      </c>
      <c r="AB328" s="153">
        <v>41527</v>
      </c>
      <c r="AE328">
        <v>49.87</v>
      </c>
      <c r="AF328" s="153">
        <v>41527</v>
      </c>
      <c r="AG328" s="136" t="s">
        <v>7718</v>
      </c>
      <c r="AH328" s="153">
        <v>41527</v>
      </c>
      <c r="AI328" s="318">
        <v>125</v>
      </c>
      <c r="AJ328" s="153">
        <v>41527</v>
      </c>
      <c r="BS328" s="318">
        <v>44.3</v>
      </c>
      <c r="BT328" s="153">
        <v>41527</v>
      </c>
      <c r="BU328">
        <v>20.6</v>
      </c>
      <c r="BV328" s="153">
        <v>41527</v>
      </c>
      <c r="CC328" s="136">
        <v>7.5</v>
      </c>
      <c r="CD328" s="153">
        <v>41527</v>
      </c>
      <c r="CG328" s="136">
        <v>1.25</v>
      </c>
      <c r="CH328" s="153">
        <v>41527</v>
      </c>
      <c r="CK328" s="136">
        <v>30</v>
      </c>
    </row>
    <row r="329" spans="1:89">
      <c r="A329" s="154" t="s">
        <v>7852</v>
      </c>
      <c r="B329" t="s">
        <v>259</v>
      </c>
      <c r="C329" t="s">
        <v>7794</v>
      </c>
      <c r="D329">
        <v>55</v>
      </c>
      <c r="E329" s="113">
        <v>5</v>
      </c>
      <c r="F329" s="113">
        <v>48</v>
      </c>
      <c r="K329" s="112">
        <v>3</v>
      </c>
      <c r="L329" s="317">
        <v>41569</v>
      </c>
      <c r="S329" s="318">
        <v>1921.491</v>
      </c>
      <c r="T329" s="153">
        <v>41527</v>
      </c>
      <c r="U329" s="136">
        <v>10.8</v>
      </c>
      <c r="Y329" s="136">
        <v>949.548</v>
      </c>
      <c r="Z329" s="153">
        <v>41527</v>
      </c>
      <c r="AA329" s="318" t="s">
        <v>7718</v>
      </c>
      <c r="AB329" s="153">
        <v>41527</v>
      </c>
      <c r="AE329">
        <v>44.79</v>
      </c>
      <c r="AF329" s="153">
        <v>41527</v>
      </c>
      <c r="AG329" s="136" t="s">
        <v>7718</v>
      </c>
      <c r="AH329" s="153">
        <v>41527</v>
      </c>
      <c r="AI329" s="318">
        <v>120</v>
      </c>
      <c r="AJ329" s="153">
        <v>41527</v>
      </c>
      <c r="BS329" s="318">
        <v>42.9</v>
      </c>
      <c r="BT329" s="153">
        <v>41527</v>
      </c>
      <c r="BU329">
        <v>21.2</v>
      </c>
      <c r="BV329" s="153">
        <v>41527</v>
      </c>
      <c r="CC329" s="136">
        <v>7.3</v>
      </c>
      <c r="CD329" s="153">
        <v>41527</v>
      </c>
      <c r="CG329" s="136">
        <v>3.65</v>
      </c>
      <c r="CH329" s="153">
        <v>41527</v>
      </c>
      <c r="CK329" s="136">
        <v>20</v>
      </c>
    </row>
    <row r="330" spans="1:89">
      <c r="A330" s="154" t="s">
        <v>7852</v>
      </c>
      <c r="B330" t="s">
        <v>257</v>
      </c>
      <c r="C330" t="s">
        <v>7795</v>
      </c>
      <c r="D330">
        <v>55</v>
      </c>
      <c r="E330" s="113">
        <v>5</v>
      </c>
      <c r="F330" s="113">
        <v>86</v>
      </c>
      <c r="K330" s="112">
        <v>5</v>
      </c>
      <c r="L330" s="317">
        <v>41569</v>
      </c>
      <c r="S330" s="318">
        <v>1797.0509999999999</v>
      </c>
      <c r="T330" s="153">
        <v>41527</v>
      </c>
      <c r="U330" s="136">
        <v>10.8</v>
      </c>
      <c r="Y330" s="136">
        <v>733.89499999999998</v>
      </c>
      <c r="Z330" s="153">
        <v>41527</v>
      </c>
      <c r="AA330" s="318" t="s">
        <v>7718</v>
      </c>
      <c r="AB330" s="153">
        <v>41527</v>
      </c>
      <c r="AE330">
        <v>39.67</v>
      </c>
      <c r="AF330" s="153">
        <v>41527</v>
      </c>
      <c r="AG330" s="136" t="s">
        <v>7718</v>
      </c>
      <c r="AH330" s="153">
        <v>41527</v>
      </c>
      <c r="AI330" s="318">
        <v>115</v>
      </c>
      <c r="AJ330" s="153">
        <v>41527</v>
      </c>
      <c r="BS330" s="318">
        <v>45.3</v>
      </c>
      <c r="BT330" s="153">
        <v>41527</v>
      </c>
      <c r="BU330">
        <v>18.5</v>
      </c>
      <c r="BV330" s="153">
        <v>41527</v>
      </c>
      <c r="CC330" s="136">
        <v>8.1999999999999993</v>
      </c>
      <c r="CD330" s="153">
        <v>41527</v>
      </c>
      <c r="CG330" s="136">
        <v>2.29</v>
      </c>
      <c r="CH330" s="153">
        <v>41527</v>
      </c>
      <c r="CK330" s="136">
        <v>10</v>
      </c>
    </row>
    <row r="331" spans="1:89">
      <c r="A331" s="154" t="s">
        <v>7852</v>
      </c>
      <c r="B331" t="s">
        <v>259</v>
      </c>
      <c r="C331" t="s">
        <v>7795</v>
      </c>
      <c r="D331">
        <v>55</v>
      </c>
      <c r="E331" s="113">
        <v>1</v>
      </c>
      <c r="F331" s="113">
        <v>70</v>
      </c>
      <c r="K331" s="112">
        <v>5</v>
      </c>
      <c r="L331" s="317">
        <v>41569</v>
      </c>
      <c r="S331" s="318">
        <v>1885.3</v>
      </c>
      <c r="T331" s="153">
        <v>41527</v>
      </c>
      <c r="U331" s="136">
        <v>10.8</v>
      </c>
      <c r="Y331" s="136">
        <v>940.43200000000002</v>
      </c>
      <c r="Z331" s="153">
        <v>41527</v>
      </c>
      <c r="AA331" s="318" t="s">
        <v>7718</v>
      </c>
      <c r="AB331" s="153">
        <v>41527</v>
      </c>
      <c r="AE331">
        <v>44.36</v>
      </c>
      <c r="AF331" s="153">
        <v>41527</v>
      </c>
      <c r="AG331" s="136" t="s">
        <v>7718</v>
      </c>
      <c r="AH331" s="153">
        <v>41527</v>
      </c>
      <c r="AI331" s="318">
        <v>115</v>
      </c>
      <c r="AJ331" s="153">
        <v>41527</v>
      </c>
      <c r="BS331" s="318">
        <v>42.5</v>
      </c>
      <c r="BT331" s="153">
        <v>41527</v>
      </c>
      <c r="BU331">
        <v>21.2</v>
      </c>
      <c r="BV331" s="153">
        <v>41527</v>
      </c>
      <c r="CC331" s="136">
        <v>8.8000000000000007</v>
      </c>
      <c r="CD331" s="153">
        <v>41527</v>
      </c>
      <c r="CG331" s="136">
        <v>7.81</v>
      </c>
      <c r="CH331" s="153">
        <v>41527</v>
      </c>
      <c r="CK331" s="136">
        <v>20</v>
      </c>
    </row>
    <row r="332" spans="1:89">
      <c r="A332" s="154" t="s">
        <v>7853</v>
      </c>
      <c r="B332" t="s">
        <v>257</v>
      </c>
      <c r="C332" t="s">
        <v>405</v>
      </c>
      <c r="D332">
        <v>56</v>
      </c>
      <c r="E332" s="113">
        <v>5</v>
      </c>
      <c r="F332" s="113">
        <v>25</v>
      </c>
      <c r="K332" s="112">
        <v>5</v>
      </c>
      <c r="L332" s="317">
        <v>41569</v>
      </c>
      <c r="S332" s="318">
        <v>1870.44</v>
      </c>
      <c r="T332" s="153">
        <v>41527</v>
      </c>
      <c r="U332" s="136">
        <v>10.8</v>
      </c>
      <c r="Y332" s="136">
        <v>840.84</v>
      </c>
      <c r="Z332" s="153">
        <v>41527</v>
      </c>
      <c r="AA332" s="318" t="s">
        <v>7718</v>
      </c>
      <c r="AB332" s="153">
        <v>41527</v>
      </c>
      <c r="AE332">
        <v>42.9</v>
      </c>
      <c r="AF332" s="153">
        <v>41527</v>
      </c>
      <c r="AG332" s="136" t="s">
        <v>7718</v>
      </c>
      <c r="AH332" s="153">
        <v>41527</v>
      </c>
      <c r="AI332" s="318">
        <v>130</v>
      </c>
      <c r="AJ332" s="153">
        <v>41527</v>
      </c>
      <c r="BS332" s="318">
        <v>43.6</v>
      </c>
      <c r="BT332" s="153">
        <v>41527</v>
      </c>
      <c r="BU332">
        <v>19.600000000000001</v>
      </c>
      <c r="BV332" s="153">
        <v>41527</v>
      </c>
      <c r="CC332" s="136">
        <v>9.4</v>
      </c>
      <c r="CD332" s="153">
        <v>41527</v>
      </c>
      <c r="CG332" s="136">
        <v>4.24</v>
      </c>
      <c r="CH332" s="153">
        <v>41527</v>
      </c>
      <c r="CK332" s="136">
        <v>10</v>
      </c>
    </row>
    <row r="333" spans="1:89">
      <c r="A333" s="154" t="s">
        <v>7853</v>
      </c>
      <c r="B333" t="s">
        <v>259</v>
      </c>
      <c r="C333" t="s">
        <v>405</v>
      </c>
      <c r="D333">
        <v>56</v>
      </c>
      <c r="E333" s="113">
        <v>3</v>
      </c>
      <c r="F333" s="113">
        <v>19</v>
      </c>
      <c r="K333" s="112">
        <v>5</v>
      </c>
      <c r="L333" s="317">
        <v>41569</v>
      </c>
      <c r="S333" s="318">
        <v>2081.4360000000001</v>
      </c>
      <c r="T333" s="153">
        <v>41527</v>
      </c>
      <c r="U333" s="136">
        <v>10.8</v>
      </c>
      <c r="Y333" s="136">
        <v>1026.06</v>
      </c>
      <c r="Z333" s="153">
        <v>41527</v>
      </c>
      <c r="AA333" s="318" t="s">
        <v>7718</v>
      </c>
      <c r="AB333" s="153">
        <v>41527</v>
      </c>
      <c r="AE333">
        <v>48.86</v>
      </c>
      <c r="AF333" s="153">
        <v>41527</v>
      </c>
      <c r="AG333" s="136" t="s">
        <v>7718</v>
      </c>
      <c r="AH333" s="153">
        <v>41527</v>
      </c>
      <c r="AI333" s="318">
        <v>140</v>
      </c>
      <c r="AJ333" s="153">
        <v>41527</v>
      </c>
      <c r="BS333" s="318">
        <v>42.6</v>
      </c>
      <c r="BT333" s="153">
        <v>41527</v>
      </c>
      <c r="BU333">
        <v>21</v>
      </c>
      <c r="BV333" s="153">
        <v>41527</v>
      </c>
      <c r="CC333" s="136">
        <v>7.8</v>
      </c>
      <c r="CD333" s="153">
        <v>41527</v>
      </c>
      <c r="CG333" s="136">
        <v>2.65</v>
      </c>
      <c r="CH333" s="153">
        <v>41527</v>
      </c>
      <c r="CK333" s="136">
        <v>10</v>
      </c>
    </row>
    <row r="334" spans="1:89">
      <c r="A334" s="154" t="s">
        <v>7853</v>
      </c>
      <c r="B334" t="s">
        <v>257</v>
      </c>
      <c r="C334" t="s">
        <v>7794</v>
      </c>
      <c r="D334">
        <v>56</v>
      </c>
      <c r="E334" s="113">
        <v>1</v>
      </c>
      <c r="F334" s="113">
        <v>51</v>
      </c>
      <c r="K334" s="112">
        <v>7</v>
      </c>
      <c r="L334" s="317">
        <v>41569</v>
      </c>
      <c r="S334" s="318">
        <v>2037.2940000000001</v>
      </c>
      <c r="T334" s="153">
        <v>41527</v>
      </c>
      <c r="U334" s="136">
        <v>10.8</v>
      </c>
      <c r="Y334" s="136">
        <v>899.76599999999996</v>
      </c>
      <c r="Z334" s="153">
        <v>41527</v>
      </c>
      <c r="AA334" s="318" t="s">
        <v>7718</v>
      </c>
      <c r="AB334" s="153">
        <v>41527</v>
      </c>
      <c r="AE334">
        <v>46.62</v>
      </c>
      <c r="AF334" s="153">
        <v>41527</v>
      </c>
      <c r="AG334" s="136" t="s">
        <v>7718</v>
      </c>
      <c r="AH334" s="153">
        <v>41527</v>
      </c>
      <c r="AI334" s="318">
        <v>145</v>
      </c>
      <c r="AJ334" s="153">
        <v>41527</v>
      </c>
      <c r="BS334" s="318">
        <v>43.7</v>
      </c>
      <c r="BT334" s="153">
        <v>41527</v>
      </c>
      <c r="BU334">
        <v>19.3</v>
      </c>
      <c r="BV334" s="153">
        <v>41527</v>
      </c>
      <c r="CC334" s="136">
        <v>9.1</v>
      </c>
      <c r="CD334" s="153">
        <v>41527</v>
      </c>
      <c r="CG334" s="136">
        <v>4.0999999999999996</v>
      </c>
      <c r="CH334" s="153">
        <v>41527</v>
      </c>
      <c r="CK334" s="136">
        <v>5</v>
      </c>
    </row>
    <row r="335" spans="1:89">
      <c r="A335" s="154" t="s">
        <v>7853</v>
      </c>
      <c r="B335" t="s">
        <v>259</v>
      </c>
      <c r="C335" t="s">
        <v>7794</v>
      </c>
      <c r="D335">
        <v>56</v>
      </c>
      <c r="E335" s="113">
        <v>6</v>
      </c>
      <c r="F335" s="113">
        <v>37</v>
      </c>
      <c r="K335" s="112">
        <v>5</v>
      </c>
      <c r="L335" s="317">
        <v>41569</v>
      </c>
      <c r="S335" s="318">
        <v>2024.3520000000001</v>
      </c>
      <c r="T335" s="153">
        <v>41527</v>
      </c>
      <c r="U335" s="136">
        <v>10.8</v>
      </c>
      <c r="Y335" s="136">
        <v>941.88599999999997</v>
      </c>
      <c r="Z335" s="153">
        <v>41527</v>
      </c>
      <c r="AA335" s="318" t="s">
        <v>7718</v>
      </c>
      <c r="AB335" s="153">
        <v>41527</v>
      </c>
      <c r="AE335">
        <v>46.86</v>
      </c>
      <c r="AF335" s="153">
        <v>41527</v>
      </c>
      <c r="AG335" s="136" t="s">
        <v>7718</v>
      </c>
      <c r="AH335" s="153">
        <v>41527</v>
      </c>
      <c r="AI335" s="318">
        <v>135</v>
      </c>
      <c r="AJ335" s="153">
        <v>41527</v>
      </c>
      <c r="BS335" s="318">
        <v>43.2</v>
      </c>
      <c r="BT335" s="153">
        <v>41527</v>
      </c>
      <c r="BU335">
        <v>20.100000000000001</v>
      </c>
      <c r="BV335" s="153">
        <v>41527</v>
      </c>
      <c r="CC335" s="136">
        <v>7.5</v>
      </c>
      <c r="CD335" s="153">
        <v>41527</v>
      </c>
      <c r="CG335" s="136">
        <v>1.62</v>
      </c>
      <c r="CH335" s="153">
        <v>41527</v>
      </c>
      <c r="CK335" s="136">
        <v>5</v>
      </c>
    </row>
    <row r="336" spans="1:89">
      <c r="A336" s="154" t="s">
        <v>7853</v>
      </c>
      <c r="B336" t="s">
        <v>257</v>
      </c>
      <c r="C336" t="s">
        <v>7795</v>
      </c>
      <c r="D336">
        <v>56</v>
      </c>
      <c r="E336" s="113">
        <v>4</v>
      </c>
      <c r="F336" s="113">
        <v>73</v>
      </c>
      <c r="K336" s="112">
        <v>5</v>
      </c>
      <c r="L336" s="317">
        <v>41569</v>
      </c>
      <c r="S336" s="318">
        <v>1852.84</v>
      </c>
      <c r="T336" s="153">
        <v>41527</v>
      </c>
      <c r="U336" s="136">
        <v>10.8</v>
      </c>
      <c r="Y336" s="136">
        <v>850.62199999999996</v>
      </c>
      <c r="Z336" s="153">
        <v>41527</v>
      </c>
      <c r="AA336" s="318" t="s">
        <v>7718</v>
      </c>
      <c r="AB336" s="153">
        <v>41527</v>
      </c>
      <c r="AE336">
        <v>42.11</v>
      </c>
      <c r="AF336" s="153">
        <v>41527</v>
      </c>
      <c r="AG336" s="136" t="s">
        <v>7718</v>
      </c>
      <c r="AH336" s="153">
        <v>41527</v>
      </c>
      <c r="AI336" s="318">
        <v>140</v>
      </c>
      <c r="AJ336" s="153">
        <v>41527</v>
      </c>
      <c r="BS336" s="318">
        <v>44</v>
      </c>
      <c r="BT336" s="153">
        <v>41527</v>
      </c>
      <c r="BU336">
        <v>20.2</v>
      </c>
      <c r="BV336" s="153">
        <v>41527</v>
      </c>
      <c r="CC336" s="136">
        <v>5.7</v>
      </c>
      <c r="CD336" s="153">
        <v>41527</v>
      </c>
      <c r="CG336" s="136">
        <v>1.83</v>
      </c>
      <c r="CH336" s="153">
        <v>41527</v>
      </c>
      <c r="CK336" s="136">
        <v>5</v>
      </c>
    </row>
    <row r="337" spans="1:89">
      <c r="A337" s="154" t="s">
        <v>7853</v>
      </c>
      <c r="B337" t="s">
        <v>259</v>
      </c>
      <c r="C337" t="s">
        <v>7795</v>
      </c>
      <c r="D337">
        <v>56</v>
      </c>
      <c r="E337" s="113">
        <v>1</v>
      </c>
      <c r="F337" s="113">
        <v>67</v>
      </c>
      <c r="K337" s="112">
        <v>5</v>
      </c>
      <c r="L337" s="317">
        <v>41569</v>
      </c>
      <c r="S337" s="318">
        <v>1976.163</v>
      </c>
      <c r="T337" s="153">
        <v>41527</v>
      </c>
      <c r="U337" s="136">
        <v>10.8</v>
      </c>
      <c r="Y337" s="136">
        <v>1018.885</v>
      </c>
      <c r="Z337" s="153">
        <v>41527</v>
      </c>
      <c r="AA337" s="318" t="s">
        <v>7718</v>
      </c>
      <c r="AB337" s="153">
        <v>41527</v>
      </c>
      <c r="AE337">
        <v>47.39</v>
      </c>
      <c r="AF337" s="153">
        <v>41527</v>
      </c>
      <c r="AG337" s="136" t="s">
        <v>7718</v>
      </c>
      <c r="AH337" s="153">
        <v>41527</v>
      </c>
      <c r="AI337" s="318">
        <v>140</v>
      </c>
      <c r="AJ337" s="153">
        <v>41527</v>
      </c>
      <c r="BS337" s="318">
        <v>41.7</v>
      </c>
      <c r="BT337" s="153">
        <v>41527</v>
      </c>
      <c r="BU337">
        <v>21.5</v>
      </c>
      <c r="BV337" s="153">
        <v>41527</v>
      </c>
      <c r="CC337" s="136">
        <v>9.1999999999999993</v>
      </c>
      <c r="CD337" s="153">
        <v>41527</v>
      </c>
      <c r="CG337" s="136">
        <v>6.07</v>
      </c>
      <c r="CH337" s="153">
        <v>41527</v>
      </c>
      <c r="CK337" s="136">
        <v>5</v>
      </c>
    </row>
    <row r="338" spans="1:89">
      <c r="A338" s="154" t="s">
        <v>7854</v>
      </c>
      <c r="B338" t="s">
        <v>257</v>
      </c>
      <c r="C338" t="s">
        <v>405</v>
      </c>
      <c r="D338">
        <v>57</v>
      </c>
      <c r="E338" s="113">
        <v>4</v>
      </c>
      <c r="F338" s="113">
        <v>17</v>
      </c>
      <c r="K338" s="112">
        <v>5</v>
      </c>
      <c r="L338" s="317">
        <v>41569</v>
      </c>
      <c r="S338" s="318">
        <v>1520.922</v>
      </c>
      <c r="T338" s="153">
        <v>41527</v>
      </c>
      <c r="U338" s="136">
        <v>10.8</v>
      </c>
      <c r="Y338" s="136">
        <v>698.52300000000002</v>
      </c>
      <c r="Z338" s="153">
        <v>41527</v>
      </c>
      <c r="AA338" s="318" t="s">
        <v>7718</v>
      </c>
      <c r="AB338" s="153">
        <v>41527</v>
      </c>
      <c r="AE338">
        <v>34.409999999999997</v>
      </c>
      <c r="AF338" s="153">
        <v>41527</v>
      </c>
      <c r="AG338" s="136" t="s">
        <v>7718</v>
      </c>
      <c r="AH338" s="153">
        <v>41527</v>
      </c>
      <c r="AI338" s="318">
        <v>130</v>
      </c>
      <c r="AJ338" s="153">
        <v>41527</v>
      </c>
      <c r="BS338" s="318">
        <v>44.2</v>
      </c>
      <c r="BT338" s="153">
        <v>41527</v>
      </c>
      <c r="BU338">
        <v>20.3</v>
      </c>
      <c r="BV338" s="153">
        <v>41527</v>
      </c>
      <c r="CC338" s="136">
        <v>6.4</v>
      </c>
      <c r="CD338" s="153">
        <v>41527</v>
      </c>
      <c r="CG338" s="136">
        <v>3.58</v>
      </c>
      <c r="CH338" s="153">
        <v>41527</v>
      </c>
      <c r="CK338" s="136">
        <v>20</v>
      </c>
    </row>
    <row r="339" spans="1:89">
      <c r="A339" s="154" t="s">
        <v>7854</v>
      </c>
      <c r="B339" t="s">
        <v>259</v>
      </c>
      <c r="C339" t="s">
        <v>405</v>
      </c>
      <c r="D339">
        <v>57</v>
      </c>
      <c r="E339" s="113">
        <v>2</v>
      </c>
      <c r="F339" s="113">
        <v>25</v>
      </c>
      <c r="K339" s="112">
        <v>5</v>
      </c>
      <c r="L339" s="317">
        <v>41569</v>
      </c>
      <c r="S339" s="318">
        <v>1715.89</v>
      </c>
      <c r="T339" s="153">
        <v>41527</v>
      </c>
      <c r="U339" s="136">
        <v>10.8</v>
      </c>
      <c r="Y339" s="136">
        <v>940.04499999999996</v>
      </c>
      <c r="Z339" s="153">
        <v>41527</v>
      </c>
      <c r="AA339" s="318" t="s">
        <v>7718</v>
      </c>
      <c r="AB339" s="153">
        <v>41527</v>
      </c>
      <c r="AE339">
        <v>41.05</v>
      </c>
      <c r="AF339" s="153">
        <v>41527</v>
      </c>
      <c r="AG339" s="136" t="s">
        <v>7718</v>
      </c>
      <c r="AH339" s="153">
        <v>41527</v>
      </c>
      <c r="AI339" s="318">
        <v>130</v>
      </c>
      <c r="AJ339" s="153">
        <v>41527</v>
      </c>
      <c r="BS339" s="318">
        <v>41.8</v>
      </c>
      <c r="BT339" s="153">
        <v>41527</v>
      </c>
      <c r="BU339">
        <v>22.9</v>
      </c>
      <c r="BV339" s="153">
        <v>41527</v>
      </c>
      <c r="CC339" s="136">
        <v>11.7</v>
      </c>
      <c r="CD339" s="153">
        <v>41527</v>
      </c>
      <c r="CG339" s="136">
        <v>4.59</v>
      </c>
      <c r="CH339" s="153">
        <v>41527</v>
      </c>
      <c r="CK339" s="136">
        <v>20</v>
      </c>
    </row>
    <row r="340" spans="1:89">
      <c r="A340" s="154" t="s">
        <v>7854</v>
      </c>
      <c r="B340" t="s">
        <v>257</v>
      </c>
      <c r="C340" t="s">
        <v>7794</v>
      </c>
      <c r="D340">
        <v>57</v>
      </c>
      <c r="E340" s="113">
        <v>2</v>
      </c>
      <c r="F340" s="113">
        <v>58</v>
      </c>
      <c r="K340" s="112">
        <v>5</v>
      </c>
      <c r="L340" s="317">
        <v>41569</v>
      </c>
      <c r="S340" s="318">
        <v>1683.4860000000001</v>
      </c>
      <c r="T340" s="153">
        <v>41527</v>
      </c>
      <c r="U340" s="136">
        <v>10.8</v>
      </c>
      <c r="Y340" s="136">
        <v>843.69600000000003</v>
      </c>
      <c r="Z340" s="153">
        <v>41527</v>
      </c>
      <c r="AA340" s="318" t="s">
        <v>7718</v>
      </c>
      <c r="AB340" s="153">
        <v>41527</v>
      </c>
      <c r="AE340">
        <v>39.06</v>
      </c>
      <c r="AF340" s="153">
        <v>41527</v>
      </c>
      <c r="AG340" s="136" t="s">
        <v>7718</v>
      </c>
      <c r="AH340" s="153">
        <v>41527</v>
      </c>
      <c r="AI340" s="318">
        <v>135</v>
      </c>
      <c r="AJ340" s="153">
        <v>41527</v>
      </c>
      <c r="BS340" s="318">
        <v>43.1</v>
      </c>
      <c r="BT340" s="153">
        <v>41527</v>
      </c>
      <c r="BU340">
        <v>21.6</v>
      </c>
      <c r="BV340" s="153">
        <v>41527</v>
      </c>
      <c r="CC340" s="136">
        <v>6.5</v>
      </c>
      <c r="CD340" s="153">
        <v>41527</v>
      </c>
      <c r="CG340" s="136">
        <v>3.57</v>
      </c>
      <c r="CH340" s="153">
        <v>41527</v>
      </c>
      <c r="CK340" s="136">
        <v>30</v>
      </c>
    </row>
    <row r="341" spans="1:89">
      <c r="A341" s="154" t="s">
        <v>7854</v>
      </c>
      <c r="B341" t="s">
        <v>259</v>
      </c>
      <c r="C341" t="s">
        <v>7794</v>
      </c>
      <c r="D341">
        <v>57</v>
      </c>
      <c r="E341" s="113">
        <v>6</v>
      </c>
      <c r="F341" s="113">
        <v>57</v>
      </c>
      <c r="K341" s="112">
        <v>5</v>
      </c>
      <c r="L341" s="317">
        <v>41569</v>
      </c>
      <c r="S341" s="318">
        <v>1190.268</v>
      </c>
      <c r="T341" s="153">
        <v>41527</v>
      </c>
      <c r="U341" s="136">
        <v>10.8</v>
      </c>
      <c r="Y341" s="136">
        <v>603.47699999999998</v>
      </c>
      <c r="Z341" s="153">
        <v>41527</v>
      </c>
      <c r="AA341" s="318" t="s">
        <v>7718</v>
      </c>
      <c r="AB341" s="153">
        <v>41527</v>
      </c>
      <c r="AE341">
        <v>27.81</v>
      </c>
      <c r="AF341" s="153">
        <v>41527</v>
      </c>
      <c r="AG341" s="136" t="s">
        <v>7718</v>
      </c>
      <c r="AH341" s="153">
        <v>41527</v>
      </c>
      <c r="AI341" s="318">
        <v>120</v>
      </c>
      <c r="AJ341" s="153">
        <v>41527</v>
      </c>
      <c r="BS341" s="318">
        <v>42.8</v>
      </c>
      <c r="BT341" s="153">
        <v>41527</v>
      </c>
      <c r="BU341">
        <v>21.7</v>
      </c>
      <c r="BV341" s="153">
        <v>41527</v>
      </c>
      <c r="CC341" s="136">
        <v>5.8</v>
      </c>
      <c r="CD341" s="153">
        <v>41527</v>
      </c>
      <c r="CG341" s="136">
        <v>5.5</v>
      </c>
      <c r="CH341" s="153">
        <v>41527</v>
      </c>
      <c r="CK341" s="136">
        <v>20</v>
      </c>
    </row>
    <row r="342" spans="1:89">
      <c r="A342" s="154" t="s">
        <v>7854</v>
      </c>
      <c r="B342" t="s">
        <v>257</v>
      </c>
      <c r="C342" t="s">
        <v>7795</v>
      </c>
      <c r="D342">
        <v>57</v>
      </c>
      <c r="E342" s="113">
        <v>6</v>
      </c>
      <c r="F342" s="113">
        <v>81</v>
      </c>
      <c r="K342" s="112">
        <v>5</v>
      </c>
      <c r="L342" s="317">
        <v>41569</v>
      </c>
      <c r="S342" s="318">
        <v>1229.2380000000001</v>
      </c>
      <c r="T342" s="153">
        <v>41527</v>
      </c>
      <c r="U342" s="136">
        <v>10.8</v>
      </c>
      <c r="Y342" s="136">
        <v>645.13199999999995</v>
      </c>
      <c r="Z342" s="153">
        <v>41527</v>
      </c>
      <c r="AA342" s="318" t="s">
        <v>7718</v>
      </c>
      <c r="AB342" s="153">
        <v>41527</v>
      </c>
      <c r="AE342">
        <v>29.06</v>
      </c>
      <c r="AF342" s="153">
        <v>41527</v>
      </c>
      <c r="AG342" s="136" t="s">
        <v>7718</v>
      </c>
      <c r="AH342" s="153">
        <v>41527</v>
      </c>
      <c r="AI342" s="318">
        <v>115</v>
      </c>
      <c r="AJ342" s="153">
        <v>41527</v>
      </c>
      <c r="BS342" s="318">
        <v>42.3</v>
      </c>
      <c r="BT342" s="153">
        <v>41527</v>
      </c>
      <c r="BU342">
        <v>22.2</v>
      </c>
      <c r="BV342" s="153">
        <v>41527</v>
      </c>
      <c r="CC342" s="136">
        <v>8</v>
      </c>
      <c r="CD342" s="153">
        <v>41527</v>
      </c>
      <c r="CG342" s="136">
        <v>3.78</v>
      </c>
      <c r="CH342" s="153">
        <v>41527</v>
      </c>
      <c r="CK342" s="136">
        <v>10</v>
      </c>
    </row>
    <row r="343" spans="1:89">
      <c r="A343" s="154" t="s">
        <v>7854</v>
      </c>
      <c r="B343" t="s">
        <v>259</v>
      </c>
      <c r="C343" t="s">
        <v>7795</v>
      </c>
      <c r="D343">
        <v>57</v>
      </c>
      <c r="E343" s="113">
        <v>3</v>
      </c>
      <c r="F343" s="113">
        <v>83</v>
      </c>
      <c r="K343" s="112">
        <v>5</v>
      </c>
      <c r="L343" s="317">
        <v>41569</v>
      </c>
      <c r="S343" s="318">
        <v>1887.261</v>
      </c>
      <c r="T343" s="153">
        <v>41527</v>
      </c>
      <c r="U343" s="136">
        <v>10.8</v>
      </c>
      <c r="Y343" s="136">
        <v>859.8</v>
      </c>
      <c r="Z343" s="153">
        <v>41527</v>
      </c>
      <c r="AA343" s="318" t="s">
        <v>7718</v>
      </c>
      <c r="AB343" s="153">
        <v>41527</v>
      </c>
      <c r="AE343">
        <v>42.99</v>
      </c>
      <c r="AF343" s="153">
        <v>41527</v>
      </c>
      <c r="AG343" s="136" t="s">
        <v>7718</v>
      </c>
      <c r="AH343" s="153">
        <v>41527</v>
      </c>
      <c r="AI343" s="318">
        <v>135</v>
      </c>
      <c r="AJ343" s="153">
        <v>41527</v>
      </c>
      <c r="BS343" s="318">
        <v>43.9</v>
      </c>
      <c r="BT343" s="153">
        <v>41527</v>
      </c>
      <c r="BU343">
        <v>20</v>
      </c>
      <c r="BV343" s="153">
        <v>41527</v>
      </c>
      <c r="CC343" s="136">
        <v>6.6</v>
      </c>
      <c r="CD343" s="153">
        <v>41527</v>
      </c>
      <c r="CG343" s="136">
        <v>2.16</v>
      </c>
      <c r="CH343" s="153">
        <v>41527</v>
      </c>
      <c r="CK343" s="136">
        <v>20</v>
      </c>
    </row>
    <row r="344" spans="1:89">
      <c r="A344" s="154" t="s">
        <v>7855</v>
      </c>
      <c r="B344" t="s">
        <v>257</v>
      </c>
      <c r="C344" t="s">
        <v>405</v>
      </c>
      <c r="D344">
        <v>58</v>
      </c>
      <c r="E344" s="113">
        <v>4</v>
      </c>
      <c r="F344" s="113">
        <v>23</v>
      </c>
      <c r="K344" s="112">
        <v>3</v>
      </c>
      <c r="L344" s="317">
        <v>41569</v>
      </c>
      <c r="S344" s="318">
        <v>1675.8219999999999</v>
      </c>
      <c r="T344" s="153">
        <v>41527</v>
      </c>
      <c r="U344" s="136">
        <v>10.8</v>
      </c>
      <c r="Y344" s="136">
        <v>676.91499999999996</v>
      </c>
      <c r="Z344" s="153">
        <v>41527</v>
      </c>
      <c r="AA344" s="318" t="s">
        <v>7718</v>
      </c>
      <c r="AB344" s="153">
        <v>41527</v>
      </c>
      <c r="AE344">
        <v>36.590000000000003</v>
      </c>
      <c r="AF344" s="153">
        <v>41527</v>
      </c>
      <c r="AG344" s="136" t="s">
        <v>7718</v>
      </c>
      <c r="AH344" s="153">
        <v>41527</v>
      </c>
      <c r="AI344" s="318">
        <v>135</v>
      </c>
      <c r="AJ344" s="153">
        <v>41527</v>
      </c>
      <c r="BS344" s="318">
        <v>45.8</v>
      </c>
      <c r="BT344" s="153">
        <v>41527</v>
      </c>
      <c r="BU344">
        <v>18.5</v>
      </c>
      <c r="BV344" s="153">
        <v>41527</v>
      </c>
      <c r="CC344" s="136">
        <v>7.9</v>
      </c>
      <c r="CD344" s="153">
        <v>41527</v>
      </c>
      <c r="CG344" s="136">
        <v>1.67</v>
      </c>
      <c r="CH344" s="153">
        <v>41527</v>
      </c>
      <c r="CK344" s="136">
        <v>5</v>
      </c>
    </row>
    <row r="345" spans="1:89">
      <c r="A345" s="154" t="s">
        <v>7855</v>
      </c>
      <c r="B345" t="s">
        <v>259</v>
      </c>
      <c r="C345" t="s">
        <v>405</v>
      </c>
      <c r="D345">
        <v>58</v>
      </c>
      <c r="E345" s="113">
        <v>2</v>
      </c>
      <c r="F345" s="113">
        <v>17</v>
      </c>
      <c r="K345" s="112">
        <v>3</v>
      </c>
      <c r="L345" s="317">
        <v>41569</v>
      </c>
      <c r="S345" s="318">
        <v>1921.942</v>
      </c>
      <c r="T345" s="153">
        <v>41527</v>
      </c>
      <c r="U345" s="136">
        <v>10.8</v>
      </c>
      <c r="Y345" s="136">
        <v>928.13599999999997</v>
      </c>
      <c r="Z345" s="153">
        <v>41527</v>
      </c>
      <c r="AA345" s="318" t="s">
        <v>7718</v>
      </c>
      <c r="AB345" s="153">
        <v>41527</v>
      </c>
      <c r="AE345">
        <v>43.78</v>
      </c>
      <c r="AF345" s="153">
        <v>41527</v>
      </c>
      <c r="AG345" s="136" t="s">
        <v>7718</v>
      </c>
      <c r="AH345" s="153">
        <v>41527</v>
      </c>
      <c r="AI345" s="318">
        <v>140</v>
      </c>
      <c r="AJ345" s="153">
        <v>41527</v>
      </c>
      <c r="BS345" s="318">
        <v>43.9</v>
      </c>
      <c r="BT345" s="153">
        <v>41527</v>
      </c>
      <c r="BU345">
        <v>21.2</v>
      </c>
      <c r="BV345" s="153">
        <v>41527</v>
      </c>
      <c r="CC345" s="136">
        <v>8.4</v>
      </c>
      <c r="CD345" s="153">
        <v>41527</v>
      </c>
      <c r="CG345" s="136">
        <v>3.52</v>
      </c>
      <c r="CH345" s="153">
        <v>41527</v>
      </c>
      <c r="CK345" s="136">
        <v>5</v>
      </c>
    </row>
    <row r="346" spans="1:89">
      <c r="A346" s="154" t="s">
        <v>7855</v>
      </c>
      <c r="B346" t="s">
        <v>257</v>
      </c>
      <c r="C346" t="s">
        <v>7794</v>
      </c>
      <c r="D346">
        <v>58</v>
      </c>
      <c r="E346" s="113">
        <v>2</v>
      </c>
      <c r="F346" s="113">
        <v>43</v>
      </c>
      <c r="K346" s="112">
        <v>8</v>
      </c>
      <c r="L346" s="317">
        <v>41569</v>
      </c>
      <c r="S346" s="318">
        <v>1920.3579999999999</v>
      </c>
      <c r="T346" s="153">
        <v>41527</v>
      </c>
      <c r="U346" s="136">
        <v>10.8</v>
      </c>
      <c r="Y346" s="136">
        <v>847.34199999999998</v>
      </c>
      <c r="Z346" s="153">
        <v>41527</v>
      </c>
      <c r="AA346" s="318" t="s">
        <v>7718</v>
      </c>
      <c r="AB346" s="153">
        <v>41527</v>
      </c>
      <c r="AE346">
        <v>42.58</v>
      </c>
      <c r="AF346" s="153">
        <v>41527</v>
      </c>
      <c r="AG346" s="136" t="s">
        <v>7718</v>
      </c>
      <c r="AH346" s="153">
        <v>41527</v>
      </c>
      <c r="AI346" s="318">
        <v>140</v>
      </c>
      <c r="AJ346" s="153">
        <v>41527</v>
      </c>
      <c r="BS346" s="318">
        <v>45.1</v>
      </c>
      <c r="BT346" s="153">
        <v>41527</v>
      </c>
      <c r="BU346">
        <v>19.899999999999999</v>
      </c>
      <c r="BV346" s="153">
        <v>41527</v>
      </c>
      <c r="CC346" s="136">
        <v>10</v>
      </c>
      <c r="CD346" s="153">
        <v>41527</v>
      </c>
      <c r="CG346" s="136">
        <v>4.66</v>
      </c>
      <c r="CH346" s="153">
        <v>41527</v>
      </c>
      <c r="CK346" s="136">
        <v>10</v>
      </c>
    </row>
    <row r="347" spans="1:89">
      <c r="A347" s="154" t="s">
        <v>7855</v>
      </c>
      <c r="B347" t="s">
        <v>259</v>
      </c>
      <c r="C347" t="s">
        <v>7794</v>
      </c>
      <c r="D347">
        <v>58</v>
      </c>
      <c r="E347" s="113">
        <v>4</v>
      </c>
      <c r="F347" s="113">
        <v>57</v>
      </c>
      <c r="K347" s="112">
        <v>5</v>
      </c>
      <c r="L347" s="317">
        <v>41569</v>
      </c>
      <c r="S347" s="318">
        <v>2019.377</v>
      </c>
      <c r="T347" s="153">
        <v>41527</v>
      </c>
      <c r="U347" s="136">
        <v>10.8</v>
      </c>
      <c r="Y347" s="136">
        <v>975.03099999999995</v>
      </c>
      <c r="Z347" s="153">
        <v>41527</v>
      </c>
      <c r="AA347" s="318" t="s">
        <v>7718</v>
      </c>
      <c r="AB347" s="153">
        <v>41527</v>
      </c>
      <c r="AE347">
        <v>46.21</v>
      </c>
      <c r="AF347" s="153">
        <v>41527</v>
      </c>
      <c r="AG347" s="136" t="s">
        <v>7718</v>
      </c>
      <c r="AH347" s="153">
        <v>41527</v>
      </c>
      <c r="AI347" s="318">
        <v>140</v>
      </c>
      <c r="AJ347" s="153">
        <v>41527</v>
      </c>
      <c r="BS347" s="318">
        <v>43.7</v>
      </c>
      <c r="BT347" s="153">
        <v>41527</v>
      </c>
      <c r="BU347">
        <v>21.1</v>
      </c>
      <c r="BV347" s="153">
        <v>41527</v>
      </c>
      <c r="CC347" s="136">
        <v>5.9</v>
      </c>
      <c r="CD347" s="153">
        <v>41527</v>
      </c>
      <c r="CG347" s="136">
        <v>1.1000000000000001</v>
      </c>
      <c r="CH347" s="153">
        <v>41527</v>
      </c>
      <c r="CK347" s="136">
        <v>10</v>
      </c>
    </row>
    <row r="348" spans="1:89">
      <c r="A348" s="154" t="s">
        <v>7855</v>
      </c>
      <c r="B348" t="s">
        <v>257</v>
      </c>
      <c r="C348" t="s">
        <v>7795</v>
      </c>
      <c r="D348">
        <v>58</v>
      </c>
      <c r="E348" s="113">
        <v>4</v>
      </c>
      <c r="F348" s="113">
        <v>83</v>
      </c>
      <c r="K348" s="112">
        <v>5</v>
      </c>
      <c r="L348" s="317">
        <v>41569</v>
      </c>
      <c r="S348" s="318">
        <v>1816.53</v>
      </c>
      <c r="T348" s="153">
        <v>41527</v>
      </c>
      <c r="U348" s="136">
        <v>10.8</v>
      </c>
      <c r="Y348" s="136">
        <v>765.91</v>
      </c>
      <c r="Z348" s="153">
        <v>41527</v>
      </c>
      <c r="AA348" s="318" t="s">
        <v>7718</v>
      </c>
      <c r="AB348" s="153">
        <v>41527</v>
      </c>
      <c r="AE348">
        <v>40.1</v>
      </c>
      <c r="AF348" s="153">
        <v>41527</v>
      </c>
      <c r="AG348" s="136" t="s">
        <v>7718</v>
      </c>
      <c r="AH348" s="153">
        <v>41527</v>
      </c>
      <c r="AI348" s="318">
        <v>135</v>
      </c>
      <c r="AJ348" s="153">
        <v>41527</v>
      </c>
      <c r="BS348" s="318">
        <v>45.3</v>
      </c>
      <c r="BT348" s="153">
        <v>41527</v>
      </c>
      <c r="BU348">
        <v>19.100000000000001</v>
      </c>
      <c r="BV348" s="153">
        <v>41527</v>
      </c>
      <c r="CC348" s="136">
        <v>7.2</v>
      </c>
      <c r="CD348" s="153">
        <v>41527</v>
      </c>
      <c r="CG348" s="136">
        <v>4.04</v>
      </c>
      <c r="CH348" s="153">
        <v>41527</v>
      </c>
      <c r="CK348" s="136">
        <v>10</v>
      </c>
    </row>
    <row r="349" spans="1:89">
      <c r="A349" s="154" t="s">
        <v>7855</v>
      </c>
      <c r="B349" t="s">
        <v>259</v>
      </c>
      <c r="C349" t="s">
        <v>7795</v>
      </c>
      <c r="D349">
        <v>58</v>
      </c>
      <c r="E349" s="113">
        <v>1</v>
      </c>
      <c r="F349" s="113">
        <v>61</v>
      </c>
      <c r="K349" s="112">
        <v>5</v>
      </c>
      <c r="L349" s="317">
        <v>41569</v>
      </c>
      <c r="S349" s="318">
        <v>1902.1690000000001</v>
      </c>
      <c r="T349" s="153">
        <v>41527</v>
      </c>
      <c r="U349" s="136">
        <v>10.8</v>
      </c>
      <c r="Y349" s="136">
        <v>957.67399999999998</v>
      </c>
      <c r="Z349" s="153">
        <v>41527</v>
      </c>
      <c r="AA349" s="318" t="s">
        <v>7718</v>
      </c>
      <c r="AB349" s="153">
        <v>41527</v>
      </c>
      <c r="AE349">
        <v>43.93</v>
      </c>
      <c r="AF349" s="153">
        <v>41527</v>
      </c>
      <c r="AG349" s="136" t="s">
        <v>7718</v>
      </c>
      <c r="AH349" s="153">
        <v>41527</v>
      </c>
      <c r="AI349" s="318">
        <v>145</v>
      </c>
      <c r="AJ349" s="153">
        <v>41527</v>
      </c>
      <c r="BS349" s="318">
        <v>43.3</v>
      </c>
      <c r="BT349" s="153">
        <v>41527</v>
      </c>
      <c r="BU349">
        <v>21.8</v>
      </c>
      <c r="BV349" s="153">
        <v>41527</v>
      </c>
      <c r="CC349" s="136">
        <v>9.1</v>
      </c>
      <c r="CD349" s="153">
        <v>41527</v>
      </c>
      <c r="CG349" s="136">
        <v>2.5</v>
      </c>
      <c r="CH349" s="153">
        <v>41527</v>
      </c>
      <c r="CK349" s="136">
        <v>5</v>
      </c>
    </row>
    <row r="350" spans="1:89">
      <c r="A350" s="154" t="s">
        <v>7856</v>
      </c>
      <c r="B350" t="s">
        <v>257</v>
      </c>
      <c r="C350" t="s">
        <v>405</v>
      </c>
      <c r="D350">
        <v>59</v>
      </c>
      <c r="E350" s="113">
        <v>6</v>
      </c>
      <c r="F350" s="113">
        <v>14</v>
      </c>
      <c r="K350" s="112">
        <v>3</v>
      </c>
      <c r="L350" s="317">
        <v>41569</v>
      </c>
      <c r="S350" s="318">
        <v>1500.52</v>
      </c>
      <c r="T350" s="153">
        <v>41527</v>
      </c>
      <c r="U350" s="136">
        <v>10.8</v>
      </c>
      <c r="Y350" s="136">
        <v>629.56600000000003</v>
      </c>
      <c r="Z350" s="153">
        <v>41527</v>
      </c>
      <c r="AA350" s="318" t="s">
        <v>7718</v>
      </c>
      <c r="AB350" s="153">
        <v>41527</v>
      </c>
      <c r="AE350">
        <v>32.619999999999997</v>
      </c>
      <c r="AF350" s="153">
        <v>41527</v>
      </c>
      <c r="AG350" s="136" t="s">
        <v>7718</v>
      </c>
      <c r="AH350" s="153">
        <v>41527</v>
      </c>
      <c r="AI350" s="318">
        <v>130</v>
      </c>
      <c r="AJ350" s="153">
        <v>41527</v>
      </c>
      <c r="BS350" s="318">
        <v>46</v>
      </c>
      <c r="BT350" s="153">
        <v>41527</v>
      </c>
      <c r="BU350">
        <v>19.3</v>
      </c>
      <c r="BV350" s="153">
        <v>41527</v>
      </c>
      <c r="CC350" s="136">
        <v>7.2</v>
      </c>
      <c r="CD350" s="153">
        <v>41527</v>
      </c>
      <c r="CG350" s="136">
        <v>7.71</v>
      </c>
      <c r="CH350" s="153">
        <v>41527</v>
      </c>
      <c r="CK350" s="136">
        <v>20</v>
      </c>
    </row>
    <row r="351" spans="1:89">
      <c r="A351" s="154" t="s">
        <v>7856</v>
      </c>
      <c r="B351" t="s">
        <v>259</v>
      </c>
      <c r="C351" t="s">
        <v>405</v>
      </c>
      <c r="D351">
        <v>59</v>
      </c>
      <c r="E351" s="113">
        <v>1</v>
      </c>
      <c r="F351" s="113">
        <v>28</v>
      </c>
      <c r="K351" s="112">
        <v>7</v>
      </c>
      <c r="L351" s="317">
        <v>41569</v>
      </c>
      <c r="S351" s="318">
        <v>2264.3420000000001</v>
      </c>
      <c r="T351" s="153">
        <v>41527</v>
      </c>
      <c r="U351" s="136">
        <v>10.8</v>
      </c>
      <c r="Y351" s="136">
        <v>1111.8630000000001</v>
      </c>
      <c r="Z351" s="153">
        <v>41527</v>
      </c>
      <c r="AA351" s="318" t="s">
        <v>7718</v>
      </c>
      <c r="AB351" s="153">
        <v>41527</v>
      </c>
      <c r="AE351">
        <v>50.77</v>
      </c>
      <c r="AF351" s="153">
        <v>41527</v>
      </c>
      <c r="AG351" s="136" t="s">
        <v>7718</v>
      </c>
      <c r="AH351" s="153">
        <v>41527</v>
      </c>
      <c r="AI351" s="318">
        <v>140</v>
      </c>
      <c r="AJ351" s="153">
        <v>41527</v>
      </c>
      <c r="BS351" s="318">
        <v>44.6</v>
      </c>
      <c r="BT351" s="153">
        <v>41527</v>
      </c>
      <c r="BU351">
        <v>21.9</v>
      </c>
      <c r="BV351" s="153">
        <v>41527</v>
      </c>
      <c r="CC351" s="136">
        <v>12.2</v>
      </c>
      <c r="CD351" s="153">
        <v>41527</v>
      </c>
      <c r="CG351" s="136">
        <v>2.92</v>
      </c>
      <c r="CH351" s="153">
        <v>41527</v>
      </c>
      <c r="CK351" s="136">
        <v>5</v>
      </c>
    </row>
    <row r="352" spans="1:89">
      <c r="A352" s="154" t="s">
        <v>7856</v>
      </c>
      <c r="B352" t="s">
        <v>257</v>
      </c>
      <c r="C352" t="s">
        <v>7794</v>
      </c>
      <c r="D352">
        <v>59</v>
      </c>
      <c r="E352" s="113">
        <v>1</v>
      </c>
      <c r="F352" s="113">
        <v>39</v>
      </c>
      <c r="K352" s="112">
        <v>5</v>
      </c>
      <c r="L352" s="317">
        <v>41569</v>
      </c>
      <c r="S352" s="318">
        <v>2088.2399999999998</v>
      </c>
      <c r="T352" s="153">
        <v>41527</v>
      </c>
      <c r="U352" s="136">
        <v>10.8</v>
      </c>
      <c r="Y352" s="136">
        <v>867.84</v>
      </c>
      <c r="Z352" s="153">
        <v>41527</v>
      </c>
      <c r="AA352" s="318" t="s">
        <v>7718</v>
      </c>
      <c r="AB352" s="153">
        <v>41527</v>
      </c>
      <c r="AE352">
        <v>45.2</v>
      </c>
      <c r="AF352" s="153">
        <v>41527</v>
      </c>
      <c r="AG352" s="136" t="s">
        <v>7718</v>
      </c>
      <c r="AH352" s="153">
        <v>41527</v>
      </c>
      <c r="AI352" s="318">
        <v>140</v>
      </c>
      <c r="AJ352" s="153">
        <v>41527</v>
      </c>
      <c r="BS352" s="318">
        <v>46.2</v>
      </c>
      <c r="BT352" s="153">
        <v>41527</v>
      </c>
      <c r="BU352">
        <v>19.2</v>
      </c>
      <c r="BV352" s="153">
        <v>41527</v>
      </c>
      <c r="CC352" s="136">
        <v>9.4</v>
      </c>
      <c r="CD352" s="153">
        <v>41527</v>
      </c>
      <c r="CG352" s="136">
        <v>5.93</v>
      </c>
      <c r="CH352" s="153">
        <v>41527</v>
      </c>
      <c r="CK352" s="136">
        <v>20</v>
      </c>
    </row>
    <row r="353" spans="1:89">
      <c r="A353" s="154" t="s">
        <v>7856</v>
      </c>
      <c r="B353" t="s">
        <v>259</v>
      </c>
      <c r="C353" t="s">
        <v>7794</v>
      </c>
      <c r="D353">
        <v>59</v>
      </c>
      <c r="E353" s="113">
        <v>5</v>
      </c>
      <c r="F353" s="113">
        <v>32</v>
      </c>
      <c r="K353" s="112">
        <v>5</v>
      </c>
      <c r="L353" s="317">
        <v>41569</v>
      </c>
      <c r="S353" s="318">
        <v>2179.944</v>
      </c>
      <c r="T353" s="153">
        <v>41527</v>
      </c>
      <c r="U353" s="136">
        <v>10.8</v>
      </c>
      <c r="Y353" s="136">
        <v>1050.5160000000001</v>
      </c>
      <c r="Z353" s="153">
        <v>41527</v>
      </c>
      <c r="AA353" s="318" t="s">
        <v>7718</v>
      </c>
      <c r="AB353" s="153">
        <v>41527</v>
      </c>
      <c r="AE353">
        <v>49.32</v>
      </c>
      <c r="AF353" s="153">
        <v>41527</v>
      </c>
      <c r="AG353" s="136" t="s">
        <v>7718</v>
      </c>
      <c r="AH353" s="153">
        <v>41527</v>
      </c>
      <c r="AI353" s="318">
        <v>135</v>
      </c>
      <c r="AJ353" s="153">
        <v>41527</v>
      </c>
      <c r="BS353" s="318">
        <v>44.2</v>
      </c>
      <c r="BT353" s="153">
        <v>41527</v>
      </c>
      <c r="BU353">
        <v>21.3</v>
      </c>
      <c r="BV353" s="153">
        <v>41527</v>
      </c>
      <c r="CC353" s="136">
        <v>6.2</v>
      </c>
      <c r="CD353" s="153">
        <v>41527</v>
      </c>
      <c r="CG353" s="136">
        <v>3.82</v>
      </c>
      <c r="CH353" s="153">
        <v>41527</v>
      </c>
      <c r="CK353" s="136">
        <v>10</v>
      </c>
    </row>
    <row r="354" spans="1:89">
      <c r="A354" s="154" t="s">
        <v>7856</v>
      </c>
      <c r="B354" t="s">
        <v>257</v>
      </c>
      <c r="C354" t="s">
        <v>7795</v>
      </c>
      <c r="D354">
        <v>59</v>
      </c>
      <c r="E354" s="113">
        <v>4</v>
      </c>
      <c r="F354" s="113">
        <v>60</v>
      </c>
      <c r="K354" s="112">
        <v>5</v>
      </c>
      <c r="L354" s="317">
        <v>41569</v>
      </c>
      <c r="S354" s="318">
        <v>2064.123</v>
      </c>
      <c r="T354" s="153">
        <v>41527</v>
      </c>
      <c r="U354" s="136">
        <v>10.8</v>
      </c>
      <c r="Y354" s="136">
        <v>863.42399999999998</v>
      </c>
      <c r="Z354" s="153">
        <v>41527</v>
      </c>
      <c r="AA354" s="318" t="s">
        <v>7718</v>
      </c>
      <c r="AB354" s="153">
        <v>41527</v>
      </c>
      <c r="AE354">
        <v>44.97</v>
      </c>
      <c r="AF354" s="153">
        <v>41527</v>
      </c>
      <c r="AG354" s="136" t="s">
        <v>7718</v>
      </c>
      <c r="AH354" s="153">
        <v>41527</v>
      </c>
      <c r="AI354" s="318">
        <v>140</v>
      </c>
      <c r="AJ354" s="153">
        <v>41527</v>
      </c>
      <c r="BS354" s="318">
        <v>45.9</v>
      </c>
      <c r="BT354" s="153">
        <v>41527</v>
      </c>
      <c r="BU354">
        <v>19.2</v>
      </c>
      <c r="BV354" s="153">
        <v>41527</v>
      </c>
      <c r="CC354" s="136">
        <v>8.5</v>
      </c>
      <c r="CD354" s="153">
        <v>41527</v>
      </c>
      <c r="CG354" s="136">
        <v>0.74</v>
      </c>
      <c r="CH354" s="153">
        <v>41527</v>
      </c>
      <c r="CK354" s="136">
        <v>20</v>
      </c>
    </row>
    <row r="355" spans="1:89">
      <c r="A355" s="154" t="s">
        <v>7856</v>
      </c>
      <c r="B355" t="s">
        <v>259</v>
      </c>
      <c r="C355" t="s">
        <v>7795</v>
      </c>
      <c r="D355">
        <v>59</v>
      </c>
      <c r="E355" s="113">
        <v>2</v>
      </c>
      <c r="F355" s="113">
        <v>74</v>
      </c>
      <c r="K355" s="112">
        <v>5</v>
      </c>
      <c r="L355" s="317">
        <v>41569</v>
      </c>
      <c r="S355" s="318">
        <v>2449.373</v>
      </c>
      <c r="T355" s="153">
        <v>41527</v>
      </c>
      <c r="U355" s="136">
        <v>10.8</v>
      </c>
      <c r="Y355" s="136">
        <v>1238.894</v>
      </c>
      <c r="Z355" s="153">
        <v>41527</v>
      </c>
      <c r="AA355" s="318" t="s">
        <v>7718</v>
      </c>
      <c r="AB355" s="153">
        <v>41527</v>
      </c>
      <c r="AE355">
        <v>56.83</v>
      </c>
      <c r="AF355" s="153">
        <v>41527</v>
      </c>
      <c r="AG355" s="136" t="s">
        <v>7718</v>
      </c>
      <c r="AH355" s="153">
        <v>41527</v>
      </c>
      <c r="AI355" s="318">
        <v>135</v>
      </c>
      <c r="AJ355" s="153">
        <v>41527</v>
      </c>
      <c r="BS355" s="318">
        <v>43.1</v>
      </c>
      <c r="BT355" s="153">
        <v>41527</v>
      </c>
      <c r="BU355">
        <v>21.8</v>
      </c>
      <c r="BV355" s="153">
        <v>41527</v>
      </c>
      <c r="CC355" s="136">
        <v>8.4</v>
      </c>
      <c r="CD355" s="153">
        <v>41527</v>
      </c>
      <c r="CG355" s="136">
        <v>5.45</v>
      </c>
      <c r="CH355" s="153">
        <v>41527</v>
      </c>
      <c r="CK355" s="136">
        <v>20</v>
      </c>
    </row>
    <row r="356" spans="1:89">
      <c r="A356" s="154" t="s">
        <v>7857</v>
      </c>
      <c r="B356" t="s">
        <v>257</v>
      </c>
      <c r="C356" t="s">
        <v>405</v>
      </c>
      <c r="D356">
        <v>60</v>
      </c>
      <c r="E356" s="113">
        <v>6</v>
      </c>
      <c r="F356" s="113">
        <v>8</v>
      </c>
      <c r="K356" s="112">
        <v>5</v>
      </c>
      <c r="L356" s="317">
        <v>41569</v>
      </c>
      <c r="S356" s="318">
        <v>1744.9770000000001</v>
      </c>
      <c r="T356" s="153">
        <v>41527</v>
      </c>
      <c r="U356" s="136">
        <v>10.8</v>
      </c>
      <c r="Y356" s="136">
        <v>775.98299999999995</v>
      </c>
      <c r="Z356" s="153">
        <v>41527</v>
      </c>
      <c r="AA356" s="318" t="s">
        <v>7718</v>
      </c>
      <c r="AB356" s="153">
        <v>41527</v>
      </c>
      <c r="AE356">
        <v>39.39</v>
      </c>
      <c r="AF356" s="153">
        <v>41527</v>
      </c>
      <c r="AG356" s="136" t="s">
        <v>7718</v>
      </c>
      <c r="AH356" s="153">
        <v>41527</v>
      </c>
      <c r="AI356" s="318">
        <v>120</v>
      </c>
      <c r="AJ356" s="153">
        <v>41527</v>
      </c>
      <c r="BS356" s="318">
        <v>44.3</v>
      </c>
      <c r="BT356" s="153">
        <v>41527</v>
      </c>
      <c r="BU356">
        <v>19.7</v>
      </c>
      <c r="BV356" s="153">
        <v>41527</v>
      </c>
      <c r="CC356" s="136">
        <v>8.1999999999999993</v>
      </c>
      <c r="CD356" s="153">
        <v>41527</v>
      </c>
      <c r="CG356" s="136">
        <v>7.96</v>
      </c>
      <c r="CH356" s="153">
        <v>41527</v>
      </c>
      <c r="CK356" s="136">
        <v>20</v>
      </c>
    </row>
    <row r="357" spans="1:89">
      <c r="A357" s="154" t="s">
        <v>7857</v>
      </c>
      <c r="B357" t="s">
        <v>259</v>
      </c>
      <c r="C357" t="s">
        <v>405</v>
      </c>
      <c r="D357">
        <v>60</v>
      </c>
      <c r="E357" s="113">
        <v>1</v>
      </c>
      <c r="F357" s="113">
        <v>4</v>
      </c>
      <c r="K357" s="112">
        <v>7</v>
      </c>
      <c r="L357" s="317">
        <v>41569</v>
      </c>
      <c r="S357" s="318">
        <v>1850.6179999999999</v>
      </c>
      <c r="T357" s="153">
        <v>41527</v>
      </c>
      <c r="U357" s="136">
        <v>10.8</v>
      </c>
      <c r="Y357" s="136">
        <v>953.48</v>
      </c>
      <c r="Z357" s="153">
        <v>41527</v>
      </c>
      <c r="AA357" s="318" t="s">
        <v>7718</v>
      </c>
      <c r="AB357" s="153">
        <v>41527</v>
      </c>
      <c r="AE357">
        <v>43.34</v>
      </c>
      <c r="AF357" s="153">
        <v>41527</v>
      </c>
      <c r="AG357" s="136" t="s">
        <v>7718</v>
      </c>
      <c r="AH357" s="153">
        <v>41527</v>
      </c>
      <c r="AI357" s="318">
        <v>130</v>
      </c>
      <c r="AJ357" s="153">
        <v>41527</v>
      </c>
      <c r="BS357" s="318">
        <v>42.7</v>
      </c>
      <c r="BT357" s="153">
        <v>41527</v>
      </c>
      <c r="BU357">
        <v>22</v>
      </c>
      <c r="BV357" s="153">
        <v>41527</v>
      </c>
      <c r="CC357" s="136">
        <v>11.1</v>
      </c>
      <c r="CD357" s="153">
        <v>41527</v>
      </c>
      <c r="CG357" s="136">
        <v>1.66</v>
      </c>
      <c r="CH357" s="153">
        <v>41527</v>
      </c>
      <c r="CK357" s="136">
        <v>20</v>
      </c>
    </row>
    <row r="358" spans="1:89">
      <c r="A358" s="154" t="s">
        <v>7857</v>
      </c>
      <c r="B358" t="s">
        <v>257</v>
      </c>
      <c r="C358" t="s">
        <v>7794</v>
      </c>
      <c r="D358">
        <v>60</v>
      </c>
      <c r="E358" s="113">
        <v>3</v>
      </c>
      <c r="F358" s="113">
        <v>34</v>
      </c>
      <c r="K358" s="112">
        <v>5</v>
      </c>
      <c r="L358" s="317">
        <v>41569</v>
      </c>
      <c r="S358" s="318">
        <v>1883.039</v>
      </c>
      <c r="T358" s="153">
        <v>41527</v>
      </c>
      <c r="U358" s="136">
        <v>10.8</v>
      </c>
      <c r="Y358" s="136">
        <v>930.59699999999998</v>
      </c>
      <c r="Z358" s="153">
        <v>41527</v>
      </c>
      <c r="AA358" s="318" t="s">
        <v>7718</v>
      </c>
      <c r="AB358" s="153">
        <v>41527</v>
      </c>
      <c r="AE358">
        <v>43.69</v>
      </c>
      <c r="AF358" s="153">
        <v>41527</v>
      </c>
      <c r="AG358" s="136" t="s">
        <v>7718</v>
      </c>
      <c r="AH358" s="153">
        <v>41527</v>
      </c>
      <c r="AI358" s="318">
        <v>140</v>
      </c>
      <c r="AJ358" s="153">
        <v>41527</v>
      </c>
      <c r="BS358" s="318">
        <v>43.1</v>
      </c>
      <c r="BT358" s="153">
        <v>41527</v>
      </c>
      <c r="BU358">
        <v>21.3</v>
      </c>
      <c r="BV358" s="153">
        <v>41527</v>
      </c>
      <c r="CC358" s="136">
        <v>9</v>
      </c>
      <c r="CD358" s="153">
        <v>41527</v>
      </c>
      <c r="CG358" s="136">
        <v>1.0900000000000001</v>
      </c>
      <c r="CH358" s="153">
        <v>41527</v>
      </c>
      <c r="CK358" s="136">
        <v>20</v>
      </c>
    </row>
    <row r="359" spans="1:89">
      <c r="A359" s="154" t="s">
        <v>7857</v>
      </c>
      <c r="B359" t="s">
        <v>259</v>
      </c>
      <c r="C359" t="s">
        <v>7794</v>
      </c>
      <c r="D359">
        <v>60</v>
      </c>
      <c r="E359" s="113">
        <v>6</v>
      </c>
      <c r="F359" s="113">
        <v>55</v>
      </c>
      <c r="K359" s="112">
        <v>3</v>
      </c>
      <c r="L359" s="317">
        <v>41569</v>
      </c>
      <c r="S359" s="318">
        <v>1711.71</v>
      </c>
      <c r="T359" s="153">
        <v>41527</v>
      </c>
      <c r="U359" s="136">
        <v>10.8</v>
      </c>
      <c r="Y359" s="136">
        <v>849.87</v>
      </c>
      <c r="Z359" s="153">
        <v>41527</v>
      </c>
      <c r="AA359" s="318" t="s">
        <v>7718</v>
      </c>
      <c r="AB359" s="153">
        <v>41527</v>
      </c>
      <c r="AE359">
        <v>39.9</v>
      </c>
      <c r="AF359" s="153">
        <v>41527</v>
      </c>
      <c r="AG359" s="136" t="s">
        <v>7718</v>
      </c>
      <c r="AH359" s="153">
        <v>41527</v>
      </c>
      <c r="AI359" s="318">
        <v>115</v>
      </c>
      <c r="AJ359" s="153">
        <v>41527</v>
      </c>
      <c r="BS359" s="318">
        <v>42.9</v>
      </c>
      <c r="BT359" s="153">
        <v>41527</v>
      </c>
      <c r="BU359">
        <v>21.3</v>
      </c>
      <c r="BV359" s="153">
        <v>41527</v>
      </c>
      <c r="CC359" s="136">
        <v>6.1</v>
      </c>
      <c r="CD359" s="153">
        <v>41527</v>
      </c>
      <c r="CG359" s="136">
        <v>4.25</v>
      </c>
      <c r="CH359" s="153">
        <v>41527</v>
      </c>
      <c r="CK359" s="136">
        <v>20</v>
      </c>
    </row>
    <row r="360" spans="1:89">
      <c r="A360" s="154" t="s">
        <v>7857</v>
      </c>
      <c r="B360" t="s">
        <v>257</v>
      </c>
      <c r="C360" t="s">
        <v>7795</v>
      </c>
      <c r="D360">
        <v>60</v>
      </c>
      <c r="E360" s="113">
        <v>4</v>
      </c>
      <c r="F360" s="113">
        <v>85</v>
      </c>
      <c r="K360" s="112">
        <v>5</v>
      </c>
      <c r="L360" s="317">
        <v>41569</v>
      </c>
      <c r="S360" s="318">
        <v>1654.5909999999999</v>
      </c>
      <c r="T360" s="153">
        <v>41527</v>
      </c>
      <c r="U360" s="136">
        <v>10.8</v>
      </c>
      <c r="Y360" s="136">
        <v>734.95500000000004</v>
      </c>
      <c r="Z360" s="153">
        <v>41527</v>
      </c>
      <c r="AA360" s="318" t="s">
        <v>7718</v>
      </c>
      <c r="AB360" s="153">
        <v>41527</v>
      </c>
      <c r="AE360">
        <v>37.69</v>
      </c>
      <c r="AF360" s="153">
        <v>41527</v>
      </c>
      <c r="AG360" s="136" t="s">
        <v>7718</v>
      </c>
      <c r="AH360" s="153">
        <v>41527</v>
      </c>
      <c r="AI360" s="318">
        <v>125</v>
      </c>
      <c r="AJ360" s="153">
        <v>41527</v>
      </c>
      <c r="BS360" s="318">
        <v>43.9</v>
      </c>
      <c r="BT360" s="153">
        <v>41527</v>
      </c>
      <c r="BU360">
        <v>19.5</v>
      </c>
      <c r="BV360" s="153">
        <v>41527</v>
      </c>
      <c r="CC360" s="136">
        <v>8.1</v>
      </c>
      <c r="CD360" s="153">
        <v>41527</v>
      </c>
      <c r="CG360" s="136">
        <v>1.72</v>
      </c>
      <c r="CH360" s="153">
        <v>41527</v>
      </c>
      <c r="CK360" s="136">
        <v>20</v>
      </c>
    </row>
    <row r="361" spans="1:89">
      <c r="A361" s="154" t="s">
        <v>7857</v>
      </c>
      <c r="B361" t="s">
        <v>259</v>
      </c>
      <c r="C361" t="s">
        <v>7795</v>
      </c>
      <c r="D361">
        <v>60</v>
      </c>
      <c r="E361" s="113">
        <v>3</v>
      </c>
      <c r="F361" s="113">
        <v>62</v>
      </c>
      <c r="K361" s="112">
        <v>5</v>
      </c>
      <c r="L361" s="317">
        <v>41569</v>
      </c>
      <c r="S361" s="318">
        <v>2261.2080000000001</v>
      </c>
      <c r="T361" s="153">
        <v>41527</v>
      </c>
      <c r="U361" s="136">
        <v>10.8</v>
      </c>
      <c r="Y361" s="136">
        <v>1173.068</v>
      </c>
      <c r="Z361" s="153">
        <v>41527</v>
      </c>
      <c r="AA361" s="318" t="s">
        <v>7718</v>
      </c>
      <c r="AB361" s="153">
        <v>41527</v>
      </c>
      <c r="AE361">
        <v>53.08</v>
      </c>
      <c r="AF361" s="153">
        <v>41527</v>
      </c>
      <c r="AG361" s="136" t="s">
        <v>7718</v>
      </c>
      <c r="AH361" s="153">
        <v>41527</v>
      </c>
      <c r="AI361" s="318">
        <v>135</v>
      </c>
      <c r="AJ361" s="153">
        <v>41527</v>
      </c>
      <c r="BS361" s="318">
        <v>42.6</v>
      </c>
      <c r="BT361" s="153">
        <v>41527</v>
      </c>
      <c r="BU361">
        <v>22.1</v>
      </c>
      <c r="BV361" s="153">
        <v>41527</v>
      </c>
      <c r="CC361" s="136">
        <v>8.4</v>
      </c>
      <c r="CD361" s="153">
        <v>41527</v>
      </c>
      <c r="CG361" s="136">
        <v>1.28</v>
      </c>
      <c r="CH361" s="153">
        <v>41527</v>
      </c>
      <c r="CK361" s="136">
        <v>20</v>
      </c>
    </row>
    <row r="362" spans="1:89">
      <c r="A362" s="154" t="s">
        <v>7858</v>
      </c>
      <c r="B362" t="s">
        <v>257</v>
      </c>
      <c r="C362" t="s">
        <v>405</v>
      </c>
      <c r="D362">
        <v>61</v>
      </c>
      <c r="E362" s="113">
        <v>6</v>
      </c>
      <c r="F362" s="113">
        <v>24</v>
      </c>
      <c r="K362" s="112">
        <v>5</v>
      </c>
      <c r="L362" s="317">
        <v>41569</v>
      </c>
      <c r="S362" s="318">
        <v>1407.15</v>
      </c>
      <c r="T362" s="153">
        <v>41527</v>
      </c>
      <c r="U362" s="136">
        <v>10.8</v>
      </c>
      <c r="Y362" s="136">
        <v>609.76499999999999</v>
      </c>
      <c r="Z362" s="153">
        <v>41527</v>
      </c>
      <c r="AA362" s="318" t="s">
        <v>7718</v>
      </c>
      <c r="AB362" s="153">
        <v>41527</v>
      </c>
      <c r="AE362">
        <v>31.27</v>
      </c>
      <c r="AF362" s="153">
        <v>41527</v>
      </c>
      <c r="AG362" s="136" t="s">
        <v>7718</v>
      </c>
      <c r="AH362" s="153">
        <v>41527</v>
      </c>
      <c r="AI362" s="318">
        <v>130</v>
      </c>
      <c r="AJ362" s="153">
        <v>41527</v>
      </c>
      <c r="BS362" s="318">
        <v>45</v>
      </c>
      <c r="BT362" s="153">
        <v>41527</v>
      </c>
      <c r="BU362">
        <v>19.5</v>
      </c>
      <c r="BV362" s="153">
        <v>41527</v>
      </c>
      <c r="CC362" s="136">
        <v>8.1</v>
      </c>
      <c r="CD362" s="153">
        <v>41527</v>
      </c>
      <c r="CG362" s="136">
        <v>5.57</v>
      </c>
      <c r="CH362" s="153">
        <v>41527</v>
      </c>
      <c r="CK362" s="136">
        <v>10</v>
      </c>
    </row>
    <row r="363" spans="1:89">
      <c r="A363" s="154" t="s">
        <v>7858</v>
      </c>
      <c r="B363" t="s">
        <v>259</v>
      </c>
      <c r="C363" t="s">
        <v>405</v>
      </c>
      <c r="D363">
        <v>61</v>
      </c>
      <c r="E363" s="113">
        <v>2</v>
      </c>
      <c r="F363" s="113">
        <v>13</v>
      </c>
      <c r="K363" s="112">
        <v>5</v>
      </c>
      <c r="L363" s="317">
        <v>41569</v>
      </c>
      <c r="S363" s="318">
        <v>1944.56</v>
      </c>
      <c r="T363" s="153">
        <v>41527</v>
      </c>
      <c r="U363" s="136">
        <v>10.8</v>
      </c>
      <c r="Y363" s="136">
        <v>958.9</v>
      </c>
      <c r="Z363" s="153">
        <v>41527</v>
      </c>
      <c r="AA363" s="318" t="s">
        <v>7718</v>
      </c>
      <c r="AB363" s="153">
        <v>41527</v>
      </c>
      <c r="AE363">
        <v>44.6</v>
      </c>
      <c r="AF363" s="153">
        <v>41527</v>
      </c>
      <c r="AG363" s="136" t="s">
        <v>7718</v>
      </c>
      <c r="AH363" s="153">
        <v>41527</v>
      </c>
      <c r="AI363" s="318">
        <v>140</v>
      </c>
      <c r="AJ363" s="153">
        <v>41527</v>
      </c>
      <c r="BS363" s="318">
        <v>43.6</v>
      </c>
      <c r="BT363" s="153">
        <v>41527</v>
      </c>
      <c r="BU363">
        <v>21.5</v>
      </c>
      <c r="BV363" s="153">
        <v>41527</v>
      </c>
      <c r="CC363" s="136">
        <v>7.3</v>
      </c>
      <c r="CD363" s="153">
        <v>41527</v>
      </c>
      <c r="CG363" s="136">
        <v>1.78</v>
      </c>
      <c r="CH363" s="153">
        <v>41527</v>
      </c>
      <c r="CK363" s="136">
        <v>20</v>
      </c>
    </row>
    <row r="364" spans="1:89">
      <c r="A364" s="154" t="s">
        <v>7858</v>
      </c>
      <c r="B364" t="s">
        <v>257</v>
      </c>
      <c r="C364" t="s">
        <v>7794</v>
      </c>
      <c r="D364">
        <v>61</v>
      </c>
      <c r="E364" s="113">
        <v>2</v>
      </c>
      <c r="F364" s="113">
        <v>39</v>
      </c>
      <c r="K364" s="112">
        <v>5</v>
      </c>
      <c r="L364" s="317">
        <v>41569</v>
      </c>
      <c r="S364" s="318">
        <v>1793.306</v>
      </c>
      <c r="T364" s="153">
        <v>41527</v>
      </c>
      <c r="U364" s="136">
        <v>10.8</v>
      </c>
      <c r="Y364" s="136">
        <v>802.79399999999998</v>
      </c>
      <c r="Z364" s="153">
        <v>41527</v>
      </c>
      <c r="AA364" s="318" t="s">
        <v>7718</v>
      </c>
      <c r="AB364" s="153">
        <v>41527</v>
      </c>
      <c r="AE364">
        <v>39.94</v>
      </c>
      <c r="AF364" s="153">
        <v>41527</v>
      </c>
      <c r="AG364" s="136" t="s">
        <v>7718</v>
      </c>
      <c r="AH364" s="153">
        <v>41527</v>
      </c>
      <c r="AI364" s="318">
        <v>145</v>
      </c>
      <c r="AJ364" s="153">
        <v>41527</v>
      </c>
      <c r="BS364" s="318">
        <v>44.9</v>
      </c>
      <c r="BT364" s="153">
        <v>41527</v>
      </c>
      <c r="BU364">
        <v>20.100000000000001</v>
      </c>
      <c r="BV364" s="153">
        <v>41527</v>
      </c>
      <c r="CC364" s="136">
        <v>8.1999999999999993</v>
      </c>
      <c r="CD364" s="153">
        <v>41527</v>
      </c>
      <c r="CG364" s="136">
        <v>1.62</v>
      </c>
      <c r="CH364" s="153">
        <v>41527</v>
      </c>
      <c r="CK364" s="136">
        <v>20</v>
      </c>
    </row>
    <row r="365" spans="1:89">
      <c r="A365" s="154" t="s">
        <v>7858</v>
      </c>
      <c r="B365" t="s">
        <v>259</v>
      </c>
      <c r="C365" t="s">
        <v>7794</v>
      </c>
      <c r="D365">
        <v>61</v>
      </c>
      <c r="E365" s="113">
        <v>6</v>
      </c>
      <c r="F365" s="113">
        <v>46</v>
      </c>
      <c r="K365" s="112">
        <v>3</v>
      </c>
      <c r="L365" s="317">
        <v>41569</v>
      </c>
      <c r="S365" s="318">
        <v>1773.204</v>
      </c>
      <c r="T365" s="153">
        <v>41527</v>
      </c>
      <c r="U365" s="136">
        <v>10.8</v>
      </c>
      <c r="Y365" s="136">
        <v>907.31700000000001</v>
      </c>
      <c r="Z365" s="153">
        <v>41527</v>
      </c>
      <c r="AA365" s="318" t="s">
        <v>7718</v>
      </c>
      <c r="AB365" s="153">
        <v>41527</v>
      </c>
      <c r="AE365">
        <v>41.43</v>
      </c>
      <c r="AF365" s="153">
        <v>41527</v>
      </c>
      <c r="AG365" s="136" t="s">
        <v>7718</v>
      </c>
      <c r="AH365" s="153">
        <v>41527</v>
      </c>
      <c r="AI365" s="318">
        <v>130</v>
      </c>
      <c r="AJ365" s="153">
        <v>41527</v>
      </c>
      <c r="BS365" s="318">
        <v>42.8</v>
      </c>
      <c r="BT365" s="153">
        <v>41527</v>
      </c>
      <c r="BU365">
        <v>21.9</v>
      </c>
      <c r="BV365" s="153">
        <v>41527</v>
      </c>
      <c r="CC365" s="136">
        <v>7.8</v>
      </c>
      <c r="CD365" s="153">
        <v>41527</v>
      </c>
      <c r="CG365" s="136">
        <v>4.4400000000000004</v>
      </c>
      <c r="CH365" s="153">
        <v>41527</v>
      </c>
      <c r="CK365" s="136">
        <v>20</v>
      </c>
    </row>
    <row r="366" spans="1:89">
      <c r="A366" s="154" t="s">
        <v>7858</v>
      </c>
      <c r="B366" t="s">
        <v>257</v>
      </c>
      <c r="C366" t="s">
        <v>7795</v>
      </c>
      <c r="D366">
        <v>61</v>
      </c>
      <c r="E366" s="113">
        <v>5</v>
      </c>
      <c r="F366" s="113">
        <v>70</v>
      </c>
      <c r="K366" s="112">
        <v>5</v>
      </c>
      <c r="L366" s="317">
        <v>41569</v>
      </c>
      <c r="S366" s="318">
        <v>1458.114</v>
      </c>
      <c r="T366" s="153">
        <v>41527</v>
      </c>
      <c r="U366" s="136">
        <v>10.8</v>
      </c>
      <c r="Y366" s="136">
        <v>665.44799999999998</v>
      </c>
      <c r="Z366" s="153">
        <v>41527</v>
      </c>
      <c r="AA366" s="318" t="s">
        <v>7718</v>
      </c>
      <c r="AB366" s="153">
        <v>41527</v>
      </c>
      <c r="AE366">
        <v>32.619999999999997</v>
      </c>
      <c r="AF366" s="153">
        <v>41527</v>
      </c>
      <c r="AG366" s="136" t="s">
        <v>7718</v>
      </c>
      <c r="AH366" s="153">
        <v>41527</v>
      </c>
      <c r="AI366" s="318">
        <v>125</v>
      </c>
      <c r="AJ366" s="153">
        <v>41527</v>
      </c>
      <c r="BS366" s="318">
        <v>44.7</v>
      </c>
      <c r="BT366" s="153">
        <v>41527</v>
      </c>
      <c r="BU366">
        <v>20.399999999999999</v>
      </c>
      <c r="BV366" s="153">
        <v>41527</v>
      </c>
      <c r="CC366" s="136">
        <v>6.6</v>
      </c>
      <c r="CD366" s="153">
        <v>41527</v>
      </c>
      <c r="CG366" s="136">
        <v>1.93</v>
      </c>
      <c r="CH366" s="153">
        <v>41527</v>
      </c>
      <c r="CK366" s="136">
        <v>20</v>
      </c>
    </row>
    <row r="367" spans="1:89">
      <c r="A367" s="154" t="s">
        <v>7858</v>
      </c>
      <c r="B367" t="s">
        <v>259</v>
      </c>
      <c r="C367" t="s">
        <v>7795</v>
      </c>
      <c r="D367">
        <v>61</v>
      </c>
      <c r="E367" s="113">
        <v>1</v>
      </c>
      <c r="F367" s="113">
        <v>84</v>
      </c>
      <c r="K367" s="112">
        <v>5</v>
      </c>
      <c r="L367" s="317">
        <v>41569</v>
      </c>
      <c r="S367" s="318">
        <v>1640.079</v>
      </c>
      <c r="T367" s="153">
        <v>41527</v>
      </c>
      <c r="U367" s="136">
        <v>10.8</v>
      </c>
      <c r="Y367" s="136">
        <v>766.11400000000003</v>
      </c>
      <c r="Z367" s="153">
        <v>41527</v>
      </c>
      <c r="AA367" s="318" t="s">
        <v>7718</v>
      </c>
      <c r="AB367" s="153">
        <v>41527</v>
      </c>
      <c r="AE367">
        <v>37.19</v>
      </c>
      <c r="AF367" s="153">
        <v>41527</v>
      </c>
      <c r="AG367" s="136" t="s">
        <v>7718</v>
      </c>
      <c r="AH367" s="153">
        <v>41527</v>
      </c>
      <c r="AI367" s="318">
        <v>140</v>
      </c>
      <c r="AJ367" s="153">
        <v>41527</v>
      </c>
      <c r="BS367" s="318">
        <v>44.1</v>
      </c>
      <c r="BT367" s="153">
        <v>41527</v>
      </c>
      <c r="BU367">
        <v>20.6</v>
      </c>
      <c r="BV367" s="153">
        <v>41527</v>
      </c>
      <c r="CC367" s="136">
        <v>9.9</v>
      </c>
      <c r="CD367" s="153">
        <v>41527</v>
      </c>
      <c r="CG367" s="136">
        <v>4.9000000000000004</v>
      </c>
      <c r="CH367" s="153">
        <v>41527</v>
      </c>
      <c r="CK367" s="136">
        <v>20</v>
      </c>
    </row>
    <row r="368" spans="1:89">
      <c r="A368" s="154" t="s">
        <v>7859</v>
      </c>
      <c r="B368" t="s">
        <v>257</v>
      </c>
      <c r="C368" t="s">
        <v>405</v>
      </c>
      <c r="D368">
        <v>62</v>
      </c>
      <c r="E368" s="113">
        <v>5</v>
      </c>
      <c r="F368" s="113">
        <v>2</v>
      </c>
      <c r="K368" s="112">
        <v>5</v>
      </c>
      <c r="L368" s="317">
        <v>41569</v>
      </c>
      <c r="S368" s="318">
        <v>1360.59</v>
      </c>
      <c r="T368" s="153">
        <v>41527</v>
      </c>
      <c r="U368" s="136">
        <v>10.8</v>
      </c>
      <c r="Y368" s="136">
        <v>611.32500000000005</v>
      </c>
      <c r="Z368" s="153">
        <v>41527</v>
      </c>
      <c r="AA368" s="318" t="s">
        <v>7718</v>
      </c>
      <c r="AB368" s="153">
        <v>41527</v>
      </c>
      <c r="AE368">
        <v>31.35</v>
      </c>
      <c r="AF368" s="153">
        <v>41527</v>
      </c>
      <c r="AG368" s="136" t="s">
        <v>7718</v>
      </c>
      <c r="AH368" s="153">
        <v>41527</v>
      </c>
      <c r="AI368" s="318">
        <v>135</v>
      </c>
      <c r="AJ368" s="153">
        <v>41527</v>
      </c>
      <c r="BS368" s="318">
        <v>43.4</v>
      </c>
      <c r="BT368" s="153">
        <v>41527</v>
      </c>
      <c r="BU368">
        <v>19.5</v>
      </c>
      <c r="BV368" s="153">
        <v>41527</v>
      </c>
      <c r="CC368" s="136">
        <v>11.4</v>
      </c>
      <c r="CD368" s="153">
        <v>41527</v>
      </c>
      <c r="CG368" s="136">
        <v>5.1100000000000003</v>
      </c>
      <c r="CH368" s="153">
        <v>41527</v>
      </c>
      <c r="CK368" s="136">
        <v>30</v>
      </c>
    </row>
    <row r="369" spans="1:89">
      <c r="A369" s="154" t="s">
        <v>7859</v>
      </c>
      <c r="B369" t="s">
        <v>259</v>
      </c>
      <c r="C369" t="s">
        <v>405</v>
      </c>
      <c r="D369">
        <v>62</v>
      </c>
      <c r="E369" s="113">
        <v>3</v>
      </c>
      <c r="F369" s="113">
        <v>29</v>
      </c>
      <c r="K369" s="112">
        <v>5</v>
      </c>
      <c r="L369" s="317">
        <v>41569</v>
      </c>
      <c r="S369" s="318">
        <v>1902.1859999999999</v>
      </c>
      <c r="T369" s="153">
        <v>41527</v>
      </c>
      <c r="U369" s="136">
        <v>10.8</v>
      </c>
      <c r="Y369" s="136">
        <v>922.27200000000005</v>
      </c>
      <c r="Z369" s="153">
        <v>41527</v>
      </c>
      <c r="AA369" s="318" t="s">
        <v>7718</v>
      </c>
      <c r="AB369" s="153">
        <v>41527</v>
      </c>
      <c r="AE369">
        <v>44.34</v>
      </c>
      <c r="AF369" s="153">
        <v>41527</v>
      </c>
      <c r="AG369" s="136" t="s">
        <v>7718</v>
      </c>
      <c r="AH369" s="153">
        <v>41527</v>
      </c>
      <c r="AI369" s="318">
        <v>145</v>
      </c>
      <c r="AJ369" s="153">
        <v>41527</v>
      </c>
      <c r="BS369" s="318">
        <v>42.9</v>
      </c>
      <c r="BT369" s="153">
        <v>41527</v>
      </c>
      <c r="BU369">
        <v>20.8</v>
      </c>
      <c r="BV369" s="153">
        <v>41527</v>
      </c>
      <c r="CC369" s="136">
        <v>12.8</v>
      </c>
      <c r="CD369" s="153">
        <v>41527</v>
      </c>
      <c r="CG369" s="136">
        <v>3.79</v>
      </c>
      <c r="CH369" s="153">
        <v>41527</v>
      </c>
      <c r="CK369" s="136">
        <v>20</v>
      </c>
    </row>
    <row r="370" spans="1:89">
      <c r="A370" s="154" t="s">
        <v>7859</v>
      </c>
      <c r="B370" t="s">
        <v>257</v>
      </c>
      <c r="C370" t="s">
        <v>7794</v>
      </c>
      <c r="D370">
        <v>62</v>
      </c>
      <c r="E370" s="113">
        <v>2</v>
      </c>
      <c r="F370" s="113">
        <v>40</v>
      </c>
      <c r="K370" s="112">
        <v>5</v>
      </c>
      <c r="L370" s="317">
        <v>41569</v>
      </c>
      <c r="S370" s="318">
        <v>1944.81</v>
      </c>
      <c r="T370" s="153">
        <v>41527</v>
      </c>
      <c r="U370" s="136">
        <v>10.8</v>
      </c>
      <c r="Y370" s="136">
        <v>846.72</v>
      </c>
      <c r="Z370" s="153">
        <v>41527</v>
      </c>
      <c r="AA370" s="318" t="s">
        <v>7718</v>
      </c>
      <c r="AB370" s="153">
        <v>41527</v>
      </c>
      <c r="AE370">
        <v>44.1</v>
      </c>
      <c r="AF370" s="153">
        <v>41527</v>
      </c>
      <c r="AG370" s="136" t="s">
        <v>7718</v>
      </c>
      <c r="AH370" s="153">
        <v>41527</v>
      </c>
      <c r="AI370" s="318">
        <v>150</v>
      </c>
      <c r="AJ370" s="153">
        <v>41527</v>
      </c>
      <c r="BS370" s="318">
        <v>44.1</v>
      </c>
      <c r="BT370" s="153">
        <v>41527</v>
      </c>
      <c r="BU370">
        <v>19.2</v>
      </c>
      <c r="BV370" s="153">
        <v>41527</v>
      </c>
      <c r="CC370" s="136">
        <v>8</v>
      </c>
      <c r="CD370" s="153">
        <v>41527</v>
      </c>
      <c r="CG370" s="136">
        <v>2.42</v>
      </c>
      <c r="CH370" s="153">
        <v>41527</v>
      </c>
      <c r="CK370" s="136">
        <v>30</v>
      </c>
    </row>
    <row r="371" spans="1:89">
      <c r="A371" s="154" t="s">
        <v>7859</v>
      </c>
      <c r="B371" t="s">
        <v>259</v>
      </c>
      <c r="C371" t="s">
        <v>7794</v>
      </c>
      <c r="D371">
        <v>62</v>
      </c>
      <c r="E371" s="113">
        <v>4</v>
      </c>
      <c r="F371" s="113">
        <v>50</v>
      </c>
      <c r="K371" s="112">
        <v>3</v>
      </c>
      <c r="L371" s="317">
        <v>41569</v>
      </c>
      <c r="S371" s="318">
        <v>1845.1110000000001</v>
      </c>
      <c r="T371" s="153">
        <v>41527</v>
      </c>
      <c r="U371" s="136">
        <v>10.8</v>
      </c>
      <c r="Y371" s="136">
        <v>860.48099999999999</v>
      </c>
      <c r="Z371" s="153">
        <v>41527</v>
      </c>
      <c r="AA371" s="318" t="s">
        <v>7718</v>
      </c>
      <c r="AB371" s="153">
        <v>41527</v>
      </c>
      <c r="AE371">
        <v>42.81</v>
      </c>
      <c r="AF371" s="153">
        <v>41527</v>
      </c>
      <c r="AG371" s="136" t="s">
        <v>7718</v>
      </c>
      <c r="AH371" s="153">
        <v>41527</v>
      </c>
      <c r="AI371" s="318">
        <v>140</v>
      </c>
      <c r="AJ371" s="153">
        <v>41527</v>
      </c>
      <c r="BS371" s="318">
        <v>43.1</v>
      </c>
      <c r="BT371" s="153">
        <v>41527</v>
      </c>
      <c r="BU371">
        <v>20.100000000000001</v>
      </c>
      <c r="BV371" s="153">
        <v>41527</v>
      </c>
      <c r="CC371" s="136">
        <v>10</v>
      </c>
      <c r="CD371" s="153">
        <v>41527</v>
      </c>
      <c r="CG371" s="136">
        <v>4.5599999999999996</v>
      </c>
      <c r="CH371" s="153">
        <v>41527</v>
      </c>
      <c r="CK371" s="136">
        <v>30</v>
      </c>
    </row>
    <row r="372" spans="1:89">
      <c r="A372" s="154" t="s">
        <v>7859</v>
      </c>
      <c r="B372" t="s">
        <v>257</v>
      </c>
      <c r="C372" t="s">
        <v>7795</v>
      </c>
      <c r="D372">
        <v>62</v>
      </c>
      <c r="E372" s="113">
        <v>4</v>
      </c>
      <c r="F372" s="113">
        <v>74</v>
      </c>
      <c r="K372" s="112">
        <v>5</v>
      </c>
      <c r="L372" s="317">
        <v>41569</v>
      </c>
      <c r="S372" s="318">
        <v>1700.16</v>
      </c>
      <c r="T372" s="153">
        <v>41527</v>
      </c>
      <c r="U372" s="136">
        <v>10.8</v>
      </c>
      <c r="Y372" s="136">
        <v>741.88800000000003</v>
      </c>
      <c r="Z372" s="153">
        <v>41527</v>
      </c>
      <c r="AA372" s="318" t="s">
        <v>7718</v>
      </c>
      <c r="AB372" s="153">
        <v>41527</v>
      </c>
      <c r="AE372">
        <v>38.64</v>
      </c>
      <c r="AF372" s="153">
        <v>41527</v>
      </c>
      <c r="AG372" s="136" t="s">
        <v>7718</v>
      </c>
      <c r="AH372" s="153">
        <v>41527</v>
      </c>
      <c r="AI372" s="318">
        <v>145</v>
      </c>
      <c r="AJ372" s="153">
        <v>41527</v>
      </c>
      <c r="BS372" s="318">
        <v>44</v>
      </c>
      <c r="BT372" s="153">
        <v>41527</v>
      </c>
      <c r="BU372">
        <v>19.2</v>
      </c>
      <c r="BV372" s="153">
        <v>41527</v>
      </c>
      <c r="CC372" s="136">
        <v>5.5</v>
      </c>
      <c r="CD372" s="153">
        <v>41527</v>
      </c>
      <c r="CG372" s="136">
        <v>2.74</v>
      </c>
      <c r="CH372" s="153">
        <v>41527</v>
      </c>
      <c r="CK372" s="136">
        <v>20</v>
      </c>
    </row>
    <row r="373" spans="1:89">
      <c r="A373" s="154" t="s">
        <v>7859</v>
      </c>
      <c r="B373" t="s">
        <v>259</v>
      </c>
      <c r="C373" t="s">
        <v>7795</v>
      </c>
      <c r="D373">
        <v>62</v>
      </c>
      <c r="E373" s="113">
        <v>2</v>
      </c>
      <c r="F373" s="113">
        <v>85</v>
      </c>
      <c r="K373" s="112">
        <v>5</v>
      </c>
      <c r="L373" s="317">
        <v>41569</v>
      </c>
      <c r="S373" s="318">
        <v>1844.64</v>
      </c>
      <c r="T373" s="153">
        <v>41527</v>
      </c>
      <c r="U373" s="136">
        <v>10.8</v>
      </c>
      <c r="Y373" s="136">
        <v>876.96</v>
      </c>
      <c r="Z373" s="153">
        <v>41527</v>
      </c>
      <c r="AA373" s="318" t="s">
        <v>7718</v>
      </c>
      <c r="AB373" s="153">
        <v>41527</v>
      </c>
      <c r="AE373">
        <v>43.2</v>
      </c>
      <c r="AF373" s="153">
        <v>41527</v>
      </c>
      <c r="AG373" s="136" t="s">
        <v>7718</v>
      </c>
      <c r="AH373" s="153">
        <v>41527</v>
      </c>
      <c r="AI373" s="318">
        <v>135</v>
      </c>
      <c r="AJ373" s="153">
        <v>41527</v>
      </c>
      <c r="BS373" s="318">
        <v>42.7</v>
      </c>
      <c r="BT373" s="153">
        <v>41527</v>
      </c>
      <c r="BU373">
        <v>20.3</v>
      </c>
      <c r="BV373" s="153">
        <v>41527</v>
      </c>
      <c r="CC373" s="136">
        <v>9.8000000000000007</v>
      </c>
      <c r="CD373" s="153">
        <v>41527</v>
      </c>
      <c r="CG373" s="136">
        <v>4.93</v>
      </c>
      <c r="CH373" s="153">
        <v>41527</v>
      </c>
      <c r="CK373" s="136">
        <v>30</v>
      </c>
    </row>
    <row r="374" spans="1:89">
      <c r="A374" s="154" t="s">
        <v>7860</v>
      </c>
      <c r="B374" t="s">
        <v>257</v>
      </c>
      <c r="C374" t="s">
        <v>405</v>
      </c>
      <c r="D374">
        <v>63</v>
      </c>
      <c r="E374" s="113">
        <v>4</v>
      </c>
      <c r="F374" s="113">
        <v>11</v>
      </c>
      <c r="K374" s="112">
        <v>5</v>
      </c>
      <c r="L374" s="317">
        <v>41569</v>
      </c>
      <c r="S374" s="318">
        <v>1696.365</v>
      </c>
      <c r="T374" s="153">
        <v>41527</v>
      </c>
      <c r="U374" s="136">
        <v>10.8</v>
      </c>
      <c r="Y374" s="136">
        <v>770.38499999999999</v>
      </c>
      <c r="Z374" s="153">
        <v>41527</v>
      </c>
      <c r="AA374" s="318" t="s">
        <v>7718</v>
      </c>
      <c r="AB374" s="153">
        <v>41527</v>
      </c>
      <c r="AE374">
        <v>37.950000000000003</v>
      </c>
      <c r="AF374" s="153">
        <v>41527</v>
      </c>
      <c r="AG374" s="136" t="s">
        <v>7718</v>
      </c>
      <c r="AH374" s="153">
        <v>41527</v>
      </c>
      <c r="AI374" s="318">
        <v>125</v>
      </c>
      <c r="AJ374" s="153">
        <v>41527</v>
      </c>
      <c r="BS374" s="318">
        <v>44.7</v>
      </c>
      <c r="BT374" s="153">
        <v>41527</v>
      </c>
      <c r="BU374">
        <v>20.3</v>
      </c>
      <c r="BV374" s="153">
        <v>41527</v>
      </c>
      <c r="CC374" s="136">
        <v>7.5</v>
      </c>
      <c r="CD374" s="153">
        <v>41527</v>
      </c>
      <c r="CG374" s="136">
        <v>1.03</v>
      </c>
      <c r="CH374" s="153">
        <v>41527</v>
      </c>
      <c r="CK374" s="136">
        <v>5</v>
      </c>
    </row>
    <row r="375" spans="1:89">
      <c r="A375" s="154" t="s">
        <v>7860</v>
      </c>
      <c r="B375" t="s">
        <v>259</v>
      </c>
      <c r="C375" t="s">
        <v>405</v>
      </c>
      <c r="D375">
        <v>63</v>
      </c>
      <c r="E375" s="113">
        <v>2</v>
      </c>
      <c r="F375" s="113">
        <v>22</v>
      </c>
      <c r="K375" s="112">
        <v>5</v>
      </c>
      <c r="L375" s="317">
        <v>41569</v>
      </c>
      <c r="S375" s="318">
        <v>2203.71</v>
      </c>
      <c r="T375" s="153">
        <v>41527</v>
      </c>
      <c r="U375" s="136">
        <v>10.8</v>
      </c>
      <c r="Y375" s="136">
        <v>1079.058</v>
      </c>
      <c r="Z375" s="153">
        <v>41527</v>
      </c>
      <c r="AA375" s="318" t="s">
        <v>7718</v>
      </c>
      <c r="AB375" s="153">
        <v>41527</v>
      </c>
      <c r="AE375">
        <v>50.66</v>
      </c>
      <c r="AF375" s="153">
        <v>41527</v>
      </c>
      <c r="AG375" s="136" t="s">
        <v>7718</v>
      </c>
      <c r="AH375" s="153">
        <v>41527</v>
      </c>
      <c r="AI375" s="318">
        <v>145</v>
      </c>
      <c r="AJ375" s="153">
        <v>41527</v>
      </c>
      <c r="BS375" s="318">
        <v>43.5</v>
      </c>
      <c r="BT375" s="153">
        <v>41527</v>
      </c>
      <c r="BU375">
        <v>21.3</v>
      </c>
      <c r="BV375" s="153">
        <v>41527</v>
      </c>
      <c r="CC375" s="136">
        <v>8.4</v>
      </c>
      <c r="CD375" s="153">
        <v>41527</v>
      </c>
      <c r="CG375" s="136">
        <v>1.02</v>
      </c>
      <c r="CH375" s="153">
        <v>41527</v>
      </c>
      <c r="CK375" s="136">
        <v>20</v>
      </c>
    </row>
    <row r="376" spans="1:89">
      <c r="A376" s="154" t="s">
        <v>7860</v>
      </c>
      <c r="B376" t="s">
        <v>257</v>
      </c>
      <c r="C376" t="s">
        <v>7794</v>
      </c>
      <c r="D376">
        <v>63</v>
      </c>
      <c r="E376" s="113">
        <v>3</v>
      </c>
      <c r="F376" s="113">
        <v>33</v>
      </c>
      <c r="K376" s="112">
        <v>5</v>
      </c>
      <c r="L376" s="317">
        <v>41569</v>
      </c>
      <c r="S376" s="318">
        <v>1944.768</v>
      </c>
      <c r="T376" s="153">
        <v>41527</v>
      </c>
      <c r="U376" s="136">
        <v>10.8</v>
      </c>
      <c r="Y376" s="136">
        <v>833.47199999999998</v>
      </c>
      <c r="Z376" s="153">
        <v>41527</v>
      </c>
      <c r="AA376" s="318" t="s">
        <v>7718</v>
      </c>
      <c r="AB376" s="153">
        <v>41527</v>
      </c>
      <c r="AE376">
        <v>43.41</v>
      </c>
      <c r="AF376" s="153">
        <v>41527</v>
      </c>
      <c r="AG376" s="136" t="s">
        <v>7718</v>
      </c>
      <c r="AH376" s="153">
        <v>41527</v>
      </c>
      <c r="AI376" s="318">
        <v>145</v>
      </c>
      <c r="AJ376" s="153">
        <v>41527</v>
      </c>
      <c r="BS376" s="318">
        <v>44.8</v>
      </c>
      <c r="BT376" s="153">
        <v>41527</v>
      </c>
      <c r="BU376">
        <v>19.2</v>
      </c>
      <c r="BV376" s="153">
        <v>41527</v>
      </c>
      <c r="CC376" s="136">
        <v>7</v>
      </c>
      <c r="CD376" s="153">
        <v>41527</v>
      </c>
      <c r="CG376" s="136">
        <v>3.01</v>
      </c>
      <c r="CH376" s="153">
        <v>41527</v>
      </c>
      <c r="CK376" s="136">
        <v>10</v>
      </c>
    </row>
    <row r="377" spans="1:89">
      <c r="A377" s="154" t="s">
        <v>7860</v>
      </c>
      <c r="B377" t="s">
        <v>259</v>
      </c>
      <c r="C377" t="s">
        <v>7794</v>
      </c>
      <c r="D377">
        <v>63</v>
      </c>
      <c r="E377" s="113">
        <v>5</v>
      </c>
      <c r="F377" s="113">
        <v>41</v>
      </c>
      <c r="K377" s="112">
        <v>5</v>
      </c>
      <c r="L377" s="317">
        <v>41569</v>
      </c>
      <c r="S377" s="318">
        <v>2461</v>
      </c>
      <c r="T377" s="153">
        <v>41527</v>
      </c>
      <c r="U377" s="136">
        <v>10.8</v>
      </c>
      <c r="Y377" s="136">
        <v>1259.25</v>
      </c>
      <c r="Z377" s="153">
        <v>41527</v>
      </c>
      <c r="AA377" s="318" t="s">
        <v>7718</v>
      </c>
      <c r="AB377" s="153">
        <v>41527</v>
      </c>
      <c r="AE377">
        <v>57.5</v>
      </c>
      <c r="AF377" s="153">
        <v>41527</v>
      </c>
      <c r="AG377" s="136" t="s">
        <v>7718</v>
      </c>
      <c r="AH377" s="153">
        <v>41527</v>
      </c>
      <c r="AI377" s="318">
        <v>140</v>
      </c>
      <c r="AJ377" s="153">
        <v>41527</v>
      </c>
      <c r="BS377" s="318">
        <v>42.8</v>
      </c>
      <c r="BT377" s="153">
        <v>41527</v>
      </c>
      <c r="BU377">
        <v>21.9</v>
      </c>
      <c r="BV377" s="153">
        <v>41527</v>
      </c>
      <c r="CC377" s="136">
        <v>7.8</v>
      </c>
      <c r="CD377" s="153">
        <v>41527</v>
      </c>
      <c r="CG377" s="136">
        <v>1.91</v>
      </c>
      <c r="CH377" s="153">
        <v>41527</v>
      </c>
      <c r="CK377" s="136">
        <v>10</v>
      </c>
    </row>
    <row r="378" spans="1:89">
      <c r="A378" s="154" t="s">
        <v>7860</v>
      </c>
      <c r="B378" t="s">
        <v>257</v>
      </c>
      <c r="C378" t="s">
        <v>7795</v>
      </c>
      <c r="D378">
        <v>63</v>
      </c>
      <c r="E378" s="113">
        <v>5</v>
      </c>
      <c r="F378" s="113">
        <v>64</v>
      </c>
      <c r="K378" s="112">
        <v>5</v>
      </c>
      <c r="L378" s="317">
        <v>41569</v>
      </c>
      <c r="S378" s="318">
        <v>2034</v>
      </c>
      <c r="T378" s="153">
        <v>41527</v>
      </c>
      <c r="U378" s="136">
        <v>10.8</v>
      </c>
      <c r="Y378" s="136">
        <v>877.5</v>
      </c>
      <c r="Z378" s="153">
        <v>41527</v>
      </c>
      <c r="AA378" s="318" t="s">
        <v>7718</v>
      </c>
      <c r="AB378" s="153">
        <v>41527</v>
      </c>
      <c r="AE378">
        <v>45</v>
      </c>
      <c r="AF378" s="153">
        <v>41527</v>
      </c>
      <c r="AG378" s="136" t="s">
        <v>7718</v>
      </c>
      <c r="AH378" s="153">
        <v>41527</v>
      </c>
      <c r="AI378" s="318">
        <v>135</v>
      </c>
      <c r="AJ378" s="153">
        <v>41527</v>
      </c>
      <c r="BS378" s="318">
        <v>45.2</v>
      </c>
      <c r="BT378" s="153">
        <v>41527</v>
      </c>
      <c r="BU378">
        <v>19.5</v>
      </c>
      <c r="BV378" s="153">
        <v>41527</v>
      </c>
      <c r="CC378" s="136">
        <v>6.8</v>
      </c>
      <c r="CD378" s="153">
        <v>41527</v>
      </c>
      <c r="CG378" s="136">
        <v>0.89</v>
      </c>
      <c r="CH378" s="153">
        <v>41527</v>
      </c>
      <c r="CK378" s="136">
        <v>5</v>
      </c>
    </row>
    <row r="379" spans="1:89">
      <c r="A379" s="154" t="s">
        <v>7860</v>
      </c>
      <c r="B379" t="s">
        <v>259</v>
      </c>
      <c r="C379" t="s">
        <v>7795</v>
      </c>
      <c r="D379">
        <v>63</v>
      </c>
      <c r="E379" s="113">
        <v>1</v>
      </c>
      <c r="F379" s="113">
        <v>66</v>
      </c>
      <c r="K379" s="112">
        <v>5</v>
      </c>
      <c r="L379" s="317">
        <v>41569</v>
      </c>
      <c r="S379" s="318">
        <v>1938.104</v>
      </c>
      <c r="T379" s="153">
        <v>41527</v>
      </c>
      <c r="U379" s="136">
        <v>10.8</v>
      </c>
      <c r="Y379" s="136">
        <v>1001.049</v>
      </c>
      <c r="Z379" s="153">
        <v>41527</v>
      </c>
      <c r="AA379" s="318" t="s">
        <v>7718</v>
      </c>
      <c r="AB379" s="153">
        <v>41527</v>
      </c>
      <c r="AE379">
        <v>45.71</v>
      </c>
      <c r="AF379" s="153">
        <v>41527</v>
      </c>
      <c r="AG379" s="136" t="s">
        <v>7718</v>
      </c>
      <c r="AH379" s="153">
        <v>41527</v>
      </c>
      <c r="AI379" s="318">
        <v>140</v>
      </c>
      <c r="AJ379" s="153">
        <v>41527</v>
      </c>
      <c r="BS379" s="318">
        <v>42.4</v>
      </c>
      <c r="BT379" s="153">
        <v>41527</v>
      </c>
      <c r="BU379">
        <v>21.9</v>
      </c>
      <c r="BV379" s="153">
        <v>41527</v>
      </c>
      <c r="CC379" s="136">
        <v>7.8</v>
      </c>
      <c r="CD379" s="153">
        <v>41527</v>
      </c>
      <c r="CG379" s="136">
        <v>3.14</v>
      </c>
      <c r="CH379" s="153">
        <v>41527</v>
      </c>
      <c r="CK379" s="136">
        <v>5</v>
      </c>
    </row>
    <row r="380" spans="1:89">
      <c r="A380" s="154" t="s">
        <v>7861</v>
      </c>
      <c r="B380" t="s">
        <v>257</v>
      </c>
      <c r="C380" t="s">
        <v>405</v>
      </c>
      <c r="D380">
        <v>64</v>
      </c>
      <c r="E380" s="113">
        <v>4</v>
      </c>
      <c r="F380" s="113">
        <v>5</v>
      </c>
      <c r="K380" s="112">
        <v>5</v>
      </c>
      <c r="L380" s="317">
        <v>41569</v>
      </c>
      <c r="S380" s="318">
        <v>1894.64</v>
      </c>
      <c r="T380" s="153">
        <v>41527</v>
      </c>
      <c r="U380" s="136">
        <v>10.8</v>
      </c>
      <c r="Y380" s="136">
        <v>861.2</v>
      </c>
      <c r="Z380" s="153">
        <v>41527</v>
      </c>
      <c r="AA380" s="318" t="s">
        <v>7718</v>
      </c>
      <c r="AB380" s="153">
        <v>41527</v>
      </c>
      <c r="AE380">
        <v>43.06</v>
      </c>
      <c r="AF380" s="153">
        <v>41527</v>
      </c>
      <c r="AG380" s="136" t="s">
        <v>7718</v>
      </c>
      <c r="AH380" s="153">
        <v>41527</v>
      </c>
      <c r="AI380" s="318">
        <v>130</v>
      </c>
      <c r="AJ380" s="153">
        <v>41527</v>
      </c>
      <c r="BS380" s="318">
        <v>44</v>
      </c>
      <c r="BT380" s="153">
        <v>41527</v>
      </c>
      <c r="BU380">
        <v>20</v>
      </c>
      <c r="BV380" s="153">
        <v>41527</v>
      </c>
      <c r="CC380" s="136">
        <v>10</v>
      </c>
      <c r="CD380" s="153">
        <v>41527</v>
      </c>
      <c r="CG380" s="136">
        <v>1.1000000000000001</v>
      </c>
      <c r="CH380" s="153">
        <v>41527</v>
      </c>
      <c r="CK380" s="136">
        <v>20</v>
      </c>
    </row>
    <row r="381" spans="1:89">
      <c r="A381" s="154" t="s">
        <v>7861</v>
      </c>
      <c r="B381" t="s">
        <v>259</v>
      </c>
      <c r="C381" t="s">
        <v>405</v>
      </c>
      <c r="D381">
        <v>64</v>
      </c>
      <c r="E381" s="113">
        <v>2</v>
      </c>
      <c r="F381" s="113">
        <v>5</v>
      </c>
      <c r="K381" s="112">
        <v>5</v>
      </c>
      <c r="L381" s="317">
        <v>41569</v>
      </c>
      <c r="S381" s="318">
        <v>2438.598</v>
      </c>
      <c r="T381" s="153">
        <v>41527</v>
      </c>
      <c r="U381" s="136">
        <v>10.8</v>
      </c>
      <c r="Y381" s="136">
        <v>1216.47</v>
      </c>
      <c r="Z381" s="153">
        <v>41527</v>
      </c>
      <c r="AA381" s="318" t="s">
        <v>7718</v>
      </c>
      <c r="AB381" s="153">
        <v>41527</v>
      </c>
      <c r="AE381">
        <v>56.58</v>
      </c>
      <c r="AF381" s="153">
        <v>41527</v>
      </c>
      <c r="AG381" s="136" t="s">
        <v>7718</v>
      </c>
      <c r="AH381" s="153">
        <v>41527</v>
      </c>
      <c r="AI381" s="318">
        <v>145</v>
      </c>
      <c r="AJ381" s="153">
        <v>41527</v>
      </c>
      <c r="BS381" s="318">
        <v>43.1</v>
      </c>
      <c r="BT381" s="153">
        <v>41527</v>
      </c>
      <c r="BU381">
        <v>21.5</v>
      </c>
      <c r="BV381" s="153">
        <v>41527</v>
      </c>
      <c r="CC381" s="136">
        <v>10</v>
      </c>
      <c r="CD381" s="153">
        <v>41527</v>
      </c>
      <c r="CG381" s="136">
        <v>0.96</v>
      </c>
      <c r="CH381" s="153">
        <v>41527</v>
      </c>
      <c r="CK381" s="136">
        <v>30</v>
      </c>
    </row>
    <row r="382" spans="1:89">
      <c r="A382" s="154" t="s">
        <v>7861</v>
      </c>
      <c r="B382" t="s">
        <v>257</v>
      </c>
      <c r="C382" t="s">
        <v>7794</v>
      </c>
      <c r="D382">
        <v>64</v>
      </c>
      <c r="E382" s="113">
        <v>3</v>
      </c>
      <c r="F382" s="113">
        <v>55</v>
      </c>
      <c r="K382" s="112">
        <v>7</v>
      </c>
      <c r="L382" s="317">
        <v>41569</v>
      </c>
      <c r="S382" s="318">
        <v>1968.6849999999999</v>
      </c>
      <c r="T382" s="153">
        <v>41527</v>
      </c>
      <c r="U382" s="136">
        <v>10.8</v>
      </c>
      <c r="Y382" s="136">
        <v>914.51499999999999</v>
      </c>
      <c r="Z382" s="153">
        <v>41527</v>
      </c>
      <c r="AA382" s="318" t="s">
        <v>7718</v>
      </c>
      <c r="AB382" s="153">
        <v>41527</v>
      </c>
      <c r="AE382">
        <v>45.05</v>
      </c>
      <c r="AF382" s="153">
        <v>41527</v>
      </c>
      <c r="AG382" s="136" t="s">
        <v>7718</v>
      </c>
      <c r="AH382" s="153">
        <v>41527</v>
      </c>
      <c r="AI382" s="318">
        <v>150</v>
      </c>
      <c r="AJ382" s="153">
        <v>41527</v>
      </c>
      <c r="BS382" s="318">
        <v>43.7</v>
      </c>
      <c r="BT382" s="153">
        <v>41527</v>
      </c>
      <c r="BU382">
        <v>20.3</v>
      </c>
      <c r="BV382" s="153">
        <v>41527</v>
      </c>
      <c r="CC382" s="136">
        <v>6.7</v>
      </c>
      <c r="CD382" s="153">
        <v>41527</v>
      </c>
      <c r="CG382" s="136">
        <v>2.94</v>
      </c>
      <c r="CH382" s="153">
        <v>41527</v>
      </c>
      <c r="CK382" s="136">
        <v>30</v>
      </c>
    </row>
    <row r="383" spans="1:89">
      <c r="A383" s="154" t="s">
        <v>7861</v>
      </c>
      <c r="B383" t="s">
        <v>259</v>
      </c>
      <c r="C383" t="s">
        <v>7794</v>
      </c>
      <c r="D383">
        <v>64</v>
      </c>
      <c r="E383" s="113">
        <v>4</v>
      </c>
      <c r="F383" s="113">
        <v>34</v>
      </c>
      <c r="K383" s="112">
        <v>5</v>
      </c>
      <c r="L383" s="317">
        <v>41569</v>
      </c>
      <c r="S383" s="318">
        <v>2175.75</v>
      </c>
      <c r="T383" s="153">
        <v>41527</v>
      </c>
      <c r="U383" s="136">
        <v>10.8</v>
      </c>
      <c r="Y383" s="136">
        <v>957.33</v>
      </c>
      <c r="Z383" s="153">
        <v>41527</v>
      </c>
      <c r="AA383" s="318" t="s">
        <v>7718</v>
      </c>
      <c r="AB383" s="153">
        <v>41527</v>
      </c>
      <c r="AE383">
        <v>48.35</v>
      </c>
      <c r="AF383" s="153">
        <v>41527</v>
      </c>
      <c r="AG383" s="136" t="s">
        <v>7718</v>
      </c>
      <c r="AH383" s="153">
        <v>41527</v>
      </c>
      <c r="AI383" s="318">
        <v>145</v>
      </c>
      <c r="AJ383" s="153">
        <v>41527</v>
      </c>
      <c r="BS383" s="318">
        <v>45</v>
      </c>
      <c r="BT383" s="153">
        <v>41527</v>
      </c>
      <c r="BU383">
        <v>19.8</v>
      </c>
      <c r="BV383" s="153">
        <v>41527</v>
      </c>
      <c r="CC383" s="136">
        <v>10.8</v>
      </c>
      <c r="CD383" s="153">
        <v>41527</v>
      </c>
      <c r="CG383" s="136">
        <v>4.3499999999999996</v>
      </c>
      <c r="CH383" s="153">
        <v>41527</v>
      </c>
      <c r="CK383" s="136">
        <v>20</v>
      </c>
    </row>
    <row r="384" spans="1:89">
      <c r="A384" s="154" t="s">
        <v>7861</v>
      </c>
      <c r="B384" t="s">
        <v>257</v>
      </c>
      <c r="C384" t="s">
        <v>7795</v>
      </c>
      <c r="D384">
        <v>64</v>
      </c>
      <c r="E384" s="113">
        <v>6</v>
      </c>
      <c r="F384" s="113">
        <v>64</v>
      </c>
      <c r="K384" s="112">
        <v>5</v>
      </c>
      <c r="L384" s="317">
        <v>41569</v>
      </c>
      <c r="S384" s="318">
        <v>1887.623</v>
      </c>
      <c r="T384" s="153">
        <v>41527</v>
      </c>
      <c r="U384" s="136">
        <v>10.8</v>
      </c>
      <c r="Y384" s="136">
        <v>843.678</v>
      </c>
      <c r="Z384" s="153">
        <v>41527</v>
      </c>
      <c r="AA384" s="318">
        <v>86605.691059999997</v>
      </c>
      <c r="AB384" s="153">
        <v>41527</v>
      </c>
      <c r="AE384">
        <v>42.61</v>
      </c>
      <c r="AF384" s="153">
        <v>41527</v>
      </c>
      <c r="AG384" s="136">
        <v>4.92</v>
      </c>
      <c r="AH384" s="153">
        <v>41527</v>
      </c>
      <c r="AI384" s="318">
        <v>130</v>
      </c>
      <c r="AJ384" s="153">
        <v>41527</v>
      </c>
      <c r="BS384" s="318">
        <v>44.3</v>
      </c>
      <c r="BT384" s="153">
        <v>41527</v>
      </c>
      <c r="BU384">
        <v>19.8</v>
      </c>
      <c r="BV384" s="153">
        <v>41527</v>
      </c>
      <c r="CC384" s="136">
        <v>6.9</v>
      </c>
      <c r="CD384" s="153">
        <v>41527</v>
      </c>
      <c r="CG384" s="136">
        <v>1.83</v>
      </c>
      <c r="CH384" s="153">
        <v>41527</v>
      </c>
      <c r="CK384" s="136">
        <v>30</v>
      </c>
    </row>
    <row r="385" spans="1:89">
      <c r="A385" s="154" t="s">
        <v>7861</v>
      </c>
      <c r="B385" t="s">
        <v>259</v>
      </c>
      <c r="C385" t="s">
        <v>7795</v>
      </c>
      <c r="D385">
        <v>64</v>
      </c>
      <c r="E385" s="113">
        <v>1</v>
      </c>
      <c r="F385" s="113">
        <v>63</v>
      </c>
      <c r="K385" s="112">
        <v>5</v>
      </c>
      <c r="L385" s="317">
        <v>41569</v>
      </c>
      <c r="S385" s="318">
        <v>2069.739</v>
      </c>
      <c r="T385" s="153">
        <v>41527</v>
      </c>
      <c r="U385" s="136">
        <v>10.8</v>
      </c>
      <c r="Y385" s="136">
        <v>1081.3530000000001</v>
      </c>
      <c r="Z385" s="153">
        <v>41527</v>
      </c>
      <c r="AA385" s="318">
        <v>96699.604739999995</v>
      </c>
      <c r="AB385" s="153">
        <v>41527</v>
      </c>
      <c r="AE385">
        <v>48.93</v>
      </c>
      <c r="AF385" s="153">
        <v>41527</v>
      </c>
      <c r="AG385" s="136">
        <v>5.0599999999999996</v>
      </c>
      <c r="AH385" s="153">
        <v>41527</v>
      </c>
      <c r="AI385" s="318">
        <v>150</v>
      </c>
      <c r="AJ385" s="153">
        <v>41527</v>
      </c>
      <c r="BS385" s="318">
        <v>42.3</v>
      </c>
      <c r="BT385" s="153">
        <v>41527</v>
      </c>
      <c r="BU385">
        <v>22.1</v>
      </c>
      <c r="BV385" s="153">
        <v>41527</v>
      </c>
      <c r="CC385" s="136">
        <v>8.8000000000000007</v>
      </c>
      <c r="CD385" s="153">
        <v>41527</v>
      </c>
      <c r="CG385" s="136">
        <v>2.33</v>
      </c>
      <c r="CH385" s="153">
        <v>41527</v>
      </c>
      <c r="CK385" s="136">
        <v>30</v>
      </c>
    </row>
    <row r="386" spans="1:89">
      <c r="A386" s="154" t="s">
        <v>7862</v>
      </c>
      <c r="B386" t="s">
        <v>257</v>
      </c>
      <c r="C386" t="s">
        <v>405</v>
      </c>
      <c r="D386">
        <v>65</v>
      </c>
      <c r="E386" s="113">
        <v>6</v>
      </c>
      <c r="F386" s="113">
        <v>17</v>
      </c>
      <c r="K386" s="112">
        <v>5</v>
      </c>
      <c r="L386" s="317">
        <v>41569</v>
      </c>
      <c r="S386" s="318">
        <v>1773.0060000000001</v>
      </c>
      <c r="T386" s="153">
        <v>41527</v>
      </c>
      <c r="U386" s="136">
        <v>10.8</v>
      </c>
      <c r="Y386" s="136">
        <v>757.66200000000003</v>
      </c>
      <c r="Z386" s="153">
        <v>41527</v>
      </c>
      <c r="AA386" s="318" t="s">
        <v>7718</v>
      </c>
      <c r="AB386" s="153">
        <v>41527</v>
      </c>
      <c r="AE386">
        <v>38.46</v>
      </c>
      <c r="AF386" s="153">
        <v>41527</v>
      </c>
      <c r="AG386" s="136" t="s">
        <v>7718</v>
      </c>
      <c r="AH386" s="153">
        <v>41527</v>
      </c>
      <c r="AI386" s="318">
        <v>130</v>
      </c>
      <c r="AJ386" s="153">
        <v>41527</v>
      </c>
      <c r="BS386" s="318">
        <v>46.1</v>
      </c>
      <c r="BT386" s="153">
        <v>41527</v>
      </c>
      <c r="BU386">
        <v>19.7</v>
      </c>
      <c r="BV386" s="153">
        <v>41527</v>
      </c>
      <c r="CC386" s="136">
        <v>7.1</v>
      </c>
      <c r="CD386" s="153">
        <v>41527</v>
      </c>
      <c r="CG386" s="136">
        <v>3.23</v>
      </c>
      <c r="CH386" s="153">
        <v>41527</v>
      </c>
      <c r="CK386" s="136">
        <v>20</v>
      </c>
    </row>
    <row r="387" spans="1:89">
      <c r="A387" s="154" t="s">
        <v>7862</v>
      </c>
      <c r="B387" t="s">
        <v>259</v>
      </c>
      <c r="C387" t="s">
        <v>405</v>
      </c>
      <c r="D387">
        <v>65</v>
      </c>
      <c r="E387" s="113">
        <v>3</v>
      </c>
      <c r="F387" s="113">
        <v>4</v>
      </c>
      <c r="K387" s="112">
        <v>3</v>
      </c>
      <c r="L387" s="317">
        <v>41569</v>
      </c>
      <c r="S387" s="318">
        <v>2165.33</v>
      </c>
      <c r="T387" s="153">
        <v>41527</v>
      </c>
      <c r="U387" s="136">
        <v>10.8</v>
      </c>
      <c r="Y387" s="136">
        <v>1063.2449999999999</v>
      </c>
      <c r="Z387" s="153">
        <v>41527</v>
      </c>
      <c r="AA387" s="318" t="s">
        <v>7718</v>
      </c>
      <c r="AB387" s="153">
        <v>41527</v>
      </c>
      <c r="AE387">
        <v>48.55</v>
      </c>
      <c r="AF387" s="153">
        <v>41527</v>
      </c>
      <c r="AG387" s="136" t="s">
        <v>7718</v>
      </c>
      <c r="AH387" s="153">
        <v>41527</v>
      </c>
      <c r="AI387" s="318">
        <v>145</v>
      </c>
      <c r="AJ387" s="153">
        <v>41527</v>
      </c>
      <c r="BS387" s="318">
        <v>44.6</v>
      </c>
      <c r="BT387" s="153">
        <v>41527</v>
      </c>
      <c r="BU387">
        <v>21.9</v>
      </c>
      <c r="BV387" s="153">
        <v>41527</v>
      </c>
      <c r="CC387" s="136">
        <v>12.6</v>
      </c>
      <c r="CD387" s="153">
        <v>41527</v>
      </c>
      <c r="CG387" s="136">
        <v>2.25</v>
      </c>
      <c r="CH387" s="153">
        <v>41527</v>
      </c>
      <c r="CK387" s="136">
        <v>10</v>
      </c>
    </row>
    <row r="388" spans="1:89">
      <c r="A388" s="154" t="s">
        <v>7862</v>
      </c>
      <c r="B388" t="s">
        <v>257</v>
      </c>
      <c r="C388" t="s">
        <v>7794</v>
      </c>
      <c r="D388">
        <v>65</v>
      </c>
      <c r="E388" s="113">
        <v>3</v>
      </c>
      <c r="F388" s="113">
        <v>52</v>
      </c>
      <c r="K388" s="112">
        <v>5</v>
      </c>
      <c r="L388" s="317">
        <v>41569</v>
      </c>
      <c r="S388" s="318">
        <v>1879.56</v>
      </c>
      <c r="T388" s="153">
        <v>41527</v>
      </c>
      <c r="U388" s="136">
        <v>10.8</v>
      </c>
      <c r="Y388" s="136">
        <v>821.28599999999994</v>
      </c>
      <c r="Z388" s="153">
        <v>41527</v>
      </c>
      <c r="AA388" s="318" t="s">
        <v>7718</v>
      </c>
      <c r="AB388" s="153">
        <v>41527</v>
      </c>
      <c r="AE388">
        <v>40.86</v>
      </c>
      <c r="AF388" s="153">
        <v>41527</v>
      </c>
      <c r="AG388" s="136" t="s">
        <v>7718</v>
      </c>
      <c r="AH388" s="153">
        <v>41527</v>
      </c>
      <c r="AI388" s="318">
        <v>140</v>
      </c>
      <c r="AJ388" s="153">
        <v>41527</v>
      </c>
      <c r="BS388" s="318">
        <v>46</v>
      </c>
      <c r="BT388" s="153">
        <v>41527</v>
      </c>
      <c r="BU388">
        <v>20.100000000000001</v>
      </c>
      <c r="BV388" s="153">
        <v>41527</v>
      </c>
      <c r="CC388" s="136">
        <v>11.4</v>
      </c>
      <c r="CD388" s="153">
        <v>41527</v>
      </c>
      <c r="CG388" s="136">
        <v>9.67</v>
      </c>
      <c r="CH388" s="153">
        <v>41527</v>
      </c>
      <c r="CK388" s="136">
        <v>20</v>
      </c>
    </row>
    <row r="389" spans="1:89">
      <c r="A389" s="154" t="s">
        <v>7862</v>
      </c>
      <c r="B389" t="s">
        <v>259</v>
      </c>
      <c r="C389" t="s">
        <v>7794</v>
      </c>
      <c r="D389">
        <v>65</v>
      </c>
      <c r="E389" s="113">
        <v>6</v>
      </c>
      <c r="F389" s="113">
        <v>39</v>
      </c>
      <c r="K389" s="112">
        <v>3</v>
      </c>
      <c r="L389" s="317">
        <v>41569</v>
      </c>
      <c r="S389" s="318">
        <v>2095.4830000000002</v>
      </c>
      <c r="T389" s="153">
        <v>41527</v>
      </c>
      <c r="U389" s="136">
        <v>10.8</v>
      </c>
      <c r="Y389" s="136">
        <v>966.06899999999996</v>
      </c>
      <c r="Z389" s="153">
        <v>41527</v>
      </c>
      <c r="AA389" s="318" t="s">
        <v>7718</v>
      </c>
      <c r="AB389" s="153">
        <v>41527</v>
      </c>
      <c r="AE389">
        <v>46.67</v>
      </c>
      <c r="AF389" s="153">
        <v>41527</v>
      </c>
      <c r="AG389" s="136" t="s">
        <v>7718</v>
      </c>
      <c r="AH389" s="153">
        <v>41527</v>
      </c>
      <c r="AI389" s="318">
        <v>125</v>
      </c>
      <c r="AJ389" s="153">
        <v>41527</v>
      </c>
      <c r="BS389" s="318">
        <v>44.9</v>
      </c>
      <c r="BT389" s="153">
        <v>41527</v>
      </c>
      <c r="BU389">
        <v>20.7</v>
      </c>
      <c r="BV389" s="153">
        <v>41527</v>
      </c>
      <c r="CC389" s="136">
        <v>7.6</v>
      </c>
      <c r="CD389" s="153">
        <v>41527</v>
      </c>
      <c r="CG389" s="136">
        <v>2.79</v>
      </c>
      <c r="CH389" s="153">
        <v>41527</v>
      </c>
      <c r="CK389" s="136">
        <v>10</v>
      </c>
    </row>
    <row r="390" spans="1:89">
      <c r="A390" s="154" t="s">
        <v>7862</v>
      </c>
      <c r="B390" t="s">
        <v>257</v>
      </c>
      <c r="C390" t="s">
        <v>7795</v>
      </c>
      <c r="D390">
        <v>65</v>
      </c>
      <c r="E390" s="113">
        <v>4</v>
      </c>
      <c r="F390" s="113">
        <v>66</v>
      </c>
      <c r="K390" s="112">
        <v>3</v>
      </c>
      <c r="L390" s="317">
        <v>41569</v>
      </c>
      <c r="S390" s="318">
        <v>1865.4860000000001</v>
      </c>
      <c r="T390" s="153">
        <v>41527</v>
      </c>
      <c r="U390" s="136">
        <v>10.8</v>
      </c>
      <c r="Y390" s="136">
        <v>825.90899999999999</v>
      </c>
      <c r="Z390" s="153">
        <v>41527</v>
      </c>
      <c r="AA390" s="318">
        <v>96455.399059999996</v>
      </c>
      <c r="AB390" s="153">
        <v>41527</v>
      </c>
      <c r="AE390">
        <v>41.09</v>
      </c>
      <c r="AF390" s="153">
        <v>41527</v>
      </c>
      <c r="AG390" s="136">
        <v>4.26</v>
      </c>
      <c r="AH390" s="153">
        <v>41527</v>
      </c>
      <c r="AI390" s="318">
        <v>125</v>
      </c>
      <c r="AJ390" s="153">
        <v>41527</v>
      </c>
      <c r="BS390" s="318">
        <v>45.4</v>
      </c>
      <c r="BT390" s="153">
        <v>41527</v>
      </c>
      <c r="BU390">
        <v>20.100000000000001</v>
      </c>
      <c r="BV390" s="153">
        <v>41527</v>
      </c>
      <c r="CC390" s="136">
        <v>6.8</v>
      </c>
      <c r="CD390" s="153">
        <v>41527</v>
      </c>
      <c r="CG390" s="136">
        <v>1.9</v>
      </c>
      <c r="CH390" s="153">
        <v>41527</v>
      </c>
      <c r="CK390" s="136">
        <v>10</v>
      </c>
    </row>
    <row r="391" spans="1:89">
      <c r="A391" s="154" t="s">
        <v>7862</v>
      </c>
      <c r="B391" t="s">
        <v>259</v>
      </c>
      <c r="C391" t="s">
        <v>7795</v>
      </c>
      <c r="D391">
        <v>65</v>
      </c>
      <c r="E391" s="113">
        <v>2</v>
      </c>
      <c r="F391" s="113">
        <v>61</v>
      </c>
      <c r="K391" s="112">
        <v>5</v>
      </c>
      <c r="L391" s="317">
        <v>41569</v>
      </c>
      <c r="S391" s="318">
        <v>2316.81</v>
      </c>
      <c r="T391" s="153">
        <v>41527</v>
      </c>
      <c r="U391" s="136">
        <v>10.8</v>
      </c>
      <c r="Y391" s="136">
        <v>1182.3720000000001</v>
      </c>
      <c r="Z391" s="153">
        <v>41527</v>
      </c>
      <c r="AA391" s="318">
        <v>114537.6344</v>
      </c>
      <c r="AB391" s="153">
        <v>41527</v>
      </c>
      <c r="AE391">
        <v>53.26</v>
      </c>
      <c r="AF391" s="153">
        <v>41527</v>
      </c>
      <c r="AG391" s="136">
        <v>4.6500000000000004</v>
      </c>
      <c r="AH391" s="153">
        <v>41527</v>
      </c>
      <c r="AI391" s="318">
        <v>130</v>
      </c>
      <c r="AJ391" s="153">
        <v>41527</v>
      </c>
      <c r="BS391" s="318">
        <v>43.5</v>
      </c>
      <c r="BT391" s="153">
        <v>41527</v>
      </c>
      <c r="BU391">
        <v>22.2</v>
      </c>
      <c r="BV391" s="153">
        <v>41527</v>
      </c>
      <c r="CC391" s="136">
        <v>10.3</v>
      </c>
      <c r="CD391" s="153">
        <v>41527</v>
      </c>
      <c r="CG391" s="136">
        <v>2.25</v>
      </c>
      <c r="CH391" s="153">
        <v>41527</v>
      </c>
      <c r="CK391" s="136">
        <v>30</v>
      </c>
    </row>
    <row r="392" spans="1:89">
      <c r="A392" s="154" t="s">
        <v>7863</v>
      </c>
      <c r="B392" t="s">
        <v>257</v>
      </c>
      <c r="C392" t="s">
        <v>405</v>
      </c>
      <c r="D392">
        <v>66</v>
      </c>
      <c r="E392" s="113">
        <v>4</v>
      </c>
      <c r="F392" s="113">
        <v>14</v>
      </c>
      <c r="K392" s="112">
        <v>5</v>
      </c>
      <c r="L392" s="317">
        <v>41569</v>
      </c>
      <c r="S392" s="318">
        <v>1870.297</v>
      </c>
      <c r="T392" s="153">
        <v>41527</v>
      </c>
      <c r="U392" s="136">
        <v>10.8</v>
      </c>
      <c r="Y392" s="136">
        <v>829.4</v>
      </c>
      <c r="Z392" s="153">
        <v>41527</v>
      </c>
      <c r="AA392" s="318" t="s">
        <v>7718</v>
      </c>
      <c r="AB392" s="153">
        <v>41527</v>
      </c>
      <c r="AE392">
        <v>41.47</v>
      </c>
      <c r="AF392" s="153">
        <v>41527</v>
      </c>
      <c r="AG392" s="136" t="s">
        <v>7718</v>
      </c>
      <c r="AH392" s="153">
        <v>41527</v>
      </c>
      <c r="AI392" s="318">
        <v>125</v>
      </c>
      <c r="AJ392" s="153">
        <v>41527</v>
      </c>
      <c r="BS392" s="318">
        <v>45.1</v>
      </c>
      <c r="BT392" s="153">
        <v>41527</v>
      </c>
      <c r="BU392">
        <v>20</v>
      </c>
      <c r="BV392" s="153">
        <v>41527</v>
      </c>
      <c r="CC392" s="136">
        <v>6.8</v>
      </c>
      <c r="CD392" s="153">
        <v>41527</v>
      </c>
      <c r="CG392" s="136">
        <v>1.47</v>
      </c>
      <c r="CH392" s="153">
        <v>41527</v>
      </c>
      <c r="CK392" s="136">
        <v>1</v>
      </c>
    </row>
    <row r="393" spans="1:89">
      <c r="A393" s="154" t="s">
        <v>7863</v>
      </c>
      <c r="B393" t="s">
        <v>259</v>
      </c>
      <c r="C393" t="s">
        <v>405</v>
      </c>
      <c r="D393">
        <v>66</v>
      </c>
      <c r="E393" s="113">
        <v>2</v>
      </c>
      <c r="F393" s="113">
        <v>3</v>
      </c>
      <c r="K393" s="112">
        <v>5</v>
      </c>
      <c r="L393" s="317">
        <v>41569</v>
      </c>
      <c r="S393" s="318">
        <v>2453.9839999999999</v>
      </c>
      <c r="T393" s="153">
        <v>41527</v>
      </c>
      <c r="U393" s="136">
        <v>10.8</v>
      </c>
      <c r="Y393" s="136">
        <v>1177.0239999999999</v>
      </c>
      <c r="Z393" s="153">
        <v>41527</v>
      </c>
      <c r="AA393" s="318" t="s">
        <v>7718</v>
      </c>
      <c r="AB393" s="153">
        <v>41527</v>
      </c>
      <c r="AE393">
        <v>55.52</v>
      </c>
      <c r="AF393" s="153">
        <v>41527</v>
      </c>
      <c r="AG393" s="136" t="s">
        <v>7718</v>
      </c>
      <c r="AH393" s="153">
        <v>41527</v>
      </c>
      <c r="AI393" s="318">
        <v>125</v>
      </c>
      <c r="AJ393" s="153">
        <v>41527</v>
      </c>
      <c r="BS393" s="318">
        <v>44.2</v>
      </c>
      <c r="BT393" s="153">
        <v>41527</v>
      </c>
      <c r="BU393">
        <v>21.2</v>
      </c>
      <c r="BV393" s="153">
        <v>41527</v>
      </c>
      <c r="CC393" s="136">
        <v>11.5</v>
      </c>
      <c r="CD393" s="153">
        <v>41527</v>
      </c>
      <c r="CG393" s="136">
        <v>1.89</v>
      </c>
      <c r="CH393" s="153">
        <v>41527</v>
      </c>
      <c r="CK393" s="136">
        <v>5</v>
      </c>
    </row>
    <row r="394" spans="1:89">
      <c r="A394" s="154" t="s">
        <v>7863</v>
      </c>
      <c r="B394" t="s">
        <v>257</v>
      </c>
      <c r="C394" t="s">
        <v>7794</v>
      </c>
      <c r="D394">
        <v>66</v>
      </c>
      <c r="E394" s="113">
        <v>1</v>
      </c>
      <c r="F394" s="113">
        <v>37</v>
      </c>
      <c r="K394" s="112">
        <v>5</v>
      </c>
      <c r="L394" s="317">
        <v>41569</v>
      </c>
      <c r="S394" s="318" t="s">
        <v>7718</v>
      </c>
      <c r="T394" s="153">
        <v>41527</v>
      </c>
      <c r="U394" s="136">
        <v>10.8</v>
      </c>
      <c r="Y394" s="136" t="s">
        <v>7718</v>
      </c>
      <c r="Z394" s="153">
        <v>41527</v>
      </c>
      <c r="AA394" s="318" t="s">
        <v>7718</v>
      </c>
      <c r="AB394" s="153">
        <v>41527</v>
      </c>
      <c r="AE394" t="s">
        <v>7718</v>
      </c>
      <c r="AF394" s="153">
        <v>41527</v>
      </c>
      <c r="AG394" s="136" t="s">
        <v>7718</v>
      </c>
      <c r="AH394" s="153">
        <v>41527</v>
      </c>
      <c r="AI394" s="318">
        <v>125</v>
      </c>
      <c r="AJ394" s="153">
        <v>41527</v>
      </c>
      <c r="BS394" s="318" t="s">
        <v>7718</v>
      </c>
      <c r="BT394" s="153">
        <v>41527</v>
      </c>
      <c r="BU394" t="s">
        <v>7718</v>
      </c>
      <c r="BV394" s="153">
        <v>41527</v>
      </c>
      <c r="CD394" s="153">
        <v>41527</v>
      </c>
      <c r="CH394" s="153">
        <v>41527</v>
      </c>
      <c r="CK394" s="136">
        <v>5</v>
      </c>
    </row>
    <row r="395" spans="1:89">
      <c r="A395" s="154" t="s">
        <v>7863</v>
      </c>
      <c r="B395" t="s">
        <v>259</v>
      </c>
      <c r="C395" t="s">
        <v>7794</v>
      </c>
      <c r="D395">
        <v>66</v>
      </c>
      <c r="E395" s="113">
        <v>6</v>
      </c>
      <c r="F395" s="113">
        <v>32</v>
      </c>
      <c r="K395" s="112">
        <v>5</v>
      </c>
      <c r="L395" s="317">
        <v>41569</v>
      </c>
      <c r="S395" s="318">
        <v>2486</v>
      </c>
      <c r="T395" s="153">
        <v>41527</v>
      </c>
      <c r="U395" s="136">
        <v>10.8</v>
      </c>
      <c r="Y395" s="136">
        <v>1186.5</v>
      </c>
      <c r="Z395" s="153">
        <v>41527</v>
      </c>
      <c r="AA395" s="318" t="s">
        <v>7718</v>
      </c>
      <c r="AB395" s="153">
        <v>41527</v>
      </c>
      <c r="AE395">
        <v>56.5</v>
      </c>
      <c r="AF395" s="153">
        <v>41527</v>
      </c>
      <c r="AG395" s="136" t="s">
        <v>7718</v>
      </c>
      <c r="AH395" s="153">
        <v>41527</v>
      </c>
      <c r="AI395" s="318">
        <v>130</v>
      </c>
      <c r="AJ395" s="153">
        <v>41527</v>
      </c>
      <c r="BS395" s="318">
        <v>44</v>
      </c>
      <c r="BT395" s="153">
        <v>41527</v>
      </c>
      <c r="BU395">
        <v>21</v>
      </c>
      <c r="BV395" s="153">
        <v>41527</v>
      </c>
      <c r="CC395" s="136">
        <v>5.8</v>
      </c>
      <c r="CD395" s="153">
        <v>41527</v>
      </c>
      <c r="CG395" s="136">
        <v>1.93</v>
      </c>
      <c r="CH395" s="153">
        <v>41527</v>
      </c>
      <c r="CK395" s="136">
        <v>5</v>
      </c>
    </row>
    <row r="396" spans="1:89">
      <c r="A396" s="154" t="s">
        <v>7863</v>
      </c>
      <c r="B396" t="s">
        <v>257</v>
      </c>
      <c r="C396" t="s">
        <v>7795</v>
      </c>
      <c r="D396">
        <v>66</v>
      </c>
      <c r="E396" s="113">
        <v>6</v>
      </c>
      <c r="F396" s="113">
        <v>85</v>
      </c>
      <c r="K396" s="112">
        <v>5</v>
      </c>
      <c r="L396" s="317">
        <v>41569</v>
      </c>
      <c r="S396" s="318">
        <v>1872.45</v>
      </c>
      <c r="T396" s="153">
        <v>41527</v>
      </c>
      <c r="U396" s="136">
        <v>10.8</v>
      </c>
      <c r="Y396" s="136">
        <v>819.71699999999998</v>
      </c>
      <c r="Z396" s="153">
        <v>41527</v>
      </c>
      <c r="AA396" s="318">
        <v>84573.170729999998</v>
      </c>
      <c r="AB396" s="153">
        <v>41527</v>
      </c>
      <c r="AE396">
        <v>41.61</v>
      </c>
      <c r="AF396" s="153">
        <v>41527</v>
      </c>
      <c r="AG396" s="136">
        <v>4.92</v>
      </c>
      <c r="AH396" s="153">
        <v>41527</v>
      </c>
      <c r="AI396" s="318">
        <v>115</v>
      </c>
      <c r="AJ396" s="153">
        <v>41527</v>
      </c>
      <c r="BS396" s="318">
        <v>45</v>
      </c>
      <c r="BT396" s="153">
        <v>41527</v>
      </c>
      <c r="BU396">
        <v>19.7</v>
      </c>
      <c r="BV396" s="153">
        <v>41527</v>
      </c>
      <c r="CC396" s="136">
        <v>7.7</v>
      </c>
      <c r="CD396" s="153">
        <v>41527</v>
      </c>
      <c r="CG396" s="136">
        <v>0.92</v>
      </c>
      <c r="CH396" s="153">
        <v>41527</v>
      </c>
      <c r="CK396" s="136">
        <v>1</v>
      </c>
    </row>
    <row r="397" spans="1:89">
      <c r="A397" s="154" t="s">
        <v>7863</v>
      </c>
      <c r="B397" t="s">
        <v>259</v>
      </c>
      <c r="C397" t="s">
        <v>7795</v>
      </c>
      <c r="D397">
        <v>66</v>
      </c>
      <c r="E397" s="113">
        <v>3</v>
      </c>
      <c r="F397" s="113">
        <v>68</v>
      </c>
      <c r="K397" s="112">
        <v>5</v>
      </c>
      <c r="L397" s="317">
        <v>41569</v>
      </c>
      <c r="S397" s="318">
        <v>2128.02</v>
      </c>
      <c r="T397" s="153">
        <v>41527</v>
      </c>
      <c r="U397" s="136">
        <v>10.8</v>
      </c>
      <c r="Y397" s="136">
        <v>1046.8879999999999</v>
      </c>
      <c r="Z397" s="153">
        <v>41527</v>
      </c>
      <c r="AA397" s="318">
        <v>94622.823980000001</v>
      </c>
      <c r="AB397" s="153">
        <v>41527</v>
      </c>
      <c r="AE397">
        <v>48.92</v>
      </c>
      <c r="AF397" s="153">
        <v>41527</v>
      </c>
      <c r="AG397" s="136">
        <v>5.17</v>
      </c>
      <c r="AH397" s="153">
        <v>41527</v>
      </c>
      <c r="AI397" s="318">
        <v>130</v>
      </c>
      <c r="AJ397" s="153">
        <v>41527</v>
      </c>
      <c r="BS397" s="318">
        <v>43.5</v>
      </c>
      <c r="BT397" s="153">
        <v>41527</v>
      </c>
      <c r="BU397">
        <v>21.4</v>
      </c>
      <c r="BV397" s="153">
        <v>41527</v>
      </c>
      <c r="CC397" s="136">
        <v>6.9</v>
      </c>
      <c r="CD397" s="153">
        <v>41527</v>
      </c>
      <c r="CG397" s="136">
        <v>2.44</v>
      </c>
      <c r="CH397" s="153">
        <v>41527</v>
      </c>
      <c r="CK397" s="136">
        <v>5</v>
      </c>
    </row>
    <row r="398" spans="1:89">
      <c r="A398" s="154" t="s">
        <v>7864</v>
      </c>
      <c r="B398" t="s">
        <v>257</v>
      </c>
      <c r="C398" t="s">
        <v>405</v>
      </c>
      <c r="D398">
        <v>67</v>
      </c>
      <c r="E398" s="113">
        <v>6</v>
      </c>
      <c r="F398" s="113">
        <v>18</v>
      </c>
      <c r="K398" s="112">
        <v>5</v>
      </c>
      <c r="L398" s="317">
        <v>41569</v>
      </c>
      <c r="S398" s="318">
        <v>1650.5050000000001</v>
      </c>
      <c r="T398" s="153">
        <v>41527</v>
      </c>
      <c r="U398" s="136">
        <v>10.8</v>
      </c>
      <c r="Y398" s="136">
        <v>723.255</v>
      </c>
      <c r="Z398" s="153">
        <v>41527</v>
      </c>
      <c r="AA398" s="318" t="s">
        <v>7718</v>
      </c>
      <c r="AB398" s="153">
        <v>41527</v>
      </c>
      <c r="AE398">
        <v>37.090000000000003</v>
      </c>
      <c r="AF398" s="153">
        <v>41527</v>
      </c>
      <c r="AG398" s="136" t="s">
        <v>7718</v>
      </c>
      <c r="AH398" s="153">
        <v>41527</v>
      </c>
      <c r="AI398" s="318">
        <v>125</v>
      </c>
      <c r="AJ398" s="153">
        <v>41527</v>
      </c>
      <c r="BS398" s="318">
        <v>44.5</v>
      </c>
      <c r="BT398" s="153">
        <v>41527</v>
      </c>
      <c r="BU398">
        <v>19.5</v>
      </c>
      <c r="BV398" s="153">
        <v>41527</v>
      </c>
      <c r="CC398" s="136">
        <v>7</v>
      </c>
      <c r="CD398" s="153">
        <v>41527</v>
      </c>
      <c r="CG398" s="136">
        <v>4.29</v>
      </c>
      <c r="CH398" s="153">
        <v>41527</v>
      </c>
      <c r="CK398" s="136">
        <v>10</v>
      </c>
    </row>
    <row r="399" spans="1:89">
      <c r="A399" s="154" t="s">
        <v>7864</v>
      </c>
      <c r="B399" t="s">
        <v>259</v>
      </c>
      <c r="C399" t="s">
        <v>405</v>
      </c>
      <c r="D399">
        <v>67</v>
      </c>
      <c r="E399" s="113">
        <v>3</v>
      </c>
      <c r="F399" s="113">
        <v>27</v>
      </c>
      <c r="K399" s="112">
        <v>5</v>
      </c>
      <c r="L399" s="317">
        <v>41569</v>
      </c>
      <c r="S399" s="318">
        <v>2001.6479999999999</v>
      </c>
      <c r="T399" s="153">
        <v>41527</v>
      </c>
      <c r="U399" s="136">
        <v>10.8</v>
      </c>
      <c r="Y399" s="136">
        <v>946.96799999999996</v>
      </c>
      <c r="Z399" s="153">
        <v>41527</v>
      </c>
      <c r="AA399" s="318" t="s">
        <v>7718</v>
      </c>
      <c r="AB399" s="153">
        <v>41527</v>
      </c>
      <c r="AE399">
        <v>44.88</v>
      </c>
      <c r="AF399" s="153">
        <v>41527</v>
      </c>
      <c r="AG399" s="136" t="s">
        <v>7718</v>
      </c>
      <c r="AH399" s="153">
        <v>41527</v>
      </c>
      <c r="AI399" s="318">
        <v>135</v>
      </c>
      <c r="AJ399" s="153">
        <v>41527</v>
      </c>
      <c r="BS399" s="318">
        <v>44.6</v>
      </c>
      <c r="BT399" s="153">
        <v>41527</v>
      </c>
      <c r="BU399">
        <v>21.1</v>
      </c>
      <c r="BV399" s="153">
        <v>41527</v>
      </c>
      <c r="CC399" s="136">
        <v>13.1</v>
      </c>
      <c r="CD399" s="153">
        <v>41527</v>
      </c>
      <c r="CG399" s="136">
        <v>3.85</v>
      </c>
      <c r="CH399" s="153">
        <v>41527</v>
      </c>
      <c r="CK399" s="136">
        <v>20</v>
      </c>
    </row>
    <row r="400" spans="1:89">
      <c r="A400" s="154" t="s">
        <v>7864</v>
      </c>
      <c r="B400" t="s">
        <v>257</v>
      </c>
      <c r="C400" t="s">
        <v>7794</v>
      </c>
      <c r="D400">
        <v>67</v>
      </c>
      <c r="E400" s="113">
        <v>2</v>
      </c>
      <c r="F400" s="113">
        <v>31</v>
      </c>
      <c r="K400" s="112">
        <v>5</v>
      </c>
      <c r="L400" s="317">
        <v>41569</v>
      </c>
      <c r="S400" s="318">
        <v>1819.348</v>
      </c>
      <c r="T400" s="153">
        <v>41527</v>
      </c>
      <c r="U400" s="136">
        <v>10.8</v>
      </c>
      <c r="Y400" s="136">
        <v>773.93200000000002</v>
      </c>
      <c r="Z400" s="153">
        <v>41527</v>
      </c>
      <c r="AA400" s="318" t="s">
        <v>7718</v>
      </c>
      <c r="AB400" s="153">
        <v>41527</v>
      </c>
      <c r="AE400">
        <v>40.520000000000003</v>
      </c>
      <c r="AF400" s="153">
        <v>41527</v>
      </c>
      <c r="AG400" s="136" t="s">
        <v>7718</v>
      </c>
      <c r="AH400" s="153">
        <v>41527</v>
      </c>
      <c r="AI400" s="318">
        <v>135</v>
      </c>
      <c r="AJ400" s="153">
        <v>41527</v>
      </c>
      <c r="BS400" s="318">
        <v>44.9</v>
      </c>
      <c r="BT400" s="153">
        <v>41527</v>
      </c>
      <c r="BU400">
        <v>19.100000000000001</v>
      </c>
      <c r="BV400" s="153">
        <v>41527</v>
      </c>
      <c r="CC400" s="136">
        <v>7.8</v>
      </c>
      <c r="CD400" s="153">
        <v>41527</v>
      </c>
      <c r="CG400" s="136">
        <v>4.05</v>
      </c>
      <c r="CH400" s="153">
        <v>41527</v>
      </c>
      <c r="CK400" s="136">
        <v>20</v>
      </c>
    </row>
    <row r="401" spans="1:89">
      <c r="A401" s="154" t="s">
        <v>7864</v>
      </c>
      <c r="B401" t="s">
        <v>259</v>
      </c>
      <c r="C401" t="s">
        <v>7794</v>
      </c>
      <c r="D401">
        <v>67</v>
      </c>
      <c r="E401" s="113">
        <v>4</v>
      </c>
      <c r="F401" s="113">
        <v>37</v>
      </c>
      <c r="K401" s="112">
        <v>5</v>
      </c>
      <c r="L401" s="317">
        <v>41569</v>
      </c>
      <c r="S401" s="318">
        <v>1919.52</v>
      </c>
      <c r="T401" s="153">
        <v>41527</v>
      </c>
      <c r="U401" s="136">
        <v>10.8</v>
      </c>
      <c r="Y401" s="136">
        <v>955.29600000000005</v>
      </c>
      <c r="Z401" s="153">
        <v>41527</v>
      </c>
      <c r="AA401" s="318" t="s">
        <v>7718</v>
      </c>
      <c r="AB401" s="153">
        <v>41527</v>
      </c>
      <c r="AE401">
        <v>44.64</v>
      </c>
      <c r="AF401" s="153">
        <v>41527</v>
      </c>
      <c r="AG401" s="136" t="s">
        <v>7718</v>
      </c>
      <c r="AH401" s="153">
        <v>41527</v>
      </c>
      <c r="AI401" s="318">
        <v>130</v>
      </c>
      <c r="AJ401" s="153">
        <v>41527</v>
      </c>
      <c r="BS401" s="318">
        <v>43</v>
      </c>
      <c r="BT401" s="153">
        <v>41527</v>
      </c>
      <c r="BU401">
        <v>21.4</v>
      </c>
      <c r="BV401" s="153">
        <v>41527</v>
      </c>
      <c r="CC401" s="136">
        <v>7.3</v>
      </c>
      <c r="CD401" s="153">
        <v>41527</v>
      </c>
      <c r="CG401" s="136">
        <v>2.15</v>
      </c>
      <c r="CH401" s="153">
        <v>41527</v>
      </c>
      <c r="CK401" s="136">
        <v>30</v>
      </c>
    </row>
    <row r="402" spans="1:89">
      <c r="A402" s="154" t="s">
        <v>7864</v>
      </c>
      <c r="B402" t="s">
        <v>257</v>
      </c>
      <c r="C402" t="s">
        <v>7795</v>
      </c>
      <c r="D402">
        <v>67</v>
      </c>
      <c r="E402" s="113">
        <v>6</v>
      </c>
      <c r="F402" s="113">
        <v>63</v>
      </c>
      <c r="K402" s="112">
        <v>5</v>
      </c>
      <c r="L402" s="317">
        <v>41569</v>
      </c>
      <c r="S402" s="318">
        <v>1621.76</v>
      </c>
      <c r="T402" s="153">
        <v>41527</v>
      </c>
      <c r="U402" s="136">
        <v>10.8</v>
      </c>
      <c r="Y402" s="136">
        <v>698.66</v>
      </c>
      <c r="Z402" s="153">
        <v>41527</v>
      </c>
      <c r="AA402" s="318">
        <v>72837.022129999998</v>
      </c>
      <c r="AB402" s="153">
        <v>41527</v>
      </c>
      <c r="AE402">
        <v>36.200000000000003</v>
      </c>
      <c r="AF402" s="153">
        <v>41527</v>
      </c>
      <c r="AG402" s="136">
        <v>4.97</v>
      </c>
      <c r="AH402" s="153">
        <v>41527</v>
      </c>
      <c r="AI402" s="318">
        <v>125</v>
      </c>
      <c r="AJ402" s="153">
        <v>41527</v>
      </c>
      <c r="BS402" s="318">
        <v>44.8</v>
      </c>
      <c r="BT402" s="153">
        <v>41527</v>
      </c>
      <c r="BU402">
        <v>19.3</v>
      </c>
      <c r="BV402" s="153">
        <v>41527</v>
      </c>
      <c r="CC402" s="136">
        <v>7.8</v>
      </c>
      <c r="CD402" s="153">
        <v>41527</v>
      </c>
      <c r="CG402" s="136">
        <v>1.54</v>
      </c>
      <c r="CH402" s="153">
        <v>41527</v>
      </c>
      <c r="CK402" s="136">
        <v>20</v>
      </c>
    </row>
    <row r="403" spans="1:89">
      <c r="A403" s="154" t="s">
        <v>7864</v>
      </c>
      <c r="B403" t="s">
        <v>259</v>
      </c>
      <c r="C403" t="s">
        <v>7795</v>
      </c>
      <c r="D403">
        <v>67</v>
      </c>
      <c r="E403" s="113">
        <v>1</v>
      </c>
      <c r="F403" s="113">
        <v>85</v>
      </c>
      <c r="K403" s="112">
        <v>5</v>
      </c>
      <c r="L403" s="317">
        <v>41569</v>
      </c>
      <c r="S403" s="318">
        <v>1758.134</v>
      </c>
      <c r="T403" s="153">
        <v>41527</v>
      </c>
      <c r="U403" s="136">
        <v>10.8</v>
      </c>
      <c r="Y403" s="136">
        <v>830.45500000000004</v>
      </c>
      <c r="Z403" s="153">
        <v>41527</v>
      </c>
      <c r="AA403" s="318">
        <v>85644.820300000007</v>
      </c>
      <c r="AB403" s="153">
        <v>41527</v>
      </c>
      <c r="AE403">
        <v>40.51</v>
      </c>
      <c r="AF403" s="153">
        <v>41527</v>
      </c>
      <c r="AG403" s="136">
        <v>4.7300000000000004</v>
      </c>
      <c r="AH403" s="153">
        <v>41527</v>
      </c>
      <c r="AI403" s="318">
        <v>130</v>
      </c>
      <c r="AJ403" s="153">
        <v>41527</v>
      </c>
      <c r="BS403" s="318">
        <v>43.4</v>
      </c>
      <c r="BT403" s="153">
        <v>41527</v>
      </c>
      <c r="BU403">
        <v>20.5</v>
      </c>
      <c r="BV403" s="153">
        <v>41527</v>
      </c>
      <c r="CC403" s="136">
        <v>9.4</v>
      </c>
      <c r="CD403" s="153">
        <v>41527</v>
      </c>
      <c r="CG403" s="136">
        <v>3.5</v>
      </c>
      <c r="CH403" s="153">
        <v>41527</v>
      </c>
      <c r="CK403" s="136">
        <v>20</v>
      </c>
    </row>
    <row r="404" spans="1:89">
      <c r="A404" s="154" t="s">
        <v>7865</v>
      </c>
      <c r="B404" t="s">
        <v>257</v>
      </c>
      <c r="C404" t="s">
        <v>405</v>
      </c>
      <c r="D404">
        <v>68</v>
      </c>
      <c r="E404" s="113">
        <v>4</v>
      </c>
      <c r="F404" s="113">
        <v>20</v>
      </c>
      <c r="K404" s="112">
        <v>5</v>
      </c>
      <c r="L404" s="317">
        <v>41569</v>
      </c>
      <c r="S404" s="318">
        <v>1842.75</v>
      </c>
      <c r="T404" s="153">
        <v>41527</v>
      </c>
      <c r="U404" s="136">
        <v>10.8</v>
      </c>
      <c r="Y404" s="136">
        <v>810.81</v>
      </c>
      <c r="Z404" s="153">
        <v>41527</v>
      </c>
      <c r="AA404" s="318" t="s">
        <v>7718</v>
      </c>
      <c r="AB404" s="153">
        <v>41527</v>
      </c>
      <c r="AE404">
        <v>40.950000000000003</v>
      </c>
      <c r="AF404" s="153">
        <v>41527</v>
      </c>
      <c r="AG404" s="136" t="s">
        <v>7718</v>
      </c>
      <c r="AH404" s="153">
        <v>41527</v>
      </c>
      <c r="AI404" s="318">
        <v>140</v>
      </c>
      <c r="AJ404" s="153">
        <v>41527</v>
      </c>
      <c r="BS404" s="318">
        <v>45</v>
      </c>
      <c r="BT404" s="153">
        <v>41527</v>
      </c>
      <c r="BU404">
        <v>19.8</v>
      </c>
      <c r="BV404" s="153">
        <v>41527</v>
      </c>
      <c r="CC404" s="136">
        <v>7.2</v>
      </c>
      <c r="CD404" s="153">
        <v>41527</v>
      </c>
      <c r="CG404" s="136">
        <v>1.84</v>
      </c>
      <c r="CH404" s="153">
        <v>41527</v>
      </c>
      <c r="CK404" s="136">
        <v>5</v>
      </c>
    </row>
    <row r="405" spans="1:89">
      <c r="A405" s="154" t="s">
        <v>7865</v>
      </c>
      <c r="B405" t="s">
        <v>259</v>
      </c>
      <c r="C405" t="s">
        <v>405</v>
      </c>
      <c r="D405">
        <v>68</v>
      </c>
      <c r="E405" s="113">
        <v>2</v>
      </c>
      <c r="F405" s="113">
        <v>24</v>
      </c>
      <c r="K405" s="112">
        <v>5</v>
      </c>
      <c r="L405" s="317">
        <v>41569</v>
      </c>
      <c r="S405" s="318">
        <v>1902.434</v>
      </c>
      <c r="T405" s="153">
        <v>41527</v>
      </c>
      <c r="U405" s="136">
        <v>10.8</v>
      </c>
      <c r="Y405" s="136">
        <v>993.15</v>
      </c>
      <c r="Z405" s="153">
        <v>41527</v>
      </c>
      <c r="AA405" s="318" t="s">
        <v>7718</v>
      </c>
      <c r="AB405" s="153">
        <v>41527</v>
      </c>
      <c r="AE405">
        <v>44.14</v>
      </c>
      <c r="AF405" s="153">
        <v>41527</v>
      </c>
      <c r="AG405" s="136" t="s">
        <v>7718</v>
      </c>
      <c r="AH405" s="153">
        <v>41527</v>
      </c>
      <c r="AI405" s="318">
        <v>145</v>
      </c>
      <c r="AJ405" s="153">
        <v>41527</v>
      </c>
      <c r="BS405" s="318">
        <v>43.1</v>
      </c>
      <c r="BT405" s="153">
        <v>41527</v>
      </c>
      <c r="BU405">
        <v>22.5</v>
      </c>
      <c r="BV405" s="153">
        <v>41527</v>
      </c>
      <c r="CC405" s="136">
        <v>8.8000000000000007</v>
      </c>
      <c r="CD405" s="153">
        <v>41527</v>
      </c>
      <c r="CG405" s="136">
        <v>1.89</v>
      </c>
      <c r="CH405" s="153">
        <v>41527</v>
      </c>
      <c r="CK405" s="136">
        <v>10</v>
      </c>
    </row>
    <row r="406" spans="1:89">
      <c r="A406" s="154" t="s">
        <v>7865</v>
      </c>
      <c r="B406" t="s">
        <v>257</v>
      </c>
      <c r="C406" t="s">
        <v>7794</v>
      </c>
      <c r="D406">
        <v>68</v>
      </c>
      <c r="E406" s="113">
        <v>2</v>
      </c>
      <c r="F406" s="113">
        <v>48</v>
      </c>
      <c r="K406" s="112">
        <v>7</v>
      </c>
      <c r="L406" s="317">
        <v>41569</v>
      </c>
      <c r="S406" s="318">
        <v>2122.7640000000001</v>
      </c>
      <c r="T406" s="153">
        <v>41527</v>
      </c>
      <c r="U406" s="136">
        <v>10.8</v>
      </c>
      <c r="Y406" s="136">
        <v>989.66700000000003</v>
      </c>
      <c r="Z406" s="153">
        <v>41527</v>
      </c>
      <c r="AA406" s="318" t="s">
        <v>7718</v>
      </c>
      <c r="AB406" s="153">
        <v>41527</v>
      </c>
      <c r="AE406">
        <v>47.81</v>
      </c>
      <c r="AF406" s="153">
        <v>41527</v>
      </c>
      <c r="AG406" s="136" t="s">
        <v>7718</v>
      </c>
      <c r="AH406" s="153">
        <v>41527</v>
      </c>
      <c r="AI406" s="318">
        <v>150</v>
      </c>
      <c r="AJ406" s="153">
        <v>41527</v>
      </c>
      <c r="BS406" s="318">
        <v>44.4</v>
      </c>
      <c r="BT406" s="153">
        <v>41527</v>
      </c>
      <c r="BU406">
        <v>20.7</v>
      </c>
      <c r="BV406" s="153">
        <v>41527</v>
      </c>
      <c r="CC406" s="136">
        <v>8</v>
      </c>
      <c r="CD406" s="153">
        <v>41527</v>
      </c>
      <c r="CG406" s="136">
        <v>1.88</v>
      </c>
      <c r="CH406" s="153">
        <v>41527</v>
      </c>
      <c r="CK406" s="136">
        <v>10</v>
      </c>
    </row>
    <row r="407" spans="1:89">
      <c r="A407" s="154" t="s">
        <v>7865</v>
      </c>
      <c r="B407" t="s">
        <v>259</v>
      </c>
      <c r="C407" t="s">
        <v>7794</v>
      </c>
      <c r="D407">
        <v>68</v>
      </c>
      <c r="E407" s="113">
        <v>4</v>
      </c>
      <c r="F407" s="113">
        <v>40</v>
      </c>
      <c r="K407" s="112">
        <v>5</v>
      </c>
      <c r="L407" s="317">
        <v>41569</v>
      </c>
      <c r="S407" s="318">
        <v>2310.4499999999998</v>
      </c>
      <c r="T407" s="153">
        <v>41527</v>
      </c>
      <c r="U407" s="136">
        <v>10.8</v>
      </c>
      <c r="Y407" s="136">
        <v>1134.125</v>
      </c>
      <c r="Z407" s="153">
        <v>41527</v>
      </c>
      <c r="AA407" s="318" t="s">
        <v>7718</v>
      </c>
      <c r="AB407" s="153">
        <v>41527</v>
      </c>
      <c r="AE407">
        <v>52.75</v>
      </c>
      <c r="AF407" s="153">
        <v>41527</v>
      </c>
      <c r="AG407" s="136" t="s">
        <v>7718</v>
      </c>
      <c r="AH407" s="153">
        <v>41527</v>
      </c>
      <c r="AI407" s="318">
        <v>145</v>
      </c>
      <c r="AJ407" s="153">
        <v>41527</v>
      </c>
      <c r="BS407" s="318">
        <v>43.8</v>
      </c>
      <c r="BT407" s="153">
        <v>41527</v>
      </c>
      <c r="BU407">
        <v>21.5</v>
      </c>
      <c r="BV407" s="153">
        <v>41527</v>
      </c>
      <c r="CC407" s="136">
        <v>7.6</v>
      </c>
      <c r="CD407" s="153">
        <v>41527</v>
      </c>
      <c r="CG407" s="136">
        <v>0.78</v>
      </c>
      <c r="CH407" s="153">
        <v>41527</v>
      </c>
      <c r="CK407" s="136">
        <v>5</v>
      </c>
    </row>
    <row r="408" spans="1:89">
      <c r="A408" s="154" t="s">
        <v>7865</v>
      </c>
      <c r="B408" t="s">
        <v>257</v>
      </c>
      <c r="C408" t="s">
        <v>7795</v>
      </c>
      <c r="D408">
        <v>68</v>
      </c>
      <c r="E408" s="113">
        <v>4</v>
      </c>
      <c r="F408" s="113">
        <v>70</v>
      </c>
      <c r="K408" s="112">
        <v>5</v>
      </c>
      <c r="L408" s="317">
        <v>41569</v>
      </c>
      <c r="S408" s="318">
        <v>1921.0650000000001</v>
      </c>
      <c r="T408" s="153">
        <v>41527</v>
      </c>
      <c r="U408" s="136">
        <v>10.8</v>
      </c>
      <c r="Y408" s="136">
        <v>880.66800000000001</v>
      </c>
      <c r="Z408" s="153">
        <v>41527</v>
      </c>
      <c r="AA408" s="318">
        <v>91075.949370000002</v>
      </c>
      <c r="AB408" s="153">
        <v>41527</v>
      </c>
      <c r="AE408">
        <v>43.17</v>
      </c>
      <c r="AF408" s="153">
        <v>41527</v>
      </c>
      <c r="AG408" s="136">
        <v>4.74</v>
      </c>
      <c r="AH408" s="153">
        <v>41527</v>
      </c>
      <c r="AI408" s="318">
        <v>145</v>
      </c>
      <c r="AJ408" s="153">
        <v>41527</v>
      </c>
      <c r="BS408" s="318">
        <v>44.5</v>
      </c>
      <c r="BT408" s="153">
        <v>41527</v>
      </c>
      <c r="BU408">
        <v>20.399999999999999</v>
      </c>
      <c r="BV408" s="153">
        <v>41527</v>
      </c>
      <c r="CC408" s="136">
        <v>6.6</v>
      </c>
      <c r="CD408" s="153">
        <v>41527</v>
      </c>
      <c r="CG408" s="136">
        <v>1.32</v>
      </c>
      <c r="CH408" s="153">
        <v>41527</v>
      </c>
      <c r="CK408" s="136">
        <v>5</v>
      </c>
    </row>
    <row r="409" spans="1:89">
      <c r="A409" s="154" t="s">
        <v>7865</v>
      </c>
      <c r="B409" t="s">
        <v>259</v>
      </c>
      <c r="C409" t="s">
        <v>7795</v>
      </c>
      <c r="D409">
        <v>68</v>
      </c>
      <c r="E409" s="113">
        <v>3</v>
      </c>
      <c r="F409" s="113">
        <v>69</v>
      </c>
      <c r="K409" s="112">
        <v>5</v>
      </c>
      <c r="L409" s="317">
        <v>41569</v>
      </c>
      <c r="S409" s="318">
        <v>2268.2240000000002</v>
      </c>
      <c r="T409" s="153">
        <v>41527</v>
      </c>
      <c r="U409" s="136">
        <v>10.8</v>
      </c>
      <c r="Y409" s="136">
        <v>1216.4480000000001</v>
      </c>
      <c r="Z409" s="153">
        <v>41527</v>
      </c>
      <c r="AA409" s="318">
        <v>109300.4115</v>
      </c>
      <c r="AB409" s="153">
        <v>41527</v>
      </c>
      <c r="AE409">
        <v>53.12</v>
      </c>
      <c r="AF409" s="153">
        <v>41527</v>
      </c>
      <c r="AG409" s="136">
        <v>4.8600000000000003</v>
      </c>
      <c r="AH409" s="153">
        <v>41527</v>
      </c>
      <c r="AI409" s="318">
        <v>145</v>
      </c>
      <c r="AJ409" s="153">
        <v>41527</v>
      </c>
      <c r="BS409" s="318">
        <v>42.7</v>
      </c>
      <c r="BT409" s="153">
        <v>41527</v>
      </c>
      <c r="BU409">
        <v>22.9</v>
      </c>
      <c r="BV409" s="153">
        <v>41527</v>
      </c>
      <c r="CC409" s="136">
        <v>7.5</v>
      </c>
      <c r="CD409" s="153">
        <v>41527</v>
      </c>
      <c r="CG409" s="136">
        <v>1.45</v>
      </c>
      <c r="CH409" s="153">
        <v>41527</v>
      </c>
      <c r="CK409" s="136">
        <v>5</v>
      </c>
    </row>
    <row r="410" spans="1:89">
      <c r="A410" s="154" t="s">
        <v>7866</v>
      </c>
      <c r="B410" t="s">
        <v>257</v>
      </c>
      <c r="C410" t="s">
        <v>405</v>
      </c>
      <c r="D410">
        <v>69</v>
      </c>
      <c r="E410" s="113">
        <v>4</v>
      </c>
      <c r="F410" s="113">
        <v>21</v>
      </c>
      <c r="K410" s="112">
        <v>5</v>
      </c>
      <c r="L410" s="317">
        <v>41569</v>
      </c>
      <c r="S410" s="318">
        <v>1603.2840000000001</v>
      </c>
      <c r="T410" s="153">
        <v>41527</v>
      </c>
      <c r="U410" s="136">
        <v>10.8</v>
      </c>
      <c r="Y410" s="136">
        <v>729.42200000000003</v>
      </c>
      <c r="Z410" s="153">
        <v>41527</v>
      </c>
      <c r="AA410" s="318" t="s">
        <v>7718</v>
      </c>
      <c r="AB410" s="153">
        <v>41527</v>
      </c>
      <c r="AE410">
        <v>36.11</v>
      </c>
      <c r="AF410" s="153">
        <v>41527</v>
      </c>
      <c r="AG410" s="136" t="s">
        <v>7718</v>
      </c>
      <c r="AH410" s="153">
        <v>41527</v>
      </c>
      <c r="AI410" s="318">
        <v>135</v>
      </c>
      <c r="AJ410" s="153">
        <v>41527</v>
      </c>
      <c r="BS410" s="318">
        <v>44.4</v>
      </c>
      <c r="BT410" s="153">
        <v>41527</v>
      </c>
      <c r="BU410">
        <v>20.2</v>
      </c>
      <c r="BV410" s="153">
        <v>41527</v>
      </c>
      <c r="CC410" s="136">
        <v>8.1</v>
      </c>
      <c r="CD410" s="153">
        <v>41527</v>
      </c>
      <c r="CG410" s="136">
        <v>2.67</v>
      </c>
      <c r="CH410" s="153">
        <v>41527</v>
      </c>
      <c r="CK410" s="136">
        <v>10</v>
      </c>
    </row>
    <row r="411" spans="1:89">
      <c r="A411" s="154" t="s">
        <v>7866</v>
      </c>
      <c r="B411" t="s">
        <v>259</v>
      </c>
      <c r="C411" t="s">
        <v>405</v>
      </c>
      <c r="D411">
        <v>69</v>
      </c>
      <c r="E411" s="113">
        <v>1</v>
      </c>
      <c r="F411" s="113">
        <v>2</v>
      </c>
      <c r="K411" s="112">
        <v>7</v>
      </c>
      <c r="L411" s="317">
        <v>41569</v>
      </c>
      <c r="S411" s="318">
        <v>2027.1679999999999</v>
      </c>
      <c r="T411" s="153">
        <v>41527</v>
      </c>
      <c r="U411" s="136">
        <v>10.8</v>
      </c>
      <c r="Y411" s="136">
        <v>1169.52</v>
      </c>
      <c r="Z411" s="153">
        <v>41527</v>
      </c>
      <c r="AA411" s="318" t="s">
        <v>7718</v>
      </c>
      <c r="AB411" s="153">
        <v>41527</v>
      </c>
      <c r="AE411">
        <v>48.73</v>
      </c>
      <c r="AF411" s="153">
        <v>41527</v>
      </c>
      <c r="AG411" s="136" t="s">
        <v>7718</v>
      </c>
      <c r="AH411" s="153">
        <v>41527</v>
      </c>
      <c r="AI411" s="318">
        <v>135</v>
      </c>
      <c r="AJ411" s="153">
        <v>41527</v>
      </c>
      <c r="BS411" s="318">
        <v>41.6</v>
      </c>
      <c r="BT411" s="153">
        <v>41527</v>
      </c>
      <c r="BU411">
        <v>24</v>
      </c>
      <c r="BV411" s="153">
        <v>41527</v>
      </c>
      <c r="CC411" s="136">
        <v>12.3</v>
      </c>
      <c r="CD411" s="153">
        <v>41527</v>
      </c>
      <c r="CG411" s="136">
        <v>1.29</v>
      </c>
      <c r="CH411" s="153">
        <v>41527</v>
      </c>
      <c r="CK411" s="136">
        <v>20</v>
      </c>
    </row>
    <row r="412" spans="1:89">
      <c r="A412" s="154" t="s">
        <v>7866</v>
      </c>
      <c r="B412" t="s">
        <v>257</v>
      </c>
      <c r="C412" t="s">
        <v>7794</v>
      </c>
      <c r="D412">
        <v>69</v>
      </c>
      <c r="E412" s="113">
        <v>1</v>
      </c>
      <c r="F412" s="113">
        <v>31</v>
      </c>
      <c r="K412" s="112">
        <v>7</v>
      </c>
      <c r="L412" s="317">
        <v>41569</v>
      </c>
      <c r="S412" s="318">
        <v>1883.636</v>
      </c>
      <c r="T412" s="153">
        <v>41527</v>
      </c>
      <c r="U412" s="136">
        <v>10.8</v>
      </c>
      <c r="Y412" s="136">
        <v>863.15599999999995</v>
      </c>
      <c r="Z412" s="153">
        <v>41527</v>
      </c>
      <c r="AA412" s="318" t="s">
        <v>7718</v>
      </c>
      <c r="AB412" s="153">
        <v>41527</v>
      </c>
      <c r="AE412">
        <v>42.52</v>
      </c>
      <c r="AF412" s="153">
        <v>41527</v>
      </c>
      <c r="AG412" s="136" t="s">
        <v>7718</v>
      </c>
      <c r="AH412" s="153">
        <v>41527</v>
      </c>
      <c r="AI412" s="318">
        <v>140</v>
      </c>
      <c r="AJ412" s="153">
        <v>41527</v>
      </c>
      <c r="BS412" s="318">
        <v>44.3</v>
      </c>
      <c r="BT412" s="153">
        <v>41527</v>
      </c>
      <c r="BU412">
        <v>20.3</v>
      </c>
      <c r="BV412" s="153">
        <v>41527</v>
      </c>
      <c r="CC412" s="136">
        <v>6.6</v>
      </c>
      <c r="CD412" s="153">
        <v>41527</v>
      </c>
      <c r="CG412" s="136">
        <v>3.8</v>
      </c>
      <c r="CH412" s="153">
        <v>41527</v>
      </c>
      <c r="CK412" s="136">
        <v>20</v>
      </c>
    </row>
    <row r="413" spans="1:89">
      <c r="A413" s="154" t="s">
        <v>7866</v>
      </c>
      <c r="B413" t="s">
        <v>259</v>
      </c>
      <c r="C413" t="s">
        <v>7794</v>
      </c>
      <c r="D413">
        <v>69</v>
      </c>
      <c r="E413" s="113">
        <v>4</v>
      </c>
      <c r="F413" s="113">
        <v>35</v>
      </c>
      <c r="K413" s="112">
        <v>5</v>
      </c>
      <c r="L413" s="317">
        <v>41569</v>
      </c>
      <c r="S413" s="318">
        <v>2099.4499999999998</v>
      </c>
      <c r="T413" s="153">
        <v>41527</v>
      </c>
      <c r="U413" s="136">
        <v>10.8</v>
      </c>
      <c r="Y413" s="136">
        <v>1099.4749999999999</v>
      </c>
      <c r="Z413" s="153">
        <v>41527</v>
      </c>
      <c r="AA413" s="318" t="s">
        <v>7718</v>
      </c>
      <c r="AB413" s="153">
        <v>41527</v>
      </c>
      <c r="AE413">
        <v>49.75</v>
      </c>
      <c r="AF413" s="153">
        <v>41527</v>
      </c>
      <c r="AG413" s="136" t="s">
        <v>7718</v>
      </c>
      <c r="AH413" s="153">
        <v>41527</v>
      </c>
      <c r="AI413" s="318">
        <v>140</v>
      </c>
      <c r="AJ413" s="153">
        <v>41527</v>
      </c>
      <c r="BS413" s="318">
        <v>42.2</v>
      </c>
      <c r="BT413" s="153">
        <v>41527</v>
      </c>
      <c r="BU413">
        <v>22.1</v>
      </c>
      <c r="BV413" s="153">
        <v>41527</v>
      </c>
      <c r="CC413" s="136">
        <v>8.6999999999999993</v>
      </c>
      <c r="CD413" s="153">
        <v>41527</v>
      </c>
      <c r="CG413" s="136">
        <v>2.7</v>
      </c>
      <c r="CH413" s="153">
        <v>41527</v>
      </c>
      <c r="CK413" s="136">
        <v>20</v>
      </c>
    </row>
    <row r="414" spans="1:89">
      <c r="A414" s="154" t="s">
        <v>7866</v>
      </c>
      <c r="B414" t="s">
        <v>257</v>
      </c>
      <c r="C414" t="s">
        <v>7795</v>
      </c>
      <c r="D414">
        <v>69</v>
      </c>
      <c r="E414" s="113">
        <v>6</v>
      </c>
      <c r="F414" s="113">
        <v>61</v>
      </c>
      <c r="K414" s="112">
        <v>3</v>
      </c>
      <c r="L414" s="317">
        <v>41569</v>
      </c>
      <c r="S414" s="318">
        <v>1763.58</v>
      </c>
      <c r="T414" s="153">
        <v>41527</v>
      </c>
      <c r="U414" s="136">
        <v>10.8</v>
      </c>
      <c r="Y414" s="136">
        <v>805.98</v>
      </c>
      <c r="Z414" s="153">
        <v>41527</v>
      </c>
      <c r="AA414" s="318">
        <v>89062.5</v>
      </c>
      <c r="AB414" s="153">
        <v>41527</v>
      </c>
      <c r="AE414">
        <v>39.9</v>
      </c>
      <c r="AF414" s="153">
        <v>41527</v>
      </c>
      <c r="AG414" s="136">
        <v>4.4800000000000004</v>
      </c>
      <c r="AH414" s="153">
        <v>41527</v>
      </c>
      <c r="AI414" s="318">
        <v>135</v>
      </c>
      <c r="AJ414" s="153">
        <v>41527</v>
      </c>
      <c r="BS414" s="318">
        <v>44.2</v>
      </c>
      <c r="BT414" s="153">
        <v>41527</v>
      </c>
      <c r="BU414">
        <v>20.2</v>
      </c>
      <c r="BV414" s="153">
        <v>41527</v>
      </c>
      <c r="CC414" s="136">
        <v>8.1999999999999993</v>
      </c>
      <c r="CD414" s="153">
        <v>41527</v>
      </c>
      <c r="CG414" s="136">
        <v>0.15</v>
      </c>
      <c r="CH414" s="153">
        <v>41527</v>
      </c>
      <c r="CK414" s="136">
        <v>10</v>
      </c>
    </row>
    <row r="415" spans="1:89">
      <c r="A415" s="154" t="s">
        <v>7866</v>
      </c>
      <c r="B415" t="s">
        <v>259</v>
      </c>
      <c r="C415" t="s">
        <v>7795</v>
      </c>
      <c r="D415">
        <v>69</v>
      </c>
      <c r="E415" s="113">
        <v>2</v>
      </c>
      <c r="F415" s="113">
        <v>73</v>
      </c>
      <c r="K415" s="112">
        <v>5</v>
      </c>
      <c r="L415" s="317">
        <v>41569</v>
      </c>
      <c r="S415" s="318">
        <v>1862.6320000000001</v>
      </c>
      <c r="T415" s="153">
        <v>41527</v>
      </c>
      <c r="U415" s="136">
        <v>10.8</v>
      </c>
      <c r="Y415" s="136">
        <v>979.63900000000001</v>
      </c>
      <c r="Z415" s="153">
        <v>41527</v>
      </c>
      <c r="AA415" s="318">
        <v>105347.7218</v>
      </c>
      <c r="AB415" s="153">
        <v>41527</v>
      </c>
      <c r="AE415">
        <v>43.93</v>
      </c>
      <c r="AF415" s="153">
        <v>41527</v>
      </c>
      <c r="AG415" s="136">
        <v>4.17</v>
      </c>
      <c r="AH415" s="153">
        <v>41527</v>
      </c>
      <c r="AI415" s="318">
        <v>135</v>
      </c>
      <c r="AJ415" s="153">
        <v>41527</v>
      </c>
      <c r="BS415" s="318">
        <v>42.4</v>
      </c>
      <c r="BT415" s="153">
        <v>41527</v>
      </c>
      <c r="BU415">
        <v>22.3</v>
      </c>
      <c r="BV415" s="153">
        <v>41527</v>
      </c>
      <c r="CC415" s="136">
        <v>7.7</v>
      </c>
      <c r="CD415" s="153">
        <v>41527</v>
      </c>
      <c r="CG415" s="136">
        <v>3.99</v>
      </c>
      <c r="CH415" s="153">
        <v>41527</v>
      </c>
      <c r="CK415" s="136">
        <v>30</v>
      </c>
    </row>
    <row r="416" spans="1:89">
      <c r="A416" s="154" t="s">
        <v>7867</v>
      </c>
      <c r="B416" t="s">
        <v>257</v>
      </c>
      <c r="C416" t="s">
        <v>405</v>
      </c>
      <c r="D416">
        <v>70</v>
      </c>
      <c r="E416" s="113">
        <v>5</v>
      </c>
      <c r="F416" s="113">
        <v>5</v>
      </c>
      <c r="K416" s="112">
        <v>5</v>
      </c>
      <c r="L416" s="317">
        <v>41569</v>
      </c>
      <c r="S416" s="318">
        <v>1852.74</v>
      </c>
      <c r="T416" s="153">
        <v>41527</v>
      </c>
      <c r="U416" s="136">
        <v>10.8</v>
      </c>
      <c r="Y416" s="136">
        <v>854.46</v>
      </c>
      <c r="Z416" s="153">
        <v>41527</v>
      </c>
      <c r="AA416" s="318" t="s">
        <v>7718</v>
      </c>
      <c r="AB416" s="153">
        <v>41527</v>
      </c>
      <c r="AE416">
        <v>42.3</v>
      </c>
      <c r="AF416" s="153">
        <v>41527</v>
      </c>
      <c r="AG416" s="136" t="s">
        <v>7718</v>
      </c>
      <c r="AH416" s="153">
        <v>41527</v>
      </c>
      <c r="AI416" s="318">
        <v>125</v>
      </c>
      <c r="AJ416" s="153">
        <v>41527</v>
      </c>
      <c r="BS416" s="318">
        <v>43.8</v>
      </c>
      <c r="BT416" s="153">
        <v>41527</v>
      </c>
      <c r="BU416">
        <v>20.2</v>
      </c>
      <c r="BV416" s="153">
        <v>41527</v>
      </c>
      <c r="CC416" s="136">
        <v>10.3</v>
      </c>
      <c r="CD416" s="153">
        <v>41527</v>
      </c>
      <c r="CG416" s="136">
        <v>3.76</v>
      </c>
      <c r="CH416" s="153">
        <v>41527</v>
      </c>
      <c r="CK416" s="136">
        <v>5</v>
      </c>
    </row>
    <row r="417" spans="1:89">
      <c r="A417" s="154" t="s">
        <v>7867</v>
      </c>
      <c r="B417" t="s">
        <v>259</v>
      </c>
      <c r="C417" t="s">
        <v>405</v>
      </c>
      <c r="D417">
        <v>70</v>
      </c>
      <c r="E417" s="113">
        <v>3</v>
      </c>
      <c r="F417" s="113">
        <v>24</v>
      </c>
      <c r="K417" s="112">
        <v>5</v>
      </c>
      <c r="L417" s="317">
        <v>41569</v>
      </c>
      <c r="S417" s="318">
        <v>2354.654</v>
      </c>
      <c r="T417" s="153">
        <v>41527</v>
      </c>
      <c r="U417" s="136">
        <v>10.8</v>
      </c>
      <c r="Y417" s="136">
        <v>1120.2280000000001</v>
      </c>
      <c r="Z417" s="153">
        <v>41527</v>
      </c>
      <c r="AA417" s="318" t="s">
        <v>7718</v>
      </c>
      <c r="AB417" s="153">
        <v>41527</v>
      </c>
      <c r="AE417">
        <v>54.38</v>
      </c>
      <c r="AF417" s="153">
        <v>41527</v>
      </c>
      <c r="AG417" s="136" t="s">
        <v>7718</v>
      </c>
      <c r="AH417" s="153">
        <v>41527</v>
      </c>
      <c r="AI417" s="318">
        <v>145</v>
      </c>
      <c r="AJ417" s="153">
        <v>41527</v>
      </c>
      <c r="BS417" s="318">
        <v>43.3</v>
      </c>
      <c r="BT417" s="153">
        <v>41527</v>
      </c>
      <c r="BU417">
        <v>20.6</v>
      </c>
      <c r="BV417" s="153">
        <v>41527</v>
      </c>
      <c r="CC417" s="136">
        <v>8.8000000000000007</v>
      </c>
      <c r="CD417" s="153">
        <v>41527</v>
      </c>
      <c r="CG417" s="136">
        <v>1.41</v>
      </c>
      <c r="CH417" s="153">
        <v>41527</v>
      </c>
      <c r="CK417" s="136">
        <v>1</v>
      </c>
    </row>
    <row r="418" spans="1:89">
      <c r="A418" s="154" t="s">
        <v>7867</v>
      </c>
      <c r="B418" t="s">
        <v>257</v>
      </c>
      <c r="C418" t="s">
        <v>7794</v>
      </c>
      <c r="D418">
        <v>70</v>
      </c>
      <c r="E418" s="113">
        <v>2</v>
      </c>
      <c r="F418" s="113">
        <v>51</v>
      </c>
      <c r="K418" s="112">
        <v>5</v>
      </c>
      <c r="L418" s="317">
        <v>41569</v>
      </c>
      <c r="S418" s="318">
        <v>1953.9179999999999</v>
      </c>
      <c r="T418" s="153">
        <v>41527</v>
      </c>
      <c r="U418" s="136">
        <v>10.8</v>
      </c>
      <c r="Y418" s="136">
        <v>860.97299999999996</v>
      </c>
      <c r="Z418" s="153">
        <v>41527</v>
      </c>
      <c r="AA418" s="318" t="s">
        <v>7718</v>
      </c>
      <c r="AB418" s="153">
        <v>41527</v>
      </c>
      <c r="AE418">
        <v>44.61</v>
      </c>
      <c r="AF418" s="153">
        <v>41527</v>
      </c>
      <c r="AG418" s="136" t="s">
        <v>7718</v>
      </c>
      <c r="AH418" s="153">
        <v>41527</v>
      </c>
      <c r="AI418" s="318">
        <v>140</v>
      </c>
      <c r="AJ418" s="153">
        <v>41527</v>
      </c>
      <c r="BS418" s="318">
        <v>43.8</v>
      </c>
      <c r="BT418" s="153">
        <v>41527</v>
      </c>
      <c r="BU418">
        <v>19.3</v>
      </c>
      <c r="BV418" s="153">
        <v>41527</v>
      </c>
      <c r="CC418" s="136">
        <v>9.1999999999999993</v>
      </c>
      <c r="CD418" s="153">
        <v>41527</v>
      </c>
      <c r="CG418" s="136">
        <v>4.4000000000000004</v>
      </c>
      <c r="CH418" s="153">
        <v>41527</v>
      </c>
      <c r="CK418" s="136">
        <v>1</v>
      </c>
    </row>
    <row r="419" spans="1:89">
      <c r="A419" s="154" t="s">
        <v>7867</v>
      </c>
      <c r="B419" t="s">
        <v>259</v>
      </c>
      <c r="C419" t="s">
        <v>7794</v>
      </c>
      <c r="D419">
        <v>70</v>
      </c>
      <c r="E419" s="113">
        <v>6</v>
      </c>
      <c r="F419" s="113">
        <v>58</v>
      </c>
      <c r="K419" s="112">
        <v>5</v>
      </c>
      <c r="L419" s="317">
        <v>41569</v>
      </c>
      <c r="S419" s="318">
        <v>1433.9680000000001</v>
      </c>
      <c r="T419" s="153">
        <v>41527</v>
      </c>
      <c r="U419" s="136">
        <v>10.8</v>
      </c>
      <c r="Y419" s="136">
        <v>737.27599999999995</v>
      </c>
      <c r="Z419" s="153">
        <v>41527</v>
      </c>
      <c r="AA419" s="318" t="s">
        <v>7718</v>
      </c>
      <c r="AB419" s="153">
        <v>41527</v>
      </c>
      <c r="AE419">
        <v>33.82</v>
      </c>
      <c r="AF419" s="153">
        <v>41527</v>
      </c>
      <c r="AG419" s="136" t="s">
        <v>7718</v>
      </c>
      <c r="AH419" s="153">
        <v>41527</v>
      </c>
      <c r="AI419" s="318">
        <v>120</v>
      </c>
      <c r="AJ419" s="153">
        <v>41527</v>
      </c>
      <c r="BS419" s="318">
        <v>42.4</v>
      </c>
      <c r="BT419" s="153">
        <v>41527</v>
      </c>
      <c r="BU419">
        <v>21.8</v>
      </c>
      <c r="BV419" s="153">
        <v>41527</v>
      </c>
      <c r="CC419" s="136">
        <v>6.1</v>
      </c>
      <c r="CD419" s="153">
        <v>41527</v>
      </c>
      <c r="CG419" s="136">
        <v>2.64</v>
      </c>
      <c r="CH419" s="153">
        <v>41527</v>
      </c>
      <c r="CK419" s="136">
        <v>1</v>
      </c>
    </row>
    <row r="420" spans="1:89">
      <c r="A420" s="154" t="s">
        <v>7867</v>
      </c>
      <c r="B420" t="s">
        <v>257</v>
      </c>
      <c r="C420" t="s">
        <v>7795</v>
      </c>
      <c r="D420">
        <v>70</v>
      </c>
      <c r="E420" s="113">
        <v>5</v>
      </c>
      <c r="F420" s="113">
        <v>61</v>
      </c>
      <c r="K420" s="112">
        <v>5</v>
      </c>
      <c r="L420" s="317">
        <v>41569</v>
      </c>
      <c r="S420" s="318">
        <v>1868.6120000000001</v>
      </c>
      <c r="T420" s="153">
        <v>41527</v>
      </c>
      <c r="U420" s="136">
        <v>10.8</v>
      </c>
      <c r="Y420" s="136">
        <v>855.2</v>
      </c>
      <c r="Z420" s="153">
        <v>41527</v>
      </c>
      <c r="AA420" s="318">
        <v>86383.838380000001</v>
      </c>
      <c r="AB420" s="153">
        <v>41527</v>
      </c>
      <c r="AE420">
        <v>42.76</v>
      </c>
      <c r="AF420" s="153">
        <v>41527</v>
      </c>
      <c r="AG420" s="136">
        <v>4.95</v>
      </c>
      <c r="AH420" s="153">
        <v>41527</v>
      </c>
      <c r="AI420" s="318">
        <v>125</v>
      </c>
      <c r="AJ420" s="153">
        <v>41527</v>
      </c>
      <c r="BS420" s="318">
        <v>43.7</v>
      </c>
      <c r="BT420" s="153">
        <v>41527</v>
      </c>
      <c r="BU420">
        <v>20</v>
      </c>
      <c r="BV420" s="153">
        <v>41527</v>
      </c>
      <c r="CC420" s="136">
        <v>8.1999999999999993</v>
      </c>
      <c r="CD420" s="153">
        <v>41527</v>
      </c>
      <c r="CG420" s="136">
        <v>0.76</v>
      </c>
      <c r="CH420" s="153">
        <v>41527</v>
      </c>
      <c r="CK420" s="136">
        <v>5</v>
      </c>
    </row>
    <row r="421" spans="1:89">
      <c r="A421" s="154" t="s">
        <v>7867</v>
      </c>
      <c r="B421" t="s">
        <v>259</v>
      </c>
      <c r="C421" t="s">
        <v>7795</v>
      </c>
      <c r="D421">
        <v>70</v>
      </c>
      <c r="E421" s="113">
        <v>3</v>
      </c>
      <c r="F421" s="113">
        <v>61</v>
      </c>
      <c r="K421" s="112">
        <v>5</v>
      </c>
      <c r="L421" s="317">
        <v>41569</v>
      </c>
      <c r="S421" s="318">
        <v>2237.8719999999998</v>
      </c>
      <c r="T421" s="153">
        <v>41527</v>
      </c>
      <c r="U421" s="136">
        <v>10.8</v>
      </c>
      <c r="Y421" s="136">
        <v>1300.8320000000001</v>
      </c>
      <c r="Z421" s="153">
        <v>41527</v>
      </c>
      <c r="AA421" s="318">
        <v>110460.9218</v>
      </c>
      <c r="AB421" s="153">
        <v>41527</v>
      </c>
      <c r="AE421">
        <v>55.12</v>
      </c>
      <c r="AF421" s="153">
        <v>41527</v>
      </c>
      <c r="AG421" s="136">
        <v>4.99</v>
      </c>
      <c r="AH421" s="153">
        <v>41527</v>
      </c>
      <c r="AI421" s="318">
        <v>140</v>
      </c>
      <c r="AJ421" s="153">
        <v>41527</v>
      </c>
      <c r="BS421" s="318">
        <v>40.6</v>
      </c>
      <c r="BT421" s="153">
        <v>41527</v>
      </c>
      <c r="BU421">
        <v>23.6</v>
      </c>
      <c r="BV421" s="153">
        <v>41527</v>
      </c>
      <c r="CC421" s="136">
        <v>9.1</v>
      </c>
      <c r="CD421" s="153">
        <v>41527</v>
      </c>
      <c r="CG421" s="136">
        <v>3.31</v>
      </c>
      <c r="CH421" s="153">
        <v>41527</v>
      </c>
      <c r="CK421" s="136">
        <v>5</v>
      </c>
    </row>
    <row r="422" spans="1:89">
      <c r="A422" s="154" t="s">
        <v>7868</v>
      </c>
      <c r="B422" t="s">
        <v>257</v>
      </c>
      <c r="C422" t="s">
        <v>405</v>
      </c>
      <c r="D422">
        <v>71</v>
      </c>
      <c r="E422" s="113">
        <v>6</v>
      </c>
      <c r="F422" s="113">
        <v>16</v>
      </c>
      <c r="K422" s="112">
        <v>3</v>
      </c>
      <c r="L422" s="317">
        <v>41569</v>
      </c>
      <c r="S422" s="318">
        <v>1406.2660000000001</v>
      </c>
      <c r="T422" s="153">
        <v>41527</v>
      </c>
      <c r="U422" s="136">
        <v>10.8</v>
      </c>
      <c r="Y422" s="136">
        <v>662.90800000000002</v>
      </c>
      <c r="Z422" s="153">
        <v>41527</v>
      </c>
      <c r="AA422" s="318" t="s">
        <v>7718</v>
      </c>
      <c r="AB422" s="153">
        <v>41527</v>
      </c>
      <c r="AE422">
        <v>32.18</v>
      </c>
      <c r="AF422" s="153">
        <v>41527</v>
      </c>
      <c r="AG422" s="136" t="s">
        <v>7718</v>
      </c>
      <c r="AH422" s="153">
        <v>41527</v>
      </c>
      <c r="AI422" s="318">
        <v>120</v>
      </c>
      <c r="AJ422" s="153">
        <v>41527</v>
      </c>
      <c r="BS422" s="318">
        <v>43.7</v>
      </c>
      <c r="BT422" s="153">
        <v>41527</v>
      </c>
      <c r="BU422">
        <v>20.6</v>
      </c>
      <c r="BV422" s="153">
        <v>41527</v>
      </c>
      <c r="CC422" s="136">
        <v>7</v>
      </c>
      <c r="CD422" s="153">
        <v>41527</v>
      </c>
      <c r="CG422" s="136">
        <v>7.44</v>
      </c>
      <c r="CH422" s="153">
        <v>41527</v>
      </c>
      <c r="CK422" s="136">
        <v>5</v>
      </c>
    </row>
    <row r="423" spans="1:89">
      <c r="A423" s="154" t="s">
        <v>7868</v>
      </c>
      <c r="B423" t="s">
        <v>259</v>
      </c>
      <c r="C423" t="s">
        <v>405</v>
      </c>
      <c r="D423">
        <v>71</v>
      </c>
      <c r="E423" s="113">
        <v>3</v>
      </c>
      <c r="F423" s="113">
        <v>9</v>
      </c>
      <c r="K423" s="112">
        <v>3</v>
      </c>
      <c r="L423" s="317">
        <v>41569</v>
      </c>
      <c r="S423" s="318">
        <v>1961.028</v>
      </c>
      <c r="T423" s="153">
        <v>41527</v>
      </c>
      <c r="U423" s="136">
        <v>10.8</v>
      </c>
      <c r="Y423" s="136">
        <v>1033.828</v>
      </c>
      <c r="Z423" s="153">
        <v>41527</v>
      </c>
      <c r="AA423" s="318" t="s">
        <v>7718</v>
      </c>
      <c r="AB423" s="153">
        <v>41527</v>
      </c>
      <c r="AE423">
        <v>46.36</v>
      </c>
      <c r="AF423" s="153">
        <v>41527</v>
      </c>
      <c r="AG423" s="136" t="s">
        <v>7718</v>
      </c>
      <c r="AH423" s="153">
        <v>41527</v>
      </c>
      <c r="AI423" s="318">
        <v>130</v>
      </c>
      <c r="AJ423" s="153">
        <v>41527</v>
      </c>
      <c r="BS423" s="318">
        <v>42.3</v>
      </c>
      <c r="BT423" s="153">
        <v>41527</v>
      </c>
      <c r="BU423">
        <v>22.3</v>
      </c>
      <c r="BV423" s="153">
        <v>41527</v>
      </c>
      <c r="CC423" s="136">
        <v>7.9</v>
      </c>
      <c r="CD423" s="153">
        <v>41527</v>
      </c>
      <c r="CG423" s="136">
        <v>0.97</v>
      </c>
      <c r="CH423" s="153">
        <v>41527</v>
      </c>
      <c r="CK423" s="136">
        <v>5</v>
      </c>
    </row>
    <row r="424" spans="1:89">
      <c r="A424" s="154" t="s">
        <v>7868</v>
      </c>
      <c r="B424" t="s">
        <v>257</v>
      </c>
      <c r="C424" t="s">
        <v>7794</v>
      </c>
      <c r="D424">
        <v>71</v>
      </c>
      <c r="E424" s="113">
        <v>1</v>
      </c>
      <c r="F424" s="113">
        <v>32</v>
      </c>
      <c r="K424" s="112">
        <v>7</v>
      </c>
      <c r="L424" s="317">
        <v>41569</v>
      </c>
      <c r="S424" s="318">
        <v>1870.36</v>
      </c>
      <c r="T424" s="153">
        <v>41527</v>
      </c>
      <c r="U424" s="136">
        <v>10.8</v>
      </c>
      <c r="Y424" s="136">
        <v>843.16</v>
      </c>
      <c r="Z424" s="153">
        <v>41527</v>
      </c>
      <c r="AA424" s="318" t="s">
        <v>7718</v>
      </c>
      <c r="AB424" s="153">
        <v>41527</v>
      </c>
      <c r="AE424">
        <v>42.8</v>
      </c>
      <c r="AF424" s="153">
        <v>41527</v>
      </c>
      <c r="AG424" s="136" t="s">
        <v>7718</v>
      </c>
      <c r="AH424" s="153">
        <v>41527</v>
      </c>
      <c r="AI424" s="318">
        <v>125</v>
      </c>
      <c r="AJ424" s="153">
        <v>41527</v>
      </c>
      <c r="BS424" s="318">
        <v>43.7</v>
      </c>
      <c r="BT424" s="153">
        <v>41527</v>
      </c>
      <c r="BU424">
        <v>19.7</v>
      </c>
      <c r="BV424" s="153">
        <v>41527</v>
      </c>
      <c r="CC424" s="136">
        <v>6.1</v>
      </c>
      <c r="CD424" s="153">
        <v>41527</v>
      </c>
      <c r="CG424" s="136">
        <v>2.3199999999999998</v>
      </c>
      <c r="CH424" s="153">
        <v>41527</v>
      </c>
      <c r="CK424" s="136">
        <v>5</v>
      </c>
    </row>
    <row r="425" spans="1:89">
      <c r="A425" s="154" t="s">
        <v>7868</v>
      </c>
      <c r="B425" t="s">
        <v>259</v>
      </c>
      <c r="C425" t="s">
        <v>7794</v>
      </c>
      <c r="D425">
        <v>71</v>
      </c>
      <c r="E425" s="113">
        <v>4</v>
      </c>
      <c r="F425" s="113">
        <v>31</v>
      </c>
      <c r="K425" s="112">
        <v>5</v>
      </c>
      <c r="L425" s="317">
        <v>41569</v>
      </c>
      <c r="S425" s="318">
        <v>2118.3040000000001</v>
      </c>
      <c r="T425" s="153">
        <v>41527</v>
      </c>
      <c r="U425" s="136">
        <v>10.8</v>
      </c>
      <c r="Y425" s="136">
        <v>1089.1279999999999</v>
      </c>
      <c r="Z425" s="153">
        <v>41527</v>
      </c>
      <c r="AA425" s="318" t="s">
        <v>7718</v>
      </c>
      <c r="AB425" s="153">
        <v>41527</v>
      </c>
      <c r="AE425">
        <v>49.96</v>
      </c>
      <c r="AF425" s="153">
        <v>41527</v>
      </c>
      <c r="AG425" s="136" t="s">
        <v>7718</v>
      </c>
      <c r="AH425" s="153">
        <v>41527</v>
      </c>
      <c r="AI425" s="318">
        <v>125</v>
      </c>
      <c r="AJ425" s="153">
        <v>41527</v>
      </c>
      <c r="BS425" s="318">
        <v>42.4</v>
      </c>
      <c r="BT425" s="153">
        <v>41527</v>
      </c>
      <c r="BU425">
        <v>21.8</v>
      </c>
      <c r="BV425" s="153">
        <v>41527</v>
      </c>
      <c r="CC425" s="136">
        <v>5.8</v>
      </c>
      <c r="CD425" s="153">
        <v>41527</v>
      </c>
      <c r="CG425" s="136">
        <v>2.2999999999999998</v>
      </c>
      <c r="CH425" s="153">
        <v>41527</v>
      </c>
      <c r="CK425" s="136">
        <v>5</v>
      </c>
    </row>
    <row r="426" spans="1:89">
      <c r="A426" s="154" t="s">
        <v>7868</v>
      </c>
      <c r="B426" t="s">
        <v>257</v>
      </c>
      <c r="C426" t="s">
        <v>7795</v>
      </c>
      <c r="D426">
        <v>71</v>
      </c>
      <c r="E426" s="113">
        <v>5</v>
      </c>
      <c r="F426" s="113">
        <v>65</v>
      </c>
      <c r="K426" s="112">
        <v>5</v>
      </c>
      <c r="L426" s="317">
        <v>41569</v>
      </c>
      <c r="S426" s="318">
        <v>1521.0239999999999</v>
      </c>
      <c r="T426" s="153">
        <v>41527</v>
      </c>
      <c r="U426" s="136">
        <v>10.8</v>
      </c>
      <c r="Y426" s="136">
        <v>846.25599999999997</v>
      </c>
      <c r="Z426" s="153">
        <v>41527</v>
      </c>
      <c r="AA426" s="318">
        <v>78484.210529999997</v>
      </c>
      <c r="AB426" s="153">
        <v>41527</v>
      </c>
      <c r="AE426">
        <v>37.28</v>
      </c>
      <c r="AF426" s="153">
        <v>41527</v>
      </c>
      <c r="AG426" s="136">
        <v>4.75</v>
      </c>
      <c r="AH426" s="153">
        <v>41527</v>
      </c>
      <c r="AI426" s="318">
        <v>120</v>
      </c>
      <c r="AJ426" s="153">
        <v>41527</v>
      </c>
      <c r="BS426" s="318">
        <v>40.799999999999997</v>
      </c>
      <c r="BT426" s="153">
        <v>41527</v>
      </c>
      <c r="BU426">
        <v>22.7</v>
      </c>
      <c r="BV426" s="153">
        <v>41527</v>
      </c>
      <c r="CC426" s="136">
        <v>8.4</v>
      </c>
      <c r="CD426" s="153">
        <v>41527</v>
      </c>
      <c r="CG426" s="136">
        <v>1.71</v>
      </c>
      <c r="CH426" s="153">
        <v>41527</v>
      </c>
      <c r="CK426" s="136">
        <v>10</v>
      </c>
    </row>
    <row r="427" spans="1:89">
      <c r="A427" s="154" t="s">
        <v>7868</v>
      </c>
      <c r="B427" t="s">
        <v>259</v>
      </c>
      <c r="C427" t="s">
        <v>7795</v>
      </c>
      <c r="D427">
        <v>71</v>
      </c>
      <c r="E427" s="113">
        <v>1</v>
      </c>
      <c r="F427" s="113">
        <v>72</v>
      </c>
      <c r="K427" s="112">
        <v>5</v>
      </c>
      <c r="L427" s="317">
        <v>41569</v>
      </c>
      <c r="S427" s="318">
        <v>1373.9090000000001</v>
      </c>
      <c r="T427" s="153">
        <v>41527</v>
      </c>
      <c r="U427" s="136">
        <v>10.8</v>
      </c>
      <c r="Y427" s="136">
        <v>666.33</v>
      </c>
      <c r="Z427" s="153">
        <v>41527</v>
      </c>
      <c r="AA427" s="318">
        <v>65020.491800000003</v>
      </c>
      <c r="AB427" s="153">
        <v>41527</v>
      </c>
      <c r="AE427">
        <v>31.73</v>
      </c>
      <c r="AF427" s="153">
        <v>41527</v>
      </c>
      <c r="AG427" s="136">
        <v>4.88</v>
      </c>
      <c r="AH427" s="153">
        <v>41527</v>
      </c>
      <c r="AI427" s="318">
        <v>120</v>
      </c>
      <c r="AJ427" s="153">
        <v>41527</v>
      </c>
      <c r="BS427" s="318">
        <v>43.3</v>
      </c>
      <c r="BT427" s="153">
        <v>41527</v>
      </c>
      <c r="BU427">
        <v>21</v>
      </c>
      <c r="BV427" s="153">
        <v>41527</v>
      </c>
      <c r="CC427" s="136">
        <v>6.9</v>
      </c>
      <c r="CD427" s="153">
        <v>41527</v>
      </c>
      <c r="CG427" s="136">
        <v>4.3600000000000003</v>
      </c>
      <c r="CH427" s="153">
        <v>41527</v>
      </c>
      <c r="CK427" s="136">
        <v>5</v>
      </c>
    </row>
    <row r="428" spans="1:89">
      <c r="A428" s="154" t="s">
        <v>7869</v>
      </c>
      <c r="B428" t="s">
        <v>257</v>
      </c>
      <c r="C428" t="s">
        <v>405</v>
      </c>
      <c r="D428">
        <v>72</v>
      </c>
      <c r="E428" s="113">
        <v>5</v>
      </c>
      <c r="F428" s="113">
        <v>28</v>
      </c>
      <c r="K428" s="112">
        <v>3</v>
      </c>
      <c r="L428" s="317">
        <v>41569</v>
      </c>
      <c r="S428" s="318">
        <v>1522.336</v>
      </c>
      <c r="T428" s="153">
        <v>41527</v>
      </c>
      <c r="U428" s="136">
        <v>10.8</v>
      </c>
      <c r="Y428" s="136">
        <v>639.91999999999996</v>
      </c>
      <c r="Z428" s="153">
        <v>41527</v>
      </c>
      <c r="AA428" s="318" t="s">
        <v>7718</v>
      </c>
      <c r="AB428" s="153">
        <v>41527</v>
      </c>
      <c r="AE428">
        <v>33.68</v>
      </c>
      <c r="AF428" s="153">
        <v>41527</v>
      </c>
      <c r="AG428" s="136" t="s">
        <v>7718</v>
      </c>
      <c r="AH428" s="153">
        <v>41527</v>
      </c>
      <c r="AI428" s="318">
        <v>120</v>
      </c>
      <c r="AJ428" s="153">
        <v>41527</v>
      </c>
      <c r="BS428" s="318">
        <v>45.2</v>
      </c>
      <c r="BT428" s="153">
        <v>41527</v>
      </c>
      <c r="BU428">
        <v>19</v>
      </c>
      <c r="BV428" s="153">
        <v>41527</v>
      </c>
      <c r="CC428" s="136">
        <v>11.4</v>
      </c>
      <c r="CD428" s="153">
        <v>41527</v>
      </c>
      <c r="CG428" s="136">
        <v>5.97</v>
      </c>
      <c r="CH428" s="153">
        <v>41527</v>
      </c>
      <c r="CK428" s="136">
        <v>5</v>
      </c>
    </row>
    <row r="429" spans="1:89">
      <c r="A429" s="154" t="s">
        <v>7869</v>
      </c>
      <c r="B429" t="s">
        <v>259</v>
      </c>
      <c r="C429" t="s">
        <v>405</v>
      </c>
      <c r="D429">
        <v>72</v>
      </c>
      <c r="E429" s="113">
        <v>2</v>
      </c>
      <c r="F429" s="113">
        <v>28</v>
      </c>
      <c r="K429" s="112">
        <v>5</v>
      </c>
      <c r="L429" s="317">
        <v>41569</v>
      </c>
      <c r="S429" s="318">
        <v>1993.152</v>
      </c>
      <c r="T429" s="153">
        <v>41527</v>
      </c>
      <c r="U429" s="136">
        <v>10.8</v>
      </c>
      <c r="Y429" s="136">
        <v>943.18799999999999</v>
      </c>
      <c r="Z429" s="153">
        <v>41527</v>
      </c>
      <c r="AA429" s="318" t="s">
        <v>7718</v>
      </c>
      <c r="AB429" s="153">
        <v>41527</v>
      </c>
      <c r="AE429">
        <v>44.49</v>
      </c>
      <c r="AF429" s="153">
        <v>41527</v>
      </c>
      <c r="AG429" s="136" t="s">
        <v>7718</v>
      </c>
      <c r="AH429" s="153">
        <v>41527</v>
      </c>
      <c r="AI429" s="318">
        <v>125</v>
      </c>
      <c r="AJ429" s="153">
        <v>41527</v>
      </c>
      <c r="BS429" s="318">
        <v>44.8</v>
      </c>
      <c r="BT429" s="153">
        <v>41527</v>
      </c>
      <c r="BU429">
        <v>21.2</v>
      </c>
      <c r="BV429" s="153">
        <v>41527</v>
      </c>
      <c r="CC429" s="136">
        <v>13.6</v>
      </c>
      <c r="CD429" s="153">
        <v>41527</v>
      </c>
      <c r="CG429" s="136">
        <v>3.21</v>
      </c>
      <c r="CH429" s="153">
        <v>41527</v>
      </c>
      <c r="CK429" s="136">
        <v>5</v>
      </c>
    </row>
    <row r="430" spans="1:89">
      <c r="A430" s="154" t="s">
        <v>7869</v>
      </c>
      <c r="B430" t="s">
        <v>257</v>
      </c>
      <c r="C430" t="s">
        <v>7794</v>
      </c>
      <c r="D430">
        <v>72</v>
      </c>
      <c r="E430" s="113">
        <v>3</v>
      </c>
      <c r="F430" s="113">
        <v>42</v>
      </c>
      <c r="K430" s="112">
        <v>5</v>
      </c>
      <c r="L430" s="317">
        <v>41569</v>
      </c>
      <c r="S430" s="318">
        <v>1919.0050000000001</v>
      </c>
      <c r="T430" s="153">
        <v>41527</v>
      </c>
      <c r="U430" s="136">
        <v>10.8</v>
      </c>
      <c r="Y430" s="136">
        <v>816.96</v>
      </c>
      <c r="Z430" s="153">
        <v>41527</v>
      </c>
      <c r="AA430" s="318" t="s">
        <v>7718</v>
      </c>
      <c r="AB430" s="153">
        <v>41527</v>
      </c>
      <c r="AE430">
        <v>42.55</v>
      </c>
      <c r="AF430" s="153">
        <v>41527</v>
      </c>
      <c r="AG430" s="136" t="s">
        <v>7718</v>
      </c>
      <c r="AH430" s="153">
        <v>41527</v>
      </c>
      <c r="AI430" s="318">
        <v>130</v>
      </c>
      <c r="AJ430" s="153">
        <v>41527</v>
      </c>
      <c r="BS430" s="318">
        <v>45.1</v>
      </c>
      <c r="BT430" s="153">
        <v>41527</v>
      </c>
      <c r="BU430">
        <v>19.2</v>
      </c>
      <c r="BV430" s="153">
        <v>41527</v>
      </c>
      <c r="CC430" s="136">
        <v>10.6</v>
      </c>
      <c r="CD430" s="153">
        <v>41527</v>
      </c>
      <c r="CG430" s="136">
        <v>5.47</v>
      </c>
      <c r="CH430" s="153">
        <v>41527</v>
      </c>
      <c r="CK430" s="136">
        <v>10</v>
      </c>
    </row>
    <row r="431" spans="1:89">
      <c r="A431" s="154" t="s">
        <v>7869</v>
      </c>
      <c r="B431" t="s">
        <v>259</v>
      </c>
      <c r="C431" t="s">
        <v>7794</v>
      </c>
      <c r="D431">
        <v>72</v>
      </c>
      <c r="E431" s="113">
        <v>4</v>
      </c>
      <c r="F431" s="113">
        <v>51</v>
      </c>
      <c r="K431" s="112">
        <v>3</v>
      </c>
      <c r="L431" s="317">
        <v>41569</v>
      </c>
      <c r="S431" s="318">
        <v>1833.38</v>
      </c>
      <c r="T431" s="153">
        <v>41527</v>
      </c>
      <c r="U431" s="136">
        <v>10.8</v>
      </c>
      <c r="Y431" s="136">
        <v>853.61500000000001</v>
      </c>
      <c r="Z431" s="153">
        <v>41527</v>
      </c>
      <c r="AA431" s="318" t="s">
        <v>7718</v>
      </c>
      <c r="AB431" s="153">
        <v>41527</v>
      </c>
      <c r="AE431">
        <v>42.05</v>
      </c>
      <c r="AF431" s="153">
        <v>41527</v>
      </c>
      <c r="AG431" s="136" t="s">
        <v>7718</v>
      </c>
      <c r="AH431" s="153">
        <v>41527</v>
      </c>
      <c r="AI431" s="318">
        <v>130</v>
      </c>
      <c r="AJ431" s="153">
        <v>41527</v>
      </c>
      <c r="BS431" s="318">
        <v>43.6</v>
      </c>
      <c r="BT431" s="153">
        <v>41527</v>
      </c>
      <c r="BU431">
        <v>20.3</v>
      </c>
      <c r="BV431" s="153">
        <v>41527</v>
      </c>
      <c r="CC431" s="136">
        <v>8.4</v>
      </c>
      <c r="CD431" s="153">
        <v>41527</v>
      </c>
      <c r="CG431" s="136">
        <v>6.33</v>
      </c>
      <c r="CH431" s="153">
        <v>41527</v>
      </c>
      <c r="CK431" s="136">
        <v>10</v>
      </c>
    </row>
    <row r="432" spans="1:89">
      <c r="A432" s="154" t="s">
        <v>7869</v>
      </c>
      <c r="B432" t="s">
        <v>257</v>
      </c>
      <c r="C432" t="s">
        <v>7795</v>
      </c>
      <c r="D432">
        <v>72</v>
      </c>
      <c r="E432" s="113">
        <v>4</v>
      </c>
      <c r="F432" s="113">
        <v>68</v>
      </c>
      <c r="K432" s="112">
        <v>5</v>
      </c>
      <c r="L432" s="317">
        <v>41569</v>
      </c>
      <c r="S432" s="318">
        <v>1949.558</v>
      </c>
      <c r="T432" s="153">
        <v>41527</v>
      </c>
      <c r="U432" s="136">
        <v>10.8</v>
      </c>
      <c r="Y432" s="136">
        <v>838.00599999999997</v>
      </c>
      <c r="Z432" s="153">
        <v>41527</v>
      </c>
      <c r="AA432" s="318">
        <v>97354.260089999996</v>
      </c>
      <c r="AB432" s="153">
        <v>41527</v>
      </c>
      <c r="AE432">
        <v>43.42</v>
      </c>
      <c r="AF432" s="153">
        <v>41527</v>
      </c>
      <c r="AG432" s="136">
        <v>4.46</v>
      </c>
      <c r="AH432" s="153">
        <v>41527</v>
      </c>
      <c r="AI432" s="318">
        <v>120</v>
      </c>
      <c r="AJ432" s="153">
        <v>41527</v>
      </c>
      <c r="BS432" s="318">
        <v>44.9</v>
      </c>
      <c r="BT432" s="153">
        <v>41527</v>
      </c>
      <c r="BU432">
        <v>19.3</v>
      </c>
      <c r="BV432" s="153">
        <v>41527</v>
      </c>
      <c r="CC432" s="136">
        <v>7.9</v>
      </c>
      <c r="CD432" s="153">
        <v>41527</v>
      </c>
      <c r="CG432" s="136">
        <v>3.85</v>
      </c>
      <c r="CH432" s="153">
        <v>41527</v>
      </c>
      <c r="CK432" s="136">
        <v>5</v>
      </c>
    </row>
    <row r="433" spans="1:89">
      <c r="A433" s="154" t="s">
        <v>7869</v>
      </c>
      <c r="B433" t="s">
        <v>259</v>
      </c>
      <c r="C433" t="s">
        <v>7795</v>
      </c>
      <c r="D433">
        <v>72</v>
      </c>
      <c r="E433" s="113">
        <v>3</v>
      </c>
      <c r="F433" s="113">
        <v>79</v>
      </c>
      <c r="K433" s="112">
        <v>5</v>
      </c>
      <c r="L433" s="317">
        <v>41569</v>
      </c>
      <c r="S433" s="318">
        <v>1585.44</v>
      </c>
      <c r="T433" s="153">
        <v>41527</v>
      </c>
      <c r="U433" s="136">
        <v>10.8</v>
      </c>
      <c r="Y433" s="136">
        <v>781.71</v>
      </c>
      <c r="Z433" s="153">
        <v>41527</v>
      </c>
      <c r="AA433" s="318">
        <v>76617.954070000007</v>
      </c>
      <c r="AB433" s="153">
        <v>41527</v>
      </c>
      <c r="AE433">
        <v>36.700000000000003</v>
      </c>
      <c r="AF433" s="153">
        <v>41527</v>
      </c>
      <c r="AG433" s="136">
        <v>4.79</v>
      </c>
      <c r="AH433" s="153">
        <v>41527</v>
      </c>
      <c r="AI433" s="318">
        <v>125</v>
      </c>
      <c r="AJ433" s="153">
        <v>41527</v>
      </c>
      <c r="BS433" s="318">
        <v>43.2</v>
      </c>
      <c r="BT433" s="153">
        <v>41527</v>
      </c>
      <c r="BU433">
        <v>21.3</v>
      </c>
      <c r="BV433" s="153">
        <v>41527</v>
      </c>
      <c r="CC433" s="136">
        <v>9.4</v>
      </c>
      <c r="CD433" s="153">
        <v>41527</v>
      </c>
      <c r="CG433" s="136">
        <v>9.25</v>
      </c>
      <c r="CH433" s="153">
        <v>41527</v>
      </c>
      <c r="CK433" s="136">
        <v>5</v>
      </c>
    </row>
    <row r="434" spans="1:89">
      <c r="A434" s="154" t="s">
        <v>7870</v>
      </c>
      <c r="B434" t="s">
        <v>257</v>
      </c>
      <c r="C434" t="s">
        <v>405</v>
      </c>
      <c r="D434">
        <v>73</v>
      </c>
      <c r="E434" s="113">
        <v>6</v>
      </c>
      <c r="F434" s="113">
        <v>28</v>
      </c>
      <c r="K434" s="112">
        <v>3</v>
      </c>
      <c r="L434" s="317">
        <v>41569</v>
      </c>
      <c r="S434" s="318">
        <v>1657.18</v>
      </c>
      <c r="T434" s="153">
        <v>41527</v>
      </c>
      <c r="U434" s="136">
        <v>10.8</v>
      </c>
      <c r="Y434" s="136">
        <v>752.24800000000005</v>
      </c>
      <c r="Z434" s="153">
        <v>41527</v>
      </c>
      <c r="AA434" s="318" t="s">
        <v>7718</v>
      </c>
      <c r="AB434" s="153">
        <v>41527</v>
      </c>
      <c r="AE434">
        <v>37.24</v>
      </c>
      <c r="AF434" s="153">
        <v>41527</v>
      </c>
      <c r="AG434" s="136" t="s">
        <v>7718</v>
      </c>
      <c r="AH434" s="153">
        <v>41527</v>
      </c>
      <c r="AI434" s="318">
        <v>115</v>
      </c>
      <c r="AJ434" s="153">
        <v>41527</v>
      </c>
      <c r="BS434" s="318">
        <v>44.5</v>
      </c>
      <c r="BT434" s="153">
        <v>41527</v>
      </c>
      <c r="BU434">
        <v>20.2</v>
      </c>
      <c r="BV434" s="153">
        <v>41527</v>
      </c>
      <c r="CC434" s="136">
        <v>10.7</v>
      </c>
      <c r="CD434" s="153">
        <v>41527</v>
      </c>
      <c r="CG434" s="136">
        <v>6.48</v>
      </c>
      <c r="CH434" s="153">
        <v>41527</v>
      </c>
      <c r="CK434" s="136">
        <v>10</v>
      </c>
    </row>
    <row r="435" spans="1:89">
      <c r="A435" s="154" t="s">
        <v>7870</v>
      </c>
      <c r="B435" t="s">
        <v>259</v>
      </c>
      <c r="C435" t="s">
        <v>405</v>
      </c>
      <c r="D435">
        <v>73</v>
      </c>
      <c r="E435" s="113">
        <v>1</v>
      </c>
      <c r="F435" s="113">
        <v>18</v>
      </c>
      <c r="K435" s="112">
        <v>7</v>
      </c>
      <c r="L435" s="317">
        <v>41569</v>
      </c>
      <c r="S435" s="318">
        <v>2080.12</v>
      </c>
      <c r="T435" s="153">
        <v>41527</v>
      </c>
      <c r="U435" s="136">
        <v>10.8</v>
      </c>
      <c r="Y435" s="136">
        <v>1018.64</v>
      </c>
      <c r="Z435" s="153">
        <v>41527</v>
      </c>
      <c r="AA435" s="318" t="s">
        <v>7718</v>
      </c>
      <c r="AB435" s="153">
        <v>41527</v>
      </c>
      <c r="AE435">
        <v>47.6</v>
      </c>
      <c r="AF435" s="153">
        <v>41527</v>
      </c>
      <c r="AG435" s="136" t="s">
        <v>7718</v>
      </c>
      <c r="AH435" s="153">
        <v>41527</v>
      </c>
      <c r="AI435" s="318">
        <v>130</v>
      </c>
      <c r="AJ435" s="153">
        <v>41527</v>
      </c>
      <c r="BS435" s="318">
        <v>43.7</v>
      </c>
      <c r="BT435" s="153">
        <v>41527</v>
      </c>
      <c r="BU435">
        <v>21.4</v>
      </c>
      <c r="BV435" s="153">
        <v>41527</v>
      </c>
      <c r="CC435" s="136">
        <v>7.7</v>
      </c>
      <c r="CD435" s="153">
        <v>41527</v>
      </c>
      <c r="CG435" s="136">
        <v>2.6</v>
      </c>
      <c r="CH435" s="153">
        <v>41527</v>
      </c>
      <c r="CK435" s="136">
        <v>10</v>
      </c>
    </row>
    <row r="436" spans="1:89">
      <c r="A436" s="154" t="s">
        <v>7870</v>
      </c>
      <c r="B436" t="s">
        <v>257</v>
      </c>
      <c r="C436" t="s">
        <v>7794</v>
      </c>
      <c r="D436">
        <v>73</v>
      </c>
      <c r="E436" s="113">
        <v>2</v>
      </c>
      <c r="F436" s="113">
        <v>52</v>
      </c>
      <c r="K436" s="112">
        <v>5</v>
      </c>
      <c r="L436" s="317">
        <v>41569</v>
      </c>
      <c r="S436" s="318">
        <v>1857.875</v>
      </c>
      <c r="T436" s="153">
        <v>41527</v>
      </c>
      <c r="U436" s="136">
        <v>10.8</v>
      </c>
      <c r="Y436" s="136">
        <v>826.65</v>
      </c>
      <c r="Z436" s="153">
        <v>41527</v>
      </c>
      <c r="AA436" s="318" t="s">
        <v>7718</v>
      </c>
      <c r="AB436" s="153">
        <v>41527</v>
      </c>
      <c r="AE436">
        <v>41.75</v>
      </c>
      <c r="AF436" s="153">
        <v>41527</v>
      </c>
      <c r="AG436" s="136" t="s">
        <v>7718</v>
      </c>
      <c r="AH436" s="153">
        <v>41527</v>
      </c>
      <c r="AI436" s="318">
        <v>125</v>
      </c>
      <c r="AJ436" s="153">
        <v>41527</v>
      </c>
      <c r="BS436" s="318">
        <v>44.5</v>
      </c>
      <c r="BT436" s="153">
        <v>41527</v>
      </c>
      <c r="BU436">
        <v>19.8</v>
      </c>
      <c r="BV436" s="153">
        <v>41527</v>
      </c>
      <c r="CC436" s="136">
        <v>11</v>
      </c>
      <c r="CD436" s="153">
        <v>41527</v>
      </c>
      <c r="CG436" s="136">
        <v>6.88</v>
      </c>
      <c r="CH436" s="153">
        <v>41527</v>
      </c>
      <c r="CK436" s="136">
        <v>20</v>
      </c>
    </row>
    <row r="437" spans="1:89">
      <c r="A437" s="154" t="s">
        <v>7870</v>
      </c>
      <c r="B437" t="s">
        <v>259</v>
      </c>
      <c r="C437" t="s">
        <v>7794</v>
      </c>
      <c r="D437">
        <v>73</v>
      </c>
      <c r="E437" s="113">
        <v>4</v>
      </c>
      <c r="F437" s="113">
        <v>52</v>
      </c>
      <c r="K437" s="112">
        <v>5</v>
      </c>
      <c r="L437" s="317">
        <v>41569</v>
      </c>
      <c r="S437" s="318">
        <v>2015.0129999999999</v>
      </c>
      <c r="T437" s="153">
        <v>41527</v>
      </c>
      <c r="U437" s="136">
        <v>10.8</v>
      </c>
      <c r="Y437" s="136">
        <v>1014.552</v>
      </c>
      <c r="Z437" s="153">
        <v>41527</v>
      </c>
      <c r="AA437" s="318" t="s">
        <v>7718</v>
      </c>
      <c r="AB437" s="153">
        <v>41527</v>
      </c>
      <c r="AE437">
        <v>46.97</v>
      </c>
      <c r="AF437" s="153">
        <v>41527</v>
      </c>
      <c r="AG437" s="136" t="s">
        <v>7718</v>
      </c>
      <c r="AH437" s="153">
        <v>41527</v>
      </c>
      <c r="AI437" s="318">
        <v>130</v>
      </c>
      <c r="AJ437" s="153">
        <v>41527</v>
      </c>
      <c r="BS437" s="318">
        <v>42.9</v>
      </c>
      <c r="BT437" s="153">
        <v>41527</v>
      </c>
      <c r="BU437">
        <v>21.6</v>
      </c>
      <c r="BV437" s="153">
        <v>41527</v>
      </c>
      <c r="CC437" s="136">
        <v>7.7</v>
      </c>
      <c r="CD437" s="153">
        <v>41527</v>
      </c>
      <c r="CG437" s="136">
        <v>3.15</v>
      </c>
      <c r="CH437" s="153">
        <v>41527</v>
      </c>
      <c r="CK437" s="136">
        <v>20</v>
      </c>
    </row>
    <row r="438" spans="1:89">
      <c r="A438" s="154" t="s">
        <v>7870</v>
      </c>
      <c r="B438" t="s">
        <v>257</v>
      </c>
      <c r="C438" t="s">
        <v>7795</v>
      </c>
      <c r="D438">
        <v>73</v>
      </c>
      <c r="E438" s="113">
        <v>4</v>
      </c>
      <c r="F438" s="113">
        <v>61</v>
      </c>
      <c r="K438" s="112">
        <v>5</v>
      </c>
      <c r="L438" s="317">
        <v>41569</v>
      </c>
      <c r="S438" s="318">
        <v>1962.895</v>
      </c>
      <c r="T438" s="153">
        <v>41527</v>
      </c>
      <c r="U438" s="136">
        <v>10.8</v>
      </c>
      <c r="Y438" s="136">
        <v>877.78899999999999</v>
      </c>
      <c r="Z438" s="153">
        <v>41527</v>
      </c>
      <c r="AA438" s="318">
        <v>87001.972389999995</v>
      </c>
      <c r="AB438" s="153">
        <v>41527</v>
      </c>
      <c r="AE438">
        <v>44.11</v>
      </c>
      <c r="AF438" s="153">
        <v>41527</v>
      </c>
      <c r="AG438" s="136">
        <v>5.07</v>
      </c>
      <c r="AH438" s="153">
        <v>41527</v>
      </c>
      <c r="AI438" s="318">
        <v>130</v>
      </c>
      <c r="AJ438" s="153">
        <v>41527</v>
      </c>
      <c r="BS438" s="318">
        <v>44.5</v>
      </c>
      <c r="BT438" s="153">
        <v>41527</v>
      </c>
      <c r="BU438">
        <v>19.899999999999999</v>
      </c>
      <c r="BV438" s="153">
        <v>41527</v>
      </c>
      <c r="CC438" s="136">
        <v>8.1</v>
      </c>
      <c r="CD438" s="153">
        <v>41527</v>
      </c>
      <c r="CG438" s="136">
        <v>1.85</v>
      </c>
      <c r="CH438" s="153">
        <v>41527</v>
      </c>
      <c r="CK438" s="136">
        <v>20</v>
      </c>
    </row>
    <row r="439" spans="1:89">
      <c r="A439" s="154" t="s">
        <v>7870</v>
      </c>
      <c r="B439" t="s">
        <v>259</v>
      </c>
      <c r="C439" t="s">
        <v>7795</v>
      </c>
      <c r="D439">
        <v>73</v>
      </c>
      <c r="E439" s="113">
        <v>1</v>
      </c>
      <c r="F439" s="113">
        <v>81</v>
      </c>
      <c r="K439" s="112">
        <v>5</v>
      </c>
      <c r="L439" s="317">
        <v>41569</v>
      </c>
      <c r="S439" s="318">
        <v>1900.279</v>
      </c>
      <c r="T439" s="153">
        <v>41527</v>
      </c>
      <c r="U439" s="136">
        <v>10.8</v>
      </c>
      <c r="Y439" s="136">
        <v>939.11699999999996</v>
      </c>
      <c r="Z439" s="153">
        <v>41527</v>
      </c>
      <c r="AA439" s="318">
        <v>89251.012149999995</v>
      </c>
      <c r="AB439" s="153">
        <v>41527</v>
      </c>
      <c r="AE439">
        <v>44.09</v>
      </c>
      <c r="AF439" s="153">
        <v>41527</v>
      </c>
      <c r="AG439" s="136">
        <v>4.9400000000000004</v>
      </c>
      <c r="AH439" s="153">
        <v>41527</v>
      </c>
      <c r="AI439" s="318">
        <v>125</v>
      </c>
      <c r="AJ439" s="153">
        <v>41527</v>
      </c>
      <c r="BS439" s="318">
        <v>43.1</v>
      </c>
      <c r="BT439" s="153">
        <v>41527</v>
      </c>
      <c r="BU439">
        <v>21.3</v>
      </c>
      <c r="BV439" s="153">
        <v>41527</v>
      </c>
      <c r="CC439" s="136">
        <v>9.1999999999999993</v>
      </c>
      <c r="CD439" s="153">
        <v>41527</v>
      </c>
      <c r="CG439" s="136">
        <v>6.8</v>
      </c>
      <c r="CH439" s="153">
        <v>41527</v>
      </c>
      <c r="CK439" s="136">
        <v>10</v>
      </c>
    </row>
    <row r="440" spans="1:89">
      <c r="A440" s="154" t="s">
        <v>7871</v>
      </c>
      <c r="B440" t="s">
        <v>257</v>
      </c>
      <c r="C440" t="s">
        <v>405</v>
      </c>
      <c r="D440">
        <v>74</v>
      </c>
      <c r="E440" s="113">
        <v>4</v>
      </c>
      <c r="F440" s="113">
        <v>27</v>
      </c>
      <c r="K440" s="112">
        <v>5</v>
      </c>
      <c r="L440" s="317">
        <v>41569</v>
      </c>
      <c r="S440" s="318">
        <v>1858.6590000000001</v>
      </c>
      <c r="T440" s="153">
        <v>41527</v>
      </c>
      <c r="U440" s="136">
        <v>10.8</v>
      </c>
      <c r="Y440" s="136">
        <v>800.08500000000004</v>
      </c>
      <c r="Z440" s="153">
        <v>41527</v>
      </c>
      <c r="AA440" s="318" t="s">
        <v>7718</v>
      </c>
      <c r="AB440" s="153">
        <v>41527</v>
      </c>
      <c r="AE440">
        <v>41.03</v>
      </c>
      <c r="AF440" s="153">
        <v>41527</v>
      </c>
      <c r="AG440" s="136" t="s">
        <v>7718</v>
      </c>
      <c r="AH440" s="153">
        <v>41527</v>
      </c>
      <c r="AI440" s="318">
        <v>135</v>
      </c>
      <c r="AJ440" s="153">
        <v>41527</v>
      </c>
      <c r="BS440" s="318">
        <v>45.3</v>
      </c>
      <c r="BT440" s="153">
        <v>41527</v>
      </c>
      <c r="BU440">
        <v>19.5</v>
      </c>
      <c r="BV440" s="153">
        <v>41527</v>
      </c>
      <c r="CC440" s="136">
        <v>10.5</v>
      </c>
      <c r="CD440" s="153">
        <v>41527</v>
      </c>
      <c r="CG440" s="136">
        <v>3.83</v>
      </c>
      <c r="CH440" s="153">
        <v>41527</v>
      </c>
      <c r="CK440" s="136">
        <v>30</v>
      </c>
    </row>
    <row r="441" spans="1:89">
      <c r="A441" s="154" t="s">
        <v>7871</v>
      </c>
      <c r="B441" t="s">
        <v>259</v>
      </c>
      <c r="C441" t="s">
        <v>405</v>
      </c>
      <c r="D441">
        <v>74</v>
      </c>
      <c r="E441" s="113">
        <v>1</v>
      </c>
      <c r="F441" s="113">
        <v>7</v>
      </c>
      <c r="K441" s="112">
        <v>7</v>
      </c>
      <c r="L441" s="317">
        <v>41569</v>
      </c>
      <c r="S441" s="318">
        <v>2110.87</v>
      </c>
      <c r="T441" s="153">
        <v>41527</v>
      </c>
      <c r="U441" s="136">
        <v>10.8</v>
      </c>
      <c r="Y441" s="136">
        <v>1124.1610000000001</v>
      </c>
      <c r="Z441" s="153">
        <v>41527</v>
      </c>
      <c r="AA441" s="318" t="s">
        <v>7718</v>
      </c>
      <c r="AB441" s="153">
        <v>41527</v>
      </c>
      <c r="AE441">
        <v>49.09</v>
      </c>
      <c r="AF441" s="153">
        <v>41527</v>
      </c>
      <c r="AG441" s="136" t="s">
        <v>7718</v>
      </c>
      <c r="AH441" s="153">
        <v>41527</v>
      </c>
      <c r="AI441" s="318">
        <v>125</v>
      </c>
      <c r="AJ441" s="153">
        <v>41527</v>
      </c>
      <c r="BS441" s="318">
        <v>43</v>
      </c>
      <c r="BT441" s="153">
        <v>41527</v>
      </c>
      <c r="BU441">
        <v>22.9</v>
      </c>
      <c r="BV441" s="153">
        <v>41527</v>
      </c>
      <c r="CC441" s="136">
        <v>8.1999999999999993</v>
      </c>
      <c r="CD441" s="153">
        <v>41527</v>
      </c>
      <c r="CG441" s="136">
        <v>1.52</v>
      </c>
      <c r="CH441" s="153">
        <v>41527</v>
      </c>
      <c r="CK441" s="136">
        <v>20</v>
      </c>
    </row>
    <row r="442" spans="1:89">
      <c r="A442" s="154" t="s">
        <v>7871</v>
      </c>
      <c r="B442" t="s">
        <v>257</v>
      </c>
      <c r="C442" t="s">
        <v>7794</v>
      </c>
      <c r="D442">
        <v>74</v>
      </c>
      <c r="E442" s="113">
        <v>1</v>
      </c>
      <c r="F442" s="113">
        <v>46</v>
      </c>
      <c r="K442" s="112">
        <v>5</v>
      </c>
      <c r="L442" s="317">
        <v>41569</v>
      </c>
      <c r="S442" s="318">
        <v>1962.45</v>
      </c>
      <c r="T442" s="153">
        <v>41527</v>
      </c>
      <c r="U442" s="136">
        <v>10.8</v>
      </c>
      <c r="Y442" s="136">
        <v>873.18</v>
      </c>
      <c r="Z442" s="153">
        <v>41527</v>
      </c>
      <c r="AA442" s="318" t="s">
        <v>7718</v>
      </c>
      <c r="AB442" s="153">
        <v>41527</v>
      </c>
      <c r="AE442">
        <v>44.1</v>
      </c>
      <c r="AF442" s="153">
        <v>41527</v>
      </c>
      <c r="AG442" s="136" t="s">
        <v>7718</v>
      </c>
      <c r="AH442" s="153">
        <v>41527</v>
      </c>
      <c r="AI442" s="318">
        <v>130</v>
      </c>
      <c r="AJ442" s="153">
        <v>41527</v>
      </c>
      <c r="BS442" s="318">
        <v>44.5</v>
      </c>
      <c r="BT442" s="153">
        <v>41527</v>
      </c>
      <c r="BU442">
        <v>19.8</v>
      </c>
      <c r="BV442" s="153">
        <v>41527</v>
      </c>
      <c r="CC442" s="136">
        <v>8.4</v>
      </c>
      <c r="CD442" s="153">
        <v>41527</v>
      </c>
      <c r="CG442" s="136">
        <v>1.92</v>
      </c>
      <c r="CH442" s="153">
        <v>41527</v>
      </c>
      <c r="CK442" s="136">
        <v>20</v>
      </c>
    </row>
    <row r="443" spans="1:89">
      <c r="A443" s="154" t="s">
        <v>7871</v>
      </c>
      <c r="B443" t="s">
        <v>259</v>
      </c>
      <c r="C443" t="s">
        <v>7794</v>
      </c>
      <c r="D443">
        <v>74</v>
      </c>
      <c r="E443" s="113">
        <v>4</v>
      </c>
      <c r="F443" s="113">
        <v>49</v>
      </c>
      <c r="K443" s="112">
        <v>5</v>
      </c>
      <c r="L443" s="317">
        <v>41569</v>
      </c>
      <c r="S443" s="318">
        <v>2230.4479999999999</v>
      </c>
      <c r="T443" s="153">
        <v>41527</v>
      </c>
      <c r="U443" s="136">
        <v>10.8</v>
      </c>
      <c r="Y443" s="136">
        <v>1076.944</v>
      </c>
      <c r="Z443" s="153">
        <v>41527</v>
      </c>
      <c r="AA443" s="318" t="s">
        <v>7718</v>
      </c>
      <c r="AB443" s="153">
        <v>41527</v>
      </c>
      <c r="AE443">
        <v>51.04</v>
      </c>
      <c r="AF443" s="153">
        <v>41527</v>
      </c>
      <c r="AG443" s="136" t="s">
        <v>7718</v>
      </c>
      <c r="AH443" s="153">
        <v>41527</v>
      </c>
      <c r="AI443" s="318">
        <v>130</v>
      </c>
      <c r="AJ443" s="153">
        <v>41527</v>
      </c>
      <c r="BS443" s="318">
        <v>43.7</v>
      </c>
      <c r="BT443" s="153">
        <v>41527</v>
      </c>
      <c r="BU443">
        <v>21.1</v>
      </c>
      <c r="BV443" s="153">
        <v>41527</v>
      </c>
      <c r="CC443" s="136">
        <v>7.7</v>
      </c>
      <c r="CD443" s="153">
        <v>41527</v>
      </c>
      <c r="CG443" s="136">
        <v>4.5</v>
      </c>
      <c r="CH443" s="153">
        <v>41527</v>
      </c>
      <c r="CK443" s="136">
        <v>20</v>
      </c>
    </row>
    <row r="444" spans="1:89">
      <c r="A444" s="154" t="s">
        <v>7871</v>
      </c>
      <c r="B444" t="s">
        <v>257</v>
      </c>
      <c r="C444" t="s">
        <v>7795</v>
      </c>
      <c r="D444">
        <v>74</v>
      </c>
      <c r="E444" s="113">
        <v>6</v>
      </c>
      <c r="F444" s="113">
        <v>83</v>
      </c>
      <c r="K444" s="112">
        <v>5</v>
      </c>
      <c r="L444" s="317">
        <v>41569</v>
      </c>
      <c r="S444" s="318">
        <v>1648.279</v>
      </c>
      <c r="T444" s="153">
        <v>41527</v>
      </c>
      <c r="U444" s="136">
        <v>10.8</v>
      </c>
      <c r="Y444" s="136">
        <v>701.16099999999994</v>
      </c>
      <c r="Z444" s="153">
        <v>41527</v>
      </c>
      <c r="AA444" s="318">
        <v>83621.867880000005</v>
      </c>
      <c r="AB444" s="153">
        <v>41527</v>
      </c>
      <c r="AE444">
        <v>36.71</v>
      </c>
      <c r="AF444" s="153">
        <v>41527</v>
      </c>
      <c r="AG444" s="136">
        <v>4.3899999999999997</v>
      </c>
      <c r="AH444" s="153">
        <v>41527</v>
      </c>
      <c r="AI444" s="318">
        <v>110</v>
      </c>
      <c r="AJ444" s="153">
        <v>41527</v>
      </c>
      <c r="BS444" s="318">
        <v>44.9</v>
      </c>
      <c r="BT444" s="153">
        <v>41527</v>
      </c>
      <c r="BU444">
        <v>19.100000000000001</v>
      </c>
      <c r="BV444" s="153">
        <v>41527</v>
      </c>
      <c r="CC444" s="136">
        <v>7.1</v>
      </c>
      <c r="CD444" s="153">
        <v>41527</v>
      </c>
      <c r="CG444" s="136">
        <v>1.44</v>
      </c>
      <c r="CH444" s="153">
        <v>41527</v>
      </c>
      <c r="CK444" s="136">
        <v>20</v>
      </c>
    </row>
    <row r="445" spans="1:89">
      <c r="A445" s="154" t="s">
        <v>7871</v>
      </c>
      <c r="B445" t="s">
        <v>259</v>
      </c>
      <c r="C445" t="s">
        <v>7795</v>
      </c>
      <c r="D445">
        <v>74</v>
      </c>
      <c r="E445" s="113">
        <v>2</v>
      </c>
      <c r="F445" s="113">
        <v>86</v>
      </c>
      <c r="K445" s="112">
        <v>5</v>
      </c>
      <c r="L445" s="317">
        <v>41569</v>
      </c>
      <c r="S445" s="318">
        <v>1582.866</v>
      </c>
      <c r="T445" s="153">
        <v>41527</v>
      </c>
      <c r="U445" s="136">
        <v>10.8</v>
      </c>
      <c r="Y445" s="136">
        <v>815.75599999999997</v>
      </c>
      <c r="Z445" s="153">
        <v>41527</v>
      </c>
      <c r="AA445" s="318">
        <v>92623.76238</v>
      </c>
      <c r="AB445" s="153">
        <v>41527</v>
      </c>
      <c r="AE445">
        <v>37.42</v>
      </c>
      <c r="AF445" s="153">
        <v>41527</v>
      </c>
      <c r="AG445" s="136">
        <v>4.04</v>
      </c>
      <c r="AH445" s="153">
        <v>41527</v>
      </c>
      <c r="AI445" s="318">
        <v>120</v>
      </c>
      <c r="AJ445" s="153">
        <v>41527</v>
      </c>
      <c r="BS445" s="318">
        <v>42.3</v>
      </c>
      <c r="BT445" s="153">
        <v>41527</v>
      </c>
      <c r="BU445">
        <v>21.8</v>
      </c>
      <c r="BV445" s="153">
        <v>41527</v>
      </c>
      <c r="CC445" s="136">
        <v>10.4</v>
      </c>
      <c r="CD445" s="153">
        <v>41527</v>
      </c>
      <c r="CG445" s="136">
        <v>6.02</v>
      </c>
      <c r="CH445" s="153">
        <v>41527</v>
      </c>
      <c r="CK445" s="136">
        <v>20</v>
      </c>
    </row>
    <row r="446" spans="1:89">
      <c r="A446" s="154" t="s">
        <v>7872</v>
      </c>
      <c r="B446" t="s">
        <v>257</v>
      </c>
      <c r="C446" t="s">
        <v>405</v>
      </c>
      <c r="D446">
        <v>75</v>
      </c>
      <c r="E446" s="113">
        <v>6</v>
      </c>
      <c r="F446" s="113">
        <v>15</v>
      </c>
      <c r="K446" s="112">
        <v>3</v>
      </c>
      <c r="L446" s="317">
        <v>41569</v>
      </c>
      <c r="S446" s="318">
        <v>1239.325</v>
      </c>
      <c r="T446" s="153">
        <v>41527</v>
      </c>
      <c r="U446" s="136">
        <v>10.8</v>
      </c>
      <c r="Y446" s="136">
        <v>551.42999999999995</v>
      </c>
      <c r="Z446" s="153">
        <v>41527</v>
      </c>
      <c r="AA446" s="318" t="s">
        <v>7718</v>
      </c>
      <c r="AB446" s="153">
        <v>41527</v>
      </c>
      <c r="AE446">
        <v>27.85</v>
      </c>
      <c r="AF446" s="153">
        <v>41527</v>
      </c>
      <c r="AG446" s="136" t="s">
        <v>7718</v>
      </c>
      <c r="AH446" s="153">
        <v>41527</v>
      </c>
      <c r="AI446" s="318">
        <v>110</v>
      </c>
      <c r="AJ446" s="153">
        <v>41527</v>
      </c>
      <c r="BS446" s="318">
        <v>44.5</v>
      </c>
      <c r="BT446" s="153">
        <v>41527</v>
      </c>
      <c r="BU446">
        <v>19.8</v>
      </c>
      <c r="BV446" s="153">
        <v>41527</v>
      </c>
      <c r="CC446" s="136">
        <v>7.2</v>
      </c>
      <c r="CD446" s="153">
        <v>41527</v>
      </c>
      <c r="CG446" s="136">
        <v>10.23</v>
      </c>
      <c r="CH446" s="153">
        <v>41527</v>
      </c>
      <c r="CK446" s="136">
        <v>5</v>
      </c>
    </row>
    <row r="447" spans="1:89">
      <c r="A447" s="154" t="s">
        <v>7872</v>
      </c>
      <c r="B447" t="s">
        <v>259</v>
      </c>
      <c r="C447" t="s">
        <v>405</v>
      </c>
      <c r="D447">
        <v>75</v>
      </c>
      <c r="E447" s="113">
        <v>1</v>
      </c>
      <c r="F447" s="113">
        <v>13</v>
      </c>
      <c r="K447" s="112">
        <v>5</v>
      </c>
      <c r="L447" s="317">
        <v>41569</v>
      </c>
      <c r="S447" s="318">
        <v>2129.556</v>
      </c>
      <c r="T447" s="153">
        <v>41527</v>
      </c>
      <c r="U447" s="136">
        <v>10.8</v>
      </c>
      <c r="Y447" s="136">
        <v>1035.8699999999999</v>
      </c>
      <c r="Z447" s="153">
        <v>41527</v>
      </c>
      <c r="AA447" s="318" t="s">
        <v>7718</v>
      </c>
      <c r="AB447" s="153">
        <v>41527</v>
      </c>
      <c r="AE447">
        <v>48.18</v>
      </c>
      <c r="AF447" s="153">
        <v>41527</v>
      </c>
      <c r="AG447" s="136" t="s">
        <v>7718</v>
      </c>
      <c r="AH447" s="153">
        <v>41527</v>
      </c>
      <c r="AI447" s="318">
        <v>130</v>
      </c>
      <c r="AJ447" s="153">
        <v>41527</v>
      </c>
      <c r="BS447" s="318">
        <v>44.2</v>
      </c>
      <c r="BT447" s="153">
        <v>41527</v>
      </c>
      <c r="BU447">
        <v>21.5</v>
      </c>
      <c r="BV447" s="153">
        <v>41527</v>
      </c>
      <c r="CC447" s="136">
        <v>7.9</v>
      </c>
      <c r="CD447" s="153">
        <v>41527</v>
      </c>
      <c r="CG447" s="136">
        <v>3.43</v>
      </c>
      <c r="CH447" s="153">
        <v>41527</v>
      </c>
      <c r="CK447" s="136">
        <v>5</v>
      </c>
    </row>
    <row r="448" spans="1:89">
      <c r="A448" s="154" t="s">
        <v>7872</v>
      </c>
      <c r="B448" t="s">
        <v>257</v>
      </c>
      <c r="C448" t="s">
        <v>7794</v>
      </c>
      <c r="D448">
        <v>75</v>
      </c>
      <c r="E448" s="113">
        <v>1</v>
      </c>
      <c r="F448" s="113">
        <v>42</v>
      </c>
      <c r="K448" s="112">
        <v>5</v>
      </c>
      <c r="L448" s="317">
        <v>41569</v>
      </c>
      <c r="S448" s="318">
        <v>2053.672</v>
      </c>
      <c r="T448" s="153">
        <v>41527</v>
      </c>
      <c r="U448" s="136">
        <v>10.8</v>
      </c>
      <c r="Y448" s="136">
        <v>874.38</v>
      </c>
      <c r="Z448" s="153">
        <v>41527</v>
      </c>
      <c r="AA448" s="318" t="s">
        <v>7718</v>
      </c>
      <c r="AB448" s="153">
        <v>41527</v>
      </c>
      <c r="AE448">
        <v>44.84</v>
      </c>
      <c r="AF448" s="153">
        <v>41527</v>
      </c>
      <c r="AG448" s="136" t="s">
        <v>7718</v>
      </c>
      <c r="AH448" s="153">
        <v>41527</v>
      </c>
      <c r="AI448" s="318">
        <v>135</v>
      </c>
      <c r="AJ448" s="153">
        <v>41527</v>
      </c>
      <c r="BS448" s="318">
        <v>45.8</v>
      </c>
      <c r="BT448" s="153">
        <v>41527</v>
      </c>
      <c r="BU448">
        <v>19.5</v>
      </c>
      <c r="BV448" s="153">
        <v>41527</v>
      </c>
      <c r="CC448" s="136">
        <v>9.1</v>
      </c>
      <c r="CD448" s="153">
        <v>41527</v>
      </c>
      <c r="CG448" s="136">
        <v>5.21</v>
      </c>
      <c r="CH448" s="153">
        <v>41527</v>
      </c>
      <c r="CK448" s="136">
        <v>5</v>
      </c>
    </row>
    <row r="449" spans="1:89">
      <c r="A449" s="154" t="s">
        <v>7872</v>
      </c>
      <c r="B449" t="s">
        <v>259</v>
      </c>
      <c r="C449" t="s">
        <v>7794</v>
      </c>
      <c r="D449">
        <v>75</v>
      </c>
      <c r="E449" s="113">
        <v>6</v>
      </c>
      <c r="F449" s="113">
        <v>53</v>
      </c>
      <c r="K449" s="112">
        <v>5</v>
      </c>
      <c r="L449" s="317">
        <v>41569</v>
      </c>
      <c r="S449" s="318">
        <v>1845.451</v>
      </c>
      <c r="T449" s="153">
        <v>41527</v>
      </c>
      <c r="U449" s="136">
        <v>10.8</v>
      </c>
      <c r="Y449" s="136">
        <v>912.16800000000001</v>
      </c>
      <c r="Z449" s="153">
        <v>41527</v>
      </c>
      <c r="AA449" s="318" t="s">
        <v>7718</v>
      </c>
      <c r="AB449" s="153">
        <v>41527</v>
      </c>
      <c r="AE449">
        <v>42.23</v>
      </c>
      <c r="AF449" s="153">
        <v>41527</v>
      </c>
      <c r="AG449" s="136" t="s">
        <v>7718</v>
      </c>
      <c r="AH449" s="153">
        <v>41527</v>
      </c>
      <c r="AI449" s="318">
        <v>115</v>
      </c>
      <c r="AJ449" s="153">
        <v>41527</v>
      </c>
      <c r="BS449" s="318">
        <v>43.7</v>
      </c>
      <c r="BT449" s="153">
        <v>41527</v>
      </c>
      <c r="BU449">
        <v>21.6</v>
      </c>
      <c r="BV449" s="153">
        <v>41527</v>
      </c>
      <c r="CC449" s="136">
        <v>8.3000000000000007</v>
      </c>
      <c r="CD449" s="153">
        <v>41527</v>
      </c>
      <c r="CG449" s="136">
        <v>2.74</v>
      </c>
      <c r="CH449" s="153">
        <v>41527</v>
      </c>
      <c r="CK449" s="136">
        <v>10</v>
      </c>
    </row>
    <row r="450" spans="1:89">
      <c r="A450" s="154" t="s">
        <v>7872</v>
      </c>
      <c r="B450" t="s">
        <v>257</v>
      </c>
      <c r="C450" t="s">
        <v>7795</v>
      </c>
      <c r="D450">
        <v>75</v>
      </c>
      <c r="E450" s="113">
        <v>6</v>
      </c>
      <c r="F450" s="113">
        <v>73</v>
      </c>
      <c r="K450" s="112">
        <v>5</v>
      </c>
      <c r="L450" s="317">
        <v>41569</v>
      </c>
      <c r="S450" s="318">
        <v>1291.9659999999999</v>
      </c>
      <c r="T450" s="153">
        <v>41527</v>
      </c>
      <c r="U450" s="136">
        <v>10.8</v>
      </c>
      <c r="Y450" s="136">
        <v>619.67600000000004</v>
      </c>
      <c r="Z450" s="153">
        <v>41527</v>
      </c>
      <c r="AA450" s="318">
        <v>67976.744189999998</v>
      </c>
      <c r="AB450" s="153">
        <v>41527</v>
      </c>
      <c r="AE450">
        <v>29.23</v>
      </c>
      <c r="AF450" s="153">
        <v>41527</v>
      </c>
      <c r="AG450" s="136">
        <v>4.3</v>
      </c>
      <c r="AH450" s="153">
        <v>41527</v>
      </c>
      <c r="AI450" s="318">
        <v>110</v>
      </c>
      <c r="AJ450" s="153">
        <v>41527</v>
      </c>
      <c r="BS450" s="318">
        <v>44.2</v>
      </c>
      <c r="BT450" s="153">
        <v>41527</v>
      </c>
      <c r="BU450">
        <v>21.2</v>
      </c>
      <c r="BV450" s="153">
        <v>41527</v>
      </c>
      <c r="CC450" s="136">
        <v>6</v>
      </c>
      <c r="CD450" s="153">
        <v>41527</v>
      </c>
      <c r="CG450" s="136">
        <v>2.83</v>
      </c>
      <c r="CH450" s="153">
        <v>41527</v>
      </c>
      <c r="CK450" s="136">
        <v>1</v>
      </c>
    </row>
    <row r="451" spans="1:89">
      <c r="A451" s="154" t="s">
        <v>7872</v>
      </c>
      <c r="B451" t="s">
        <v>259</v>
      </c>
      <c r="C451" t="s">
        <v>7795</v>
      </c>
      <c r="D451">
        <v>75</v>
      </c>
      <c r="E451" s="113">
        <v>1</v>
      </c>
      <c r="F451" s="113">
        <v>69</v>
      </c>
      <c r="K451" s="112">
        <v>5</v>
      </c>
      <c r="L451" s="317">
        <v>41569</v>
      </c>
      <c r="S451" s="318">
        <v>1978.1320000000001</v>
      </c>
      <c r="T451" s="153">
        <v>41527</v>
      </c>
      <c r="U451" s="136">
        <v>10.8</v>
      </c>
      <c r="Y451" s="136">
        <v>952.77</v>
      </c>
      <c r="Z451" s="153">
        <v>41527</v>
      </c>
      <c r="AA451" s="318">
        <v>108540.66989999999</v>
      </c>
      <c r="AB451" s="153">
        <v>41527</v>
      </c>
      <c r="AE451">
        <v>45.37</v>
      </c>
      <c r="AF451" s="153">
        <v>41527</v>
      </c>
      <c r="AG451" s="136">
        <v>4.18</v>
      </c>
      <c r="AH451" s="153">
        <v>41527</v>
      </c>
      <c r="AI451" s="318">
        <v>125</v>
      </c>
      <c r="AJ451" s="153">
        <v>41527</v>
      </c>
      <c r="BS451" s="318">
        <v>43.6</v>
      </c>
      <c r="BT451" s="153">
        <v>41527</v>
      </c>
      <c r="BU451">
        <v>21</v>
      </c>
      <c r="BV451" s="153">
        <v>41527</v>
      </c>
      <c r="CC451" s="136">
        <v>9.5</v>
      </c>
      <c r="CD451" s="153">
        <v>41527</v>
      </c>
      <c r="CG451" s="136">
        <v>7.8</v>
      </c>
      <c r="CH451" s="153">
        <v>41527</v>
      </c>
      <c r="CK451" s="136">
        <v>5</v>
      </c>
    </row>
    <row r="452" spans="1:89">
      <c r="A452" s="154" t="s">
        <v>7873</v>
      </c>
      <c r="B452" t="s">
        <v>257</v>
      </c>
      <c r="C452" t="s">
        <v>405</v>
      </c>
      <c r="D452">
        <v>76</v>
      </c>
      <c r="E452" s="113">
        <v>4</v>
      </c>
      <c r="F452" s="113">
        <v>2</v>
      </c>
      <c r="K452" s="112">
        <v>5</v>
      </c>
      <c r="L452" s="317">
        <v>41569</v>
      </c>
      <c r="S452" s="318">
        <v>1631.7</v>
      </c>
      <c r="T452" s="153">
        <v>41527</v>
      </c>
      <c r="U452" s="136">
        <v>10.8</v>
      </c>
      <c r="Y452" s="136">
        <v>721.57399999999996</v>
      </c>
      <c r="Z452" s="153">
        <v>41527</v>
      </c>
      <c r="AA452" s="318" t="s">
        <v>7718</v>
      </c>
      <c r="AB452" s="153">
        <v>41527</v>
      </c>
      <c r="AE452">
        <v>36.26</v>
      </c>
      <c r="AF452" s="153">
        <v>41527</v>
      </c>
      <c r="AG452" s="136" t="s">
        <v>7718</v>
      </c>
      <c r="AH452" s="153">
        <v>41527</v>
      </c>
      <c r="AI452" s="318">
        <v>125</v>
      </c>
      <c r="AJ452" s="153">
        <v>41527</v>
      </c>
      <c r="BS452" s="318">
        <v>45</v>
      </c>
      <c r="BT452" s="153">
        <v>41527</v>
      </c>
      <c r="BU452">
        <v>19.899999999999999</v>
      </c>
      <c r="BV452" s="153">
        <v>41527</v>
      </c>
      <c r="CC452" s="136">
        <v>11</v>
      </c>
      <c r="CD452" s="153">
        <v>41527</v>
      </c>
      <c r="CG452" s="136">
        <v>1</v>
      </c>
      <c r="CH452" s="153">
        <v>41527</v>
      </c>
      <c r="CK452" s="136">
        <v>20</v>
      </c>
    </row>
    <row r="453" spans="1:89">
      <c r="A453" s="154" t="s">
        <v>7873</v>
      </c>
      <c r="B453" t="s">
        <v>259</v>
      </c>
      <c r="C453" t="s">
        <v>405</v>
      </c>
      <c r="D453">
        <v>76</v>
      </c>
      <c r="E453" s="113">
        <v>3</v>
      </c>
      <c r="F453" s="113">
        <v>5</v>
      </c>
      <c r="K453" s="112">
        <v>5</v>
      </c>
      <c r="L453" s="317">
        <v>41569</v>
      </c>
      <c r="S453" s="318">
        <v>2331.165</v>
      </c>
      <c r="T453" s="153">
        <v>41527</v>
      </c>
      <c r="U453" s="136">
        <v>10.8</v>
      </c>
      <c r="Y453" s="136">
        <v>1189.6980000000001</v>
      </c>
      <c r="Z453" s="153">
        <v>41527</v>
      </c>
      <c r="AA453" s="318" t="s">
        <v>7718</v>
      </c>
      <c r="AB453" s="153">
        <v>41527</v>
      </c>
      <c r="AE453">
        <v>53.59</v>
      </c>
      <c r="AF453" s="153">
        <v>41527</v>
      </c>
      <c r="AG453" s="136" t="s">
        <v>7718</v>
      </c>
      <c r="AH453" s="153">
        <v>41527</v>
      </c>
      <c r="AI453" s="318">
        <v>145</v>
      </c>
      <c r="AJ453" s="153">
        <v>41527</v>
      </c>
      <c r="BS453" s="318">
        <v>43.5</v>
      </c>
      <c r="BT453" s="153">
        <v>41527</v>
      </c>
      <c r="BU453">
        <v>22.2</v>
      </c>
      <c r="BV453" s="153">
        <v>41527</v>
      </c>
      <c r="CC453" s="136">
        <v>9.9</v>
      </c>
      <c r="CD453" s="153">
        <v>41527</v>
      </c>
      <c r="CG453" s="136">
        <v>0.59</v>
      </c>
      <c r="CH453" s="153">
        <v>41527</v>
      </c>
      <c r="CK453" s="136">
        <v>30</v>
      </c>
    </row>
    <row r="454" spans="1:89">
      <c r="A454" s="154" t="s">
        <v>7873</v>
      </c>
      <c r="B454" t="s">
        <v>257</v>
      </c>
      <c r="C454" t="s">
        <v>7794</v>
      </c>
      <c r="D454">
        <v>76</v>
      </c>
      <c r="E454" s="113">
        <v>3</v>
      </c>
      <c r="F454" s="113">
        <v>31</v>
      </c>
      <c r="K454" s="112">
        <v>5</v>
      </c>
      <c r="L454" s="317">
        <v>41569</v>
      </c>
      <c r="S454" s="318">
        <v>1889.2080000000001</v>
      </c>
      <c r="T454" s="153">
        <v>41527</v>
      </c>
      <c r="U454" s="136">
        <v>10.8</v>
      </c>
      <c r="Y454" s="136">
        <v>783.02700000000004</v>
      </c>
      <c r="Z454" s="153">
        <v>41527</v>
      </c>
      <c r="AA454" s="318" t="s">
        <v>7718</v>
      </c>
      <c r="AB454" s="153">
        <v>41527</v>
      </c>
      <c r="AE454">
        <v>41.43</v>
      </c>
      <c r="AF454" s="153">
        <v>41527</v>
      </c>
      <c r="AG454" s="136" t="s">
        <v>7718</v>
      </c>
      <c r="AH454" s="153">
        <v>41527</v>
      </c>
      <c r="AI454" s="318">
        <v>140</v>
      </c>
      <c r="AJ454" s="153">
        <v>41527</v>
      </c>
      <c r="BS454" s="318">
        <v>45.6</v>
      </c>
      <c r="BT454" s="153">
        <v>41527</v>
      </c>
      <c r="BU454">
        <v>18.899999999999999</v>
      </c>
      <c r="BV454" s="153">
        <v>41527</v>
      </c>
      <c r="CC454" s="136">
        <v>7.9</v>
      </c>
      <c r="CD454" s="153">
        <v>41527</v>
      </c>
      <c r="CG454" s="136">
        <v>4.34</v>
      </c>
      <c r="CH454" s="153">
        <v>41527</v>
      </c>
      <c r="CK454" s="136">
        <v>30</v>
      </c>
    </row>
    <row r="455" spans="1:89">
      <c r="A455" s="154" t="s">
        <v>7873</v>
      </c>
      <c r="B455" t="s">
        <v>259</v>
      </c>
      <c r="C455" t="s">
        <v>7794</v>
      </c>
      <c r="D455">
        <v>76</v>
      </c>
      <c r="E455" s="113">
        <v>5</v>
      </c>
      <c r="F455" s="113">
        <v>52</v>
      </c>
      <c r="K455" s="112">
        <v>5</v>
      </c>
      <c r="L455" s="317">
        <v>41569</v>
      </c>
      <c r="S455" s="318">
        <v>2179.1959999999999</v>
      </c>
      <c r="T455" s="153">
        <v>41527</v>
      </c>
      <c r="U455" s="136">
        <v>10.8</v>
      </c>
      <c r="Y455" s="136">
        <v>1042.44</v>
      </c>
      <c r="Z455" s="153">
        <v>41527</v>
      </c>
      <c r="AA455" s="318" t="s">
        <v>7718</v>
      </c>
      <c r="AB455" s="153">
        <v>41527</v>
      </c>
      <c r="AE455">
        <v>49.64</v>
      </c>
      <c r="AF455" s="153">
        <v>41527</v>
      </c>
      <c r="AG455" s="136" t="s">
        <v>7718</v>
      </c>
      <c r="AH455" s="153">
        <v>41527</v>
      </c>
      <c r="AI455" s="318">
        <v>140</v>
      </c>
      <c r="AJ455" s="153">
        <v>41527</v>
      </c>
      <c r="BS455" s="318">
        <v>43.9</v>
      </c>
      <c r="BT455" s="153">
        <v>41527</v>
      </c>
      <c r="BU455">
        <v>21</v>
      </c>
      <c r="BV455" s="153">
        <v>41527</v>
      </c>
      <c r="CC455" s="136">
        <v>6.9</v>
      </c>
      <c r="CD455" s="153">
        <v>41527</v>
      </c>
      <c r="CG455" s="136">
        <v>1.63</v>
      </c>
      <c r="CH455" s="153">
        <v>41527</v>
      </c>
      <c r="CK455" s="136">
        <v>20</v>
      </c>
    </row>
    <row r="456" spans="1:89">
      <c r="A456" s="154" t="s">
        <v>7873</v>
      </c>
      <c r="B456" t="s">
        <v>257</v>
      </c>
      <c r="C456" t="s">
        <v>7795</v>
      </c>
      <c r="D456">
        <v>76</v>
      </c>
      <c r="E456" s="113">
        <v>5</v>
      </c>
      <c r="F456" s="113">
        <v>85</v>
      </c>
      <c r="K456" s="112">
        <v>5</v>
      </c>
      <c r="L456" s="317">
        <v>41569</v>
      </c>
      <c r="S456" s="318">
        <v>1656.3610000000001</v>
      </c>
      <c r="T456" s="153">
        <v>41527</v>
      </c>
      <c r="U456" s="136">
        <v>10.8</v>
      </c>
      <c r="Y456" s="136">
        <v>715.66600000000005</v>
      </c>
      <c r="Z456" s="153">
        <v>41527</v>
      </c>
      <c r="AA456" s="318">
        <v>74076.305219999995</v>
      </c>
      <c r="AB456" s="153">
        <v>41527</v>
      </c>
      <c r="AE456">
        <v>36.89</v>
      </c>
      <c r="AF456" s="153">
        <v>41527</v>
      </c>
      <c r="AG456" s="136">
        <v>4.9800000000000004</v>
      </c>
      <c r="AH456" s="153">
        <v>41527</v>
      </c>
      <c r="AI456" s="318">
        <v>125</v>
      </c>
      <c r="AJ456" s="153">
        <v>41527</v>
      </c>
      <c r="BS456" s="318">
        <v>44.9</v>
      </c>
      <c r="BT456" s="153">
        <v>41527</v>
      </c>
      <c r="BU456">
        <v>19.399999999999999</v>
      </c>
      <c r="BV456" s="153">
        <v>41527</v>
      </c>
      <c r="CC456" s="136">
        <v>8.1</v>
      </c>
      <c r="CD456" s="153">
        <v>41527</v>
      </c>
      <c r="CG456" s="136">
        <v>0.9</v>
      </c>
      <c r="CH456" s="153">
        <v>41527</v>
      </c>
      <c r="CK456" s="136">
        <v>10</v>
      </c>
    </row>
    <row r="457" spans="1:89">
      <c r="A457" s="154" t="s">
        <v>7873</v>
      </c>
      <c r="B457" t="s">
        <v>259</v>
      </c>
      <c r="C457" t="s">
        <v>7795</v>
      </c>
      <c r="D457">
        <v>76</v>
      </c>
      <c r="E457" s="113">
        <v>1</v>
      </c>
      <c r="F457" s="113">
        <v>62</v>
      </c>
      <c r="K457" s="112">
        <v>7</v>
      </c>
      <c r="L457" s="317">
        <v>41569</v>
      </c>
      <c r="S457" s="318">
        <v>2136.2399999999998</v>
      </c>
      <c r="T457" s="153">
        <v>41527</v>
      </c>
      <c r="U457" s="136">
        <v>10.8</v>
      </c>
      <c r="Y457" s="136">
        <v>1082.9549999999999</v>
      </c>
      <c r="Z457" s="153">
        <v>41527</v>
      </c>
      <c r="AA457" s="318">
        <v>94913.627640000006</v>
      </c>
      <c r="AB457" s="153">
        <v>41527</v>
      </c>
      <c r="AE457">
        <v>49.45</v>
      </c>
      <c r="AF457" s="153">
        <v>41527</v>
      </c>
      <c r="AG457" s="136">
        <v>5.21</v>
      </c>
      <c r="AH457" s="153">
        <v>41527</v>
      </c>
      <c r="AI457" s="318">
        <v>140</v>
      </c>
      <c r="AJ457" s="153">
        <v>41527</v>
      </c>
      <c r="BS457" s="318">
        <v>43.2</v>
      </c>
      <c r="BT457" s="153">
        <v>41527</v>
      </c>
      <c r="BU457">
        <v>21.9</v>
      </c>
      <c r="BV457" s="153">
        <v>41527</v>
      </c>
      <c r="CC457" s="136">
        <v>8.6999999999999993</v>
      </c>
      <c r="CD457" s="153">
        <v>41527</v>
      </c>
      <c r="CG457" s="136">
        <v>2.2999999999999998</v>
      </c>
      <c r="CH457" s="153">
        <v>41527</v>
      </c>
      <c r="CK457" s="136">
        <v>30</v>
      </c>
    </row>
    <row r="458" spans="1:89">
      <c r="A458" s="154" t="s">
        <v>7874</v>
      </c>
      <c r="B458" t="s">
        <v>257</v>
      </c>
      <c r="C458" t="s">
        <v>405</v>
      </c>
      <c r="D458">
        <v>77</v>
      </c>
      <c r="E458" s="113">
        <v>6</v>
      </c>
      <c r="F458" s="113">
        <v>25</v>
      </c>
      <c r="K458" s="112">
        <v>5</v>
      </c>
      <c r="L458" s="317">
        <v>41569</v>
      </c>
      <c r="S458" s="318">
        <v>1263.68</v>
      </c>
      <c r="T458" s="153">
        <v>41527</v>
      </c>
      <c r="U458" s="136">
        <v>10.8</v>
      </c>
      <c r="Y458" s="136">
        <v>574.4</v>
      </c>
      <c r="Z458" s="153">
        <v>41527</v>
      </c>
      <c r="AA458" s="318" t="s">
        <v>7718</v>
      </c>
      <c r="AB458" s="153">
        <v>41527</v>
      </c>
      <c r="AE458">
        <v>28.72</v>
      </c>
      <c r="AF458" s="153">
        <v>41527</v>
      </c>
      <c r="AG458" s="136" t="s">
        <v>7718</v>
      </c>
      <c r="AH458" s="153">
        <v>41527</v>
      </c>
      <c r="AI458" s="318">
        <v>120</v>
      </c>
      <c r="AJ458" s="153">
        <v>41527</v>
      </c>
      <c r="BS458" s="318">
        <v>44</v>
      </c>
      <c r="BT458" s="153">
        <v>41527</v>
      </c>
      <c r="BU458">
        <v>20</v>
      </c>
      <c r="BV458" s="153">
        <v>41527</v>
      </c>
      <c r="CC458" s="136">
        <v>9.9</v>
      </c>
      <c r="CD458" s="153">
        <v>41527</v>
      </c>
      <c r="CG458" s="136">
        <v>9.48</v>
      </c>
      <c r="CH458" s="153">
        <v>41527</v>
      </c>
      <c r="CK458" s="136">
        <v>20</v>
      </c>
    </row>
    <row r="459" spans="1:89">
      <c r="A459" s="154" t="s">
        <v>7874</v>
      </c>
      <c r="B459" t="s">
        <v>259</v>
      </c>
      <c r="C459" t="s">
        <v>405</v>
      </c>
      <c r="D459">
        <v>77</v>
      </c>
      <c r="E459" s="113">
        <v>3</v>
      </c>
      <c r="F459" s="113">
        <v>6</v>
      </c>
      <c r="K459" s="112">
        <v>5</v>
      </c>
      <c r="L459" s="317">
        <v>41569</v>
      </c>
      <c r="S459" s="318">
        <v>1855.0239999999999</v>
      </c>
      <c r="T459" s="153">
        <v>41527</v>
      </c>
      <c r="U459" s="136">
        <v>10.8</v>
      </c>
      <c r="Y459" s="136">
        <v>925.36</v>
      </c>
      <c r="Z459" s="153">
        <v>41527</v>
      </c>
      <c r="AA459" s="318" t="s">
        <v>7718</v>
      </c>
      <c r="AB459" s="153">
        <v>41527</v>
      </c>
      <c r="AE459">
        <v>43.04</v>
      </c>
      <c r="AF459" s="153">
        <v>41527</v>
      </c>
      <c r="AG459" s="136" t="s">
        <v>7718</v>
      </c>
      <c r="AH459" s="153">
        <v>41527</v>
      </c>
      <c r="AI459" s="318">
        <v>135</v>
      </c>
      <c r="AJ459" s="153">
        <v>41527</v>
      </c>
      <c r="BS459" s="318">
        <v>43.1</v>
      </c>
      <c r="BT459" s="153">
        <v>41527</v>
      </c>
      <c r="BU459">
        <v>21.5</v>
      </c>
      <c r="BV459" s="153">
        <v>41527</v>
      </c>
      <c r="CC459" s="136">
        <v>8.1</v>
      </c>
      <c r="CD459" s="153">
        <v>41527</v>
      </c>
      <c r="CG459" s="136">
        <v>0.89</v>
      </c>
      <c r="CH459" s="153">
        <v>41527</v>
      </c>
      <c r="CK459" s="136">
        <v>30</v>
      </c>
    </row>
    <row r="460" spans="1:89">
      <c r="A460" s="154" t="s">
        <v>7874</v>
      </c>
      <c r="B460" t="s">
        <v>257</v>
      </c>
      <c r="C460" t="s">
        <v>7794</v>
      </c>
      <c r="D460">
        <v>77</v>
      </c>
      <c r="E460" s="113">
        <v>1</v>
      </c>
      <c r="F460" s="113">
        <v>52</v>
      </c>
      <c r="K460" s="112">
        <v>5</v>
      </c>
      <c r="L460" s="317">
        <v>41569</v>
      </c>
      <c r="S460" s="318">
        <v>1495.4939999999999</v>
      </c>
      <c r="T460" s="153">
        <v>41527</v>
      </c>
      <c r="U460" s="136">
        <v>10.8</v>
      </c>
      <c r="Y460" s="136">
        <v>707.65800000000002</v>
      </c>
      <c r="Z460" s="153">
        <v>41527</v>
      </c>
      <c r="AA460" s="318" t="s">
        <v>7718</v>
      </c>
      <c r="AB460" s="153">
        <v>41527</v>
      </c>
      <c r="AE460">
        <v>34.86</v>
      </c>
      <c r="AF460" s="153">
        <v>41527</v>
      </c>
      <c r="AG460" s="136" t="s">
        <v>7718</v>
      </c>
      <c r="AH460" s="153">
        <v>41527</v>
      </c>
      <c r="AI460" s="318">
        <v>135</v>
      </c>
      <c r="AJ460" s="153">
        <v>41527</v>
      </c>
      <c r="BS460" s="318">
        <v>42.9</v>
      </c>
      <c r="BT460" s="153">
        <v>41527</v>
      </c>
      <c r="BU460">
        <v>20.3</v>
      </c>
      <c r="BV460" s="153">
        <v>41527</v>
      </c>
      <c r="CC460" s="136">
        <v>10.4</v>
      </c>
      <c r="CD460" s="153">
        <v>41527</v>
      </c>
      <c r="CG460" s="136">
        <v>8.9</v>
      </c>
      <c r="CH460" s="153">
        <v>41527</v>
      </c>
      <c r="CK460" s="136">
        <v>30</v>
      </c>
    </row>
    <row r="461" spans="1:89">
      <c r="A461" s="154" t="s">
        <v>7874</v>
      </c>
      <c r="B461" t="s">
        <v>259</v>
      </c>
      <c r="C461" t="s">
        <v>7794</v>
      </c>
      <c r="D461">
        <v>77</v>
      </c>
      <c r="E461" s="113">
        <v>6</v>
      </c>
      <c r="F461" s="113">
        <v>42</v>
      </c>
      <c r="K461" s="112">
        <v>3</v>
      </c>
      <c r="L461" s="317">
        <v>41569</v>
      </c>
      <c r="S461" s="318">
        <v>1785.1880000000001</v>
      </c>
      <c r="T461" s="153">
        <v>41527</v>
      </c>
      <c r="U461" s="136">
        <v>10.8</v>
      </c>
      <c r="Y461" s="136">
        <v>867.56799999999998</v>
      </c>
      <c r="Z461" s="153">
        <v>41527</v>
      </c>
      <c r="AA461" s="318" t="s">
        <v>7718</v>
      </c>
      <c r="AB461" s="153">
        <v>41527</v>
      </c>
      <c r="AE461">
        <v>41.71</v>
      </c>
      <c r="AF461" s="153">
        <v>41527</v>
      </c>
      <c r="AG461" s="136" t="s">
        <v>7718</v>
      </c>
      <c r="AH461" s="153">
        <v>41527</v>
      </c>
      <c r="AI461" s="318">
        <v>125</v>
      </c>
      <c r="AJ461" s="153">
        <v>41527</v>
      </c>
      <c r="BS461" s="318">
        <v>42.8</v>
      </c>
      <c r="BT461" s="153">
        <v>41527</v>
      </c>
      <c r="BU461">
        <v>20.8</v>
      </c>
      <c r="BV461" s="153">
        <v>41527</v>
      </c>
      <c r="CC461" s="136">
        <v>7.6</v>
      </c>
      <c r="CD461" s="153">
        <v>41527</v>
      </c>
      <c r="CG461" s="136">
        <v>9.4700000000000006</v>
      </c>
      <c r="CH461" s="153">
        <v>41527</v>
      </c>
      <c r="CK461" s="136">
        <v>30</v>
      </c>
    </row>
    <row r="462" spans="1:89">
      <c r="A462" s="154" t="s">
        <v>7874</v>
      </c>
      <c r="B462" t="s">
        <v>257</v>
      </c>
      <c r="C462" t="s">
        <v>7795</v>
      </c>
      <c r="D462">
        <v>77</v>
      </c>
      <c r="E462" s="113">
        <v>6</v>
      </c>
      <c r="F462" s="113">
        <v>75</v>
      </c>
      <c r="K462" s="112">
        <v>3</v>
      </c>
      <c r="L462" s="317">
        <v>41569</v>
      </c>
      <c r="S462" s="318">
        <v>1197.318</v>
      </c>
      <c r="T462" s="153">
        <v>41527</v>
      </c>
      <c r="U462" s="136">
        <v>10.8</v>
      </c>
      <c r="Y462" s="136">
        <v>597.27</v>
      </c>
      <c r="Z462" s="153">
        <v>41527</v>
      </c>
      <c r="AA462" s="318">
        <v>58117.15481</v>
      </c>
      <c r="AB462" s="153">
        <v>41527</v>
      </c>
      <c r="AE462">
        <v>27.78</v>
      </c>
      <c r="AF462" s="153">
        <v>41527</v>
      </c>
      <c r="AG462" s="136">
        <v>4.78</v>
      </c>
      <c r="AH462" s="153">
        <v>41527</v>
      </c>
      <c r="AI462" s="318">
        <v>120</v>
      </c>
      <c r="AJ462" s="153">
        <v>41527</v>
      </c>
      <c r="BS462" s="318">
        <v>43.1</v>
      </c>
      <c r="BT462" s="153">
        <v>41527</v>
      </c>
      <c r="BU462">
        <v>21.5</v>
      </c>
      <c r="BV462" s="153">
        <v>41527</v>
      </c>
      <c r="CC462" s="136">
        <v>6.1</v>
      </c>
      <c r="CD462" s="153">
        <v>41527</v>
      </c>
      <c r="CG462" s="136">
        <v>2.87</v>
      </c>
      <c r="CH462" s="153">
        <v>41527</v>
      </c>
      <c r="CK462" s="136">
        <v>20</v>
      </c>
    </row>
    <row r="463" spans="1:89">
      <c r="A463" s="154" t="s">
        <v>7874</v>
      </c>
      <c r="B463" t="s">
        <v>259</v>
      </c>
      <c r="C463" t="s">
        <v>7795</v>
      </c>
      <c r="D463">
        <v>77</v>
      </c>
      <c r="E463" s="113">
        <v>1</v>
      </c>
      <c r="F463" s="113">
        <v>73</v>
      </c>
      <c r="K463" s="112">
        <v>5</v>
      </c>
      <c r="L463" s="317">
        <v>41569</v>
      </c>
      <c r="S463" s="318">
        <v>1458.6880000000001</v>
      </c>
      <c r="T463" s="153">
        <v>41527</v>
      </c>
      <c r="U463" s="136">
        <v>10.8</v>
      </c>
      <c r="Y463" s="136">
        <v>799.23199999999997</v>
      </c>
      <c r="Z463" s="153">
        <v>41527</v>
      </c>
      <c r="AA463" s="318">
        <v>75932.203389999995</v>
      </c>
      <c r="AB463" s="153">
        <v>41527</v>
      </c>
      <c r="AE463">
        <v>35.840000000000003</v>
      </c>
      <c r="AF463" s="153">
        <v>41527</v>
      </c>
      <c r="AG463" s="136">
        <v>4.72</v>
      </c>
      <c r="AH463" s="153">
        <v>41527</v>
      </c>
      <c r="AI463" s="318">
        <v>130</v>
      </c>
      <c r="AJ463" s="153">
        <v>41527</v>
      </c>
      <c r="BS463" s="318">
        <v>40.700000000000003</v>
      </c>
      <c r="BT463" s="153">
        <v>41527</v>
      </c>
      <c r="BU463">
        <v>22.3</v>
      </c>
      <c r="BV463" s="153">
        <v>41527</v>
      </c>
      <c r="CC463" s="136">
        <v>10.7</v>
      </c>
      <c r="CD463" s="153">
        <v>41527</v>
      </c>
      <c r="CG463" s="136">
        <v>8.4</v>
      </c>
      <c r="CH463" s="153">
        <v>41527</v>
      </c>
      <c r="CK463" s="136">
        <v>30</v>
      </c>
    </row>
    <row r="464" spans="1:89">
      <c r="A464" s="154" t="s">
        <v>7875</v>
      </c>
      <c r="B464" t="s">
        <v>257</v>
      </c>
      <c r="C464" t="s">
        <v>405</v>
      </c>
      <c r="D464">
        <v>78</v>
      </c>
      <c r="E464" s="113">
        <v>5</v>
      </c>
      <c r="F464" s="113">
        <v>4</v>
      </c>
      <c r="K464" s="112">
        <v>5</v>
      </c>
      <c r="L464" s="317">
        <v>41569</v>
      </c>
      <c r="S464" s="318">
        <v>1860.1379999999999</v>
      </c>
      <c r="T464" s="153">
        <v>41527</v>
      </c>
      <c r="U464" s="136">
        <v>10.8</v>
      </c>
      <c r="Y464" s="136">
        <v>881.56200000000001</v>
      </c>
      <c r="Z464" s="153">
        <v>41527</v>
      </c>
      <c r="AA464" s="318" t="s">
        <v>7718</v>
      </c>
      <c r="AB464" s="153">
        <v>41527</v>
      </c>
      <c r="AE464">
        <v>42.18</v>
      </c>
      <c r="AF464" s="153">
        <v>41527</v>
      </c>
      <c r="AG464" s="136" t="s">
        <v>7718</v>
      </c>
      <c r="AH464" s="153">
        <v>41527</v>
      </c>
      <c r="AI464" s="318">
        <v>120</v>
      </c>
      <c r="AJ464" s="153">
        <v>41527</v>
      </c>
      <c r="BS464" s="318">
        <v>44.1</v>
      </c>
      <c r="BT464" s="153">
        <v>41527</v>
      </c>
      <c r="BU464">
        <v>20.9</v>
      </c>
      <c r="BV464" s="153">
        <v>41527</v>
      </c>
      <c r="CC464" s="136">
        <v>9.8000000000000007</v>
      </c>
      <c r="CD464" s="153">
        <v>41527</v>
      </c>
      <c r="CG464" s="136">
        <v>1.63</v>
      </c>
      <c r="CH464" s="153">
        <v>41527</v>
      </c>
      <c r="CK464" s="136">
        <v>1</v>
      </c>
    </row>
    <row r="465" spans="1:89">
      <c r="A465" s="154" t="s">
        <v>7875</v>
      </c>
      <c r="B465" t="s">
        <v>259</v>
      </c>
      <c r="C465" t="s">
        <v>405</v>
      </c>
      <c r="D465">
        <v>78</v>
      </c>
      <c r="E465" s="113">
        <v>2</v>
      </c>
      <c r="F465" s="113">
        <v>23</v>
      </c>
      <c r="K465" s="112">
        <v>7</v>
      </c>
      <c r="L465" s="317">
        <v>41569</v>
      </c>
      <c r="S465" s="318">
        <v>2078.2260000000001</v>
      </c>
      <c r="T465" s="153">
        <v>41527</v>
      </c>
      <c r="U465" s="136">
        <v>10.8</v>
      </c>
      <c r="Y465" s="136">
        <v>1036.7460000000001</v>
      </c>
      <c r="Z465" s="153">
        <v>41527</v>
      </c>
      <c r="AA465" s="318" t="s">
        <v>7718</v>
      </c>
      <c r="AB465" s="153">
        <v>41527</v>
      </c>
      <c r="AE465">
        <v>47.34</v>
      </c>
      <c r="AF465" s="153">
        <v>41527</v>
      </c>
      <c r="AG465" s="136" t="s">
        <v>7718</v>
      </c>
      <c r="AH465" s="153">
        <v>41527</v>
      </c>
      <c r="AI465" s="318">
        <v>135</v>
      </c>
      <c r="AJ465" s="153">
        <v>41527</v>
      </c>
      <c r="BS465" s="318">
        <v>43.9</v>
      </c>
      <c r="BT465" s="153">
        <v>41527</v>
      </c>
      <c r="BU465">
        <v>21.9</v>
      </c>
      <c r="BV465" s="153">
        <v>41527</v>
      </c>
      <c r="CC465" s="136">
        <v>8.5</v>
      </c>
      <c r="CD465" s="153">
        <v>41527</v>
      </c>
      <c r="CG465" s="136">
        <v>2.3199999999999998</v>
      </c>
      <c r="CH465" s="153">
        <v>41527</v>
      </c>
      <c r="CK465" s="136">
        <v>5</v>
      </c>
    </row>
    <row r="466" spans="1:89">
      <c r="A466" s="154" t="s">
        <v>7875</v>
      </c>
      <c r="B466" t="s">
        <v>257</v>
      </c>
      <c r="C466" t="s">
        <v>7794</v>
      </c>
      <c r="D466">
        <v>78</v>
      </c>
      <c r="E466" s="113">
        <v>2</v>
      </c>
      <c r="F466" s="113">
        <v>54</v>
      </c>
      <c r="K466" s="112">
        <v>5</v>
      </c>
      <c r="L466" s="317">
        <v>41569</v>
      </c>
      <c r="S466" s="318">
        <v>1951.2049999999999</v>
      </c>
      <c r="T466" s="153">
        <v>41527</v>
      </c>
      <c r="U466" s="136">
        <v>10.8</v>
      </c>
      <c r="Y466" s="136">
        <v>924.255</v>
      </c>
      <c r="Z466" s="153">
        <v>41527</v>
      </c>
      <c r="AA466" s="318" t="s">
        <v>7718</v>
      </c>
      <c r="AB466" s="153">
        <v>41527</v>
      </c>
      <c r="AE466">
        <v>44.65</v>
      </c>
      <c r="AF466" s="153">
        <v>41527</v>
      </c>
      <c r="AG466" s="136" t="s">
        <v>7718</v>
      </c>
      <c r="AH466" s="153">
        <v>41527</v>
      </c>
      <c r="AI466" s="318">
        <v>130</v>
      </c>
      <c r="AJ466" s="153">
        <v>41527</v>
      </c>
      <c r="BS466" s="318">
        <v>43.7</v>
      </c>
      <c r="BT466" s="153">
        <v>41527</v>
      </c>
      <c r="BU466">
        <v>20.7</v>
      </c>
      <c r="BV466" s="153">
        <v>41527</v>
      </c>
      <c r="CC466" s="136">
        <v>10</v>
      </c>
      <c r="CD466" s="153">
        <v>41527</v>
      </c>
      <c r="CG466" s="136">
        <v>3.72</v>
      </c>
      <c r="CH466" s="153">
        <v>41527</v>
      </c>
      <c r="CK466" s="136">
        <v>1</v>
      </c>
    </row>
    <row r="467" spans="1:89">
      <c r="A467" s="154" t="s">
        <v>7875</v>
      </c>
      <c r="B467" t="s">
        <v>259</v>
      </c>
      <c r="C467" t="s">
        <v>7794</v>
      </c>
      <c r="D467">
        <v>78</v>
      </c>
      <c r="E467" s="113">
        <v>4</v>
      </c>
      <c r="F467" s="113">
        <v>54</v>
      </c>
      <c r="K467" s="112">
        <v>5</v>
      </c>
      <c r="L467" s="317">
        <v>41569</v>
      </c>
      <c r="S467" s="318">
        <v>2236.8960000000002</v>
      </c>
      <c r="T467" s="153">
        <v>41527</v>
      </c>
      <c r="U467" s="136">
        <v>10.8</v>
      </c>
      <c r="Y467" s="136">
        <v>1144.338</v>
      </c>
      <c r="Z467" s="153">
        <v>41527</v>
      </c>
      <c r="AA467" s="318" t="s">
        <v>7718</v>
      </c>
      <c r="AB467" s="153">
        <v>41527</v>
      </c>
      <c r="AE467">
        <v>51.78</v>
      </c>
      <c r="AF467" s="153">
        <v>41527</v>
      </c>
      <c r="AG467" s="136" t="s">
        <v>7718</v>
      </c>
      <c r="AH467" s="153">
        <v>41527</v>
      </c>
      <c r="AI467" s="318">
        <v>130</v>
      </c>
      <c r="AJ467" s="153">
        <v>41527</v>
      </c>
      <c r="BS467" s="318">
        <v>43.2</v>
      </c>
      <c r="BT467" s="153">
        <v>41527</v>
      </c>
      <c r="BU467">
        <v>22.1</v>
      </c>
      <c r="BV467" s="153">
        <v>41527</v>
      </c>
      <c r="CC467" s="136">
        <v>8.4</v>
      </c>
      <c r="CD467" s="153">
        <v>41527</v>
      </c>
      <c r="CG467" s="136">
        <v>2.09</v>
      </c>
      <c r="CH467" s="153">
        <v>41527</v>
      </c>
      <c r="CK467" s="136">
        <v>1</v>
      </c>
    </row>
    <row r="468" spans="1:89">
      <c r="A468" s="154" t="s">
        <v>7875</v>
      </c>
      <c r="B468" t="s">
        <v>257</v>
      </c>
      <c r="C468" t="s">
        <v>7795</v>
      </c>
      <c r="D468">
        <v>78</v>
      </c>
      <c r="E468" s="113">
        <v>4</v>
      </c>
      <c r="F468" s="113">
        <v>80</v>
      </c>
      <c r="K468" s="112">
        <v>7</v>
      </c>
      <c r="L468" s="317">
        <v>41569</v>
      </c>
      <c r="S468" s="318">
        <v>1837.405</v>
      </c>
      <c r="T468" s="153">
        <v>41527</v>
      </c>
      <c r="U468" s="136">
        <v>10.8</v>
      </c>
      <c r="Y468" s="136">
        <v>829.92899999999997</v>
      </c>
      <c r="Z468" s="153">
        <v>41527</v>
      </c>
      <c r="AA468" s="318">
        <v>81924.603170000002</v>
      </c>
      <c r="AB468" s="153">
        <v>41527</v>
      </c>
      <c r="AE468">
        <v>41.29</v>
      </c>
      <c r="AF468" s="153">
        <v>41527</v>
      </c>
      <c r="AG468" s="136">
        <v>5.04</v>
      </c>
      <c r="AH468" s="153">
        <v>41527</v>
      </c>
      <c r="AI468" s="318">
        <v>125</v>
      </c>
      <c r="AJ468" s="153">
        <v>41527</v>
      </c>
      <c r="BS468" s="318">
        <v>44.5</v>
      </c>
      <c r="BT468" s="153">
        <v>41527</v>
      </c>
      <c r="BU468">
        <v>20.100000000000001</v>
      </c>
      <c r="BV468" s="153">
        <v>41527</v>
      </c>
      <c r="CC468" s="136">
        <v>6.2</v>
      </c>
      <c r="CD468" s="153">
        <v>41527</v>
      </c>
      <c r="CG468" s="136">
        <v>1.22</v>
      </c>
      <c r="CH468" s="153">
        <v>41527</v>
      </c>
      <c r="CK468" s="136">
        <v>5</v>
      </c>
    </row>
    <row r="469" spans="1:89">
      <c r="A469" s="154" t="s">
        <v>7875</v>
      </c>
      <c r="B469" t="s">
        <v>259</v>
      </c>
      <c r="C469" t="s">
        <v>7795</v>
      </c>
      <c r="D469">
        <v>78</v>
      </c>
      <c r="E469" s="113">
        <v>3</v>
      </c>
      <c r="F469" s="113">
        <v>63</v>
      </c>
      <c r="K469" s="112">
        <v>7</v>
      </c>
      <c r="L469" s="317">
        <v>41569</v>
      </c>
      <c r="S469" s="318">
        <v>2459.6</v>
      </c>
      <c r="T469" s="153">
        <v>41527</v>
      </c>
      <c r="U469" s="136">
        <v>10.8</v>
      </c>
      <c r="Y469" s="136">
        <v>1292.72</v>
      </c>
      <c r="Z469" s="153">
        <v>41527</v>
      </c>
      <c r="AA469" s="318">
        <v>108333.3333</v>
      </c>
      <c r="AB469" s="153">
        <v>41527</v>
      </c>
      <c r="AE469">
        <v>57.2</v>
      </c>
      <c r="AF469" s="153">
        <v>41527</v>
      </c>
      <c r="AG469" s="136">
        <v>5.28</v>
      </c>
      <c r="AH469" s="153">
        <v>41527</v>
      </c>
      <c r="AI469" s="318">
        <v>140</v>
      </c>
      <c r="AJ469" s="153">
        <v>41527</v>
      </c>
      <c r="BS469" s="318">
        <v>43</v>
      </c>
      <c r="BT469" s="153">
        <v>41527</v>
      </c>
      <c r="BU469">
        <v>22.6</v>
      </c>
      <c r="BV469" s="153">
        <v>41527</v>
      </c>
      <c r="CC469" s="136">
        <v>7.9</v>
      </c>
      <c r="CD469" s="153">
        <v>41527</v>
      </c>
      <c r="CG469" s="136">
        <v>1.4</v>
      </c>
      <c r="CH469" s="153">
        <v>41527</v>
      </c>
      <c r="CK469" s="136">
        <v>1</v>
      </c>
    </row>
    <row r="470" spans="1:89">
      <c r="A470" s="154" t="s">
        <v>7876</v>
      </c>
      <c r="B470" t="s">
        <v>257</v>
      </c>
      <c r="C470" t="s">
        <v>405</v>
      </c>
      <c r="D470">
        <v>79</v>
      </c>
      <c r="E470" s="113">
        <v>5</v>
      </c>
      <c r="F470" s="113">
        <v>17</v>
      </c>
      <c r="K470" s="112">
        <v>5</v>
      </c>
      <c r="L470" s="317">
        <v>41569</v>
      </c>
      <c r="S470" s="318">
        <v>1086.48</v>
      </c>
      <c r="T470" s="153">
        <v>41527</v>
      </c>
      <c r="U470" s="136">
        <v>10.8</v>
      </c>
      <c r="Y470" s="136">
        <v>523.12</v>
      </c>
      <c r="Z470" s="153">
        <v>41527</v>
      </c>
      <c r="AA470" s="318" t="s">
        <v>7718</v>
      </c>
      <c r="AB470" s="153">
        <v>41527</v>
      </c>
      <c r="AE470">
        <v>25.15</v>
      </c>
      <c r="AF470" s="153">
        <v>41527</v>
      </c>
      <c r="AG470" s="136" t="s">
        <v>7718</v>
      </c>
      <c r="AH470" s="153">
        <v>41527</v>
      </c>
      <c r="AI470" s="318">
        <v>110</v>
      </c>
      <c r="AJ470" s="153">
        <v>41527</v>
      </c>
      <c r="BS470" s="318">
        <v>43.2</v>
      </c>
      <c r="BT470" s="153">
        <v>41527</v>
      </c>
      <c r="BU470">
        <v>20.8</v>
      </c>
      <c r="BV470" s="153">
        <v>41527</v>
      </c>
      <c r="CC470" s="136">
        <v>6.9</v>
      </c>
      <c r="CD470" s="153">
        <v>41527</v>
      </c>
      <c r="CG470" s="136">
        <v>15.24</v>
      </c>
      <c r="CH470" s="153">
        <v>41527</v>
      </c>
      <c r="CK470" s="136">
        <v>10</v>
      </c>
    </row>
    <row r="471" spans="1:89">
      <c r="A471" s="154" t="s">
        <v>7876</v>
      </c>
      <c r="B471" t="s">
        <v>259</v>
      </c>
      <c r="C471" t="s">
        <v>405</v>
      </c>
      <c r="D471">
        <v>79</v>
      </c>
      <c r="E471" s="113">
        <v>2</v>
      </c>
      <c r="F471" s="113">
        <v>8</v>
      </c>
      <c r="K471" s="112">
        <v>3</v>
      </c>
      <c r="L471" s="317">
        <v>41569</v>
      </c>
      <c r="S471" s="318">
        <v>1556.665</v>
      </c>
      <c r="T471" s="153">
        <v>41527</v>
      </c>
      <c r="U471" s="136">
        <v>10.8</v>
      </c>
      <c r="Y471" s="136">
        <v>851.47699999999998</v>
      </c>
      <c r="Z471" s="153">
        <v>41527</v>
      </c>
      <c r="AA471" s="318" t="s">
        <v>7718</v>
      </c>
      <c r="AB471" s="153">
        <v>41527</v>
      </c>
      <c r="AE471">
        <v>37.51</v>
      </c>
      <c r="AF471" s="153">
        <v>41527</v>
      </c>
      <c r="AG471" s="136" t="s">
        <v>7718</v>
      </c>
      <c r="AH471" s="153">
        <v>41527</v>
      </c>
      <c r="AI471" s="318">
        <v>120</v>
      </c>
      <c r="AJ471" s="153">
        <v>41527</v>
      </c>
      <c r="BS471" s="318">
        <v>41.5</v>
      </c>
      <c r="BT471" s="153">
        <v>41527</v>
      </c>
      <c r="BU471">
        <v>22.7</v>
      </c>
      <c r="BV471" s="153">
        <v>41527</v>
      </c>
      <c r="CC471" s="136">
        <v>8.6999999999999993</v>
      </c>
      <c r="CD471" s="153">
        <v>41527</v>
      </c>
      <c r="CG471" s="136">
        <v>2.33</v>
      </c>
      <c r="CH471" s="153">
        <v>41527</v>
      </c>
      <c r="CK471" s="136">
        <v>5</v>
      </c>
    </row>
    <row r="472" spans="1:89">
      <c r="A472" s="154" t="s">
        <v>7876</v>
      </c>
      <c r="B472" t="s">
        <v>257</v>
      </c>
      <c r="C472" t="s">
        <v>7794</v>
      </c>
      <c r="D472">
        <v>79</v>
      </c>
      <c r="E472" s="113">
        <v>1</v>
      </c>
      <c r="F472" s="113">
        <v>50</v>
      </c>
      <c r="K472" s="112">
        <v>5</v>
      </c>
      <c r="L472" s="317">
        <v>41569</v>
      </c>
      <c r="S472" s="318">
        <v>1377.519</v>
      </c>
      <c r="T472" s="153">
        <v>41527</v>
      </c>
      <c r="U472" s="136">
        <v>10.8</v>
      </c>
      <c r="Y472" s="136">
        <v>674.31</v>
      </c>
      <c r="Z472" s="153">
        <v>41527</v>
      </c>
      <c r="AA472" s="318" t="s">
        <v>7718</v>
      </c>
      <c r="AB472" s="153">
        <v>41527</v>
      </c>
      <c r="AE472">
        <v>32.11</v>
      </c>
      <c r="AF472" s="153">
        <v>41527</v>
      </c>
      <c r="AG472" s="136" t="s">
        <v>7718</v>
      </c>
      <c r="AH472" s="153">
        <v>41527</v>
      </c>
      <c r="AI472" s="318">
        <v>115</v>
      </c>
      <c r="AJ472" s="153">
        <v>41527</v>
      </c>
      <c r="BS472" s="318">
        <v>42.9</v>
      </c>
      <c r="BT472" s="153">
        <v>41527</v>
      </c>
      <c r="BU472">
        <v>21</v>
      </c>
      <c r="BV472" s="153">
        <v>41527</v>
      </c>
      <c r="CC472" s="136">
        <v>10</v>
      </c>
      <c r="CD472" s="153">
        <v>41527</v>
      </c>
      <c r="CG472" s="136">
        <v>8.18</v>
      </c>
      <c r="CH472" s="153">
        <v>41527</v>
      </c>
      <c r="CK472" s="136">
        <v>10</v>
      </c>
    </row>
    <row r="473" spans="1:89">
      <c r="A473" s="154" t="s">
        <v>7876</v>
      </c>
      <c r="B473" t="s">
        <v>259</v>
      </c>
      <c r="C473" t="s">
        <v>7794</v>
      </c>
      <c r="D473">
        <v>79</v>
      </c>
      <c r="E473" s="113">
        <v>5</v>
      </c>
      <c r="F473" s="113">
        <v>46</v>
      </c>
      <c r="K473" s="112">
        <v>3</v>
      </c>
      <c r="L473" s="317">
        <v>41569</v>
      </c>
      <c r="S473" s="318">
        <v>1814.51</v>
      </c>
      <c r="T473" s="153">
        <v>41527</v>
      </c>
      <c r="U473" s="136">
        <v>10.8</v>
      </c>
      <c r="Y473" s="136">
        <v>939.58</v>
      </c>
      <c r="Z473" s="153">
        <v>41527</v>
      </c>
      <c r="AA473" s="318" t="s">
        <v>7718</v>
      </c>
      <c r="AB473" s="153">
        <v>41527</v>
      </c>
      <c r="AE473">
        <v>43.1</v>
      </c>
      <c r="AF473" s="153">
        <v>41527</v>
      </c>
      <c r="AG473" s="136" t="s">
        <v>7718</v>
      </c>
      <c r="AH473" s="153">
        <v>41527</v>
      </c>
      <c r="AI473" s="318">
        <v>125</v>
      </c>
      <c r="AJ473" s="153">
        <v>41527</v>
      </c>
      <c r="BS473" s="318">
        <v>42.1</v>
      </c>
      <c r="BT473" s="153">
        <v>41527</v>
      </c>
      <c r="BU473">
        <v>21.8</v>
      </c>
      <c r="BV473" s="153">
        <v>41527</v>
      </c>
      <c r="CC473" s="136">
        <v>7.5</v>
      </c>
      <c r="CD473" s="153">
        <v>41527</v>
      </c>
      <c r="CG473" s="136">
        <v>4.18</v>
      </c>
      <c r="CH473" s="153">
        <v>41527</v>
      </c>
      <c r="CK473" s="136">
        <v>5</v>
      </c>
    </row>
    <row r="474" spans="1:89">
      <c r="A474" s="154" t="s">
        <v>7876</v>
      </c>
      <c r="B474" t="s">
        <v>257</v>
      </c>
      <c r="C474" t="s">
        <v>7795</v>
      </c>
      <c r="D474">
        <v>79</v>
      </c>
      <c r="E474" s="113">
        <v>5</v>
      </c>
      <c r="F474" s="113">
        <v>68</v>
      </c>
      <c r="K474" s="112">
        <v>3</v>
      </c>
      <c r="L474" s="317">
        <v>41569</v>
      </c>
      <c r="S474" s="318">
        <v>1356.48</v>
      </c>
      <c r="T474" s="153">
        <v>41527</v>
      </c>
      <c r="U474" s="136">
        <v>10.8</v>
      </c>
      <c r="Y474" s="136">
        <v>653.12</v>
      </c>
      <c r="Z474" s="153">
        <v>41527</v>
      </c>
      <c r="AA474" s="318">
        <v>68260.869569999995</v>
      </c>
      <c r="AB474" s="153">
        <v>41527</v>
      </c>
      <c r="AE474">
        <v>31.4</v>
      </c>
      <c r="AF474" s="153">
        <v>41527</v>
      </c>
      <c r="AG474" s="136">
        <v>4.5999999999999996</v>
      </c>
      <c r="AH474" s="153">
        <v>41527</v>
      </c>
      <c r="AI474" s="318">
        <v>100</v>
      </c>
      <c r="AJ474" s="153">
        <v>41527</v>
      </c>
      <c r="BS474" s="318">
        <v>43.2</v>
      </c>
      <c r="BT474" s="153">
        <v>41527</v>
      </c>
      <c r="BU474">
        <v>20.8</v>
      </c>
      <c r="BV474" s="153">
        <v>41527</v>
      </c>
      <c r="CC474" s="136">
        <v>6.2</v>
      </c>
      <c r="CD474" s="153">
        <v>41527</v>
      </c>
      <c r="CG474" s="136">
        <v>4.1500000000000004</v>
      </c>
      <c r="CH474" s="153">
        <v>41527</v>
      </c>
      <c r="CK474" s="136">
        <v>10</v>
      </c>
    </row>
    <row r="475" spans="1:89">
      <c r="A475" s="154" t="s">
        <v>7876</v>
      </c>
      <c r="B475" t="s">
        <v>259</v>
      </c>
      <c r="C475" t="s">
        <v>7795</v>
      </c>
      <c r="D475">
        <v>79</v>
      </c>
      <c r="E475" s="113">
        <v>1</v>
      </c>
      <c r="F475" s="113">
        <v>83</v>
      </c>
      <c r="K475" s="112">
        <v>3</v>
      </c>
      <c r="L475" s="317">
        <v>41569</v>
      </c>
      <c r="S475" s="318">
        <v>1123.5239999999999</v>
      </c>
      <c r="T475" s="153">
        <v>41527</v>
      </c>
      <c r="U475" s="136">
        <v>10.8</v>
      </c>
      <c r="Y475" s="136">
        <v>608.12099999999998</v>
      </c>
      <c r="Z475" s="153">
        <v>41527</v>
      </c>
      <c r="AA475" s="318">
        <v>62402.745999999999</v>
      </c>
      <c r="AB475" s="153">
        <v>41527</v>
      </c>
      <c r="AE475">
        <v>27.27</v>
      </c>
      <c r="AF475" s="153">
        <v>41527</v>
      </c>
      <c r="AG475" s="136">
        <v>4.37</v>
      </c>
      <c r="AH475" s="153">
        <v>41527</v>
      </c>
      <c r="AI475" s="318">
        <v>105</v>
      </c>
      <c r="AJ475" s="153">
        <v>41527</v>
      </c>
      <c r="BS475" s="318">
        <v>41.2</v>
      </c>
      <c r="BT475" s="153">
        <v>41527</v>
      </c>
      <c r="BU475">
        <v>22.3</v>
      </c>
      <c r="BV475" s="153">
        <v>41527</v>
      </c>
      <c r="CC475" s="136">
        <v>13.2</v>
      </c>
      <c r="CD475" s="153">
        <v>41527</v>
      </c>
      <c r="CG475" s="136">
        <v>14.26</v>
      </c>
      <c r="CH475" s="153">
        <v>41527</v>
      </c>
      <c r="CK475" s="136">
        <v>5</v>
      </c>
    </row>
    <row r="476" spans="1:89">
      <c r="A476" s="154" t="s">
        <v>7877</v>
      </c>
      <c r="B476" t="s">
        <v>257</v>
      </c>
      <c r="C476" t="s">
        <v>405</v>
      </c>
      <c r="D476">
        <v>80</v>
      </c>
      <c r="E476" s="113">
        <v>6</v>
      </c>
      <c r="F476" s="113">
        <v>3</v>
      </c>
      <c r="K476" s="112">
        <v>5</v>
      </c>
      <c r="L476" s="317">
        <v>41569</v>
      </c>
      <c r="S476" s="318">
        <v>1802.64</v>
      </c>
      <c r="T476" s="153">
        <v>41527</v>
      </c>
      <c r="U476" s="136">
        <v>10.8</v>
      </c>
      <c r="Y476" s="136">
        <v>795.76</v>
      </c>
      <c r="Z476" s="153">
        <v>41527</v>
      </c>
      <c r="AA476" s="318" t="s">
        <v>7718</v>
      </c>
      <c r="AB476" s="153">
        <v>41527</v>
      </c>
      <c r="AE476">
        <v>40.6</v>
      </c>
      <c r="AF476" s="153">
        <v>41527</v>
      </c>
      <c r="AG476" s="136" t="s">
        <v>7718</v>
      </c>
      <c r="AH476" s="153">
        <v>41527</v>
      </c>
      <c r="AI476" s="318">
        <v>115</v>
      </c>
      <c r="AJ476" s="153">
        <v>41527</v>
      </c>
      <c r="BS476" s="318">
        <v>44.4</v>
      </c>
      <c r="BT476" s="153">
        <v>41527</v>
      </c>
      <c r="BU476">
        <v>19.600000000000001</v>
      </c>
      <c r="BV476" s="153">
        <v>41527</v>
      </c>
      <c r="CC476" s="136">
        <v>10.9</v>
      </c>
      <c r="CD476" s="153">
        <v>41527</v>
      </c>
      <c r="CG476" s="136">
        <v>2.2799999999999998</v>
      </c>
      <c r="CH476" s="153">
        <v>41527</v>
      </c>
      <c r="CK476" s="136">
        <v>30</v>
      </c>
    </row>
    <row r="477" spans="1:89">
      <c r="A477" s="154" t="s">
        <v>7877</v>
      </c>
      <c r="B477" t="s">
        <v>259</v>
      </c>
      <c r="C477" t="s">
        <v>405</v>
      </c>
      <c r="D477">
        <v>80</v>
      </c>
      <c r="E477" s="113">
        <v>1</v>
      </c>
      <c r="F477" s="113">
        <v>16</v>
      </c>
      <c r="K477" s="112">
        <v>5</v>
      </c>
      <c r="L477" s="317">
        <v>41569</v>
      </c>
      <c r="S477" s="318">
        <v>2108.16</v>
      </c>
      <c r="T477" s="153">
        <v>41527</v>
      </c>
      <c r="U477" s="136">
        <v>10.8</v>
      </c>
      <c r="Y477" s="136">
        <v>1029.68</v>
      </c>
      <c r="Z477" s="153">
        <v>41527</v>
      </c>
      <c r="AA477" s="318" t="s">
        <v>7718</v>
      </c>
      <c r="AB477" s="153">
        <v>41527</v>
      </c>
      <c r="AE477">
        <v>48.8</v>
      </c>
      <c r="AF477" s="153">
        <v>41527</v>
      </c>
      <c r="AG477" s="136" t="s">
        <v>7718</v>
      </c>
      <c r="AH477" s="153">
        <v>41527</v>
      </c>
      <c r="AI477" s="318">
        <v>130</v>
      </c>
      <c r="AJ477" s="153">
        <v>41527</v>
      </c>
      <c r="BS477" s="318">
        <v>43.2</v>
      </c>
      <c r="BT477" s="153">
        <v>41527</v>
      </c>
      <c r="BU477">
        <v>21.1</v>
      </c>
      <c r="BV477" s="153">
        <v>41527</v>
      </c>
      <c r="CC477" s="136">
        <v>7.1</v>
      </c>
      <c r="CD477" s="153">
        <v>41527</v>
      </c>
      <c r="CG477" s="136">
        <v>1.27</v>
      </c>
      <c r="CH477" s="153">
        <v>41527</v>
      </c>
      <c r="CK477" s="136">
        <v>20</v>
      </c>
    </row>
    <row r="478" spans="1:89">
      <c r="A478" s="154" t="s">
        <v>7877</v>
      </c>
      <c r="B478" t="s">
        <v>257</v>
      </c>
      <c r="C478" t="s">
        <v>7794</v>
      </c>
      <c r="D478">
        <v>80</v>
      </c>
      <c r="E478" s="113">
        <v>1</v>
      </c>
      <c r="F478" s="113">
        <v>44</v>
      </c>
      <c r="K478" s="112">
        <v>5</v>
      </c>
      <c r="L478" s="317">
        <v>41569</v>
      </c>
      <c r="S478" s="318">
        <v>1931.4</v>
      </c>
      <c r="T478" s="153">
        <v>41527</v>
      </c>
      <c r="U478" s="136">
        <v>10.8</v>
      </c>
      <c r="Y478" s="136">
        <v>798.31200000000001</v>
      </c>
      <c r="Z478" s="153">
        <v>41527</v>
      </c>
      <c r="AA478" s="318" t="s">
        <v>7718</v>
      </c>
      <c r="AB478" s="153">
        <v>41527</v>
      </c>
      <c r="AE478">
        <v>42.92</v>
      </c>
      <c r="AF478" s="153">
        <v>41527</v>
      </c>
      <c r="AG478" s="136" t="s">
        <v>7718</v>
      </c>
      <c r="AH478" s="153">
        <v>41527</v>
      </c>
      <c r="AI478" s="318">
        <v>130</v>
      </c>
      <c r="AJ478" s="153">
        <v>41527</v>
      </c>
      <c r="BS478" s="318">
        <v>45</v>
      </c>
      <c r="BT478" s="153">
        <v>41527</v>
      </c>
      <c r="BU478">
        <v>18.600000000000001</v>
      </c>
      <c r="BV478" s="153">
        <v>41527</v>
      </c>
      <c r="CC478" s="136">
        <v>9.3000000000000007</v>
      </c>
      <c r="CD478" s="153">
        <v>41527</v>
      </c>
      <c r="CG478" s="136">
        <v>3.65</v>
      </c>
      <c r="CH478" s="153">
        <v>41527</v>
      </c>
      <c r="CK478" s="136">
        <v>20</v>
      </c>
    </row>
    <row r="479" spans="1:89">
      <c r="A479" s="154" t="s">
        <v>7877</v>
      </c>
      <c r="B479" t="s">
        <v>259</v>
      </c>
      <c r="C479" t="s">
        <v>7794</v>
      </c>
      <c r="D479">
        <v>80</v>
      </c>
      <c r="E479" s="113">
        <v>6</v>
      </c>
      <c r="F479" s="113">
        <v>54</v>
      </c>
      <c r="K479" s="112">
        <v>3</v>
      </c>
      <c r="L479" s="317">
        <v>41569</v>
      </c>
      <c r="S479" s="318">
        <v>1993.248</v>
      </c>
      <c r="T479" s="153">
        <v>41527</v>
      </c>
      <c r="U479" s="136">
        <v>10.8</v>
      </c>
      <c r="Y479" s="136">
        <v>945.87</v>
      </c>
      <c r="Z479" s="153">
        <v>41527</v>
      </c>
      <c r="AA479" s="318" t="s">
        <v>7718</v>
      </c>
      <c r="AB479" s="153">
        <v>41527</v>
      </c>
      <c r="AE479">
        <v>46.14</v>
      </c>
      <c r="AF479" s="153">
        <v>41527</v>
      </c>
      <c r="AG479" s="136" t="s">
        <v>7718</v>
      </c>
      <c r="AH479" s="153">
        <v>41527</v>
      </c>
      <c r="AI479" s="318">
        <v>110</v>
      </c>
      <c r="AJ479" s="153">
        <v>41527</v>
      </c>
      <c r="BS479" s="318">
        <v>43.2</v>
      </c>
      <c r="BT479" s="153">
        <v>41527</v>
      </c>
      <c r="BU479">
        <v>20.5</v>
      </c>
      <c r="BV479" s="153">
        <v>41527</v>
      </c>
      <c r="CC479" s="136">
        <v>8.5</v>
      </c>
      <c r="CD479" s="153">
        <v>41527</v>
      </c>
      <c r="CG479" s="136">
        <v>2.13</v>
      </c>
      <c r="CH479" s="153">
        <v>41527</v>
      </c>
      <c r="CK479" s="136">
        <v>20</v>
      </c>
    </row>
    <row r="480" spans="1:89">
      <c r="A480" s="154" t="s">
        <v>7877</v>
      </c>
      <c r="B480" t="s">
        <v>257</v>
      </c>
      <c r="C480" t="s">
        <v>7795</v>
      </c>
      <c r="D480">
        <v>80</v>
      </c>
      <c r="E480" s="113">
        <v>5</v>
      </c>
      <c r="F480" s="113">
        <v>77</v>
      </c>
      <c r="K480" s="112">
        <v>7</v>
      </c>
      <c r="L480" s="317">
        <v>41569</v>
      </c>
      <c r="S480" s="318">
        <v>2035.098</v>
      </c>
      <c r="T480" s="153">
        <v>41527</v>
      </c>
      <c r="U480" s="136">
        <v>10.8</v>
      </c>
      <c r="Y480" s="136">
        <v>862.40700000000004</v>
      </c>
      <c r="Z480" s="153">
        <v>41527</v>
      </c>
      <c r="AA480" s="318">
        <v>87080.152669999996</v>
      </c>
      <c r="AB480" s="153">
        <v>41527</v>
      </c>
      <c r="AE480">
        <v>45.63</v>
      </c>
      <c r="AF480" s="153">
        <v>41527</v>
      </c>
      <c r="AG480" s="136">
        <v>5.24</v>
      </c>
      <c r="AH480" s="153">
        <v>41527</v>
      </c>
      <c r="AI480" s="318">
        <v>120</v>
      </c>
      <c r="AJ480" s="153">
        <v>41527</v>
      </c>
      <c r="BS480" s="318">
        <v>44.6</v>
      </c>
      <c r="BT480" s="153">
        <v>41527</v>
      </c>
      <c r="BU480">
        <v>18.899999999999999</v>
      </c>
      <c r="BV480" s="153">
        <v>41527</v>
      </c>
      <c r="CC480" s="136">
        <v>5.7</v>
      </c>
      <c r="CD480" s="153">
        <v>41527</v>
      </c>
      <c r="CG480" s="136">
        <v>1.36</v>
      </c>
      <c r="CH480" s="153">
        <v>41527</v>
      </c>
      <c r="CK480" s="136">
        <v>30</v>
      </c>
    </row>
    <row r="481" spans="1:89">
      <c r="A481" s="154" t="s">
        <v>7877</v>
      </c>
      <c r="B481" t="s">
        <v>259</v>
      </c>
      <c r="C481" t="s">
        <v>7795</v>
      </c>
      <c r="D481">
        <v>80</v>
      </c>
      <c r="E481" s="113">
        <v>1</v>
      </c>
      <c r="F481" s="113">
        <v>82</v>
      </c>
      <c r="K481" s="112">
        <v>5</v>
      </c>
      <c r="L481" s="317">
        <v>41569</v>
      </c>
      <c r="S481" s="318">
        <v>1921.2919999999999</v>
      </c>
      <c r="T481" s="153">
        <v>41527</v>
      </c>
      <c r="U481" s="136">
        <v>10.8</v>
      </c>
      <c r="Y481" s="136">
        <v>915.75599999999997</v>
      </c>
      <c r="Z481" s="153">
        <v>41527</v>
      </c>
      <c r="AA481" s="318">
        <v>85018.93939</v>
      </c>
      <c r="AB481" s="153">
        <v>41527</v>
      </c>
      <c r="AE481">
        <v>44.89</v>
      </c>
      <c r="AF481" s="153">
        <v>41527</v>
      </c>
      <c r="AG481" s="136">
        <v>5.28</v>
      </c>
      <c r="AH481" s="153">
        <v>41527</v>
      </c>
      <c r="AI481" s="318">
        <v>120</v>
      </c>
      <c r="AJ481" s="153">
        <v>41527</v>
      </c>
      <c r="BS481" s="318">
        <v>42.8</v>
      </c>
      <c r="BT481" s="153">
        <v>41527</v>
      </c>
      <c r="BU481">
        <v>20.399999999999999</v>
      </c>
      <c r="BV481" s="153">
        <v>41527</v>
      </c>
      <c r="CC481" s="136">
        <v>9.4</v>
      </c>
      <c r="CD481" s="153">
        <v>41527</v>
      </c>
      <c r="CG481" s="136">
        <v>7.27</v>
      </c>
      <c r="CH481" s="153">
        <v>41527</v>
      </c>
      <c r="CK481" s="136">
        <v>20</v>
      </c>
    </row>
    <row r="482" spans="1:89">
      <c r="A482" s="154" t="s">
        <v>7878</v>
      </c>
      <c r="B482" t="s">
        <v>257</v>
      </c>
      <c r="C482" t="s">
        <v>405</v>
      </c>
      <c r="D482">
        <v>81</v>
      </c>
      <c r="E482" s="113">
        <v>6</v>
      </c>
      <c r="F482" s="113">
        <v>26</v>
      </c>
      <c r="K482" s="112">
        <v>5</v>
      </c>
      <c r="L482" s="317">
        <v>41569</v>
      </c>
      <c r="S482" s="318">
        <v>1584.3630000000001</v>
      </c>
      <c r="T482" s="153">
        <v>41527</v>
      </c>
      <c r="U482" s="136">
        <v>10.8</v>
      </c>
      <c r="Y482" s="136">
        <v>688.548</v>
      </c>
      <c r="Z482" s="153">
        <v>41527</v>
      </c>
      <c r="AA482" s="318" t="s">
        <v>7718</v>
      </c>
      <c r="AB482" s="153">
        <v>41527</v>
      </c>
      <c r="AE482">
        <v>35.130000000000003</v>
      </c>
      <c r="AF482" s="153">
        <v>41527</v>
      </c>
      <c r="AG482" s="136" t="s">
        <v>7718</v>
      </c>
      <c r="AH482" s="153">
        <v>41527</v>
      </c>
      <c r="AI482" s="318">
        <v>120</v>
      </c>
      <c r="AJ482" s="153">
        <v>41527</v>
      </c>
      <c r="BS482" s="318">
        <v>45.1</v>
      </c>
      <c r="BT482" s="153">
        <v>41527</v>
      </c>
      <c r="BU482">
        <v>19.600000000000001</v>
      </c>
      <c r="BV482" s="153">
        <v>41527</v>
      </c>
      <c r="CC482" s="136">
        <v>10.199999999999999</v>
      </c>
      <c r="CD482" s="153">
        <v>41527</v>
      </c>
      <c r="CG482" s="136">
        <v>5.8</v>
      </c>
      <c r="CH482" s="153">
        <v>41527</v>
      </c>
      <c r="CK482" s="136">
        <v>30</v>
      </c>
    </row>
    <row r="483" spans="1:89">
      <c r="A483" s="154" t="s">
        <v>7878</v>
      </c>
      <c r="B483" t="s">
        <v>259</v>
      </c>
      <c r="C483" t="s">
        <v>405</v>
      </c>
      <c r="D483">
        <v>81</v>
      </c>
      <c r="E483" s="113">
        <v>2</v>
      </c>
      <c r="F483" s="113">
        <v>6</v>
      </c>
      <c r="K483" s="112">
        <v>5</v>
      </c>
      <c r="L483" s="317">
        <v>41569</v>
      </c>
      <c r="S483" s="318">
        <v>2182.83</v>
      </c>
      <c r="T483" s="153">
        <v>41527</v>
      </c>
      <c r="U483" s="136">
        <v>10.8</v>
      </c>
      <c r="Y483" s="136">
        <v>1068.8340000000001</v>
      </c>
      <c r="Z483" s="153">
        <v>41527</v>
      </c>
      <c r="AA483" s="318" t="s">
        <v>7718</v>
      </c>
      <c r="AB483" s="153">
        <v>41527</v>
      </c>
      <c r="AE483">
        <v>50.18</v>
      </c>
      <c r="AF483" s="153">
        <v>41527</v>
      </c>
      <c r="AG483" s="136" t="s">
        <v>7718</v>
      </c>
      <c r="AH483" s="153">
        <v>41527</v>
      </c>
      <c r="AI483" s="318">
        <v>130</v>
      </c>
      <c r="AJ483" s="153">
        <v>41527</v>
      </c>
      <c r="BS483" s="318">
        <v>43.5</v>
      </c>
      <c r="BT483" s="153">
        <v>41527</v>
      </c>
      <c r="BU483">
        <v>21.3</v>
      </c>
      <c r="BV483" s="153">
        <v>41527</v>
      </c>
      <c r="CC483" s="136">
        <v>8.6</v>
      </c>
      <c r="CD483" s="153">
        <v>41527</v>
      </c>
      <c r="CG483" s="136">
        <v>1</v>
      </c>
      <c r="CH483" s="153">
        <v>41527</v>
      </c>
      <c r="CK483" s="136">
        <v>10</v>
      </c>
    </row>
    <row r="484" spans="1:89">
      <c r="A484" s="154" t="s">
        <v>7878</v>
      </c>
      <c r="B484" t="s">
        <v>257</v>
      </c>
      <c r="C484" t="s">
        <v>7794</v>
      </c>
      <c r="D484">
        <v>81</v>
      </c>
      <c r="E484" s="113">
        <v>2</v>
      </c>
      <c r="F484" s="113">
        <v>32</v>
      </c>
      <c r="K484" s="112">
        <v>7</v>
      </c>
      <c r="L484" s="317">
        <v>41569</v>
      </c>
      <c r="S484" s="318">
        <v>1568.2860000000001</v>
      </c>
      <c r="T484" s="153">
        <v>41527</v>
      </c>
      <c r="U484" s="136">
        <v>10.8</v>
      </c>
      <c r="Y484" s="136">
        <v>657.78</v>
      </c>
      <c r="Z484" s="153">
        <v>41527</v>
      </c>
      <c r="AA484" s="318" t="s">
        <v>7718</v>
      </c>
      <c r="AB484" s="153">
        <v>41527</v>
      </c>
      <c r="AE484">
        <v>34.619999999999997</v>
      </c>
      <c r="AF484" s="153">
        <v>41527</v>
      </c>
      <c r="AG484" s="136" t="s">
        <v>7718</v>
      </c>
      <c r="AH484" s="153">
        <v>41527</v>
      </c>
      <c r="AI484" s="318">
        <v>140</v>
      </c>
      <c r="AJ484" s="153">
        <v>41527</v>
      </c>
      <c r="BS484" s="318">
        <v>45.3</v>
      </c>
      <c r="BT484" s="153">
        <v>41527</v>
      </c>
      <c r="BU484">
        <v>19</v>
      </c>
      <c r="BV484" s="153">
        <v>41527</v>
      </c>
      <c r="CC484" s="136">
        <v>6.7</v>
      </c>
      <c r="CD484" s="153">
        <v>41527</v>
      </c>
      <c r="CG484" s="136">
        <v>2.95</v>
      </c>
      <c r="CH484" s="153">
        <v>41527</v>
      </c>
      <c r="CK484" s="136">
        <v>20</v>
      </c>
    </row>
    <row r="485" spans="1:89">
      <c r="A485" s="154" t="s">
        <v>7878</v>
      </c>
      <c r="B485" t="s">
        <v>259</v>
      </c>
      <c r="C485" t="s">
        <v>7794</v>
      </c>
      <c r="D485">
        <v>81</v>
      </c>
      <c r="E485" s="113">
        <v>4</v>
      </c>
      <c r="F485" s="113">
        <v>39</v>
      </c>
      <c r="K485" s="112">
        <v>5</v>
      </c>
      <c r="L485" s="317">
        <v>41569</v>
      </c>
      <c r="S485" s="318">
        <v>2310.8879999999999</v>
      </c>
      <c r="T485" s="153">
        <v>41527</v>
      </c>
      <c r="U485" s="136">
        <v>10.8</v>
      </c>
      <c r="Y485" s="136">
        <v>1107.96</v>
      </c>
      <c r="Z485" s="153">
        <v>41527</v>
      </c>
      <c r="AA485" s="318" t="s">
        <v>7718</v>
      </c>
      <c r="AB485" s="153">
        <v>41527</v>
      </c>
      <c r="AE485">
        <v>52.76</v>
      </c>
      <c r="AF485" s="153">
        <v>41527</v>
      </c>
      <c r="AG485" s="136" t="s">
        <v>7718</v>
      </c>
      <c r="AH485" s="153">
        <v>41527</v>
      </c>
      <c r="AI485" s="318">
        <v>145</v>
      </c>
      <c r="AJ485" s="153">
        <v>41527</v>
      </c>
      <c r="BS485" s="318">
        <v>43.8</v>
      </c>
      <c r="BT485" s="153">
        <v>41527</v>
      </c>
      <c r="BU485">
        <v>21</v>
      </c>
      <c r="BV485" s="153">
        <v>41527</v>
      </c>
      <c r="CC485" s="136">
        <v>7.5</v>
      </c>
      <c r="CD485" s="153">
        <v>41527</v>
      </c>
      <c r="CG485" s="136">
        <v>1.25</v>
      </c>
      <c r="CH485" s="153">
        <v>41527</v>
      </c>
      <c r="CK485" s="136">
        <v>30</v>
      </c>
    </row>
    <row r="486" spans="1:89">
      <c r="A486" s="154" t="s">
        <v>7878</v>
      </c>
      <c r="B486" t="s">
        <v>257</v>
      </c>
      <c r="C486" t="s">
        <v>7795</v>
      </c>
      <c r="D486">
        <v>81</v>
      </c>
      <c r="E486" s="113">
        <v>5</v>
      </c>
      <c r="F486" s="113">
        <v>80</v>
      </c>
      <c r="K486" s="112">
        <v>5</v>
      </c>
      <c r="L486" s="317">
        <v>41569</v>
      </c>
      <c r="S486" s="318">
        <v>1829.2439999999999</v>
      </c>
      <c r="T486" s="153">
        <v>41527</v>
      </c>
      <c r="U486" s="136">
        <v>10.8</v>
      </c>
      <c r="Y486" s="136">
        <v>777.024</v>
      </c>
      <c r="Z486" s="153">
        <v>41527</v>
      </c>
      <c r="AA486" s="318">
        <v>87787.418659999996</v>
      </c>
      <c r="AB486" s="153">
        <v>41527</v>
      </c>
      <c r="AE486">
        <v>40.47</v>
      </c>
      <c r="AF486" s="153">
        <v>41527</v>
      </c>
      <c r="AG486" s="136">
        <v>4.6100000000000003</v>
      </c>
      <c r="AH486" s="153">
        <v>41527</v>
      </c>
      <c r="AI486" s="318">
        <v>130</v>
      </c>
      <c r="AJ486" s="153">
        <v>41527</v>
      </c>
      <c r="BS486" s="318">
        <v>45.2</v>
      </c>
      <c r="BT486" s="153">
        <v>41527</v>
      </c>
      <c r="BU486">
        <v>19.2</v>
      </c>
      <c r="BV486" s="153">
        <v>41527</v>
      </c>
      <c r="CC486" s="136">
        <v>6.5</v>
      </c>
      <c r="CD486" s="153">
        <v>41527</v>
      </c>
      <c r="CG486" s="136">
        <v>2.17</v>
      </c>
      <c r="CH486" s="153">
        <v>41527</v>
      </c>
      <c r="CK486" s="136">
        <v>20</v>
      </c>
    </row>
    <row r="487" spans="1:89">
      <c r="A487" s="154" t="s">
        <v>7878</v>
      </c>
      <c r="B487" t="s">
        <v>259</v>
      </c>
      <c r="C487" t="s">
        <v>7795</v>
      </c>
      <c r="D487">
        <v>81</v>
      </c>
      <c r="E487" s="113">
        <v>1</v>
      </c>
      <c r="F487" s="113">
        <v>75</v>
      </c>
      <c r="K487" s="112">
        <v>5</v>
      </c>
      <c r="L487" s="317">
        <v>41569</v>
      </c>
      <c r="S487" s="318">
        <v>1921.318</v>
      </c>
      <c r="T487" s="153">
        <v>41527</v>
      </c>
      <c r="U487" s="136">
        <v>10.8</v>
      </c>
      <c r="Y487" s="136">
        <v>938.524</v>
      </c>
      <c r="Z487" s="153">
        <v>41527</v>
      </c>
      <c r="AA487" s="318">
        <v>97942.477880000006</v>
      </c>
      <c r="AB487" s="153">
        <v>41527</v>
      </c>
      <c r="AE487">
        <v>44.27</v>
      </c>
      <c r="AF487" s="153">
        <v>41527</v>
      </c>
      <c r="AG487" s="136">
        <v>4.5199999999999996</v>
      </c>
      <c r="AH487" s="153">
        <v>41527</v>
      </c>
      <c r="AI487" s="318">
        <v>135</v>
      </c>
      <c r="AJ487" s="153">
        <v>41527</v>
      </c>
      <c r="BS487" s="318">
        <v>43.4</v>
      </c>
      <c r="BT487" s="153">
        <v>41527</v>
      </c>
      <c r="BU487">
        <v>21.2</v>
      </c>
      <c r="BV487" s="153">
        <v>41527</v>
      </c>
      <c r="CC487" s="136">
        <v>9.6</v>
      </c>
      <c r="CD487" s="153">
        <v>41527</v>
      </c>
      <c r="CG487" s="136">
        <v>8.43</v>
      </c>
      <c r="CH487" s="153">
        <v>41527</v>
      </c>
      <c r="CK487" s="136">
        <v>10</v>
      </c>
    </row>
    <row r="488" spans="1:89">
      <c r="A488" s="154" t="s">
        <v>7879</v>
      </c>
      <c r="B488" t="s">
        <v>257</v>
      </c>
      <c r="C488" t="s">
        <v>405</v>
      </c>
      <c r="D488">
        <v>82</v>
      </c>
      <c r="E488" s="113">
        <v>5</v>
      </c>
      <c r="F488" s="113">
        <v>22</v>
      </c>
      <c r="K488" s="112">
        <v>5</v>
      </c>
      <c r="L488" s="317">
        <v>41569</v>
      </c>
      <c r="S488" s="318">
        <v>1971.35</v>
      </c>
      <c r="T488" s="153">
        <v>41527</v>
      </c>
      <c r="U488" s="136">
        <v>10.8</v>
      </c>
      <c r="Y488" s="136">
        <v>846.13</v>
      </c>
      <c r="Z488" s="153">
        <v>41527</v>
      </c>
      <c r="AA488" s="318" t="s">
        <v>7718</v>
      </c>
      <c r="AB488" s="153">
        <v>41527</v>
      </c>
      <c r="AE488">
        <v>44.3</v>
      </c>
      <c r="AF488" s="153">
        <v>41527</v>
      </c>
      <c r="AG488" s="136" t="s">
        <v>7718</v>
      </c>
      <c r="AH488" s="153">
        <v>41527</v>
      </c>
      <c r="AI488" s="318">
        <v>145</v>
      </c>
      <c r="AJ488" s="153">
        <v>41527</v>
      </c>
      <c r="BS488" s="318">
        <v>44.5</v>
      </c>
      <c r="BT488" s="153">
        <v>41527</v>
      </c>
      <c r="BU488">
        <v>19.100000000000001</v>
      </c>
      <c r="BV488" s="153">
        <v>41527</v>
      </c>
      <c r="CC488" s="136">
        <v>7.8</v>
      </c>
      <c r="CD488" s="153">
        <v>41527</v>
      </c>
      <c r="CG488" s="136">
        <v>1.96</v>
      </c>
      <c r="CH488" s="153">
        <v>41527</v>
      </c>
      <c r="CK488" s="136">
        <v>20</v>
      </c>
    </row>
    <row r="489" spans="1:89">
      <c r="A489" s="154" t="s">
        <v>7879</v>
      </c>
      <c r="B489" t="s">
        <v>259</v>
      </c>
      <c r="C489" t="s">
        <v>405</v>
      </c>
      <c r="D489">
        <v>82</v>
      </c>
      <c r="E489" s="113">
        <v>2</v>
      </c>
      <c r="F489" s="113">
        <v>21</v>
      </c>
      <c r="K489" s="112">
        <v>7</v>
      </c>
      <c r="L489" s="317">
        <v>41569</v>
      </c>
      <c r="S489" s="318">
        <v>1950.663</v>
      </c>
      <c r="T489" s="153">
        <v>41527</v>
      </c>
      <c r="U489" s="136">
        <v>10.8</v>
      </c>
      <c r="Y489" s="136">
        <v>973.05799999999999</v>
      </c>
      <c r="Z489" s="153">
        <v>41527</v>
      </c>
      <c r="AA489" s="318" t="s">
        <v>7718</v>
      </c>
      <c r="AB489" s="153">
        <v>41527</v>
      </c>
      <c r="AE489">
        <v>45.47</v>
      </c>
      <c r="AF489" s="153">
        <v>41527</v>
      </c>
      <c r="AG489" s="136" t="s">
        <v>7718</v>
      </c>
      <c r="AH489" s="153">
        <v>41527</v>
      </c>
      <c r="AI489" s="318">
        <v>145</v>
      </c>
      <c r="AJ489" s="153">
        <v>41527</v>
      </c>
      <c r="BS489" s="318">
        <v>42.9</v>
      </c>
      <c r="BT489" s="153">
        <v>41527</v>
      </c>
      <c r="BU489">
        <v>21.4</v>
      </c>
      <c r="BV489" s="153">
        <v>41527</v>
      </c>
      <c r="CC489" s="136">
        <v>8.6999999999999993</v>
      </c>
      <c r="CD489" s="153">
        <v>41527</v>
      </c>
      <c r="CG489" s="136">
        <v>2.33</v>
      </c>
      <c r="CH489" s="153">
        <v>41527</v>
      </c>
      <c r="CK489" s="136">
        <v>10</v>
      </c>
    </row>
    <row r="490" spans="1:89">
      <c r="A490" s="154" t="s">
        <v>7879</v>
      </c>
      <c r="B490" t="s">
        <v>257</v>
      </c>
      <c r="C490" t="s">
        <v>7794</v>
      </c>
      <c r="D490">
        <v>82</v>
      </c>
      <c r="E490" s="113">
        <v>1</v>
      </c>
      <c r="F490" s="113">
        <v>36</v>
      </c>
      <c r="K490" s="112">
        <v>5</v>
      </c>
      <c r="L490" s="317">
        <v>41569</v>
      </c>
      <c r="S490" s="318">
        <v>1910.2159999999999</v>
      </c>
      <c r="T490" s="153">
        <v>41527</v>
      </c>
      <c r="U490" s="136">
        <v>10.8</v>
      </c>
      <c r="Y490" s="136">
        <v>827.904</v>
      </c>
      <c r="Z490" s="153">
        <v>41527</v>
      </c>
      <c r="AA490" s="318" t="s">
        <v>7718</v>
      </c>
      <c r="AB490" s="153">
        <v>41527</v>
      </c>
      <c r="AE490">
        <v>43.12</v>
      </c>
      <c r="AF490" s="153">
        <v>41527</v>
      </c>
      <c r="AG490" s="136" t="s">
        <v>7718</v>
      </c>
      <c r="AH490" s="153">
        <v>41527</v>
      </c>
      <c r="AI490" s="318">
        <v>160</v>
      </c>
      <c r="AJ490" s="153">
        <v>41527</v>
      </c>
      <c r="BS490" s="318">
        <v>44.3</v>
      </c>
      <c r="BT490" s="153">
        <v>41527</v>
      </c>
      <c r="BU490">
        <v>19.2</v>
      </c>
      <c r="BV490" s="153">
        <v>41527</v>
      </c>
      <c r="CC490" s="136">
        <v>9.4</v>
      </c>
      <c r="CD490" s="153">
        <v>41527</v>
      </c>
      <c r="CG490" s="136">
        <v>3.1</v>
      </c>
      <c r="CH490" s="153">
        <v>41527</v>
      </c>
      <c r="CK490" s="136">
        <v>10</v>
      </c>
    </row>
    <row r="491" spans="1:89">
      <c r="A491" s="154" t="s">
        <v>7879</v>
      </c>
      <c r="B491" t="s">
        <v>259</v>
      </c>
      <c r="C491" t="s">
        <v>7794</v>
      </c>
      <c r="D491">
        <v>82</v>
      </c>
      <c r="E491" s="113">
        <v>4</v>
      </c>
      <c r="F491" s="113">
        <v>58</v>
      </c>
      <c r="K491" s="112">
        <v>5</v>
      </c>
      <c r="L491" s="317">
        <v>41569</v>
      </c>
      <c r="S491" s="318">
        <v>1965.6759999999999</v>
      </c>
      <c r="T491" s="153">
        <v>41527</v>
      </c>
      <c r="U491" s="136">
        <v>10.8</v>
      </c>
      <c r="Y491" s="136">
        <v>1001.47</v>
      </c>
      <c r="Z491" s="153">
        <v>41527</v>
      </c>
      <c r="AA491" s="318" t="s">
        <v>7718</v>
      </c>
      <c r="AB491" s="153">
        <v>41527</v>
      </c>
      <c r="AE491">
        <v>46.58</v>
      </c>
      <c r="AF491" s="153">
        <v>41527</v>
      </c>
      <c r="AG491" s="136" t="s">
        <v>7718</v>
      </c>
      <c r="AH491" s="153">
        <v>41527</v>
      </c>
      <c r="AI491" s="318">
        <v>145</v>
      </c>
      <c r="AJ491" s="153">
        <v>41527</v>
      </c>
      <c r="BS491" s="318">
        <v>42.2</v>
      </c>
      <c r="BT491" s="153">
        <v>41527</v>
      </c>
      <c r="BU491">
        <v>21.5</v>
      </c>
      <c r="BV491" s="153">
        <v>41527</v>
      </c>
      <c r="CC491" s="136">
        <v>5.8</v>
      </c>
      <c r="CD491" s="153">
        <v>41527</v>
      </c>
      <c r="CG491" s="136">
        <v>1.83</v>
      </c>
      <c r="CH491" s="153">
        <v>41527</v>
      </c>
      <c r="CK491" s="136">
        <v>20</v>
      </c>
    </row>
    <row r="492" spans="1:89">
      <c r="A492" s="154" t="s">
        <v>7879</v>
      </c>
      <c r="B492" t="s">
        <v>257</v>
      </c>
      <c r="C492" t="s">
        <v>7795</v>
      </c>
      <c r="D492">
        <v>82</v>
      </c>
      <c r="E492" s="113">
        <v>6</v>
      </c>
      <c r="F492" s="113">
        <v>72</v>
      </c>
      <c r="K492" s="112">
        <v>3</v>
      </c>
      <c r="L492" s="317">
        <v>41569</v>
      </c>
      <c r="S492" s="318">
        <v>1648.68</v>
      </c>
      <c r="T492" s="153">
        <v>41527</v>
      </c>
      <c r="U492" s="136">
        <v>10.8</v>
      </c>
      <c r="Y492" s="136">
        <v>738.15899999999999</v>
      </c>
      <c r="Z492" s="153">
        <v>41527</v>
      </c>
      <c r="AA492" s="318">
        <v>80235.546040000001</v>
      </c>
      <c r="AB492" s="153">
        <v>41527</v>
      </c>
      <c r="AE492">
        <v>37.47</v>
      </c>
      <c r="AF492" s="153">
        <v>41527</v>
      </c>
      <c r="AG492" s="136">
        <v>4.67</v>
      </c>
      <c r="AH492" s="153">
        <v>41527</v>
      </c>
      <c r="AI492" s="318">
        <v>130</v>
      </c>
      <c r="AJ492" s="153">
        <v>41527</v>
      </c>
      <c r="BS492" s="318">
        <v>44</v>
      </c>
      <c r="BT492" s="153">
        <v>41527</v>
      </c>
      <c r="BU492">
        <v>19.7</v>
      </c>
      <c r="BV492" s="153">
        <v>41527</v>
      </c>
      <c r="CC492" s="136">
        <v>5.9</v>
      </c>
      <c r="CD492" s="153">
        <v>41527</v>
      </c>
      <c r="CG492" s="136">
        <v>2.75</v>
      </c>
      <c r="CH492" s="153">
        <v>41527</v>
      </c>
      <c r="CK492" s="136">
        <v>20</v>
      </c>
    </row>
    <row r="493" spans="1:89">
      <c r="A493" s="154" t="s">
        <v>7879</v>
      </c>
      <c r="B493" t="s">
        <v>259</v>
      </c>
      <c r="C493" t="s">
        <v>7795</v>
      </c>
      <c r="D493">
        <v>82</v>
      </c>
      <c r="E493" s="113">
        <v>2</v>
      </c>
      <c r="F493" s="113">
        <v>80</v>
      </c>
      <c r="K493" s="112">
        <v>5</v>
      </c>
      <c r="L493" s="317">
        <v>41569</v>
      </c>
      <c r="S493" s="318">
        <v>1924.048</v>
      </c>
      <c r="T493" s="153">
        <v>41527</v>
      </c>
      <c r="U493" s="136">
        <v>10.8</v>
      </c>
      <c r="Y493" s="136">
        <v>1014.832</v>
      </c>
      <c r="Z493" s="153">
        <v>41527</v>
      </c>
      <c r="AA493" s="318">
        <v>92767.676770000005</v>
      </c>
      <c r="AB493" s="153">
        <v>41527</v>
      </c>
      <c r="AE493">
        <v>45.92</v>
      </c>
      <c r="AF493" s="153">
        <v>41527</v>
      </c>
      <c r="AG493" s="136">
        <v>4.95</v>
      </c>
      <c r="AH493" s="153">
        <v>41527</v>
      </c>
      <c r="AI493" s="318">
        <v>155</v>
      </c>
      <c r="AJ493" s="153">
        <v>41527</v>
      </c>
      <c r="BS493" s="318">
        <v>41.9</v>
      </c>
      <c r="BT493" s="153">
        <v>41527</v>
      </c>
      <c r="BU493">
        <v>22.1</v>
      </c>
      <c r="BV493" s="153">
        <v>41527</v>
      </c>
      <c r="CC493" s="136">
        <v>7.8</v>
      </c>
      <c r="CD493" s="153">
        <v>41527</v>
      </c>
      <c r="CG493" s="136">
        <v>3.7</v>
      </c>
      <c r="CH493" s="153">
        <v>41527</v>
      </c>
      <c r="CK493" s="136">
        <v>20</v>
      </c>
    </row>
    <row r="494" spans="1:89">
      <c r="A494" s="154" t="s">
        <v>7880</v>
      </c>
      <c r="B494" t="s">
        <v>257</v>
      </c>
      <c r="C494" t="s">
        <v>405</v>
      </c>
      <c r="D494">
        <v>83</v>
      </c>
      <c r="E494" s="113">
        <v>5</v>
      </c>
      <c r="F494" s="113">
        <v>9</v>
      </c>
      <c r="K494" s="112">
        <v>5</v>
      </c>
      <c r="L494" s="317">
        <v>41569</v>
      </c>
      <c r="S494" s="318">
        <v>2138.748</v>
      </c>
      <c r="T494" s="153">
        <v>41527</v>
      </c>
      <c r="U494" s="136">
        <v>10.8</v>
      </c>
      <c r="Y494" s="136">
        <v>948.94899999999996</v>
      </c>
      <c r="Z494" s="153">
        <v>41527</v>
      </c>
      <c r="AA494" s="318" t="s">
        <v>7718</v>
      </c>
      <c r="AB494" s="153">
        <v>41527</v>
      </c>
      <c r="AE494">
        <v>48.17</v>
      </c>
      <c r="AF494" s="153">
        <v>41527</v>
      </c>
      <c r="AG494" s="136" t="s">
        <v>7718</v>
      </c>
      <c r="AH494" s="153">
        <v>41527</v>
      </c>
      <c r="AI494" s="318">
        <v>155</v>
      </c>
      <c r="AJ494" s="153">
        <v>41527</v>
      </c>
      <c r="BS494" s="318">
        <v>44.4</v>
      </c>
      <c r="BT494" s="153">
        <v>41527</v>
      </c>
      <c r="BU494">
        <v>19.7</v>
      </c>
      <c r="BV494" s="153">
        <v>41527</v>
      </c>
      <c r="CC494" s="136">
        <v>7.5</v>
      </c>
      <c r="CD494" s="153">
        <v>41527</v>
      </c>
      <c r="CG494" s="136">
        <v>2.61</v>
      </c>
      <c r="CH494" s="153">
        <v>41527</v>
      </c>
      <c r="CK494" s="136">
        <v>5</v>
      </c>
    </row>
    <row r="495" spans="1:89">
      <c r="A495" s="154" t="s">
        <v>7880</v>
      </c>
      <c r="B495" t="s">
        <v>259</v>
      </c>
      <c r="C495" t="s">
        <v>405</v>
      </c>
      <c r="D495">
        <v>83</v>
      </c>
      <c r="E495" s="113">
        <v>2</v>
      </c>
      <c r="F495" s="113">
        <v>12</v>
      </c>
      <c r="K495" s="112">
        <v>5</v>
      </c>
      <c r="L495" s="317">
        <v>41569</v>
      </c>
      <c r="S495" s="318">
        <v>2532.9540000000002</v>
      </c>
      <c r="T495" s="153">
        <v>41527</v>
      </c>
      <c r="U495" s="136">
        <v>10.8</v>
      </c>
      <c r="Y495" s="136">
        <v>1208.6469999999999</v>
      </c>
      <c r="Z495" s="153">
        <v>41527</v>
      </c>
      <c r="AA495" s="318" t="s">
        <v>7718</v>
      </c>
      <c r="AB495" s="153">
        <v>41527</v>
      </c>
      <c r="AE495">
        <v>57.83</v>
      </c>
      <c r="AF495" s="153">
        <v>41527</v>
      </c>
      <c r="AG495" s="136" t="s">
        <v>7718</v>
      </c>
      <c r="AH495" s="153">
        <v>41527</v>
      </c>
      <c r="AI495" s="318">
        <v>160</v>
      </c>
      <c r="AJ495" s="153">
        <v>41527</v>
      </c>
      <c r="BS495" s="318">
        <v>43.8</v>
      </c>
      <c r="BT495" s="153">
        <v>41527</v>
      </c>
      <c r="BU495">
        <v>20.9</v>
      </c>
      <c r="BV495" s="153">
        <v>41527</v>
      </c>
      <c r="CC495" s="136">
        <v>7.1</v>
      </c>
      <c r="CD495" s="153">
        <v>41527</v>
      </c>
      <c r="CG495" s="136">
        <v>1.06</v>
      </c>
      <c r="CH495" s="153">
        <v>41527</v>
      </c>
      <c r="CK495" s="136">
        <v>5</v>
      </c>
    </row>
    <row r="496" spans="1:89">
      <c r="A496" s="154" t="s">
        <v>7880</v>
      </c>
      <c r="B496" t="s">
        <v>257</v>
      </c>
      <c r="C496" t="s">
        <v>7794</v>
      </c>
      <c r="D496">
        <v>83</v>
      </c>
      <c r="E496" s="113">
        <v>3</v>
      </c>
      <c r="F496" s="113">
        <v>53</v>
      </c>
      <c r="K496" s="112">
        <v>5</v>
      </c>
      <c r="L496" s="317">
        <v>41569</v>
      </c>
      <c r="S496" s="318">
        <v>2233.326</v>
      </c>
      <c r="T496" s="153">
        <v>41527</v>
      </c>
      <c r="U496" s="136">
        <v>10.8</v>
      </c>
      <c r="Y496" s="136">
        <v>964.95600000000002</v>
      </c>
      <c r="Z496" s="153">
        <v>41527</v>
      </c>
      <c r="AA496" s="318" t="s">
        <v>7718</v>
      </c>
      <c r="AB496" s="153">
        <v>41527</v>
      </c>
      <c r="AE496">
        <v>49.74</v>
      </c>
      <c r="AF496" s="153">
        <v>41527</v>
      </c>
      <c r="AG496" s="136" t="s">
        <v>7718</v>
      </c>
      <c r="AH496" s="153">
        <v>41527</v>
      </c>
      <c r="AI496" s="318">
        <v>165</v>
      </c>
      <c r="AJ496" s="153">
        <v>41527</v>
      </c>
      <c r="BS496" s="318">
        <v>44.9</v>
      </c>
      <c r="BT496" s="153">
        <v>41527</v>
      </c>
      <c r="BU496">
        <v>19.399999999999999</v>
      </c>
      <c r="BV496" s="153">
        <v>41527</v>
      </c>
      <c r="CC496" s="136">
        <v>8.5</v>
      </c>
      <c r="CD496" s="153">
        <v>41527</v>
      </c>
      <c r="CG496" s="136">
        <v>3.94</v>
      </c>
      <c r="CH496" s="153">
        <v>41527</v>
      </c>
      <c r="CK496" s="136">
        <v>5</v>
      </c>
    </row>
    <row r="497" spans="1:89">
      <c r="A497" s="154" t="s">
        <v>7880</v>
      </c>
      <c r="B497" t="s">
        <v>259</v>
      </c>
      <c r="C497" t="s">
        <v>7794</v>
      </c>
      <c r="D497">
        <v>83</v>
      </c>
      <c r="E497" s="113">
        <v>4</v>
      </c>
      <c r="F497" s="113">
        <v>32</v>
      </c>
      <c r="K497" s="112">
        <v>5</v>
      </c>
      <c r="L497" s="317">
        <v>41569</v>
      </c>
      <c r="S497" s="318">
        <v>2753.9740000000002</v>
      </c>
      <c r="T497" s="153">
        <v>41527</v>
      </c>
      <c r="U497" s="136">
        <v>10.8</v>
      </c>
      <c r="Y497" s="136">
        <v>1298.212</v>
      </c>
      <c r="Z497" s="153">
        <v>41527</v>
      </c>
      <c r="AA497" s="318" t="s">
        <v>7718</v>
      </c>
      <c r="AB497" s="153">
        <v>41527</v>
      </c>
      <c r="AE497">
        <v>63.02</v>
      </c>
      <c r="AF497" s="153">
        <v>41527</v>
      </c>
      <c r="AG497" s="136" t="s">
        <v>7718</v>
      </c>
      <c r="AH497" s="153">
        <v>41527</v>
      </c>
      <c r="AI497" s="318">
        <v>160</v>
      </c>
      <c r="AJ497" s="153">
        <v>41527</v>
      </c>
      <c r="BS497" s="318">
        <v>43.7</v>
      </c>
      <c r="BT497" s="153">
        <v>41527</v>
      </c>
      <c r="BU497">
        <v>20.6</v>
      </c>
      <c r="BV497" s="153">
        <v>41527</v>
      </c>
      <c r="CC497" s="136">
        <v>5.7</v>
      </c>
      <c r="CD497" s="153">
        <v>41527</v>
      </c>
      <c r="CG497" s="136">
        <v>1.36</v>
      </c>
      <c r="CH497" s="153">
        <v>41527</v>
      </c>
      <c r="CK497" s="136">
        <v>5</v>
      </c>
    </row>
    <row r="498" spans="1:89">
      <c r="A498" s="154" t="s">
        <v>7880</v>
      </c>
      <c r="B498" t="s">
        <v>257</v>
      </c>
      <c r="C498" t="s">
        <v>7795</v>
      </c>
      <c r="D498">
        <v>83</v>
      </c>
      <c r="E498" s="113">
        <v>5</v>
      </c>
      <c r="F498" s="113">
        <v>62</v>
      </c>
      <c r="K498" s="112">
        <v>5</v>
      </c>
      <c r="L498" s="317">
        <v>41569</v>
      </c>
      <c r="S498" s="318">
        <v>2459.6219999999998</v>
      </c>
      <c r="T498" s="153">
        <v>41527</v>
      </c>
      <c r="U498" s="136">
        <v>10.8</v>
      </c>
      <c r="Y498" s="136">
        <v>1046.298</v>
      </c>
      <c r="Z498" s="153">
        <v>41527</v>
      </c>
      <c r="AA498" s="318">
        <v>113181.81819999999</v>
      </c>
      <c r="AB498" s="153">
        <v>41527</v>
      </c>
      <c r="AE498">
        <v>54.78</v>
      </c>
      <c r="AF498" s="153">
        <v>41527</v>
      </c>
      <c r="AG498" s="136">
        <v>4.84</v>
      </c>
      <c r="AH498" s="153">
        <v>41527</v>
      </c>
      <c r="AI498" s="318">
        <v>160</v>
      </c>
      <c r="AJ498" s="153">
        <v>41527</v>
      </c>
      <c r="BS498" s="318">
        <v>44.9</v>
      </c>
      <c r="BT498" s="153">
        <v>41527</v>
      </c>
      <c r="BU498">
        <v>19.100000000000001</v>
      </c>
      <c r="BV498" s="153">
        <v>41527</v>
      </c>
      <c r="CC498" s="136">
        <v>7.8</v>
      </c>
      <c r="CD498" s="153">
        <v>41527</v>
      </c>
      <c r="CG498" s="136">
        <v>1.59</v>
      </c>
      <c r="CH498" s="153">
        <v>41527</v>
      </c>
      <c r="CK498" s="136">
        <v>5</v>
      </c>
    </row>
    <row r="499" spans="1:89">
      <c r="A499" s="154" t="s">
        <v>7880</v>
      </c>
      <c r="B499" t="s">
        <v>259</v>
      </c>
      <c r="C499" t="s">
        <v>7795</v>
      </c>
      <c r="D499">
        <v>83</v>
      </c>
      <c r="E499" s="113">
        <v>3</v>
      </c>
      <c r="F499" s="113">
        <v>78</v>
      </c>
      <c r="K499" s="112">
        <v>5</v>
      </c>
      <c r="L499" s="317">
        <v>41569</v>
      </c>
      <c r="S499" s="318">
        <v>2574.4879999999998</v>
      </c>
      <c r="T499" s="153">
        <v>41527</v>
      </c>
      <c r="U499" s="136">
        <v>10.8</v>
      </c>
      <c r="Y499" s="136">
        <v>1251.652</v>
      </c>
      <c r="Z499" s="153">
        <v>41527</v>
      </c>
      <c r="AA499" s="318">
        <v>116086.1057</v>
      </c>
      <c r="AB499" s="153">
        <v>41527</v>
      </c>
      <c r="AE499">
        <v>59.32</v>
      </c>
      <c r="AF499" s="153">
        <v>41527</v>
      </c>
      <c r="AG499" s="136">
        <v>5.1100000000000003</v>
      </c>
      <c r="AH499" s="153">
        <v>41527</v>
      </c>
      <c r="AI499" s="318">
        <v>165</v>
      </c>
      <c r="AJ499" s="153">
        <v>41527</v>
      </c>
      <c r="BS499" s="318">
        <v>43.4</v>
      </c>
      <c r="BT499" s="153">
        <v>41527</v>
      </c>
      <c r="BU499">
        <v>21.1</v>
      </c>
      <c r="BV499" s="153">
        <v>41527</v>
      </c>
      <c r="CC499" s="136">
        <v>6.4</v>
      </c>
      <c r="CD499" s="153">
        <v>41527</v>
      </c>
      <c r="CG499" s="136">
        <v>2.11</v>
      </c>
      <c r="CH499" s="153">
        <v>41527</v>
      </c>
      <c r="CK499" s="136">
        <v>5</v>
      </c>
    </row>
    <row r="500" spans="1:89">
      <c r="A500" s="154" t="s">
        <v>7881</v>
      </c>
      <c r="B500" t="s">
        <v>257</v>
      </c>
      <c r="C500" t="s">
        <v>405</v>
      </c>
      <c r="D500">
        <v>84</v>
      </c>
      <c r="E500" s="113">
        <v>5</v>
      </c>
      <c r="F500" s="113">
        <v>12</v>
      </c>
      <c r="K500" s="112">
        <v>5</v>
      </c>
      <c r="L500" s="317">
        <v>41569</v>
      </c>
      <c r="S500" s="318">
        <v>1611.3979999999999</v>
      </c>
      <c r="T500" s="153">
        <v>41527</v>
      </c>
      <c r="U500" s="136">
        <v>10.8</v>
      </c>
      <c r="Y500" s="136">
        <v>711.76099999999997</v>
      </c>
      <c r="Z500" s="153">
        <v>41527</v>
      </c>
      <c r="AA500" s="318" t="s">
        <v>7718</v>
      </c>
      <c r="AB500" s="153">
        <v>41527</v>
      </c>
      <c r="AE500">
        <v>36.130000000000003</v>
      </c>
      <c r="AF500" s="153">
        <v>41527</v>
      </c>
      <c r="AG500" s="136" t="s">
        <v>7718</v>
      </c>
      <c r="AH500" s="153">
        <v>41527</v>
      </c>
      <c r="AI500" s="318">
        <v>130</v>
      </c>
      <c r="AJ500" s="153">
        <v>41527</v>
      </c>
      <c r="BS500" s="318">
        <v>44.6</v>
      </c>
      <c r="BT500" s="153">
        <v>41527</v>
      </c>
      <c r="BU500">
        <v>19.7</v>
      </c>
      <c r="BV500" s="153">
        <v>41527</v>
      </c>
      <c r="CC500" s="136">
        <v>7.6</v>
      </c>
      <c r="CD500" s="153">
        <v>41527</v>
      </c>
      <c r="CG500" s="136">
        <v>4.71</v>
      </c>
      <c r="CH500" s="153">
        <v>41527</v>
      </c>
      <c r="CK500" s="136">
        <v>20</v>
      </c>
    </row>
    <row r="501" spans="1:89">
      <c r="A501" s="154" t="s">
        <v>7881</v>
      </c>
      <c r="B501" t="s">
        <v>259</v>
      </c>
      <c r="C501" t="s">
        <v>405</v>
      </c>
      <c r="D501">
        <v>84</v>
      </c>
      <c r="E501" s="113">
        <v>2</v>
      </c>
      <c r="F501" s="113">
        <v>7</v>
      </c>
      <c r="K501" s="112">
        <v>3</v>
      </c>
      <c r="L501" s="317">
        <v>41569</v>
      </c>
      <c r="S501" s="318">
        <v>1760.204</v>
      </c>
      <c r="T501" s="153">
        <v>41527</v>
      </c>
      <c r="U501" s="136">
        <v>10.8</v>
      </c>
      <c r="Y501" s="136">
        <v>873.976</v>
      </c>
      <c r="Z501" s="153">
        <v>41527</v>
      </c>
      <c r="AA501" s="318" t="s">
        <v>7718</v>
      </c>
      <c r="AB501" s="153">
        <v>41527</v>
      </c>
      <c r="AE501">
        <v>40.840000000000003</v>
      </c>
      <c r="AF501" s="153">
        <v>41527</v>
      </c>
      <c r="AG501" s="136" t="s">
        <v>7718</v>
      </c>
      <c r="AH501" s="153">
        <v>41527</v>
      </c>
      <c r="AI501" s="318">
        <v>135</v>
      </c>
      <c r="AJ501" s="153">
        <v>41527</v>
      </c>
      <c r="BS501" s="318">
        <v>43.1</v>
      </c>
      <c r="BT501" s="153">
        <v>41527</v>
      </c>
      <c r="BU501">
        <v>21.4</v>
      </c>
      <c r="BV501" s="153">
        <v>41527</v>
      </c>
      <c r="CC501" s="136">
        <v>9.9</v>
      </c>
      <c r="CD501" s="153">
        <v>41527</v>
      </c>
      <c r="CG501" s="136">
        <v>2.37</v>
      </c>
      <c r="CH501" s="153">
        <v>41527</v>
      </c>
      <c r="CK501" s="136">
        <v>30</v>
      </c>
    </row>
    <row r="502" spans="1:89">
      <c r="A502" s="154" t="s">
        <v>7881</v>
      </c>
      <c r="B502" t="s">
        <v>257</v>
      </c>
      <c r="C502" t="s">
        <v>7794</v>
      </c>
      <c r="D502">
        <v>84</v>
      </c>
      <c r="E502" s="113">
        <v>1</v>
      </c>
      <c r="F502" s="113">
        <v>54</v>
      </c>
      <c r="K502" s="112">
        <v>5</v>
      </c>
      <c r="L502" s="317">
        <v>41569</v>
      </c>
      <c r="S502" s="318">
        <v>1750.0050000000001</v>
      </c>
      <c r="T502" s="153">
        <v>41527</v>
      </c>
      <c r="U502" s="136">
        <v>10.8</v>
      </c>
      <c r="Y502" s="136">
        <v>856.899</v>
      </c>
      <c r="Z502" s="153">
        <v>41527</v>
      </c>
      <c r="AA502" s="318" t="s">
        <v>7718</v>
      </c>
      <c r="AB502" s="153">
        <v>41527</v>
      </c>
      <c r="AE502">
        <v>40.229999999999997</v>
      </c>
      <c r="AF502" s="153">
        <v>41527</v>
      </c>
      <c r="AG502" s="136" t="s">
        <v>7718</v>
      </c>
      <c r="AH502" s="153">
        <v>41527</v>
      </c>
      <c r="AI502" s="318">
        <v>135</v>
      </c>
      <c r="AJ502" s="153">
        <v>41527</v>
      </c>
      <c r="BS502" s="318">
        <v>43.5</v>
      </c>
      <c r="BT502" s="153">
        <v>41527</v>
      </c>
      <c r="BU502">
        <v>21.3</v>
      </c>
      <c r="BV502" s="153">
        <v>41527</v>
      </c>
      <c r="CC502" s="136">
        <v>8.6999999999999993</v>
      </c>
      <c r="CD502" s="153">
        <v>41527</v>
      </c>
      <c r="CG502" s="136">
        <v>5.14</v>
      </c>
      <c r="CH502" s="153">
        <v>41527</v>
      </c>
      <c r="CK502" s="136">
        <v>10</v>
      </c>
    </row>
    <row r="503" spans="1:89">
      <c r="A503" s="154" t="s">
        <v>7881</v>
      </c>
      <c r="B503" t="s">
        <v>259</v>
      </c>
      <c r="C503" t="s">
        <v>7794</v>
      </c>
      <c r="D503">
        <v>84</v>
      </c>
      <c r="E503" s="113">
        <v>4</v>
      </c>
      <c r="F503" s="113">
        <v>42</v>
      </c>
      <c r="K503" s="112">
        <v>5</v>
      </c>
      <c r="L503" s="317">
        <v>41569</v>
      </c>
      <c r="S503" s="318">
        <v>2268.5250000000001</v>
      </c>
      <c r="T503" s="153">
        <v>41527</v>
      </c>
      <c r="U503" s="136">
        <v>10.8</v>
      </c>
      <c r="Y503" s="136">
        <v>1074.29</v>
      </c>
      <c r="Z503" s="153">
        <v>41527</v>
      </c>
      <c r="AA503" s="318" t="s">
        <v>7718</v>
      </c>
      <c r="AB503" s="153">
        <v>41527</v>
      </c>
      <c r="AE503">
        <v>52.15</v>
      </c>
      <c r="AF503" s="153">
        <v>41527</v>
      </c>
      <c r="AG503" s="136" t="s">
        <v>7718</v>
      </c>
      <c r="AH503" s="153">
        <v>41527</v>
      </c>
      <c r="AI503" s="318">
        <v>145</v>
      </c>
      <c r="AJ503" s="153">
        <v>41527</v>
      </c>
      <c r="BS503" s="318">
        <v>43.5</v>
      </c>
      <c r="BT503" s="153">
        <v>41527</v>
      </c>
      <c r="BU503">
        <v>20.6</v>
      </c>
      <c r="BV503" s="153">
        <v>41527</v>
      </c>
      <c r="CC503" s="136">
        <v>11.4</v>
      </c>
      <c r="CD503" s="153">
        <v>41527</v>
      </c>
      <c r="CG503" s="136">
        <v>2.54</v>
      </c>
      <c r="CH503" s="153">
        <v>41527</v>
      </c>
      <c r="CK503" s="136">
        <v>20</v>
      </c>
    </row>
    <row r="504" spans="1:89">
      <c r="A504" s="154" t="s">
        <v>7881</v>
      </c>
      <c r="B504" t="s">
        <v>257</v>
      </c>
      <c r="C504" t="s">
        <v>7795</v>
      </c>
      <c r="D504">
        <v>84</v>
      </c>
      <c r="E504" s="113">
        <v>4</v>
      </c>
      <c r="F504" s="113">
        <v>75</v>
      </c>
      <c r="K504" s="112">
        <v>5</v>
      </c>
      <c r="L504" s="317">
        <v>41569</v>
      </c>
      <c r="S504" s="318">
        <v>1481.316</v>
      </c>
      <c r="T504" s="153">
        <v>41527</v>
      </c>
      <c r="U504" s="136">
        <v>10.8</v>
      </c>
      <c r="Y504" s="136">
        <v>703.45600000000002</v>
      </c>
      <c r="Z504" s="153">
        <v>41527</v>
      </c>
      <c r="AA504" s="318">
        <v>67370.517930000002</v>
      </c>
      <c r="AB504" s="153">
        <v>41527</v>
      </c>
      <c r="AE504">
        <v>33.82</v>
      </c>
      <c r="AF504" s="153">
        <v>41527</v>
      </c>
      <c r="AG504" s="136">
        <v>5.0199999999999996</v>
      </c>
      <c r="AH504" s="153">
        <v>41527</v>
      </c>
      <c r="AI504" s="318">
        <v>135</v>
      </c>
      <c r="AJ504" s="153">
        <v>41527</v>
      </c>
      <c r="BS504" s="318">
        <v>43.8</v>
      </c>
      <c r="BT504" s="153">
        <v>41527</v>
      </c>
      <c r="BU504">
        <v>20.8</v>
      </c>
      <c r="BV504" s="153">
        <v>41527</v>
      </c>
      <c r="CC504" s="136">
        <v>6.3</v>
      </c>
      <c r="CD504" s="153">
        <v>41527</v>
      </c>
      <c r="CG504" s="136">
        <v>2.85</v>
      </c>
      <c r="CH504" s="153">
        <v>41527</v>
      </c>
      <c r="CK504" s="136">
        <v>20</v>
      </c>
    </row>
    <row r="505" spans="1:89">
      <c r="A505" s="154" t="s">
        <v>7881</v>
      </c>
      <c r="B505" t="s">
        <v>259</v>
      </c>
      <c r="C505" t="s">
        <v>7795</v>
      </c>
      <c r="D505">
        <v>84</v>
      </c>
      <c r="E505" s="113">
        <v>1</v>
      </c>
      <c r="F505" s="113">
        <v>76</v>
      </c>
      <c r="K505" s="112">
        <v>5</v>
      </c>
      <c r="L505" s="317">
        <v>41569</v>
      </c>
      <c r="S505" s="318">
        <v>1467.9</v>
      </c>
      <c r="T505" s="153">
        <v>41527</v>
      </c>
      <c r="U505" s="136">
        <v>10.8</v>
      </c>
      <c r="Y505" s="136">
        <v>775.89</v>
      </c>
      <c r="Z505" s="153">
        <v>41527</v>
      </c>
      <c r="AA505" s="318">
        <v>70892.494930000001</v>
      </c>
      <c r="AB505" s="153">
        <v>41527</v>
      </c>
      <c r="AE505">
        <v>34.950000000000003</v>
      </c>
      <c r="AF505" s="153">
        <v>41527</v>
      </c>
      <c r="AG505" s="136">
        <v>4.93</v>
      </c>
      <c r="AH505" s="153">
        <v>41527</v>
      </c>
      <c r="AI505" s="318">
        <v>135</v>
      </c>
      <c r="AJ505" s="153">
        <v>41527</v>
      </c>
      <c r="BS505" s="318">
        <v>42</v>
      </c>
      <c r="BT505" s="153">
        <v>41527</v>
      </c>
      <c r="BU505">
        <v>22.2</v>
      </c>
      <c r="BV505" s="153">
        <v>41527</v>
      </c>
      <c r="CC505" s="136">
        <v>10</v>
      </c>
      <c r="CD505" s="153">
        <v>41527</v>
      </c>
      <c r="CG505" s="136">
        <v>8.61</v>
      </c>
      <c r="CH505" s="153">
        <v>41527</v>
      </c>
      <c r="CK505" s="136">
        <v>20</v>
      </c>
    </row>
  </sheetData>
  <sheetProtection selectLockedCells="1" selectUnlockedCells="1"/>
  <autoFilter ref="A1:CM1">
    <sortState ref="A2:CM881">
      <sortCondition ref="A1:A881"/>
    </sortState>
  </autoFilter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G36" sqref="G36"/>
    </sheetView>
  </sheetViews>
  <sheetFormatPr baseColWidth="10" defaultColWidth="11.5703125" defaultRowHeight="12.75"/>
  <cols>
    <col min="1" max="1" width="16.28515625" style="141" bestFit="1" customWidth="1"/>
    <col min="2" max="2" width="7.57031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" spans="1:6">
      <c r="A2" s="141" t="s">
        <v>7711</v>
      </c>
      <c r="B2" s="142" t="s">
        <v>7717</v>
      </c>
      <c r="C2" s="141" t="s">
        <v>7716</v>
      </c>
    </row>
    <row r="3" spans="1:6">
      <c r="A3" s="141" t="s">
        <v>7712</v>
      </c>
      <c r="B3" s="142" t="s">
        <v>7717</v>
      </c>
      <c r="C3" s="141" t="s">
        <v>7716</v>
      </c>
    </row>
    <row r="4" spans="1:6">
      <c r="A4" s="141" t="s">
        <v>7713</v>
      </c>
      <c r="B4" s="142" t="s">
        <v>7717</v>
      </c>
      <c r="C4" s="141" t="s">
        <v>7716</v>
      </c>
    </row>
    <row r="5" spans="1:6">
      <c r="A5" s="141" t="s">
        <v>7714</v>
      </c>
      <c r="B5" s="142" t="s">
        <v>7717</v>
      </c>
      <c r="C5" s="141" t="s">
        <v>7716</v>
      </c>
    </row>
    <row r="6" spans="1:6">
      <c r="A6" s="141" t="s">
        <v>7715</v>
      </c>
      <c r="B6" s="142" t="s">
        <v>7717</v>
      </c>
      <c r="C6" s="141" t="s">
        <v>7716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E5" sqref="E5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276</v>
      </c>
      <c r="C1" s="151" t="s">
        <v>149</v>
      </c>
      <c r="D1" s="151" t="s">
        <v>26</v>
      </c>
      <c r="E1" s="151" t="s">
        <v>65</v>
      </c>
    </row>
    <row r="2" spans="1:5">
      <c r="A2" s="151" t="s">
        <v>277</v>
      </c>
      <c r="B2" s="151" t="s">
        <v>278</v>
      </c>
      <c r="C2" s="151" t="s">
        <v>279</v>
      </c>
      <c r="D2" s="151" t="s">
        <v>280</v>
      </c>
      <c r="E2" s="151" t="s">
        <v>281</v>
      </c>
    </row>
    <row r="3" spans="1:5">
      <c r="A3" s="151" t="s">
        <v>282</v>
      </c>
      <c r="B3" s="151" t="s">
        <v>283</v>
      </c>
      <c r="C3" s="151" t="s">
        <v>284</v>
      </c>
      <c r="D3" s="151" t="s">
        <v>285</v>
      </c>
      <c r="E3" s="151" t="s">
        <v>286</v>
      </c>
    </row>
    <row r="4" spans="1:5">
      <c r="A4" s="151" t="s">
        <v>287</v>
      </c>
      <c r="B4" s="151" t="s">
        <v>288</v>
      </c>
      <c r="C4" s="151" t="s">
        <v>289</v>
      </c>
      <c r="D4" s="151" t="s">
        <v>290</v>
      </c>
      <c r="E4" s="151" t="s">
        <v>291</v>
      </c>
    </row>
    <row r="5" spans="1:5">
      <c r="A5" s="151" t="s">
        <v>292</v>
      </c>
      <c r="B5" s="151" t="s">
        <v>293</v>
      </c>
      <c r="C5" s="151" t="s">
        <v>294</v>
      </c>
      <c r="D5" s="151" t="s">
        <v>295</v>
      </c>
      <c r="E5" s="151" t="s">
        <v>296</v>
      </c>
    </row>
    <row r="6" spans="1:5">
      <c r="A6" s="151" t="s">
        <v>297</v>
      </c>
      <c r="B6" s="151" t="s">
        <v>298</v>
      </c>
      <c r="C6" s="151" t="s">
        <v>299</v>
      </c>
      <c r="D6" s="151" t="s">
        <v>300</v>
      </c>
      <c r="E6" s="151" t="s">
        <v>90</v>
      </c>
    </row>
    <row r="7" spans="1:5">
      <c r="A7" s="151" t="s">
        <v>301</v>
      </c>
      <c r="B7" s="151" t="s">
        <v>302</v>
      </c>
      <c r="C7" s="151" t="s">
        <v>303</v>
      </c>
      <c r="D7" s="151" t="s">
        <v>304</v>
      </c>
      <c r="E7" s="151" t="s">
        <v>305</v>
      </c>
    </row>
    <row r="8" spans="1:5">
      <c r="A8" s="151" t="s">
        <v>306</v>
      </c>
      <c r="B8" s="151" t="s">
        <v>307</v>
      </c>
      <c r="C8" s="151" t="s">
        <v>308</v>
      </c>
      <c r="D8" s="151" t="s">
        <v>309</v>
      </c>
      <c r="E8" s="151" t="s">
        <v>310</v>
      </c>
    </row>
    <row r="9" spans="1:5">
      <c r="A9" s="151" t="s">
        <v>311</v>
      </c>
      <c r="B9" s="151" t="s">
        <v>312</v>
      </c>
      <c r="C9" s="151" t="s">
        <v>313</v>
      </c>
      <c r="D9" s="151" t="s">
        <v>314</v>
      </c>
      <c r="E9" s="151" t="s">
        <v>315</v>
      </c>
    </row>
    <row r="10" spans="1:5">
      <c r="A10" s="151" t="s">
        <v>316</v>
      </c>
      <c r="B10" s="151" t="s">
        <v>317</v>
      </c>
      <c r="C10" s="151" t="s">
        <v>318</v>
      </c>
      <c r="D10" s="151" t="s">
        <v>319</v>
      </c>
      <c r="E10" s="151" t="s">
        <v>320</v>
      </c>
    </row>
    <row r="11" spans="1:5">
      <c r="A11" s="151" t="s">
        <v>321</v>
      </c>
      <c r="B11" s="151" t="s">
        <v>322</v>
      </c>
      <c r="C11" s="151" t="s">
        <v>323</v>
      </c>
      <c r="D11" s="151" t="s">
        <v>324</v>
      </c>
      <c r="E11" s="151" t="s">
        <v>325</v>
      </c>
    </row>
    <row r="12" spans="1:5">
      <c r="A12" s="151" t="s">
        <v>326</v>
      </c>
      <c r="B12" s="151" t="s">
        <v>327</v>
      </c>
      <c r="C12" s="151" t="s">
        <v>328</v>
      </c>
      <c r="D12" s="151" t="s">
        <v>329</v>
      </c>
      <c r="E12" s="151" t="s">
        <v>330</v>
      </c>
    </row>
    <row r="13" spans="1:5">
      <c r="A13" s="151" t="s">
        <v>331</v>
      </c>
      <c r="B13" s="151" t="s">
        <v>332</v>
      </c>
      <c r="C13" s="151" t="s">
        <v>333</v>
      </c>
      <c r="D13" s="151" t="s">
        <v>334</v>
      </c>
      <c r="E13" s="151" t="s">
        <v>335</v>
      </c>
    </row>
    <row r="14" spans="1:5">
      <c r="A14" s="151" t="s">
        <v>336</v>
      </c>
      <c r="B14" s="151" t="s">
        <v>337</v>
      </c>
      <c r="C14" s="151" t="s">
        <v>338</v>
      </c>
      <c r="D14" s="151" t="s">
        <v>339</v>
      </c>
      <c r="E14" s="151" t="s">
        <v>340</v>
      </c>
    </row>
    <row r="15" spans="1:5">
      <c r="A15" s="151" t="s">
        <v>341</v>
      </c>
      <c r="B15" s="151" t="s">
        <v>342</v>
      </c>
      <c r="C15" s="151" t="s">
        <v>343</v>
      </c>
      <c r="D15" s="151" t="s">
        <v>344</v>
      </c>
      <c r="E15" s="151" t="s">
        <v>345</v>
      </c>
    </row>
    <row r="16" spans="1:5">
      <c r="A16" s="151" t="s">
        <v>346</v>
      </c>
      <c r="B16" s="151" t="s">
        <v>347</v>
      </c>
      <c r="C16" s="151" t="s">
        <v>348</v>
      </c>
      <c r="D16" s="151" t="s">
        <v>349</v>
      </c>
      <c r="E16" s="151" t="s">
        <v>350</v>
      </c>
    </row>
    <row r="17" spans="1:5">
      <c r="A17" s="151" t="s">
        <v>351</v>
      </c>
      <c r="B17" s="151" t="s">
        <v>352</v>
      </c>
      <c r="C17" s="151" t="s">
        <v>353</v>
      </c>
      <c r="D17" s="151" t="s">
        <v>354</v>
      </c>
      <c r="E17" s="151" t="s">
        <v>355</v>
      </c>
    </row>
    <row r="18" spans="1:5">
      <c r="A18" s="151" t="s">
        <v>356</v>
      </c>
      <c r="B18" s="151" t="s">
        <v>357</v>
      </c>
      <c r="C18" s="151" t="s">
        <v>358</v>
      </c>
      <c r="D18" s="151" t="s">
        <v>359</v>
      </c>
      <c r="E18" s="151" t="s">
        <v>360</v>
      </c>
    </row>
    <row r="19" spans="1:5">
      <c r="A19" s="151" t="s">
        <v>361</v>
      </c>
      <c r="B19" s="151" t="s">
        <v>362</v>
      </c>
      <c r="C19" s="151" t="s">
        <v>363</v>
      </c>
      <c r="D19" s="151" t="s">
        <v>364</v>
      </c>
      <c r="E19" s="151" t="s">
        <v>365</v>
      </c>
    </row>
    <row r="20" spans="1:5">
      <c r="A20" s="151" t="s">
        <v>366</v>
      </c>
      <c r="B20" s="151" t="s">
        <v>367</v>
      </c>
      <c r="C20" s="151" t="s">
        <v>368</v>
      </c>
      <c r="D20" s="151" t="s">
        <v>369</v>
      </c>
      <c r="E20" s="151" t="s">
        <v>370</v>
      </c>
    </row>
    <row r="21" spans="1:5">
      <c r="A21" s="151" t="s">
        <v>371</v>
      </c>
      <c r="B21" s="151" t="s">
        <v>372</v>
      </c>
      <c r="C21" s="151" t="s">
        <v>373</v>
      </c>
      <c r="D21" s="151" t="s">
        <v>374</v>
      </c>
      <c r="E21" s="151" t="s">
        <v>375</v>
      </c>
    </row>
    <row r="22" spans="1:5">
      <c r="A22" s="151" t="s">
        <v>376</v>
      </c>
      <c r="B22" s="151" t="s">
        <v>377</v>
      </c>
      <c r="D22" s="151" t="s">
        <v>378</v>
      </c>
      <c r="E22" s="151" t="s">
        <v>379</v>
      </c>
    </row>
    <row r="23" spans="1:5">
      <c r="A23" s="151" t="s">
        <v>380</v>
      </c>
      <c r="B23" s="151" t="s">
        <v>381</v>
      </c>
      <c r="D23" s="151" t="s">
        <v>382</v>
      </c>
      <c r="E23" s="151" t="s">
        <v>383</v>
      </c>
    </row>
    <row r="24" spans="1:5">
      <c r="A24" s="151" t="s">
        <v>384</v>
      </c>
      <c r="B24" s="151" t="s">
        <v>385</v>
      </c>
      <c r="D24" s="151" t="s">
        <v>386</v>
      </c>
      <c r="E24" s="151" t="s">
        <v>387</v>
      </c>
    </row>
    <row r="25" spans="1:5">
      <c r="A25" s="151" t="s">
        <v>388</v>
      </c>
      <c r="B25" s="151" t="s">
        <v>389</v>
      </c>
      <c r="D25" s="151" t="s">
        <v>390</v>
      </c>
    </row>
    <row r="26" spans="1:5">
      <c r="A26" s="151" t="s">
        <v>391</v>
      </c>
      <c r="B26" s="151" t="s">
        <v>392</v>
      </c>
      <c r="D26" s="151" t="s">
        <v>393</v>
      </c>
    </row>
    <row r="27" spans="1:5">
      <c r="A27" s="151" t="s">
        <v>394</v>
      </c>
      <c r="B27" s="151" t="s">
        <v>395</v>
      </c>
      <c r="D27" s="151" t="s">
        <v>396</v>
      </c>
    </row>
    <row r="28" spans="1:5">
      <c r="A28" s="151" t="s">
        <v>397</v>
      </c>
      <c r="B28" s="151" t="s">
        <v>398</v>
      </c>
      <c r="D28" s="151" t="s">
        <v>399</v>
      </c>
    </row>
    <row r="29" spans="1:5">
      <c r="A29" s="151" t="s">
        <v>400</v>
      </c>
      <c r="B29" s="151" t="s">
        <v>401</v>
      </c>
      <c r="D29" s="151" t="s">
        <v>402</v>
      </c>
    </row>
    <row r="30" spans="1:5">
      <c r="A30" s="151" t="s">
        <v>403</v>
      </c>
      <c r="B30" s="151" t="s">
        <v>404</v>
      </c>
      <c r="D30" s="151" t="s">
        <v>405</v>
      </c>
    </row>
    <row r="31" spans="1:5">
      <c r="A31" s="151" t="s">
        <v>406</v>
      </c>
      <c r="B31" s="151" t="s">
        <v>407</v>
      </c>
      <c r="D31" s="151" t="s">
        <v>408</v>
      </c>
    </row>
    <row r="32" spans="1:5">
      <c r="A32" s="151" t="s">
        <v>409</v>
      </c>
      <c r="B32" s="151" t="s">
        <v>410</v>
      </c>
      <c r="D32" s="151" t="s">
        <v>411</v>
      </c>
    </row>
    <row r="33" spans="1:4">
      <c r="A33" s="151" t="s">
        <v>412</v>
      </c>
      <c r="B33" s="151" t="s">
        <v>413</v>
      </c>
      <c r="D33" s="151" t="s">
        <v>414</v>
      </c>
    </row>
    <row r="34" spans="1:4">
      <c r="A34" s="151" t="s">
        <v>415</v>
      </c>
      <c r="B34" s="151" t="s">
        <v>416</v>
      </c>
      <c r="D34" s="151" t="s">
        <v>417</v>
      </c>
    </row>
    <row r="35" spans="1:4">
      <c r="A35" s="151" t="s">
        <v>418</v>
      </c>
      <c r="B35" s="151" t="s">
        <v>419</v>
      </c>
      <c r="D35" s="151" t="s">
        <v>420</v>
      </c>
    </row>
    <row r="36" spans="1:4">
      <c r="A36" s="151" t="s">
        <v>421</v>
      </c>
      <c r="B36" s="151" t="s">
        <v>422</v>
      </c>
      <c r="D36" s="151" t="s">
        <v>423</v>
      </c>
    </row>
    <row r="37" spans="1:4">
      <c r="A37" s="151" t="s">
        <v>424</v>
      </c>
      <c r="B37" s="151" t="s">
        <v>425</v>
      </c>
      <c r="D37" s="151" t="s">
        <v>426</v>
      </c>
    </row>
    <row r="38" spans="1:4">
      <c r="A38" s="151" t="s">
        <v>427</v>
      </c>
      <c r="B38" s="151" t="s">
        <v>428</v>
      </c>
      <c r="D38" s="151" t="s">
        <v>429</v>
      </c>
    </row>
    <row r="39" spans="1:4">
      <c r="A39" s="151" t="s">
        <v>430</v>
      </c>
      <c r="B39" s="151" t="s">
        <v>431</v>
      </c>
      <c r="D39" s="151" t="s">
        <v>432</v>
      </c>
    </row>
    <row r="40" spans="1:4">
      <c r="A40" s="151" t="s">
        <v>433</v>
      </c>
      <c r="B40" s="151" t="s">
        <v>434</v>
      </c>
      <c r="D40" s="151" t="s">
        <v>435</v>
      </c>
    </row>
    <row r="41" spans="1:4">
      <c r="A41" s="151" t="s">
        <v>436</v>
      </c>
      <c r="B41" s="151" t="s">
        <v>437</v>
      </c>
      <c r="D41" s="151" t="s">
        <v>438</v>
      </c>
    </row>
    <row r="42" spans="1:4">
      <c r="A42" s="151" t="s">
        <v>439</v>
      </c>
      <c r="B42" s="151" t="s">
        <v>440</v>
      </c>
      <c r="D42" s="151" t="s">
        <v>441</v>
      </c>
    </row>
    <row r="43" spans="1:4">
      <c r="A43" s="151" t="s">
        <v>442</v>
      </c>
      <c r="B43" s="151" t="s">
        <v>443</v>
      </c>
      <c r="D43" s="151" t="s">
        <v>444</v>
      </c>
    </row>
    <row r="44" spans="1:4">
      <c r="A44" s="151" t="s">
        <v>445</v>
      </c>
      <c r="B44" s="151" t="s">
        <v>446</v>
      </c>
      <c r="D44" s="151" t="s">
        <v>447</v>
      </c>
    </row>
    <row r="45" spans="1:4">
      <c r="A45" s="151" t="s">
        <v>448</v>
      </c>
      <c r="B45" s="151" t="s">
        <v>449</v>
      </c>
      <c r="D45" s="151" t="s">
        <v>450</v>
      </c>
    </row>
    <row r="46" spans="1:4">
      <c r="A46" s="151" t="s">
        <v>451</v>
      </c>
      <c r="B46" s="151" t="s">
        <v>452</v>
      </c>
      <c r="D46" s="151" t="s">
        <v>453</v>
      </c>
    </row>
    <row r="47" spans="1:4">
      <c r="A47" s="151" t="s">
        <v>454</v>
      </c>
      <c r="B47" s="151" t="s">
        <v>455</v>
      </c>
      <c r="D47" s="151" t="s">
        <v>456</v>
      </c>
    </row>
    <row r="48" spans="1:4">
      <c r="A48" s="151" t="s">
        <v>457</v>
      </c>
      <c r="B48" s="151" t="s">
        <v>458</v>
      </c>
      <c r="D48" s="151" t="s">
        <v>459</v>
      </c>
    </row>
    <row r="49" spans="1:4">
      <c r="A49" s="151" t="s">
        <v>460</v>
      </c>
      <c r="B49" s="151" t="s">
        <v>461</v>
      </c>
      <c r="D49" s="151" t="s">
        <v>462</v>
      </c>
    </row>
    <row r="50" spans="1:4">
      <c r="A50" s="151" t="s">
        <v>463</v>
      </c>
      <c r="B50" s="151" t="s">
        <v>464</v>
      </c>
      <c r="D50" s="151" t="s">
        <v>465</v>
      </c>
    </row>
    <row r="51" spans="1:4">
      <c r="A51" s="151" t="s">
        <v>466</v>
      </c>
      <c r="B51" s="151" t="s">
        <v>467</v>
      </c>
      <c r="D51" s="151" t="s">
        <v>468</v>
      </c>
    </row>
    <row r="52" spans="1:4">
      <c r="A52" s="151" t="s">
        <v>469</v>
      </c>
      <c r="B52" s="151" t="s">
        <v>470</v>
      </c>
      <c r="D52" s="151" t="s">
        <v>471</v>
      </c>
    </row>
    <row r="53" spans="1:4">
      <c r="A53" s="151" t="s">
        <v>472</v>
      </c>
      <c r="B53" s="151" t="s">
        <v>473</v>
      </c>
      <c r="D53" s="151" t="s">
        <v>474</v>
      </c>
    </row>
    <row r="54" spans="1:4">
      <c r="A54" s="151" t="s">
        <v>475</v>
      </c>
      <c r="B54" s="151" t="s">
        <v>476</v>
      </c>
      <c r="D54" s="151" t="s">
        <v>477</v>
      </c>
    </row>
    <row r="55" spans="1:4">
      <c r="A55" s="151" t="s">
        <v>478</v>
      </c>
      <c r="B55" s="151" t="s">
        <v>479</v>
      </c>
      <c r="D55" s="151" t="s">
        <v>480</v>
      </c>
    </row>
    <row r="56" spans="1:4">
      <c r="A56" s="151" t="s">
        <v>481</v>
      </c>
      <c r="B56" s="151" t="s">
        <v>482</v>
      </c>
      <c r="D56" s="151" t="s">
        <v>483</v>
      </c>
    </row>
    <row r="57" spans="1:4">
      <c r="A57" s="151" t="s">
        <v>484</v>
      </c>
      <c r="B57" s="151" t="s">
        <v>485</v>
      </c>
      <c r="D57" s="151" t="s">
        <v>486</v>
      </c>
    </row>
    <row r="58" spans="1:4">
      <c r="A58" s="151" t="s">
        <v>487</v>
      </c>
      <c r="B58" s="151" t="s">
        <v>488</v>
      </c>
      <c r="D58" s="151" t="s">
        <v>489</v>
      </c>
    </row>
    <row r="59" spans="1:4">
      <c r="A59" s="151" t="s">
        <v>490</v>
      </c>
      <c r="B59" s="151" t="s">
        <v>491</v>
      </c>
      <c r="D59" s="151" t="s">
        <v>492</v>
      </c>
    </row>
    <row r="60" spans="1:4">
      <c r="A60" s="151" t="s">
        <v>493</v>
      </c>
      <c r="B60" s="151" t="s">
        <v>494</v>
      </c>
      <c r="D60" s="151" t="s">
        <v>495</v>
      </c>
    </row>
    <row r="61" spans="1:4">
      <c r="A61" s="151" t="s">
        <v>496</v>
      </c>
      <c r="B61" s="151" t="s">
        <v>497</v>
      </c>
      <c r="D61" s="151" t="s">
        <v>498</v>
      </c>
    </row>
    <row r="62" spans="1:4">
      <c r="A62" s="151" t="s">
        <v>499</v>
      </c>
      <c r="B62" s="151" t="s">
        <v>500</v>
      </c>
      <c r="D62" s="151" t="s">
        <v>501</v>
      </c>
    </row>
    <row r="63" spans="1:4">
      <c r="A63" s="151" t="s">
        <v>502</v>
      </c>
      <c r="B63" s="151" t="s">
        <v>503</v>
      </c>
      <c r="D63" s="151" t="s">
        <v>504</v>
      </c>
    </row>
    <row r="64" spans="1:4">
      <c r="A64" s="151" t="s">
        <v>505</v>
      </c>
      <c r="B64" s="151" t="s">
        <v>506</v>
      </c>
      <c r="D64" s="151" t="s">
        <v>507</v>
      </c>
    </row>
    <row r="65" spans="1:4">
      <c r="A65" s="151" t="s">
        <v>508</v>
      </c>
      <c r="B65" s="151" t="s">
        <v>509</v>
      </c>
      <c r="D65" s="151" t="s">
        <v>510</v>
      </c>
    </row>
    <row r="66" spans="1:4">
      <c r="A66" s="151" t="s">
        <v>511</v>
      </c>
      <c r="B66" s="151" t="s">
        <v>512</v>
      </c>
      <c r="D66" s="151" t="s">
        <v>513</v>
      </c>
    </row>
    <row r="67" spans="1:4">
      <c r="A67" s="151" t="s">
        <v>514</v>
      </c>
      <c r="B67" s="151" t="s">
        <v>515</v>
      </c>
      <c r="D67" s="151" t="s">
        <v>516</v>
      </c>
    </row>
    <row r="68" spans="1:4">
      <c r="A68" s="151" t="s">
        <v>517</v>
      </c>
      <c r="B68" s="151" t="s">
        <v>518</v>
      </c>
      <c r="D68" s="151" t="s">
        <v>519</v>
      </c>
    </row>
    <row r="69" spans="1:4">
      <c r="A69" s="151" t="s">
        <v>520</v>
      </c>
      <c r="B69" s="151" t="s">
        <v>521</v>
      </c>
      <c r="D69" s="151" t="s">
        <v>522</v>
      </c>
    </row>
    <row r="70" spans="1:4">
      <c r="A70" s="151" t="s">
        <v>523</v>
      </c>
      <c r="B70" s="151" t="s">
        <v>524</v>
      </c>
      <c r="D70" s="151" t="s">
        <v>525</v>
      </c>
    </row>
    <row r="71" spans="1:4">
      <c r="A71" s="151" t="s">
        <v>526</v>
      </c>
      <c r="B71" s="151" t="s">
        <v>527</v>
      </c>
      <c r="D71" s="151" t="s">
        <v>528</v>
      </c>
    </row>
    <row r="72" spans="1:4">
      <c r="A72" s="151" t="s">
        <v>529</v>
      </c>
      <c r="B72" s="151" t="s">
        <v>530</v>
      </c>
      <c r="D72" s="151" t="s">
        <v>531</v>
      </c>
    </row>
    <row r="73" spans="1:4">
      <c r="A73" s="151" t="s">
        <v>532</v>
      </c>
      <c r="B73" s="151" t="s">
        <v>533</v>
      </c>
      <c r="D73" s="151" t="s">
        <v>534</v>
      </c>
    </row>
    <row r="74" spans="1:4">
      <c r="A74" s="151" t="s">
        <v>535</v>
      </c>
      <c r="B74" s="151" t="s">
        <v>536</v>
      </c>
      <c r="D74" s="151" t="s">
        <v>537</v>
      </c>
    </row>
    <row r="75" spans="1:4">
      <c r="A75" s="151" t="s">
        <v>538</v>
      </c>
      <c r="B75" s="151" t="s">
        <v>539</v>
      </c>
      <c r="D75" s="151" t="s">
        <v>540</v>
      </c>
    </row>
    <row r="76" spans="1:4">
      <c r="A76" s="151" t="s">
        <v>255</v>
      </c>
      <c r="B76" s="151" t="s">
        <v>541</v>
      </c>
      <c r="D76" s="151" t="s">
        <v>542</v>
      </c>
    </row>
    <row r="77" spans="1:4">
      <c r="A77" s="151" t="s">
        <v>543</v>
      </c>
      <c r="B77" s="151" t="s">
        <v>544</v>
      </c>
      <c r="D77" s="151" t="s">
        <v>545</v>
      </c>
    </row>
    <row r="78" spans="1:4">
      <c r="A78" s="151" t="s">
        <v>546</v>
      </c>
      <c r="B78" s="151" t="s">
        <v>547</v>
      </c>
      <c r="D78" s="151" t="s">
        <v>548</v>
      </c>
    </row>
    <row r="79" spans="1:4">
      <c r="A79" s="151" t="s">
        <v>549</v>
      </c>
      <c r="B79" s="151" t="s">
        <v>550</v>
      </c>
      <c r="D79" s="151" t="s">
        <v>551</v>
      </c>
    </row>
    <row r="80" spans="1:4">
      <c r="A80" s="151" t="s">
        <v>552</v>
      </c>
      <c r="B80" s="151" t="s">
        <v>553</v>
      </c>
      <c r="D80" s="151" t="s">
        <v>554</v>
      </c>
    </row>
    <row r="81" spans="1:4">
      <c r="A81" s="151" t="s">
        <v>555</v>
      </c>
      <c r="B81" s="151" t="s">
        <v>556</v>
      </c>
      <c r="D81" s="151" t="s">
        <v>557</v>
      </c>
    </row>
    <row r="82" spans="1:4">
      <c r="A82" s="151" t="s">
        <v>558</v>
      </c>
      <c r="B82" s="151" t="s">
        <v>559</v>
      </c>
      <c r="D82" s="151" t="s">
        <v>560</v>
      </c>
    </row>
    <row r="83" spans="1:4">
      <c r="A83" s="151" t="s">
        <v>561</v>
      </c>
      <c r="B83" s="151" t="s">
        <v>562</v>
      </c>
      <c r="D83" s="151" t="s">
        <v>563</v>
      </c>
    </row>
    <row r="84" spans="1:4">
      <c r="A84" s="151" t="s">
        <v>564</v>
      </c>
      <c r="B84" s="151" t="s">
        <v>565</v>
      </c>
      <c r="D84" s="151" t="s">
        <v>566</v>
      </c>
    </row>
    <row r="85" spans="1:4">
      <c r="A85" s="151" t="s">
        <v>567</v>
      </c>
      <c r="B85" s="151" t="s">
        <v>568</v>
      </c>
      <c r="D85" s="151" t="s">
        <v>569</v>
      </c>
    </row>
    <row r="86" spans="1:4">
      <c r="A86" s="151" t="s">
        <v>570</v>
      </c>
      <c r="B86" s="151" t="s">
        <v>571</v>
      </c>
      <c r="D86" s="151" t="s">
        <v>572</v>
      </c>
    </row>
    <row r="87" spans="1:4">
      <c r="A87" s="151" t="s">
        <v>573</v>
      </c>
      <c r="B87" s="151" t="s">
        <v>574</v>
      </c>
      <c r="D87" s="151" t="s">
        <v>575</v>
      </c>
    </row>
    <row r="88" spans="1:4">
      <c r="A88" s="151" t="s">
        <v>576</v>
      </c>
      <c r="B88" s="151" t="s">
        <v>577</v>
      </c>
      <c r="D88" s="151" t="s">
        <v>578</v>
      </c>
    </row>
    <row r="89" spans="1:4">
      <c r="A89" s="151" t="s">
        <v>579</v>
      </c>
      <c r="B89" s="151" t="s">
        <v>580</v>
      </c>
      <c r="D89" s="151" t="s">
        <v>581</v>
      </c>
    </row>
    <row r="90" spans="1:4">
      <c r="A90" s="151" t="s">
        <v>582</v>
      </c>
      <c r="B90" s="151" t="s">
        <v>583</v>
      </c>
      <c r="D90" s="151" t="s">
        <v>584</v>
      </c>
    </row>
    <row r="91" spans="1:4">
      <c r="A91" s="151" t="s">
        <v>585</v>
      </c>
      <c r="B91" s="151" t="s">
        <v>586</v>
      </c>
      <c r="D91" s="151" t="s">
        <v>587</v>
      </c>
    </row>
    <row r="92" spans="1:4">
      <c r="A92" s="151" t="s">
        <v>588</v>
      </c>
      <c r="B92" s="151" t="s">
        <v>589</v>
      </c>
      <c r="D92" s="151" t="s">
        <v>590</v>
      </c>
    </row>
    <row r="93" spans="1:4">
      <c r="A93" s="151" t="s">
        <v>591</v>
      </c>
      <c r="B93" s="151" t="s">
        <v>592</v>
      </c>
      <c r="D93" s="151" t="s">
        <v>593</v>
      </c>
    </row>
    <row r="94" spans="1:4">
      <c r="A94" s="151" t="s">
        <v>594</v>
      </c>
      <c r="B94" s="151" t="s">
        <v>595</v>
      </c>
      <c r="D94" s="151" t="s">
        <v>596</v>
      </c>
    </row>
    <row r="95" spans="1:4">
      <c r="A95" s="151" t="s">
        <v>597</v>
      </c>
      <c r="B95" s="151" t="s">
        <v>598</v>
      </c>
      <c r="D95" s="151" t="s">
        <v>119</v>
      </c>
    </row>
    <row r="96" spans="1:4">
      <c r="A96" s="151" t="s">
        <v>599</v>
      </c>
      <c r="B96" s="151" t="s">
        <v>600</v>
      </c>
      <c r="D96" s="151" t="s">
        <v>601</v>
      </c>
    </row>
    <row r="97" spans="1:4">
      <c r="A97" s="151" t="s">
        <v>602</v>
      </c>
      <c r="B97" s="151" t="s">
        <v>603</v>
      </c>
      <c r="D97" s="151" t="s">
        <v>604</v>
      </c>
    </row>
    <row r="98" spans="1:4">
      <c r="A98" s="151" t="s">
        <v>605</v>
      </c>
      <c r="B98" s="151" t="s">
        <v>606</v>
      </c>
      <c r="D98" s="151" t="s">
        <v>607</v>
      </c>
    </row>
    <row r="99" spans="1:4">
      <c r="A99" s="151" t="s">
        <v>608</v>
      </c>
      <c r="B99" s="151" t="s">
        <v>609</v>
      </c>
      <c r="D99" s="151" t="s">
        <v>610</v>
      </c>
    </row>
    <row r="100" spans="1:4">
      <c r="A100" s="151" t="s">
        <v>611</v>
      </c>
      <c r="B100" s="151" t="s">
        <v>612</v>
      </c>
      <c r="D100" s="151" t="s">
        <v>613</v>
      </c>
    </row>
    <row r="101" spans="1:4">
      <c r="A101" s="151" t="s">
        <v>614</v>
      </c>
      <c r="B101" s="151" t="s">
        <v>615</v>
      </c>
      <c r="D101" s="151" t="s">
        <v>616</v>
      </c>
    </row>
    <row r="102" spans="1:4">
      <c r="A102" s="151" t="s">
        <v>617</v>
      </c>
      <c r="B102" s="151" t="s">
        <v>618</v>
      </c>
      <c r="D102" s="151" t="s">
        <v>619</v>
      </c>
    </row>
    <row r="103" spans="1:4">
      <c r="A103" s="151" t="s">
        <v>620</v>
      </c>
      <c r="B103" s="151" t="s">
        <v>621</v>
      </c>
      <c r="D103" s="151" t="s">
        <v>622</v>
      </c>
    </row>
    <row r="104" spans="1:4">
      <c r="A104" s="151" t="s">
        <v>623</v>
      </c>
      <c r="B104" s="151" t="s">
        <v>624</v>
      </c>
      <c r="D104" s="151" t="s">
        <v>625</v>
      </c>
    </row>
    <row r="105" spans="1:4">
      <c r="A105" s="151" t="s">
        <v>626</v>
      </c>
      <c r="B105" s="151" t="s">
        <v>627</v>
      </c>
      <c r="D105" s="151" t="s">
        <v>628</v>
      </c>
    </row>
    <row r="106" spans="1:4">
      <c r="A106" s="151" t="s">
        <v>629</v>
      </c>
      <c r="B106" s="151" t="s">
        <v>630</v>
      </c>
      <c r="D106" s="151" t="s">
        <v>631</v>
      </c>
    </row>
    <row r="107" spans="1:4">
      <c r="A107" s="151" t="s">
        <v>632</v>
      </c>
      <c r="B107" s="151" t="s">
        <v>633</v>
      </c>
      <c r="D107" s="151" t="s">
        <v>634</v>
      </c>
    </row>
    <row r="108" spans="1:4">
      <c r="A108" s="151" t="s">
        <v>635</v>
      </c>
      <c r="B108" s="151" t="s">
        <v>636</v>
      </c>
      <c r="D108" s="151" t="s">
        <v>637</v>
      </c>
    </row>
    <row r="109" spans="1:4">
      <c r="A109" s="151" t="s">
        <v>638</v>
      </c>
      <c r="B109" s="151" t="s">
        <v>639</v>
      </c>
      <c r="D109" s="151" t="s">
        <v>640</v>
      </c>
    </row>
    <row r="110" spans="1:4">
      <c r="A110" s="151" t="s">
        <v>641</v>
      </c>
      <c r="B110" s="151" t="s">
        <v>642</v>
      </c>
      <c r="D110" s="151" t="s">
        <v>643</v>
      </c>
    </row>
    <row r="111" spans="1:4">
      <c r="A111" s="151" t="s">
        <v>644</v>
      </c>
      <c r="B111" s="151" t="s">
        <v>645</v>
      </c>
      <c r="D111" s="151" t="s">
        <v>646</v>
      </c>
    </row>
    <row r="112" spans="1:4">
      <c r="A112" s="151" t="s">
        <v>647</v>
      </c>
      <c r="B112" s="151" t="s">
        <v>648</v>
      </c>
      <c r="D112" s="151" t="s">
        <v>649</v>
      </c>
    </row>
    <row r="113" spans="1:4">
      <c r="A113" s="151" t="s">
        <v>650</v>
      </c>
      <c r="B113" s="151" t="s">
        <v>651</v>
      </c>
      <c r="D113" s="151" t="s">
        <v>652</v>
      </c>
    </row>
    <row r="114" spans="1:4">
      <c r="A114" s="151" t="s">
        <v>653</v>
      </c>
      <c r="B114" s="151" t="s">
        <v>654</v>
      </c>
      <c r="D114" s="151" t="s">
        <v>655</v>
      </c>
    </row>
    <row r="115" spans="1:4">
      <c r="A115" s="151" t="s">
        <v>656</v>
      </c>
      <c r="B115" s="151" t="s">
        <v>657</v>
      </c>
      <c r="D115" s="151" t="s">
        <v>658</v>
      </c>
    </row>
    <row r="116" spans="1:4">
      <c r="A116" s="151" t="s">
        <v>659</v>
      </c>
      <c r="B116" s="151" t="s">
        <v>660</v>
      </c>
      <c r="D116" s="151" t="s">
        <v>661</v>
      </c>
    </row>
    <row r="117" spans="1:4">
      <c r="A117" s="151" t="s">
        <v>662</v>
      </c>
      <c r="B117" s="151" t="s">
        <v>663</v>
      </c>
      <c r="D117" s="151" t="s">
        <v>664</v>
      </c>
    </row>
    <row r="118" spans="1:4">
      <c r="A118" s="151" t="s">
        <v>665</v>
      </c>
      <c r="B118" s="151" t="s">
        <v>666</v>
      </c>
      <c r="D118" s="151" t="s">
        <v>667</v>
      </c>
    </row>
    <row r="119" spans="1:4">
      <c r="A119" s="151" t="s">
        <v>668</v>
      </c>
      <c r="B119" s="151" t="s">
        <v>669</v>
      </c>
      <c r="D119" s="151" t="s">
        <v>670</v>
      </c>
    </row>
    <row r="120" spans="1:4">
      <c r="A120" s="151" t="s">
        <v>671</v>
      </c>
      <c r="B120" s="151" t="s">
        <v>672</v>
      </c>
      <c r="D120" s="151" t="s">
        <v>673</v>
      </c>
    </row>
    <row r="121" spans="1:4">
      <c r="A121" s="151" t="s">
        <v>674</v>
      </c>
      <c r="B121" s="151" t="s">
        <v>675</v>
      </c>
      <c r="D121" s="151" t="s">
        <v>676</v>
      </c>
    </row>
    <row r="122" spans="1:4">
      <c r="A122" s="151" t="s">
        <v>677</v>
      </c>
      <c r="B122" s="151" t="s">
        <v>678</v>
      </c>
      <c r="D122" s="151" t="s">
        <v>679</v>
      </c>
    </row>
    <row r="123" spans="1:4">
      <c r="A123" s="151" t="s">
        <v>680</v>
      </c>
      <c r="B123" s="151" t="s">
        <v>681</v>
      </c>
      <c r="D123" s="151" t="s">
        <v>682</v>
      </c>
    </row>
    <row r="124" spans="1:4">
      <c r="A124" s="151" t="s">
        <v>683</v>
      </c>
      <c r="B124" s="151" t="s">
        <v>684</v>
      </c>
      <c r="D124" s="151" t="s">
        <v>685</v>
      </c>
    </row>
    <row r="125" spans="1:4">
      <c r="A125" s="151" t="s">
        <v>686</v>
      </c>
      <c r="B125" s="151" t="s">
        <v>687</v>
      </c>
      <c r="D125" s="151" t="s">
        <v>688</v>
      </c>
    </row>
    <row r="126" spans="1:4">
      <c r="A126" s="151" t="s">
        <v>689</v>
      </c>
      <c r="B126" s="151" t="s">
        <v>690</v>
      </c>
      <c r="D126" s="151" t="s">
        <v>691</v>
      </c>
    </row>
    <row r="127" spans="1:4">
      <c r="A127" s="151" t="s">
        <v>692</v>
      </c>
      <c r="B127" s="151" t="s">
        <v>693</v>
      </c>
      <c r="D127" s="151" t="s">
        <v>694</v>
      </c>
    </row>
    <row r="128" spans="1:4">
      <c r="A128" s="151" t="s">
        <v>695</v>
      </c>
      <c r="B128" s="151" t="s">
        <v>696</v>
      </c>
      <c r="D128" s="151" t="s">
        <v>697</v>
      </c>
    </row>
    <row r="129" spans="1:4">
      <c r="A129" s="151" t="s">
        <v>698</v>
      </c>
      <c r="B129" s="151" t="s">
        <v>699</v>
      </c>
      <c r="D129" s="151" t="s">
        <v>700</v>
      </c>
    </row>
    <row r="130" spans="1:4">
      <c r="A130" s="151" t="s">
        <v>701</v>
      </c>
      <c r="B130" s="151" t="s">
        <v>702</v>
      </c>
      <c r="D130" s="151" t="s">
        <v>703</v>
      </c>
    </row>
    <row r="131" spans="1:4">
      <c r="A131" s="151" t="s">
        <v>704</v>
      </c>
      <c r="B131" s="151" t="s">
        <v>705</v>
      </c>
      <c r="D131" s="151" t="s">
        <v>706</v>
      </c>
    </row>
    <row r="132" spans="1:4">
      <c r="A132" s="151" t="s">
        <v>707</v>
      </c>
      <c r="B132" s="151" t="s">
        <v>708</v>
      </c>
      <c r="D132" s="151" t="s">
        <v>709</v>
      </c>
    </row>
    <row r="133" spans="1:4">
      <c r="A133" s="151" t="s">
        <v>710</v>
      </c>
      <c r="B133" s="151" t="s">
        <v>711</v>
      </c>
      <c r="D133" s="151" t="s">
        <v>712</v>
      </c>
    </row>
    <row r="134" spans="1:4">
      <c r="A134" s="151" t="s">
        <v>713</v>
      </c>
      <c r="B134" s="151" t="s">
        <v>714</v>
      </c>
      <c r="D134" s="151" t="s">
        <v>715</v>
      </c>
    </row>
    <row r="135" spans="1:4">
      <c r="A135" s="151" t="s">
        <v>716</v>
      </c>
      <c r="B135" s="151" t="s">
        <v>717</v>
      </c>
      <c r="D135" s="151" t="s">
        <v>718</v>
      </c>
    </row>
    <row r="136" spans="1:4">
      <c r="A136" s="151" t="s">
        <v>719</v>
      </c>
      <c r="B136" s="151" t="s">
        <v>720</v>
      </c>
      <c r="D136" s="151" t="s">
        <v>721</v>
      </c>
    </row>
    <row r="137" spans="1:4">
      <c r="A137" s="151" t="s">
        <v>722</v>
      </c>
      <c r="B137" s="151" t="s">
        <v>723</v>
      </c>
      <c r="D137" s="151" t="s">
        <v>724</v>
      </c>
    </row>
    <row r="138" spans="1:4">
      <c r="A138" s="151" t="s">
        <v>725</v>
      </c>
      <c r="B138" s="151" t="s">
        <v>726</v>
      </c>
      <c r="D138" s="151" t="s">
        <v>727</v>
      </c>
    </row>
    <row r="139" spans="1:4">
      <c r="A139" s="151" t="s">
        <v>728</v>
      </c>
      <c r="B139" s="151" t="s">
        <v>729</v>
      </c>
      <c r="D139" s="151" t="s">
        <v>730</v>
      </c>
    </row>
    <row r="140" spans="1:4">
      <c r="A140" s="151" t="s">
        <v>731</v>
      </c>
      <c r="B140" s="151" t="s">
        <v>732</v>
      </c>
      <c r="D140" s="151" t="s">
        <v>733</v>
      </c>
    </row>
    <row r="141" spans="1:4">
      <c r="A141" s="151" t="s">
        <v>734</v>
      </c>
      <c r="B141" s="151" t="s">
        <v>735</v>
      </c>
      <c r="D141" s="151" t="s">
        <v>736</v>
      </c>
    </row>
    <row r="142" spans="1:4">
      <c r="A142" s="151" t="s">
        <v>737</v>
      </c>
      <c r="B142" s="151" t="s">
        <v>738</v>
      </c>
      <c r="D142" s="151" t="s">
        <v>739</v>
      </c>
    </row>
    <row r="143" spans="1:4">
      <c r="A143" s="151" t="s">
        <v>740</v>
      </c>
      <c r="B143" s="151" t="s">
        <v>741</v>
      </c>
      <c r="D143" s="151" t="s">
        <v>742</v>
      </c>
    </row>
    <row r="144" spans="1:4">
      <c r="A144" s="151" t="s">
        <v>743</v>
      </c>
      <c r="B144" s="151" t="s">
        <v>744</v>
      </c>
      <c r="D144" s="151" t="s">
        <v>745</v>
      </c>
    </row>
    <row r="145" spans="1:4">
      <c r="A145" s="151" t="s">
        <v>746</v>
      </c>
      <c r="B145" s="151" t="s">
        <v>747</v>
      </c>
      <c r="D145" s="151" t="s">
        <v>748</v>
      </c>
    </row>
    <row r="146" spans="1:4">
      <c r="A146" s="151" t="s">
        <v>749</v>
      </c>
      <c r="B146" s="151" t="s">
        <v>750</v>
      </c>
      <c r="D146" s="151" t="s">
        <v>751</v>
      </c>
    </row>
    <row r="147" spans="1:4">
      <c r="A147" s="151" t="s">
        <v>752</v>
      </c>
      <c r="B147" s="151" t="s">
        <v>753</v>
      </c>
      <c r="D147" s="151" t="s">
        <v>754</v>
      </c>
    </row>
    <row r="148" spans="1:4">
      <c r="A148" s="151" t="s">
        <v>755</v>
      </c>
      <c r="B148" s="151" t="s">
        <v>756</v>
      </c>
      <c r="D148" s="151" t="s">
        <v>757</v>
      </c>
    </row>
    <row r="149" spans="1:4">
      <c r="A149" s="151" t="s">
        <v>758</v>
      </c>
      <c r="B149" s="151" t="s">
        <v>759</v>
      </c>
      <c r="D149" s="151" t="s">
        <v>760</v>
      </c>
    </row>
    <row r="150" spans="1:4">
      <c r="A150" s="151" t="s">
        <v>761</v>
      </c>
      <c r="B150" s="151" t="s">
        <v>762</v>
      </c>
      <c r="D150" s="151" t="s">
        <v>763</v>
      </c>
    </row>
    <row r="151" spans="1:4">
      <c r="A151" s="151" t="s">
        <v>764</v>
      </c>
      <c r="B151" s="151" t="s">
        <v>765</v>
      </c>
      <c r="D151" s="151" t="s">
        <v>766</v>
      </c>
    </row>
    <row r="152" spans="1:4">
      <c r="A152" s="151" t="s">
        <v>767</v>
      </c>
      <c r="B152" s="151" t="s">
        <v>768</v>
      </c>
      <c r="D152" s="151" t="s">
        <v>769</v>
      </c>
    </row>
    <row r="153" spans="1:4">
      <c r="A153" s="151" t="s">
        <v>770</v>
      </c>
      <c r="B153" s="151" t="s">
        <v>771</v>
      </c>
      <c r="D153" s="151" t="s">
        <v>772</v>
      </c>
    </row>
    <row r="154" spans="1:4">
      <c r="A154" s="151" t="s">
        <v>773</v>
      </c>
      <c r="B154" s="151" t="s">
        <v>774</v>
      </c>
      <c r="D154" s="151" t="s">
        <v>775</v>
      </c>
    </row>
    <row r="155" spans="1:4">
      <c r="A155" s="151" t="s">
        <v>776</v>
      </c>
      <c r="B155" s="151" t="s">
        <v>777</v>
      </c>
      <c r="D155" s="151" t="s">
        <v>778</v>
      </c>
    </row>
    <row r="156" spans="1:4">
      <c r="A156" s="151" t="s">
        <v>779</v>
      </c>
      <c r="B156" s="151" t="s">
        <v>780</v>
      </c>
      <c r="D156" s="151" t="s">
        <v>781</v>
      </c>
    </row>
    <row r="157" spans="1:4">
      <c r="A157" s="151" t="s">
        <v>782</v>
      </c>
      <c r="B157" s="151" t="s">
        <v>783</v>
      </c>
      <c r="D157" s="151" t="s">
        <v>784</v>
      </c>
    </row>
    <row r="158" spans="1:4">
      <c r="A158" s="151" t="s">
        <v>785</v>
      </c>
      <c r="B158" s="151" t="s">
        <v>786</v>
      </c>
      <c r="D158" s="151" t="s">
        <v>787</v>
      </c>
    </row>
    <row r="159" spans="1:4">
      <c r="A159" s="151" t="s">
        <v>788</v>
      </c>
      <c r="B159" s="151" t="s">
        <v>789</v>
      </c>
      <c r="D159" s="151" t="s">
        <v>790</v>
      </c>
    </row>
    <row r="160" spans="1:4">
      <c r="A160" s="151" t="s">
        <v>791</v>
      </c>
      <c r="B160" s="151" t="s">
        <v>792</v>
      </c>
      <c r="D160" s="151" t="s">
        <v>793</v>
      </c>
    </row>
    <row r="161" spans="1:4">
      <c r="A161" s="151" t="s">
        <v>794</v>
      </c>
      <c r="B161" s="151" t="s">
        <v>795</v>
      </c>
      <c r="D161" s="151" t="s">
        <v>796</v>
      </c>
    </row>
    <row r="162" spans="1:4">
      <c r="A162" s="151" t="s">
        <v>797</v>
      </c>
      <c r="B162" s="151" t="s">
        <v>798</v>
      </c>
      <c r="D162" s="151" t="s">
        <v>799</v>
      </c>
    </row>
    <row r="163" spans="1:4">
      <c r="A163" s="151" t="s">
        <v>800</v>
      </c>
      <c r="B163" s="151" t="s">
        <v>801</v>
      </c>
      <c r="D163" s="151" t="s">
        <v>802</v>
      </c>
    </row>
    <row r="164" spans="1:4">
      <c r="A164" s="151" t="s">
        <v>803</v>
      </c>
      <c r="B164" s="151" t="s">
        <v>804</v>
      </c>
      <c r="D164" s="151" t="s">
        <v>805</v>
      </c>
    </row>
    <row r="165" spans="1:4">
      <c r="A165" s="151" t="s">
        <v>806</v>
      </c>
      <c r="B165" s="151" t="s">
        <v>807</v>
      </c>
      <c r="D165" s="151" t="s">
        <v>808</v>
      </c>
    </row>
    <row r="166" spans="1:4">
      <c r="A166" s="151" t="s">
        <v>809</v>
      </c>
      <c r="B166" s="151" t="s">
        <v>810</v>
      </c>
      <c r="D166" s="151" t="s">
        <v>811</v>
      </c>
    </row>
    <row r="167" spans="1:4">
      <c r="A167" s="151" t="s">
        <v>812</v>
      </c>
      <c r="B167" s="151" t="s">
        <v>813</v>
      </c>
      <c r="D167" s="151" t="s">
        <v>814</v>
      </c>
    </row>
    <row r="168" spans="1:4">
      <c r="A168" s="151" t="s">
        <v>815</v>
      </c>
      <c r="B168" s="151" t="s">
        <v>816</v>
      </c>
      <c r="D168" s="151" t="s">
        <v>817</v>
      </c>
    </row>
    <row r="169" spans="1:4">
      <c r="A169" s="151" t="s">
        <v>818</v>
      </c>
      <c r="B169" s="151" t="s">
        <v>819</v>
      </c>
      <c r="D169" s="151" t="s">
        <v>820</v>
      </c>
    </row>
    <row r="170" spans="1:4">
      <c r="A170" s="151" t="s">
        <v>821</v>
      </c>
      <c r="B170" s="151" t="s">
        <v>822</v>
      </c>
      <c r="D170" s="151" t="s">
        <v>823</v>
      </c>
    </row>
    <row r="171" spans="1:4">
      <c r="A171" s="151" t="s">
        <v>824</v>
      </c>
      <c r="B171" s="151" t="s">
        <v>825</v>
      </c>
      <c r="D171" s="151" t="s">
        <v>826</v>
      </c>
    </row>
    <row r="172" spans="1:4">
      <c r="A172" s="151" t="s">
        <v>827</v>
      </c>
      <c r="B172" s="151" t="s">
        <v>828</v>
      </c>
      <c r="D172" s="151" t="s">
        <v>829</v>
      </c>
    </row>
    <row r="173" spans="1:4">
      <c r="A173" s="151" t="s">
        <v>830</v>
      </c>
      <c r="B173" s="151" t="s">
        <v>831</v>
      </c>
      <c r="D173" s="151" t="s">
        <v>832</v>
      </c>
    </row>
    <row r="174" spans="1:4">
      <c r="A174" s="151" t="s">
        <v>833</v>
      </c>
      <c r="B174" s="151" t="s">
        <v>834</v>
      </c>
      <c r="D174" s="151" t="s">
        <v>835</v>
      </c>
    </row>
    <row r="175" spans="1:4">
      <c r="A175" s="151" t="s">
        <v>836</v>
      </c>
      <c r="B175" s="151" t="s">
        <v>837</v>
      </c>
      <c r="D175" s="151" t="s">
        <v>838</v>
      </c>
    </row>
    <row r="176" spans="1:4">
      <c r="A176" s="151" t="s">
        <v>839</v>
      </c>
      <c r="B176" s="151" t="s">
        <v>840</v>
      </c>
      <c r="D176" s="151" t="s">
        <v>841</v>
      </c>
    </row>
    <row r="177" spans="1:4">
      <c r="A177" s="151" t="s">
        <v>842</v>
      </c>
      <c r="B177" s="151" t="s">
        <v>843</v>
      </c>
      <c r="D177" s="151" t="s">
        <v>844</v>
      </c>
    </row>
    <row r="178" spans="1:4">
      <c r="A178" s="151" t="s">
        <v>845</v>
      </c>
      <c r="B178" s="151" t="s">
        <v>846</v>
      </c>
      <c r="D178" s="151" t="s">
        <v>847</v>
      </c>
    </row>
    <row r="179" spans="1:4">
      <c r="A179" s="151" t="s">
        <v>848</v>
      </c>
      <c r="B179" s="151" t="s">
        <v>849</v>
      </c>
      <c r="D179" s="151" t="s">
        <v>850</v>
      </c>
    </row>
    <row r="180" spans="1:4">
      <c r="A180" s="151" t="s">
        <v>851</v>
      </c>
      <c r="B180" s="151" t="s">
        <v>852</v>
      </c>
      <c r="D180" s="151" t="s">
        <v>853</v>
      </c>
    </row>
    <row r="181" spans="1:4">
      <c r="A181" s="151" t="s">
        <v>854</v>
      </c>
      <c r="B181" s="151" t="s">
        <v>855</v>
      </c>
      <c r="D181" s="151" t="s">
        <v>856</v>
      </c>
    </row>
    <row r="182" spans="1:4">
      <c r="A182" s="151" t="s">
        <v>857</v>
      </c>
      <c r="B182" s="151" t="s">
        <v>858</v>
      </c>
      <c r="D182" s="151" t="s">
        <v>859</v>
      </c>
    </row>
    <row r="183" spans="1:4">
      <c r="A183" s="151" t="s">
        <v>860</v>
      </c>
      <c r="B183" s="151" t="s">
        <v>861</v>
      </c>
      <c r="D183" s="151" t="s">
        <v>862</v>
      </c>
    </row>
    <row r="184" spans="1:4">
      <c r="A184" s="151" t="s">
        <v>863</v>
      </c>
      <c r="B184" s="151" t="s">
        <v>864</v>
      </c>
      <c r="D184" s="151" t="s">
        <v>865</v>
      </c>
    </row>
    <row r="185" spans="1:4">
      <c r="A185" s="151" t="s">
        <v>866</v>
      </c>
      <c r="B185" s="151" t="s">
        <v>867</v>
      </c>
      <c r="D185" s="151" t="s">
        <v>868</v>
      </c>
    </row>
    <row r="186" spans="1:4">
      <c r="A186" s="151" t="s">
        <v>869</v>
      </c>
      <c r="B186" s="151" t="s">
        <v>870</v>
      </c>
      <c r="D186" s="151" t="s">
        <v>871</v>
      </c>
    </row>
    <row r="187" spans="1:4">
      <c r="A187" s="151" t="s">
        <v>872</v>
      </c>
      <c r="B187" s="151" t="s">
        <v>873</v>
      </c>
      <c r="D187" s="151" t="s">
        <v>874</v>
      </c>
    </row>
    <row r="188" spans="1:4">
      <c r="A188" s="151" t="s">
        <v>875</v>
      </c>
      <c r="B188" s="151" t="s">
        <v>876</v>
      </c>
      <c r="D188" s="151" t="s">
        <v>877</v>
      </c>
    </row>
    <row r="189" spans="1:4">
      <c r="A189" s="151" t="s">
        <v>878</v>
      </c>
      <c r="B189" s="151" t="s">
        <v>879</v>
      </c>
      <c r="D189" s="151" t="s">
        <v>880</v>
      </c>
    </row>
    <row r="190" spans="1:4">
      <c r="A190" s="151" t="s">
        <v>881</v>
      </c>
      <c r="B190" s="151" t="s">
        <v>882</v>
      </c>
      <c r="D190" s="151" t="s">
        <v>883</v>
      </c>
    </row>
    <row r="191" spans="1:4">
      <c r="A191" s="151" t="s">
        <v>884</v>
      </c>
      <c r="B191" s="151" t="s">
        <v>885</v>
      </c>
      <c r="D191" s="151" t="s">
        <v>886</v>
      </c>
    </row>
    <row r="192" spans="1:4">
      <c r="A192" s="151" t="s">
        <v>887</v>
      </c>
      <c r="B192" s="151" t="s">
        <v>888</v>
      </c>
      <c r="D192" s="151" t="s">
        <v>889</v>
      </c>
    </row>
    <row r="193" spans="1:4">
      <c r="A193" s="151" t="s">
        <v>890</v>
      </c>
      <c r="B193" s="151" t="s">
        <v>891</v>
      </c>
      <c r="D193" s="151" t="s">
        <v>892</v>
      </c>
    </row>
    <row r="194" spans="1:4">
      <c r="A194" s="151" t="s">
        <v>893</v>
      </c>
      <c r="B194" s="151" t="s">
        <v>894</v>
      </c>
      <c r="D194" s="151" t="s">
        <v>895</v>
      </c>
    </row>
    <row r="195" spans="1:4">
      <c r="A195" s="151" t="s">
        <v>896</v>
      </c>
      <c r="B195" s="151" t="s">
        <v>897</v>
      </c>
      <c r="D195" s="151" t="s">
        <v>898</v>
      </c>
    </row>
    <row r="196" spans="1:4">
      <c r="A196" s="151" t="s">
        <v>899</v>
      </c>
      <c r="B196" s="151" t="s">
        <v>900</v>
      </c>
      <c r="D196" s="151" t="s">
        <v>901</v>
      </c>
    </row>
    <row r="197" spans="1:4">
      <c r="A197" s="151" t="s">
        <v>902</v>
      </c>
      <c r="B197" s="151" t="s">
        <v>903</v>
      </c>
      <c r="D197" s="151" t="s">
        <v>904</v>
      </c>
    </row>
    <row r="198" spans="1:4">
      <c r="A198" s="151" t="s">
        <v>905</v>
      </c>
      <c r="B198" s="151" t="s">
        <v>906</v>
      </c>
      <c r="D198" s="151" t="s">
        <v>907</v>
      </c>
    </row>
    <row r="199" spans="1:4">
      <c r="A199" s="151" t="s">
        <v>908</v>
      </c>
      <c r="B199" s="151" t="s">
        <v>909</v>
      </c>
      <c r="D199" s="151" t="s">
        <v>910</v>
      </c>
    </row>
    <row r="200" spans="1:4">
      <c r="A200" s="151" t="s">
        <v>911</v>
      </c>
      <c r="B200" s="151" t="s">
        <v>912</v>
      </c>
      <c r="D200" s="151" t="s">
        <v>913</v>
      </c>
    </row>
    <row r="201" spans="1:4">
      <c r="A201" s="151" t="s">
        <v>914</v>
      </c>
      <c r="B201" s="151" t="s">
        <v>915</v>
      </c>
      <c r="D201" s="151" t="s">
        <v>916</v>
      </c>
    </row>
    <row r="202" spans="1:4">
      <c r="A202" s="151" t="s">
        <v>917</v>
      </c>
      <c r="B202" s="151" t="s">
        <v>918</v>
      </c>
      <c r="D202" s="151" t="s">
        <v>919</v>
      </c>
    </row>
    <row r="203" spans="1:4">
      <c r="A203" s="151" t="s">
        <v>920</v>
      </c>
      <c r="B203" s="151" t="s">
        <v>921</v>
      </c>
      <c r="D203" s="151" t="s">
        <v>922</v>
      </c>
    </row>
    <row r="204" spans="1:4">
      <c r="A204" s="151" t="s">
        <v>923</v>
      </c>
      <c r="B204" s="151" t="s">
        <v>924</v>
      </c>
      <c r="D204" s="151" t="s">
        <v>925</v>
      </c>
    </row>
    <row r="205" spans="1:4">
      <c r="A205" s="151" t="s">
        <v>926</v>
      </c>
      <c r="B205" s="151" t="s">
        <v>927</v>
      </c>
      <c r="D205" s="151" t="s">
        <v>928</v>
      </c>
    </row>
    <row r="206" spans="1:4">
      <c r="A206" s="151" t="s">
        <v>929</v>
      </c>
      <c r="B206" s="151" t="s">
        <v>930</v>
      </c>
      <c r="D206" s="151" t="s">
        <v>931</v>
      </c>
    </row>
    <row r="207" spans="1:4">
      <c r="A207" s="151" t="s">
        <v>932</v>
      </c>
      <c r="B207" s="151" t="s">
        <v>933</v>
      </c>
      <c r="D207" s="151" t="s">
        <v>934</v>
      </c>
    </row>
    <row r="208" spans="1:4">
      <c r="A208" s="151" t="s">
        <v>935</v>
      </c>
      <c r="B208" s="151" t="s">
        <v>936</v>
      </c>
      <c r="D208" s="151" t="s">
        <v>937</v>
      </c>
    </row>
    <row r="209" spans="1:4">
      <c r="A209" s="151" t="s">
        <v>938</v>
      </c>
      <c r="B209" s="151" t="s">
        <v>939</v>
      </c>
      <c r="D209" s="151" t="s">
        <v>940</v>
      </c>
    </row>
    <row r="210" spans="1:4">
      <c r="A210" s="151" t="s">
        <v>941</v>
      </c>
      <c r="B210" s="151" t="s">
        <v>942</v>
      </c>
      <c r="D210" s="151" t="s">
        <v>943</v>
      </c>
    </row>
    <row r="211" spans="1:4">
      <c r="A211" s="151" t="s">
        <v>944</v>
      </c>
      <c r="B211" s="151" t="s">
        <v>945</v>
      </c>
      <c r="D211" s="151" t="s">
        <v>946</v>
      </c>
    </row>
    <row r="212" spans="1:4">
      <c r="A212" s="151" t="s">
        <v>947</v>
      </c>
      <c r="B212" s="151" t="s">
        <v>948</v>
      </c>
      <c r="D212" s="151" t="s">
        <v>949</v>
      </c>
    </row>
    <row r="213" spans="1:4">
      <c r="A213" s="151" t="s">
        <v>950</v>
      </c>
      <c r="B213" s="151" t="s">
        <v>951</v>
      </c>
      <c r="D213" s="151" t="s">
        <v>952</v>
      </c>
    </row>
    <row r="214" spans="1:4">
      <c r="A214" s="151" t="s">
        <v>953</v>
      </c>
      <c r="B214" s="151" t="s">
        <v>954</v>
      </c>
      <c r="D214" s="151" t="s">
        <v>955</v>
      </c>
    </row>
    <row r="215" spans="1:4">
      <c r="A215" s="151" t="s">
        <v>956</v>
      </c>
      <c r="B215" s="151" t="s">
        <v>957</v>
      </c>
      <c r="D215" s="151" t="s">
        <v>958</v>
      </c>
    </row>
    <row r="216" spans="1:4">
      <c r="A216" s="151" t="s">
        <v>959</v>
      </c>
      <c r="B216" s="151" t="s">
        <v>960</v>
      </c>
      <c r="D216" s="151" t="s">
        <v>961</v>
      </c>
    </row>
    <row r="217" spans="1:4">
      <c r="A217" s="151" t="s">
        <v>962</v>
      </c>
      <c r="B217" s="151" t="s">
        <v>963</v>
      </c>
      <c r="D217" s="151" t="s">
        <v>964</v>
      </c>
    </row>
    <row r="218" spans="1:4">
      <c r="A218" s="151" t="s">
        <v>965</v>
      </c>
      <c r="B218" s="151" t="s">
        <v>966</v>
      </c>
      <c r="D218" s="151" t="s">
        <v>967</v>
      </c>
    </row>
    <row r="219" spans="1:4">
      <c r="A219" s="151" t="s">
        <v>968</v>
      </c>
      <c r="B219" s="151" t="s">
        <v>969</v>
      </c>
      <c r="D219" s="151" t="s">
        <v>970</v>
      </c>
    </row>
    <row r="220" spans="1:4">
      <c r="A220" s="151" t="s">
        <v>971</v>
      </c>
      <c r="B220" s="151" t="s">
        <v>972</v>
      </c>
      <c r="D220" s="151" t="s">
        <v>973</v>
      </c>
    </row>
    <row r="221" spans="1:4">
      <c r="A221" s="151" t="s">
        <v>974</v>
      </c>
      <c r="B221" s="151" t="s">
        <v>975</v>
      </c>
      <c r="D221" s="151" t="s">
        <v>976</v>
      </c>
    </row>
    <row r="222" spans="1:4">
      <c r="A222" s="151" t="s">
        <v>977</v>
      </c>
      <c r="B222" s="151" t="s">
        <v>978</v>
      </c>
      <c r="D222" s="151" t="s">
        <v>979</v>
      </c>
    </row>
    <row r="223" spans="1:4">
      <c r="A223" s="151" t="s">
        <v>980</v>
      </c>
      <c r="B223" s="151" t="s">
        <v>981</v>
      </c>
      <c r="D223" s="151" t="s">
        <v>982</v>
      </c>
    </row>
    <row r="224" spans="1:4">
      <c r="A224" s="151" t="s">
        <v>983</v>
      </c>
      <c r="B224" s="151" t="s">
        <v>984</v>
      </c>
      <c r="D224" s="151" t="s">
        <v>985</v>
      </c>
    </row>
    <row r="225" spans="1:4">
      <c r="A225" s="151" t="s">
        <v>986</v>
      </c>
      <c r="B225" s="151" t="s">
        <v>987</v>
      </c>
      <c r="D225" s="152" t="s">
        <v>243</v>
      </c>
    </row>
    <row r="226" spans="1:4">
      <c r="A226" s="151" t="s">
        <v>988</v>
      </c>
      <c r="B226" s="151" t="s">
        <v>989</v>
      </c>
      <c r="D226" t="s">
        <v>243</v>
      </c>
    </row>
    <row r="227" spans="1:4">
      <c r="A227" s="151" t="s">
        <v>990</v>
      </c>
      <c r="B227" s="151" t="s">
        <v>991</v>
      </c>
    </row>
    <row r="228" spans="1:4">
      <c r="A228" s="151" t="s">
        <v>992</v>
      </c>
      <c r="B228" s="151" t="s">
        <v>993</v>
      </c>
    </row>
    <row r="229" spans="1:4">
      <c r="A229" s="151" t="s">
        <v>994</v>
      </c>
      <c r="B229" s="151" t="s">
        <v>995</v>
      </c>
    </row>
    <row r="230" spans="1:4">
      <c r="A230" s="151" t="s">
        <v>996</v>
      </c>
      <c r="B230" s="151" t="s">
        <v>997</v>
      </c>
    </row>
    <row r="231" spans="1:4">
      <c r="A231" s="151" t="s">
        <v>998</v>
      </c>
      <c r="B231" s="151" t="s">
        <v>999</v>
      </c>
    </row>
    <row r="232" spans="1:4">
      <c r="A232" s="151" t="s">
        <v>1000</v>
      </c>
      <c r="B232" s="151" t="s">
        <v>1001</v>
      </c>
    </row>
    <row r="233" spans="1:4">
      <c r="A233" s="151" t="s">
        <v>1002</v>
      </c>
      <c r="B233" s="151" t="s">
        <v>1003</v>
      </c>
    </row>
    <row r="234" spans="1:4">
      <c r="A234" s="151" t="s">
        <v>1004</v>
      </c>
      <c r="B234" s="151" t="s">
        <v>1005</v>
      </c>
    </row>
    <row r="235" spans="1:4">
      <c r="A235" s="151" t="s">
        <v>1006</v>
      </c>
      <c r="B235" s="151" t="s">
        <v>1007</v>
      </c>
    </row>
    <row r="236" spans="1:4">
      <c r="A236" s="151" t="s">
        <v>1008</v>
      </c>
      <c r="B236" s="151" t="s">
        <v>1009</v>
      </c>
    </row>
    <row r="237" spans="1:4">
      <c r="A237" s="151" t="s">
        <v>1010</v>
      </c>
      <c r="B237" s="151" t="s">
        <v>1011</v>
      </c>
    </row>
    <row r="238" spans="1:4">
      <c r="A238" s="151" t="s">
        <v>1012</v>
      </c>
      <c r="B238" s="151" t="s">
        <v>1013</v>
      </c>
    </row>
    <row r="239" spans="1:4">
      <c r="A239" s="151" t="s">
        <v>1014</v>
      </c>
      <c r="B239" s="151" t="s">
        <v>1015</v>
      </c>
    </row>
    <row r="240" spans="1:4">
      <c r="A240" s="151" t="s">
        <v>1016</v>
      </c>
      <c r="B240" s="151" t="s">
        <v>1017</v>
      </c>
    </row>
    <row r="241" spans="1:2">
      <c r="A241" s="151" t="s">
        <v>1018</v>
      </c>
      <c r="B241" s="151" t="s">
        <v>1019</v>
      </c>
    </row>
    <row r="242" spans="1:2">
      <c r="A242" s="151" t="s">
        <v>1020</v>
      </c>
      <c r="B242" s="151" t="s">
        <v>1021</v>
      </c>
    </row>
    <row r="243" spans="1:2">
      <c r="A243" s="151" t="s">
        <v>1022</v>
      </c>
      <c r="B243" s="151" t="s">
        <v>1023</v>
      </c>
    </row>
    <row r="244" spans="1:2">
      <c r="A244" s="151" t="s">
        <v>1024</v>
      </c>
      <c r="B244" s="151" t="s">
        <v>1025</v>
      </c>
    </row>
    <row r="245" spans="1:2">
      <c r="A245" s="151" t="s">
        <v>1026</v>
      </c>
      <c r="B245" s="151" t="s">
        <v>1027</v>
      </c>
    </row>
    <row r="246" spans="1:2">
      <c r="A246" s="151" t="s">
        <v>1028</v>
      </c>
      <c r="B246" s="151" t="s">
        <v>1029</v>
      </c>
    </row>
    <row r="247" spans="1:2">
      <c r="A247" s="151" t="s">
        <v>1030</v>
      </c>
      <c r="B247" s="151" t="s">
        <v>1031</v>
      </c>
    </row>
    <row r="248" spans="1:2">
      <c r="A248" s="151" t="s">
        <v>1032</v>
      </c>
      <c r="B248" s="151" t="s">
        <v>1033</v>
      </c>
    </row>
    <row r="249" spans="1:2">
      <c r="A249" s="151" t="s">
        <v>1034</v>
      </c>
      <c r="B249" s="151" t="s">
        <v>1035</v>
      </c>
    </row>
    <row r="250" spans="1:2">
      <c r="A250" s="151" t="s">
        <v>1036</v>
      </c>
      <c r="B250" s="151" t="s">
        <v>1037</v>
      </c>
    </row>
    <row r="251" spans="1:2">
      <c r="A251" s="151" t="s">
        <v>1038</v>
      </c>
      <c r="B251" s="151" t="s">
        <v>1039</v>
      </c>
    </row>
    <row r="252" spans="1:2">
      <c r="A252" s="151" t="s">
        <v>1040</v>
      </c>
      <c r="B252" s="151" t="s">
        <v>1041</v>
      </c>
    </row>
    <row r="253" spans="1:2">
      <c r="A253" s="151" t="s">
        <v>1042</v>
      </c>
      <c r="B253" s="151" t="s">
        <v>1043</v>
      </c>
    </row>
    <row r="254" spans="1:2">
      <c r="A254" s="151" t="s">
        <v>1044</v>
      </c>
      <c r="B254" s="151" t="s">
        <v>1045</v>
      </c>
    </row>
    <row r="255" spans="1:2">
      <c r="A255" s="151" t="s">
        <v>1046</v>
      </c>
      <c r="B255" s="151" t="s">
        <v>1047</v>
      </c>
    </row>
    <row r="256" spans="1:2">
      <c r="A256" s="151" t="s">
        <v>1048</v>
      </c>
      <c r="B256" s="151" t="s">
        <v>1049</v>
      </c>
    </row>
    <row r="257" spans="1:2">
      <c r="A257" s="151" t="s">
        <v>1050</v>
      </c>
      <c r="B257" s="151" t="s">
        <v>1051</v>
      </c>
    </row>
    <row r="258" spans="1:2">
      <c r="A258" s="151" t="s">
        <v>1052</v>
      </c>
      <c r="B258" s="151" t="s">
        <v>1053</v>
      </c>
    </row>
    <row r="259" spans="1:2">
      <c r="A259" s="151" t="s">
        <v>1054</v>
      </c>
      <c r="B259" s="151" t="s">
        <v>1055</v>
      </c>
    </row>
    <row r="260" spans="1:2">
      <c r="A260" s="151" t="s">
        <v>1056</v>
      </c>
      <c r="B260" s="151" t="s">
        <v>1057</v>
      </c>
    </row>
    <row r="261" spans="1:2">
      <c r="A261" s="151" t="s">
        <v>1058</v>
      </c>
      <c r="B261" s="151" t="s">
        <v>1059</v>
      </c>
    </row>
    <row r="262" spans="1:2">
      <c r="A262" s="151" t="s">
        <v>1060</v>
      </c>
      <c r="B262" s="151" t="s">
        <v>1061</v>
      </c>
    </row>
    <row r="263" spans="1:2">
      <c r="A263" s="151" t="s">
        <v>1062</v>
      </c>
      <c r="B263" s="151" t="s">
        <v>1063</v>
      </c>
    </row>
    <row r="264" spans="1:2">
      <c r="A264" s="151" t="s">
        <v>1064</v>
      </c>
      <c r="B264" s="151" t="s">
        <v>1065</v>
      </c>
    </row>
    <row r="265" spans="1:2">
      <c r="A265" s="151" t="s">
        <v>1066</v>
      </c>
      <c r="B265" s="151" t="s">
        <v>1067</v>
      </c>
    </row>
    <row r="266" spans="1:2">
      <c r="A266" s="151" t="s">
        <v>1068</v>
      </c>
      <c r="B266" s="151" t="s">
        <v>1069</v>
      </c>
    </row>
    <row r="267" spans="1:2">
      <c r="A267" s="151" t="s">
        <v>1070</v>
      </c>
      <c r="B267" s="151" t="s">
        <v>1071</v>
      </c>
    </row>
    <row r="268" spans="1:2">
      <c r="A268" s="151" t="s">
        <v>1072</v>
      </c>
      <c r="B268" s="151" t="s">
        <v>1073</v>
      </c>
    </row>
    <row r="269" spans="1:2">
      <c r="A269" s="151" t="s">
        <v>1074</v>
      </c>
      <c r="B269" s="151" t="s">
        <v>1075</v>
      </c>
    </row>
    <row r="270" spans="1:2">
      <c r="A270" s="151" t="s">
        <v>1076</v>
      </c>
      <c r="B270" s="151" t="s">
        <v>1077</v>
      </c>
    </row>
    <row r="271" spans="1:2">
      <c r="A271" s="151" t="s">
        <v>1078</v>
      </c>
      <c r="B271" s="151" t="s">
        <v>1079</v>
      </c>
    </row>
    <row r="272" spans="1:2">
      <c r="A272" s="151" t="s">
        <v>1080</v>
      </c>
      <c r="B272" s="151" t="s">
        <v>1081</v>
      </c>
    </row>
    <row r="273" spans="1:2">
      <c r="A273" s="151" t="s">
        <v>1082</v>
      </c>
      <c r="B273" s="151" t="s">
        <v>1083</v>
      </c>
    </row>
    <row r="274" spans="1:2">
      <c r="A274" s="151" t="s">
        <v>1084</v>
      </c>
      <c r="B274" s="151" t="s">
        <v>1085</v>
      </c>
    </row>
    <row r="275" spans="1:2">
      <c r="A275" s="151" t="s">
        <v>1086</v>
      </c>
      <c r="B275" s="151" t="s">
        <v>1087</v>
      </c>
    </row>
    <row r="276" spans="1:2">
      <c r="A276" s="151" t="s">
        <v>1088</v>
      </c>
      <c r="B276" s="151" t="s">
        <v>1089</v>
      </c>
    </row>
    <row r="277" spans="1:2">
      <c r="A277" s="151" t="s">
        <v>1090</v>
      </c>
      <c r="B277" s="151" t="s">
        <v>1091</v>
      </c>
    </row>
    <row r="278" spans="1:2">
      <c r="A278" s="151" t="s">
        <v>1092</v>
      </c>
      <c r="B278" s="151" t="s">
        <v>1093</v>
      </c>
    </row>
    <row r="279" spans="1:2">
      <c r="A279" s="151" t="s">
        <v>1094</v>
      </c>
      <c r="B279" s="151" t="s">
        <v>1095</v>
      </c>
    </row>
    <row r="280" spans="1:2">
      <c r="A280" s="151" t="s">
        <v>1096</v>
      </c>
      <c r="B280" s="151" t="s">
        <v>279</v>
      </c>
    </row>
    <row r="281" spans="1:2">
      <c r="A281" s="151" t="s">
        <v>1097</v>
      </c>
      <c r="B281" s="151" t="s">
        <v>1098</v>
      </c>
    </row>
    <row r="282" spans="1:2">
      <c r="A282" s="151" t="s">
        <v>1099</v>
      </c>
      <c r="B282" s="151" t="s">
        <v>1100</v>
      </c>
    </row>
    <row r="283" spans="1:2">
      <c r="A283" s="151" t="s">
        <v>1101</v>
      </c>
      <c r="B283" s="151" t="s">
        <v>1102</v>
      </c>
    </row>
    <row r="284" spans="1:2">
      <c r="A284" s="151" t="s">
        <v>1103</v>
      </c>
      <c r="B284" s="151" t="s">
        <v>1104</v>
      </c>
    </row>
    <row r="285" spans="1:2">
      <c r="A285" s="151" t="s">
        <v>1105</v>
      </c>
      <c r="B285" s="151" t="s">
        <v>1106</v>
      </c>
    </row>
    <row r="286" spans="1:2">
      <c r="A286" s="151" t="s">
        <v>1107</v>
      </c>
      <c r="B286" s="151" t="s">
        <v>1108</v>
      </c>
    </row>
    <row r="287" spans="1:2">
      <c r="A287" s="151" t="s">
        <v>1109</v>
      </c>
      <c r="B287" s="151" t="s">
        <v>1110</v>
      </c>
    </row>
    <row r="288" spans="1:2">
      <c r="A288" s="151" t="s">
        <v>1111</v>
      </c>
      <c r="B288" s="151" t="s">
        <v>1112</v>
      </c>
    </row>
    <row r="289" spans="1:2">
      <c r="A289" s="151" t="s">
        <v>1113</v>
      </c>
      <c r="B289" s="151" t="s">
        <v>1114</v>
      </c>
    </row>
    <row r="290" spans="1:2">
      <c r="A290" s="151" t="s">
        <v>1115</v>
      </c>
      <c r="B290" s="151" t="s">
        <v>1116</v>
      </c>
    </row>
    <row r="291" spans="1:2">
      <c r="A291" s="151" t="s">
        <v>1117</v>
      </c>
      <c r="B291" s="151" t="s">
        <v>1118</v>
      </c>
    </row>
    <row r="292" spans="1:2">
      <c r="A292" s="151" t="s">
        <v>1119</v>
      </c>
      <c r="B292" s="151" t="s">
        <v>1120</v>
      </c>
    </row>
    <row r="293" spans="1:2">
      <c r="A293" s="151" t="s">
        <v>1121</v>
      </c>
      <c r="B293" s="151" t="s">
        <v>1122</v>
      </c>
    </row>
    <row r="294" spans="1:2">
      <c r="A294" s="151" t="s">
        <v>1123</v>
      </c>
      <c r="B294" s="151" t="s">
        <v>1124</v>
      </c>
    </row>
    <row r="295" spans="1:2">
      <c r="A295" s="151" t="s">
        <v>1125</v>
      </c>
      <c r="B295" s="151" t="s">
        <v>1126</v>
      </c>
    </row>
    <row r="296" spans="1:2">
      <c r="A296" s="151" t="s">
        <v>1127</v>
      </c>
      <c r="B296" s="151" t="s">
        <v>1128</v>
      </c>
    </row>
    <row r="297" spans="1:2">
      <c r="A297" s="151" t="s">
        <v>1129</v>
      </c>
      <c r="B297" s="151" t="s">
        <v>1130</v>
      </c>
    </row>
    <row r="298" spans="1:2">
      <c r="A298" s="151" t="s">
        <v>1131</v>
      </c>
      <c r="B298" s="151" t="s">
        <v>1132</v>
      </c>
    </row>
    <row r="299" spans="1:2">
      <c r="A299" s="151" t="s">
        <v>1133</v>
      </c>
      <c r="B299" s="151" t="s">
        <v>1134</v>
      </c>
    </row>
    <row r="300" spans="1:2">
      <c r="A300" s="151" t="s">
        <v>1135</v>
      </c>
      <c r="B300" s="151" t="s">
        <v>1136</v>
      </c>
    </row>
    <row r="301" spans="1:2">
      <c r="A301" s="151" t="s">
        <v>1137</v>
      </c>
      <c r="B301" s="151" t="s">
        <v>1138</v>
      </c>
    </row>
    <row r="302" spans="1:2">
      <c r="A302" s="151" t="s">
        <v>1139</v>
      </c>
      <c r="B302" s="151" t="s">
        <v>1140</v>
      </c>
    </row>
    <row r="303" spans="1:2">
      <c r="A303" s="151" t="s">
        <v>1141</v>
      </c>
      <c r="B303" s="151" t="s">
        <v>1142</v>
      </c>
    </row>
    <row r="304" spans="1:2">
      <c r="A304" s="151" t="s">
        <v>1143</v>
      </c>
      <c r="B304" s="151" t="s">
        <v>1144</v>
      </c>
    </row>
    <row r="305" spans="1:2">
      <c r="A305" s="151" t="s">
        <v>1145</v>
      </c>
      <c r="B305" s="151" t="s">
        <v>1146</v>
      </c>
    </row>
    <row r="306" spans="1:2">
      <c r="A306" s="151" t="s">
        <v>1147</v>
      </c>
      <c r="B306" s="151" t="s">
        <v>1148</v>
      </c>
    </row>
    <row r="307" spans="1:2">
      <c r="A307" s="151" t="s">
        <v>1149</v>
      </c>
      <c r="B307" s="151" t="s">
        <v>468</v>
      </c>
    </row>
    <row r="308" spans="1:2">
      <c r="A308" s="151" t="s">
        <v>1150</v>
      </c>
      <c r="B308" s="151" t="s">
        <v>1151</v>
      </c>
    </row>
    <row r="309" spans="1:2">
      <c r="A309" s="151" t="s">
        <v>1152</v>
      </c>
      <c r="B309" s="151" t="s">
        <v>1153</v>
      </c>
    </row>
    <row r="310" spans="1:2">
      <c r="A310" s="151" t="s">
        <v>1154</v>
      </c>
      <c r="B310" s="151" t="s">
        <v>1155</v>
      </c>
    </row>
    <row r="311" spans="1:2">
      <c r="A311" s="151" t="s">
        <v>1156</v>
      </c>
      <c r="B311" s="151" t="s">
        <v>1157</v>
      </c>
    </row>
    <row r="312" spans="1:2">
      <c r="A312" s="151" t="s">
        <v>1158</v>
      </c>
      <c r="B312" s="151" t="s">
        <v>1159</v>
      </c>
    </row>
    <row r="313" spans="1:2">
      <c r="A313" s="151" t="s">
        <v>1160</v>
      </c>
      <c r="B313" s="151" t="s">
        <v>1161</v>
      </c>
    </row>
    <row r="314" spans="1:2">
      <c r="A314" s="151" t="s">
        <v>1162</v>
      </c>
      <c r="B314" s="151" t="s">
        <v>1163</v>
      </c>
    </row>
    <row r="315" spans="1:2">
      <c r="A315" s="151" t="s">
        <v>1164</v>
      </c>
      <c r="B315" s="151" t="s">
        <v>1165</v>
      </c>
    </row>
    <row r="316" spans="1:2">
      <c r="A316" s="151" t="s">
        <v>1166</v>
      </c>
      <c r="B316" s="151" t="s">
        <v>1167</v>
      </c>
    </row>
    <row r="317" spans="1:2">
      <c r="A317" s="151" t="s">
        <v>1168</v>
      </c>
      <c r="B317" s="151" t="s">
        <v>1169</v>
      </c>
    </row>
    <row r="318" spans="1:2">
      <c r="A318" s="151" t="s">
        <v>1170</v>
      </c>
      <c r="B318" s="151" t="s">
        <v>1171</v>
      </c>
    </row>
    <row r="319" spans="1:2">
      <c r="A319" s="151" t="s">
        <v>1172</v>
      </c>
      <c r="B319" s="151" t="s">
        <v>1173</v>
      </c>
    </row>
    <row r="320" spans="1:2">
      <c r="A320" s="151" t="s">
        <v>1174</v>
      </c>
      <c r="B320" s="151" t="s">
        <v>1175</v>
      </c>
    </row>
    <row r="321" spans="1:2">
      <c r="A321" s="151" t="s">
        <v>1176</v>
      </c>
      <c r="B321" s="151" t="s">
        <v>1177</v>
      </c>
    </row>
    <row r="322" spans="1:2">
      <c r="A322" s="151" t="s">
        <v>1178</v>
      </c>
      <c r="B322" s="151" t="s">
        <v>1179</v>
      </c>
    </row>
    <row r="323" spans="1:2">
      <c r="A323" s="151" t="s">
        <v>1180</v>
      </c>
      <c r="B323" s="151" t="s">
        <v>1181</v>
      </c>
    </row>
    <row r="324" spans="1:2">
      <c r="A324" s="151" t="s">
        <v>1182</v>
      </c>
      <c r="B324" s="151" t="s">
        <v>1183</v>
      </c>
    </row>
    <row r="325" spans="1:2">
      <c r="A325" s="151" t="s">
        <v>1184</v>
      </c>
      <c r="B325" s="151" t="s">
        <v>1185</v>
      </c>
    </row>
    <row r="326" spans="1:2">
      <c r="A326" s="151" t="s">
        <v>1186</v>
      </c>
      <c r="B326" s="151" t="s">
        <v>1187</v>
      </c>
    </row>
    <row r="327" spans="1:2">
      <c r="A327" s="151" t="s">
        <v>1188</v>
      </c>
      <c r="B327" s="151" t="s">
        <v>1189</v>
      </c>
    </row>
    <row r="328" spans="1:2">
      <c r="A328" s="151" t="s">
        <v>1190</v>
      </c>
      <c r="B328" s="151" t="s">
        <v>1191</v>
      </c>
    </row>
    <row r="329" spans="1:2">
      <c r="A329" s="151" t="s">
        <v>1192</v>
      </c>
      <c r="B329" s="151" t="s">
        <v>1193</v>
      </c>
    </row>
    <row r="330" spans="1:2">
      <c r="A330" s="151" t="s">
        <v>1194</v>
      </c>
      <c r="B330" s="151" t="s">
        <v>1195</v>
      </c>
    </row>
    <row r="331" spans="1:2">
      <c r="A331" s="151" t="s">
        <v>1196</v>
      </c>
      <c r="B331" s="151" t="s">
        <v>1197</v>
      </c>
    </row>
    <row r="332" spans="1:2">
      <c r="A332" s="151" t="s">
        <v>1198</v>
      </c>
      <c r="B332" s="151" t="s">
        <v>1199</v>
      </c>
    </row>
    <row r="333" spans="1:2">
      <c r="A333" s="151" t="s">
        <v>1200</v>
      </c>
      <c r="B333" s="151" t="s">
        <v>1201</v>
      </c>
    </row>
    <row r="334" spans="1:2">
      <c r="A334" s="151" t="s">
        <v>1202</v>
      </c>
      <c r="B334" s="151" t="s">
        <v>1203</v>
      </c>
    </row>
    <row r="335" spans="1:2">
      <c r="A335" s="151" t="s">
        <v>1204</v>
      </c>
      <c r="B335" s="151" t="s">
        <v>1205</v>
      </c>
    </row>
    <row r="336" spans="1:2">
      <c r="A336" s="151" t="s">
        <v>1206</v>
      </c>
      <c r="B336" s="151" t="s">
        <v>1207</v>
      </c>
    </row>
    <row r="337" spans="1:2">
      <c r="A337" s="151" t="s">
        <v>1208</v>
      </c>
      <c r="B337" s="151" t="s">
        <v>1209</v>
      </c>
    </row>
    <row r="338" spans="1:2">
      <c r="A338" s="151" t="s">
        <v>1210</v>
      </c>
      <c r="B338" s="151" t="s">
        <v>1211</v>
      </c>
    </row>
    <row r="339" spans="1:2">
      <c r="A339" s="151" t="s">
        <v>1212</v>
      </c>
      <c r="B339" s="151" t="s">
        <v>1213</v>
      </c>
    </row>
    <row r="340" spans="1:2">
      <c r="A340" s="151" t="s">
        <v>1214</v>
      </c>
      <c r="B340" s="151" t="s">
        <v>1215</v>
      </c>
    </row>
    <row r="341" spans="1:2">
      <c r="A341" s="151" t="s">
        <v>1216</v>
      </c>
      <c r="B341" s="151" t="s">
        <v>1217</v>
      </c>
    </row>
    <row r="342" spans="1:2">
      <c r="A342" s="151" t="s">
        <v>1218</v>
      </c>
      <c r="B342" s="151" t="s">
        <v>1219</v>
      </c>
    </row>
    <row r="343" spans="1:2">
      <c r="A343" s="151" t="s">
        <v>1220</v>
      </c>
      <c r="B343" s="151" t="s">
        <v>1221</v>
      </c>
    </row>
    <row r="344" spans="1:2">
      <c r="A344" s="151" t="s">
        <v>1222</v>
      </c>
      <c r="B344" s="151" t="s">
        <v>1223</v>
      </c>
    </row>
    <row r="345" spans="1:2">
      <c r="A345" s="151" t="s">
        <v>1224</v>
      </c>
      <c r="B345" s="151" t="s">
        <v>1225</v>
      </c>
    </row>
    <row r="346" spans="1:2">
      <c r="A346" s="151" t="s">
        <v>1226</v>
      </c>
      <c r="B346" s="151" t="s">
        <v>1227</v>
      </c>
    </row>
    <row r="347" spans="1:2">
      <c r="A347" s="151" t="s">
        <v>1228</v>
      </c>
      <c r="B347" s="151" t="s">
        <v>1229</v>
      </c>
    </row>
    <row r="348" spans="1:2">
      <c r="A348" s="151" t="s">
        <v>1230</v>
      </c>
      <c r="B348" s="151" t="s">
        <v>1231</v>
      </c>
    </row>
    <row r="349" spans="1:2">
      <c r="A349" s="151" t="s">
        <v>1232</v>
      </c>
      <c r="B349" s="151" t="s">
        <v>1233</v>
      </c>
    </row>
    <row r="350" spans="1:2">
      <c r="A350" s="151" t="s">
        <v>1234</v>
      </c>
      <c r="B350" s="151" t="s">
        <v>1235</v>
      </c>
    </row>
    <row r="351" spans="1:2">
      <c r="A351" s="151" t="s">
        <v>1236</v>
      </c>
      <c r="B351" s="151" t="s">
        <v>1237</v>
      </c>
    </row>
    <row r="352" spans="1:2">
      <c r="A352" s="151" t="s">
        <v>1238</v>
      </c>
      <c r="B352" s="151" t="s">
        <v>1239</v>
      </c>
    </row>
    <row r="353" spans="1:2">
      <c r="A353" s="151" t="s">
        <v>1240</v>
      </c>
      <c r="B353" s="151" t="s">
        <v>1241</v>
      </c>
    </row>
    <row r="354" spans="1:2">
      <c r="A354" s="151" t="s">
        <v>1242</v>
      </c>
      <c r="B354" s="151" t="s">
        <v>1243</v>
      </c>
    </row>
    <row r="355" spans="1:2">
      <c r="A355" s="151" t="s">
        <v>1244</v>
      </c>
      <c r="B355" s="151" t="s">
        <v>1245</v>
      </c>
    </row>
    <row r="356" spans="1:2">
      <c r="A356" s="151" t="s">
        <v>1246</v>
      </c>
      <c r="B356" s="151" t="s">
        <v>1247</v>
      </c>
    </row>
    <row r="357" spans="1:2">
      <c r="A357" s="151" t="s">
        <v>1248</v>
      </c>
      <c r="B357" s="151" t="s">
        <v>1249</v>
      </c>
    </row>
    <row r="358" spans="1:2">
      <c r="A358" s="151" t="s">
        <v>1250</v>
      </c>
      <c r="B358" s="151" t="s">
        <v>1251</v>
      </c>
    </row>
    <row r="359" spans="1:2">
      <c r="A359" s="151" t="s">
        <v>1252</v>
      </c>
      <c r="B359" s="151" t="s">
        <v>1253</v>
      </c>
    </row>
    <row r="360" spans="1:2">
      <c r="A360" s="151" t="s">
        <v>1254</v>
      </c>
      <c r="B360" s="151" t="s">
        <v>1255</v>
      </c>
    </row>
    <row r="361" spans="1:2">
      <c r="A361" s="151" t="s">
        <v>1256</v>
      </c>
      <c r="B361" s="151" t="s">
        <v>1257</v>
      </c>
    </row>
    <row r="362" spans="1:2">
      <c r="A362" s="151" t="s">
        <v>1258</v>
      </c>
      <c r="B362" s="151" t="s">
        <v>1259</v>
      </c>
    </row>
    <row r="363" spans="1:2">
      <c r="A363" s="151" t="s">
        <v>1260</v>
      </c>
      <c r="B363" s="151" t="s">
        <v>1261</v>
      </c>
    </row>
    <row r="364" spans="1:2">
      <c r="A364" s="151" t="s">
        <v>1262</v>
      </c>
      <c r="B364" s="151" t="s">
        <v>1263</v>
      </c>
    </row>
    <row r="365" spans="1:2">
      <c r="A365" s="151" t="s">
        <v>1264</v>
      </c>
      <c r="B365" s="151" t="s">
        <v>1265</v>
      </c>
    </row>
    <row r="366" spans="1:2">
      <c r="A366" s="151" t="s">
        <v>1266</v>
      </c>
      <c r="B366" s="151" t="s">
        <v>1267</v>
      </c>
    </row>
    <row r="367" spans="1:2">
      <c r="A367" s="151" t="s">
        <v>1268</v>
      </c>
      <c r="B367" s="151" t="s">
        <v>1269</v>
      </c>
    </row>
    <row r="368" spans="1:2">
      <c r="A368" s="151" t="s">
        <v>1270</v>
      </c>
      <c r="B368" s="151" t="s">
        <v>1271</v>
      </c>
    </row>
    <row r="369" spans="1:2">
      <c r="A369" s="151" t="s">
        <v>1272</v>
      </c>
      <c r="B369" s="151" t="s">
        <v>1273</v>
      </c>
    </row>
    <row r="370" spans="1:2">
      <c r="A370" s="151" t="s">
        <v>1274</v>
      </c>
      <c r="B370" s="151" t="s">
        <v>1275</v>
      </c>
    </row>
    <row r="371" spans="1:2">
      <c r="A371" s="151" t="s">
        <v>1276</v>
      </c>
      <c r="B371" s="151" t="s">
        <v>1277</v>
      </c>
    </row>
    <row r="372" spans="1:2">
      <c r="A372" s="151" t="s">
        <v>1278</v>
      </c>
      <c r="B372" s="151" t="s">
        <v>1279</v>
      </c>
    </row>
    <row r="373" spans="1:2">
      <c r="A373" s="151" t="s">
        <v>1280</v>
      </c>
      <c r="B373" s="151" t="s">
        <v>1281</v>
      </c>
    </row>
    <row r="374" spans="1:2">
      <c r="A374" s="151" t="s">
        <v>1282</v>
      </c>
      <c r="B374" s="151" t="s">
        <v>1283</v>
      </c>
    </row>
    <row r="375" spans="1:2">
      <c r="A375" s="151" t="s">
        <v>1284</v>
      </c>
      <c r="B375" s="151" t="s">
        <v>1285</v>
      </c>
    </row>
    <row r="376" spans="1:2">
      <c r="A376" s="151" t="s">
        <v>1286</v>
      </c>
      <c r="B376" s="151" t="s">
        <v>1287</v>
      </c>
    </row>
    <row r="377" spans="1:2">
      <c r="A377" s="151" t="s">
        <v>1288</v>
      </c>
      <c r="B377" s="151" t="s">
        <v>1289</v>
      </c>
    </row>
    <row r="378" spans="1:2">
      <c r="A378" s="151" t="s">
        <v>1290</v>
      </c>
      <c r="B378" s="151" t="s">
        <v>1291</v>
      </c>
    </row>
    <row r="379" spans="1:2">
      <c r="A379" s="151" t="s">
        <v>1292</v>
      </c>
      <c r="B379" s="151" t="s">
        <v>1293</v>
      </c>
    </row>
    <row r="380" spans="1:2">
      <c r="A380" s="151" t="s">
        <v>1294</v>
      </c>
      <c r="B380" s="151" t="s">
        <v>1295</v>
      </c>
    </row>
    <row r="381" spans="1:2">
      <c r="A381" s="151" t="s">
        <v>1296</v>
      </c>
      <c r="B381" s="151" t="s">
        <v>1297</v>
      </c>
    </row>
    <row r="382" spans="1:2">
      <c r="A382" s="151" t="s">
        <v>1298</v>
      </c>
      <c r="B382" s="151" t="s">
        <v>1299</v>
      </c>
    </row>
    <row r="383" spans="1:2">
      <c r="A383" s="151" t="s">
        <v>1300</v>
      </c>
      <c r="B383" s="151" t="s">
        <v>1301</v>
      </c>
    </row>
    <row r="384" spans="1:2">
      <c r="A384" s="151" t="s">
        <v>1302</v>
      </c>
      <c r="B384" s="151" t="s">
        <v>1303</v>
      </c>
    </row>
    <row r="385" spans="1:2">
      <c r="A385" s="151" t="s">
        <v>1304</v>
      </c>
      <c r="B385" s="151" t="s">
        <v>1305</v>
      </c>
    </row>
    <row r="386" spans="1:2">
      <c r="A386" s="151" t="s">
        <v>1306</v>
      </c>
      <c r="B386" s="151" t="s">
        <v>1307</v>
      </c>
    </row>
    <row r="387" spans="1:2">
      <c r="A387" s="151" t="s">
        <v>1308</v>
      </c>
      <c r="B387" s="151" t="s">
        <v>1309</v>
      </c>
    </row>
    <row r="388" spans="1:2">
      <c r="A388" s="151" t="s">
        <v>1310</v>
      </c>
      <c r="B388" s="151" t="s">
        <v>1311</v>
      </c>
    </row>
    <row r="389" spans="1:2">
      <c r="A389" s="151" t="s">
        <v>1312</v>
      </c>
      <c r="B389" s="151" t="s">
        <v>1313</v>
      </c>
    </row>
    <row r="390" spans="1:2">
      <c r="A390" s="151" t="s">
        <v>1314</v>
      </c>
      <c r="B390" s="151" t="s">
        <v>1315</v>
      </c>
    </row>
    <row r="391" spans="1:2">
      <c r="A391" s="151" t="s">
        <v>1316</v>
      </c>
      <c r="B391" s="151" t="s">
        <v>1317</v>
      </c>
    </row>
    <row r="392" spans="1:2">
      <c r="A392" s="151" t="s">
        <v>1318</v>
      </c>
      <c r="B392" s="151" t="s">
        <v>1319</v>
      </c>
    </row>
    <row r="393" spans="1:2">
      <c r="A393" s="151" t="s">
        <v>1320</v>
      </c>
      <c r="B393" s="151" t="s">
        <v>1321</v>
      </c>
    </row>
    <row r="394" spans="1:2">
      <c r="A394" s="151" t="s">
        <v>1322</v>
      </c>
      <c r="B394" s="151" t="s">
        <v>1323</v>
      </c>
    </row>
    <row r="395" spans="1:2">
      <c r="A395" s="151" t="s">
        <v>1324</v>
      </c>
      <c r="B395" s="151" t="s">
        <v>1325</v>
      </c>
    </row>
    <row r="396" spans="1:2">
      <c r="A396" s="151" t="s">
        <v>1326</v>
      </c>
      <c r="B396" s="151" t="s">
        <v>1327</v>
      </c>
    </row>
    <row r="397" spans="1:2">
      <c r="A397" s="151" t="s">
        <v>1328</v>
      </c>
      <c r="B397" s="151" t="s">
        <v>1329</v>
      </c>
    </row>
    <row r="398" spans="1:2">
      <c r="A398" s="151" t="s">
        <v>1330</v>
      </c>
      <c r="B398" s="151" t="s">
        <v>1331</v>
      </c>
    </row>
    <row r="399" spans="1:2">
      <c r="A399" s="151" t="s">
        <v>1332</v>
      </c>
      <c r="B399" s="151" t="s">
        <v>1333</v>
      </c>
    </row>
    <row r="400" spans="1:2">
      <c r="A400" s="151" t="s">
        <v>1334</v>
      </c>
      <c r="B400" s="151" t="s">
        <v>1335</v>
      </c>
    </row>
    <row r="401" spans="1:2">
      <c r="A401" s="151" t="s">
        <v>1336</v>
      </c>
      <c r="B401" s="151" t="s">
        <v>1337</v>
      </c>
    </row>
    <row r="402" spans="1:2">
      <c r="A402" s="151" t="s">
        <v>1338</v>
      </c>
      <c r="B402" s="151" t="s">
        <v>1339</v>
      </c>
    </row>
    <row r="403" spans="1:2">
      <c r="A403" s="151" t="s">
        <v>1340</v>
      </c>
      <c r="B403" s="151" t="s">
        <v>1341</v>
      </c>
    </row>
    <row r="404" spans="1:2">
      <c r="A404" s="151" t="s">
        <v>1342</v>
      </c>
      <c r="B404" s="151" t="s">
        <v>1343</v>
      </c>
    </row>
    <row r="405" spans="1:2">
      <c r="A405" s="151" t="s">
        <v>1344</v>
      </c>
      <c r="B405" s="151" t="s">
        <v>1345</v>
      </c>
    </row>
    <row r="406" spans="1:2">
      <c r="A406" s="151" t="s">
        <v>1346</v>
      </c>
      <c r="B406" s="151" t="s">
        <v>1347</v>
      </c>
    </row>
    <row r="407" spans="1:2">
      <c r="A407" s="151" t="s">
        <v>1348</v>
      </c>
      <c r="B407" s="151" t="s">
        <v>1349</v>
      </c>
    </row>
    <row r="408" spans="1:2">
      <c r="A408" s="151" t="s">
        <v>1350</v>
      </c>
      <c r="B408" s="151" t="s">
        <v>1351</v>
      </c>
    </row>
    <row r="409" spans="1:2">
      <c r="A409" s="151" t="s">
        <v>1352</v>
      </c>
      <c r="B409" s="151" t="s">
        <v>1353</v>
      </c>
    </row>
    <row r="410" spans="1:2">
      <c r="A410" s="151" t="s">
        <v>1354</v>
      </c>
      <c r="B410" s="151" t="s">
        <v>1355</v>
      </c>
    </row>
    <row r="411" spans="1:2">
      <c r="A411" s="151" t="s">
        <v>1356</v>
      </c>
      <c r="B411" s="151" t="s">
        <v>1357</v>
      </c>
    </row>
    <row r="412" spans="1:2">
      <c r="A412" s="151" t="s">
        <v>1358</v>
      </c>
      <c r="B412" s="151" t="s">
        <v>1359</v>
      </c>
    </row>
    <row r="413" spans="1:2">
      <c r="A413" s="151" t="s">
        <v>1360</v>
      </c>
      <c r="B413" s="151" t="s">
        <v>1361</v>
      </c>
    </row>
    <row r="414" spans="1:2">
      <c r="A414" s="151" t="s">
        <v>1362</v>
      </c>
      <c r="B414" s="151" t="s">
        <v>1363</v>
      </c>
    </row>
    <row r="415" spans="1:2">
      <c r="A415" s="151" t="s">
        <v>1364</v>
      </c>
      <c r="B415" s="151" t="s">
        <v>1365</v>
      </c>
    </row>
    <row r="416" spans="1:2">
      <c r="A416" s="151" t="s">
        <v>1366</v>
      </c>
      <c r="B416" s="151" t="s">
        <v>1367</v>
      </c>
    </row>
    <row r="417" spans="1:2">
      <c r="A417" s="151" t="s">
        <v>1368</v>
      </c>
      <c r="B417" s="151" t="s">
        <v>1369</v>
      </c>
    </row>
    <row r="418" spans="1:2">
      <c r="A418" s="151" t="s">
        <v>1370</v>
      </c>
      <c r="B418" s="151" t="s">
        <v>1371</v>
      </c>
    </row>
    <row r="419" spans="1:2">
      <c r="A419" s="151" t="s">
        <v>1372</v>
      </c>
      <c r="B419" s="151" t="s">
        <v>1373</v>
      </c>
    </row>
    <row r="420" spans="1:2">
      <c r="A420" s="151" t="s">
        <v>1374</v>
      </c>
      <c r="B420" s="151" t="s">
        <v>1375</v>
      </c>
    </row>
    <row r="421" spans="1:2">
      <c r="A421" s="151" t="s">
        <v>1376</v>
      </c>
      <c r="B421" s="151" t="s">
        <v>1377</v>
      </c>
    </row>
    <row r="422" spans="1:2">
      <c r="A422" s="151" t="s">
        <v>1378</v>
      </c>
      <c r="B422" s="151" t="s">
        <v>1379</v>
      </c>
    </row>
    <row r="423" spans="1:2">
      <c r="A423" s="151" t="s">
        <v>1380</v>
      </c>
      <c r="B423" s="151" t="s">
        <v>1381</v>
      </c>
    </row>
    <row r="424" spans="1:2">
      <c r="A424" s="151" t="s">
        <v>1382</v>
      </c>
      <c r="B424" s="151" t="s">
        <v>1383</v>
      </c>
    </row>
    <row r="425" spans="1:2">
      <c r="A425" s="151" t="s">
        <v>1384</v>
      </c>
      <c r="B425" s="151" t="s">
        <v>1385</v>
      </c>
    </row>
    <row r="426" spans="1:2">
      <c r="A426" s="151" t="s">
        <v>1386</v>
      </c>
      <c r="B426" s="151" t="s">
        <v>1387</v>
      </c>
    </row>
    <row r="427" spans="1:2">
      <c r="A427" s="151" t="s">
        <v>1388</v>
      </c>
      <c r="B427" s="151" t="s">
        <v>1389</v>
      </c>
    </row>
    <row r="428" spans="1:2">
      <c r="A428" s="151" t="s">
        <v>1390</v>
      </c>
      <c r="B428" s="151" t="s">
        <v>1391</v>
      </c>
    </row>
    <row r="429" spans="1:2">
      <c r="A429" s="151" t="s">
        <v>1392</v>
      </c>
      <c r="B429" s="151" t="s">
        <v>1393</v>
      </c>
    </row>
    <row r="430" spans="1:2">
      <c r="A430" s="151" t="s">
        <v>1394</v>
      </c>
      <c r="B430" s="151" t="s">
        <v>1395</v>
      </c>
    </row>
    <row r="431" spans="1:2">
      <c r="A431" s="151" t="s">
        <v>1396</v>
      </c>
      <c r="B431" s="151" t="s">
        <v>1397</v>
      </c>
    </row>
    <row r="432" spans="1:2">
      <c r="A432" s="151" t="s">
        <v>1398</v>
      </c>
      <c r="B432" s="151" t="s">
        <v>1399</v>
      </c>
    </row>
    <row r="433" spans="1:2">
      <c r="A433" s="151" t="s">
        <v>1400</v>
      </c>
      <c r="B433" s="151" t="s">
        <v>1401</v>
      </c>
    </row>
    <row r="434" spans="1:2">
      <c r="A434" s="151" t="s">
        <v>1402</v>
      </c>
      <c r="B434" s="151" t="s">
        <v>1403</v>
      </c>
    </row>
    <row r="435" spans="1:2">
      <c r="A435" s="151" t="s">
        <v>1404</v>
      </c>
      <c r="B435" s="151" t="s">
        <v>1405</v>
      </c>
    </row>
    <row r="436" spans="1:2">
      <c r="A436" s="151" t="s">
        <v>1406</v>
      </c>
      <c r="B436" s="151" t="s">
        <v>1407</v>
      </c>
    </row>
    <row r="437" spans="1:2">
      <c r="A437" s="151" t="s">
        <v>1408</v>
      </c>
      <c r="B437" s="151" t="s">
        <v>1409</v>
      </c>
    </row>
    <row r="438" spans="1:2">
      <c r="A438" s="151" t="s">
        <v>1410</v>
      </c>
      <c r="B438" s="151" t="s">
        <v>1411</v>
      </c>
    </row>
    <row r="439" spans="1:2">
      <c r="A439" s="151" t="s">
        <v>1412</v>
      </c>
      <c r="B439" s="151" t="s">
        <v>1413</v>
      </c>
    </row>
    <row r="440" spans="1:2">
      <c r="A440" s="151" t="s">
        <v>1414</v>
      </c>
      <c r="B440" s="151" t="s">
        <v>1415</v>
      </c>
    </row>
    <row r="441" spans="1:2">
      <c r="A441" s="151" t="s">
        <v>1416</v>
      </c>
      <c r="B441" s="151" t="s">
        <v>1417</v>
      </c>
    </row>
    <row r="442" spans="1:2">
      <c r="A442" s="151" t="s">
        <v>1418</v>
      </c>
      <c r="B442" s="151" t="s">
        <v>1419</v>
      </c>
    </row>
    <row r="443" spans="1:2">
      <c r="A443" s="151" t="s">
        <v>1420</v>
      </c>
      <c r="B443" s="151" t="s">
        <v>1421</v>
      </c>
    </row>
    <row r="444" spans="1:2">
      <c r="A444" s="151" t="s">
        <v>1422</v>
      </c>
      <c r="B444" s="151" t="s">
        <v>1423</v>
      </c>
    </row>
    <row r="445" spans="1:2">
      <c r="A445" s="151" t="s">
        <v>1424</v>
      </c>
      <c r="B445" s="151" t="s">
        <v>1425</v>
      </c>
    </row>
    <row r="446" spans="1:2">
      <c r="A446" s="151" t="s">
        <v>1426</v>
      </c>
      <c r="B446" s="151" t="s">
        <v>1427</v>
      </c>
    </row>
    <row r="447" spans="1:2">
      <c r="A447" s="151" t="s">
        <v>1428</v>
      </c>
      <c r="B447" s="151" t="s">
        <v>1429</v>
      </c>
    </row>
    <row r="448" spans="1:2">
      <c r="A448" s="151" t="s">
        <v>1430</v>
      </c>
      <c r="B448" s="151" t="s">
        <v>1431</v>
      </c>
    </row>
    <row r="449" spans="1:2">
      <c r="A449" s="151" t="s">
        <v>1432</v>
      </c>
      <c r="B449" s="151" t="s">
        <v>1433</v>
      </c>
    </row>
    <row r="450" spans="1:2">
      <c r="A450" s="151" t="s">
        <v>1434</v>
      </c>
      <c r="B450" s="151" t="s">
        <v>1435</v>
      </c>
    </row>
    <row r="451" spans="1:2">
      <c r="A451" s="151" t="s">
        <v>1436</v>
      </c>
      <c r="B451" s="151" t="s">
        <v>1437</v>
      </c>
    </row>
    <row r="452" spans="1:2">
      <c r="A452" s="151" t="s">
        <v>1438</v>
      </c>
      <c r="B452" s="151" t="s">
        <v>1439</v>
      </c>
    </row>
    <row r="453" spans="1:2">
      <c r="A453" s="151" t="s">
        <v>1440</v>
      </c>
      <c r="B453" s="151" t="s">
        <v>1441</v>
      </c>
    </row>
    <row r="454" spans="1:2">
      <c r="A454" s="151" t="s">
        <v>1442</v>
      </c>
      <c r="B454" s="151" t="s">
        <v>1443</v>
      </c>
    </row>
    <row r="455" spans="1:2">
      <c r="A455" s="151" t="s">
        <v>1444</v>
      </c>
      <c r="B455" s="151" t="s">
        <v>1445</v>
      </c>
    </row>
    <row r="456" spans="1:2">
      <c r="A456" s="151" t="s">
        <v>1446</v>
      </c>
      <c r="B456" s="151" t="s">
        <v>1447</v>
      </c>
    </row>
    <row r="457" spans="1:2">
      <c r="A457" s="151" t="s">
        <v>1448</v>
      </c>
      <c r="B457" s="151" t="s">
        <v>1449</v>
      </c>
    </row>
    <row r="458" spans="1:2">
      <c r="A458" s="151" t="s">
        <v>1450</v>
      </c>
      <c r="B458" s="151" t="s">
        <v>1451</v>
      </c>
    </row>
    <row r="459" spans="1:2">
      <c r="A459" s="151" t="s">
        <v>1452</v>
      </c>
      <c r="B459" s="151" t="s">
        <v>1453</v>
      </c>
    </row>
    <row r="460" spans="1:2">
      <c r="A460" s="151" t="s">
        <v>1454</v>
      </c>
      <c r="B460" s="151" t="s">
        <v>1455</v>
      </c>
    </row>
    <row r="461" spans="1:2">
      <c r="A461" s="151" t="s">
        <v>1456</v>
      </c>
      <c r="B461" s="151" t="s">
        <v>1457</v>
      </c>
    </row>
    <row r="462" spans="1:2">
      <c r="A462" s="151" t="s">
        <v>1458</v>
      </c>
      <c r="B462" s="151" t="s">
        <v>1459</v>
      </c>
    </row>
    <row r="463" spans="1:2">
      <c r="A463" s="151" t="s">
        <v>1460</v>
      </c>
      <c r="B463" s="151" t="s">
        <v>1461</v>
      </c>
    </row>
    <row r="464" spans="1:2">
      <c r="A464" s="151" t="s">
        <v>1462</v>
      </c>
      <c r="B464" s="151" t="s">
        <v>1463</v>
      </c>
    </row>
    <row r="465" spans="1:2">
      <c r="A465" s="151" t="s">
        <v>1464</v>
      </c>
      <c r="B465" s="151" t="s">
        <v>1465</v>
      </c>
    </row>
    <row r="466" spans="1:2">
      <c r="A466" s="151" t="s">
        <v>1466</v>
      </c>
      <c r="B466" s="151" t="s">
        <v>1467</v>
      </c>
    </row>
    <row r="467" spans="1:2">
      <c r="A467" s="151" t="s">
        <v>1468</v>
      </c>
      <c r="B467" s="151" t="s">
        <v>1469</v>
      </c>
    </row>
    <row r="468" spans="1:2">
      <c r="A468" s="151" t="s">
        <v>1470</v>
      </c>
      <c r="B468" s="151" t="s">
        <v>1471</v>
      </c>
    </row>
    <row r="469" spans="1:2">
      <c r="A469" s="151" t="s">
        <v>1472</v>
      </c>
      <c r="B469" s="151" t="s">
        <v>1473</v>
      </c>
    </row>
    <row r="470" spans="1:2">
      <c r="A470" s="151" t="s">
        <v>1474</v>
      </c>
      <c r="B470" s="151" t="s">
        <v>1475</v>
      </c>
    </row>
    <row r="471" spans="1:2">
      <c r="A471" s="151" t="s">
        <v>1476</v>
      </c>
      <c r="B471" s="151" t="s">
        <v>1477</v>
      </c>
    </row>
    <row r="472" spans="1:2">
      <c r="A472" s="151" t="s">
        <v>1478</v>
      </c>
      <c r="B472" s="151" t="s">
        <v>1479</v>
      </c>
    </row>
    <row r="473" spans="1:2">
      <c r="A473" s="151" t="s">
        <v>1480</v>
      </c>
      <c r="B473" s="151" t="s">
        <v>1481</v>
      </c>
    </row>
    <row r="474" spans="1:2">
      <c r="A474" s="151" t="s">
        <v>1482</v>
      </c>
      <c r="B474" s="151" t="s">
        <v>1483</v>
      </c>
    </row>
    <row r="475" spans="1:2">
      <c r="A475" s="151" t="s">
        <v>1484</v>
      </c>
      <c r="B475" s="151" t="s">
        <v>1485</v>
      </c>
    </row>
    <row r="476" spans="1:2">
      <c r="A476" s="151" t="s">
        <v>1486</v>
      </c>
      <c r="B476" s="151" t="s">
        <v>1487</v>
      </c>
    </row>
    <row r="477" spans="1:2">
      <c r="A477" s="151" t="s">
        <v>1488</v>
      </c>
      <c r="B477" s="151" t="s">
        <v>1489</v>
      </c>
    </row>
    <row r="478" spans="1:2">
      <c r="A478" s="151" t="s">
        <v>1490</v>
      </c>
      <c r="B478" s="151" t="s">
        <v>1491</v>
      </c>
    </row>
    <row r="479" spans="1:2">
      <c r="A479" s="151" t="s">
        <v>1492</v>
      </c>
      <c r="B479" s="151" t="s">
        <v>1493</v>
      </c>
    </row>
    <row r="480" spans="1:2">
      <c r="A480" s="151" t="s">
        <v>1494</v>
      </c>
      <c r="B480" s="151" t="s">
        <v>1495</v>
      </c>
    </row>
    <row r="481" spans="1:2">
      <c r="A481" s="151" t="s">
        <v>1496</v>
      </c>
      <c r="B481" s="151" t="s">
        <v>1497</v>
      </c>
    </row>
    <row r="482" spans="1:2">
      <c r="A482" s="151" t="s">
        <v>1498</v>
      </c>
      <c r="B482" s="151" t="s">
        <v>1499</v>
      </c>
    </row>
    <row r="483" spans="1:2">
      <c r="A483" s="151" t="s">
        <v>1500</v>
      </c>
      <c r="B483" s="151" t="s">
        <v>1501</v>
      </c>
    </row>
    <row r="484" spans="1:2">
      <c r="A484" s="151" t="s">
        <v>1502</v>
      </c>
      <c r="B484" s="151" t="s">
        <v>1503</v>
      </c>
    </row>
    <row r="485" spans="1:2">
      <c r="A485" s="151" t="s">
        <v>1504</v>
      </c>
      <c r="B485" s="151" t="s">
        <v>1505</v>
      </c>
    </row>
    <row r="486" spans="1:2">
      <c r="A486" s="151" t="s">
        <v>1506</v>
      </c>
      <c r="B486" s="151" t="s">
        <v>1507</v>
      </c>
    </row>
    <row r="487" spans="1:2">
      <c r="A487" s="151" t="s">
        <v>1508</v>
      </c>
      <c r="B487" s="151" t="s">
        <v>1509</v>
      </c>
    </row>
    <row r="488" spans="1:2">
      <c r="A488" s="151" t="s">
        <v>1510</v>
      </c>
      <c r="B488" s="151" t="s">
        <v>1511</v>
      </c>
    </row>
    <row r="489" spans="1:2">
      <c r="A489" s="151" t="s">
        <v>1512</v>
      </c>
      <c r="B489" s="151" t="s">
        <v>1513</v>
      </c>
    </row>
    <row r="490" spans="1:2">
      <c r="A490" s="151" t="s">
        <v>1514</v>
      </c>
      <c r="B490" s="151" t="s">
        <v>1515</v>
      </c>
    </row>
    <row r="491" spans="1:2">
      <c r="A491" s="151" t="s">
        <v>1516</v>
      </c>
      <c r="B491" s="151" t="s">
        <v>1517</v>
      </c>
    </row>
    <row r="492" spans="1:2">
      <c r="A492" s="151" t="s">
        <v>1518</v>
      </c>
      <c r="B492" s="151" t="s">
        <v>1519</v>
      </c>
    </row>
    <row r="493" spans="1:2">
      <c r="A493" s="151" t="s">
        <v>1520</v>
      </c>
      <c r="B493" s="151" t="s">
        <v>1521</v>
      </c>
    </row>
    <row r="494" spans="1:2">
      <c r="A494" s="151" t="s">
        <v>1522</v>
      </c>
      <c r="B494" s="151" t="s">
        <v>1523</v>
      </c>
    </row>
    <row r="495" spans="1:2">
      <c r="A495" s="151" t="s">
        <v>1524</v>
      </c>
      <c r="B495" s="151" t="s">
        <v>1525</v>
      </c>
    </row>
    <row r="496" spans="1:2">
      <c r="A496" s="151" t="s">
        <v>1526</v>
      </c>
      <c r="B496" s="151" t="s">
        <v>1527</v>
      </c>
    </row>
    <row r="497" spans="1:2">
      <c r="A497" s="151" t="s">
        <v>1528</v>
      </c>
      <c r="B497" s="151" t="s">
        <v>1529</v>
      </c>
    </row>
    <row r="498" spans="1:2">
      <c r="A498" s="151" t="s">
        <v>1530</v>
      </c>
      <c r="B498" s="151" t="s">
        <v>1531</v>
      </c>
    </row>
    <row r="499" spans="1:2">
      <c r="A499" s="151" t="s">
        <v>1532</v>
      </c>
      <c r="B499" s="151" t="s">
        <v>1533</v>
      </c>
    </row>
    <row r="500" spans="1:2">
      <c r="A500" s="151" t="s">
        <v>1534</v>
      </c>
      <c r="B500" s="151" t="s">
        <v>1535</v>
      </c>
    </row>
    <row r="501" spans="1:2">
      <c r="A501" s="151" t="s">
        <v>1536</v>
      </c>
      <c r="B501" s="151" t="s">
        <v>284</v>
      </c>
    </row>
    <row r="502" spans="1:2">
      <c r="A502" s="151" t="s">
        <v>1537</v>
      </c>
      <c r="B502" s="151" t="s">
        <v>1538</v>
      </c>
    </row>
    <row r="503" spans="1:2">
      <c r="A503" s="151" t="s">
        <v>1539</v>
      </c>
      <c r="B503" s="151" t="s">
        <v>1540</v>
      </c>
    </row>
    <row r="504" spans="1:2">
      <c r="A504" s="151" t="s">
        <v>1541</v>
      </c>
      <c r="B504" s="151" t="s">
        <v>1542</v>
      </c>
    </row>
    <row r="505" spans="1:2">
      <c r="A505" s="151" t="s">
        <v>1543</v>
      </c>
      <c r="B505" s="151" t="s">
        <v>1544</v>
      </c>
    </row>
    <row r="506" spans="1:2">
      <c r="A506" s="151" t="s">
        <v>1545</v>
      </c>
      <c r="B506" s="151" t="s">
        <v>1546</v>
      </c>
    </row>
    <row r="507" spans="1:2">
      <c r="A507" s="151" t="s">
        <v>1547</v>
      </c>
      <c r="B507" s="151" t="s">
        <v>1548</v>
      </c>
    </row>
    <row r="508" spans="1:2">
      <c r="A508" s="151" t="s">
        <v>1549</v>
      </c>
      <c r="B508" s="151" t="s">
        <v>1550</v>
      </c>
    </row>
    <row r="509" spans="1:2">
      <c r="A509" s="151" t="s">
        <v>1551</v>
      </c>
      <c r="B509" s="151" t="s">
        <v>1552</v>
      </c>
    </row>
    <row r="510" spans="1:2">
      <c r="A510" s="151" t="s">
        <v>1553</v>
      </c>
      <c r="B510" s="151" t="s">
        <v>1554</v>
      </c>
    </row>
    <row r="511" spans="1:2">
      <c r="A511" s="151" t="s">
        <v>1555</v>
      </c>
      <c r="B511" s="151" t="s">
        <v>1556</v>
      </c>
    </row>
    <row r="512" spans="1:2">
      <c r="A512" s="151" t="s">
        <v>1557</v>
      </c>
      <c r="B512" s="151" t="s">
        <v>1558</v>
      </c>
    </row>
    <row r="513" spans="1:2">
      <c r="A513" s="151" t="s">
        <v>1559</v>
      </c>
      <c r="B513" s="151" t="s">
        <v>1560</v>
      </c>
    </row>
    <row r="514" spans="1:2">
      <c r="A514" s="151" t="s">
        <v>1561</v>
      </c>
      <c r="B514" s="151" t="s">
        <v>1562</v>
      </c>
    </row>
    <row r="515" spans="1:2">
      <c r="A515" s="151" t="s">
        <v>1563</v>
      </c>
      <c r="B515" s="151" t="s">
        <v>1564</v>
      </c>
    </row>
    <row r="516" spans="1:2">
      <c r="A516" s="151" t="s">
        <v>1565</v>
      </c>
      <c r="B516" s="151" t="s">
        <v>1566</v>
      </c>
    </row>
    <row r="517" spans="1:2">
      <c r="A517" s="151" t="s">
        <v>1567</v>
      </c>
      <c r="B517" s="151" t="s">
        <v>1568</v>
      </c>
    </row>
    <row r="518" spans="1:2">
      <c r="A518" s="151" t="s">
        <v>1569</v>
      </c>
      <c r="B518" s="151" t="s">
        <v>1570</v>
      </c>
    </row>
    <row r="519" spans="1:2">
      <c r="A519" s="151" t="s">
        <v>1571</v>
      </c>
      <c r="B519" s="151" t="s">
        <v>1572</v>
      </c>
    </row>
    <row r="520" spans="1:2">
      <c r="A520" s="151" t="s">
        <v>1573</v>
      </c>
      <c r="B520" s="151" t="s">
        <v>1574</v>
      </c>
    </row>
    <row r="521" spans="1:2">
      <c r="A521" s="151" t="s">
        <v>1575</v>
      </c>
      <c r="B521" s="151" t="s">
        <v>1576</v>
      </c>
    </row>
    <row r="522" spans="1:2">
      <c r="A522" s="151" t="s">
        <v>1577</v>
      </c>
      <c r="B522" s="151" t="s">
        <v>1578</v>
      </c>
    </row>
    <row r="523" spans="1:2">
      <c r="A523" s="151" t="s">
        <v>1579</v>
      </c>
      <c r="B523" s="151" t="s">
        <v>1580</v>
      </c>
    </row>
    <row r="524" spans="1:2">
      <c r="A524" s="151" t="s">
        <v>1581</v>
      </c>
      <c r="B524" s="151" t="s">
        <v>1582</v>
      </c>
    </row>
    <row r="525" spans="1:2">
      <c r="A525" s="151" t="s">
        <v>1583</v>
      </c>
      <c r="B525" s="151" t="s">
        <v>1584</v>
      </c>
    </row>
    <row r="526" spans="1:2">
      <c r="A526" s="151" t="s">
        <v>1585</v>
      </c>
      <c r="B526" s="151" t="s">
        <v>1586</v>
      </c>
    </row>
    <row r="527" spans="1:2">
      <c r="A527" s="151" t="s">
        <v>1587</v>
      </c>
      <c r="B527" s="151" t="s">
        <v>1588</v>
      </c>
    </row>
    <row r="528" spans="1:2">
      <c r="A528" s="151" t="s">
        <v>1589</v>
      </c>
      <c r="B528" s="151" t="s">
        <v>1590</v>
      </c>
    </row>
    <row r="529" spans="1:2">
      <c r="A529" s="151" t="s">
        <v>1591</v>
      </c>
      <c r="B529" s="151" t="s">
        <v>1592</v>
      </c>
    </row>
    <row r="530" spans="1:2">
      <c r="A530" s="151" t="s">
        <v>1593</v>
      </c>
      <c r="B530" s="151" t="s">
        <v>1594</v>
      </c>
    </row>
    <row r="531" spans="1:2">
      <c r="A531" s="151" t="s">
        <v>1595</v>
      </c>
      <c r="B531" s="151" t="s">
        <v>1596</v>
      </c>
    </row>
    <row r="532" spans="1:2">
      <c r="A532" s="151" t="s">
        <v>1597</v>
      </c>
      <c r="B532" s="151" t="s">
        <v>1598</v>
      </c>
    </row>
    <row r="533" spans="1:2">
      <c r="A533" s="151" t="s">
        <v>1599</v>
      </c>
      <c r="B533" s="151" t="s">
        <v>1600</v>
      </c>
    </row>
    <row r="534" spans="1:2">
      <c r="A534" s="151" t="s">
        <v>1601</v>
      </c>
      <c r="B534" s="151" t="s">
        <v>1602</v>
      </c>
    </row>
    <row r="535" spans="1:2">
      <c r="A535" s="151" t="s">
        <v>1603</v>
      </c>
      <c r="B535" s="151" t="s">
        <v>1604</v>
      </c>
    </row>
    <row r="536" spans="1:2">
      <c r="A536" s="151" t="s">
        <v>1605</v>
      </c>
      <c r="B536" s="151" t="s">
        <v>1606</v>
      </c>
    </row>
    <row r="537" spans="1:2">
      <c r="A537" s="151" t="s">
        <v>1607</v>
      </c>
      <c r="B537" s="151" t="s">
        <v>1608</v>
      </c>
    </row>
    <row r="538" spans="1:2">
      <c r="A538" s="151" t="s">
        <v>1609</v>
      </c>
      <c r="B538" s="151" t="s">
        <v>1610</v>
      </c>
    </row>
    <row r="539" spans="1:2">
      <c r="A539" s="151" t="s">
        <v>1611</v>
      </c>
      <c r="B539" s="151" t="s">
        <v>1612</v>
      </c>
    </row>
    <row r="540" spans="1:2">
      <c r="A540" s="151" t="s">
        <v>1613</v>
      </c>
      <c r="B540" s="151" t="s">
        <v>1614</v>
      </c>
    </row>
    <row r="541" spans="1:2">
      <c r="A541" s="151" t="s">
        <v>1615</v>
      </c>
      <c r="B541" s="151" t="s">
        <v>1616</v>
      </c>
    </row>
    <row r="542" spans="1:2">
      <c r="A542" s="151" t="s">
        <v>1617</v>
      </c>
      <c r="B542" s="151" t="s">
        <v>1618</v>
      </c>
    </row>
    <row r="543" spans="1:2">
      <c r="A543" s="151" t="s">
        <v>1619</v>
      </c>
      <c r="B543" s="151" t="s">
        <v>1620</v>
      </c>
    </row>
    <row r="544" spans="1:2">
      <c r="A544" s="151" t="s">
        <v>1621</v>
      </c>
      <c r="B544" s="151" t="s">
        <v>1622</v>
      </c>
    </row>
    <row r="545" spans="1:2">
      <c r="A545" s="151" t="s">
        <v>1623</v>
      </c>
      <c r="B545" s="151" t="s">
        <v>1624</v>
      </c>
    </row>
    <row r="546" spans="1:2">
      <c r="A546" s="151" t="s">
        <v>1625</v>
      </c>
      <c r="B546" s="151" t="s">
        <v>1626</v>
      </c>
    </row>
    <row r="547" spans="1:2">
      <c r="A547" s="151" t="s">
        <v>1627</v>
      </c>
      <c r="B547" s="151" t="s">
        <v>1628</v>
      </c>
    </row>
    <row r="548" spans="1:2">
      <c r="A548" s="151" t="s">
        <v>1629</v>
      </c>
      <c r="B548" s="151" t="s">
        <v>1630</v>
      </c>
    </row>
    <row r="549" spans="1:2">
      <c r="A549" s="151" t="s">
        <v>1631</v>
      </c>
      <c r="B549" s="151" t="s">
        <v>1632</v>
      </c>
    </row>
    <row r="550" spans="1:2">
      <c r="A550" s="151" t="s">
        <v>1633</v>
      </c>
      <c r="B550" s="151" t="s">
        <v>1634</v>
      </c>
    </row>
    <row r="551" spans="1:2">
      <c r="A551" s="151" t="s">
        <v>1635</v>
      </c>
      <c r="B551" s="151" t="s">
        <v>1636</v>
      </c>
    </row>
    <row r="552" spans="1:2">
      <c r="A552" s="151" t="s">
        <v>1637</v>
      </c>
      <c r="B552" s="151" t="s">
        <v>1638</v>
      </c>
    </row>
    <row r="553" spans="1:2">
      <c r="A553" s="151" t="s">
        <v>1639</v>
      </c>
      <c r="B553" s="151" t="s">
        <v>1640</v>
      </c>
    </row>
    <row r="554" spans="1:2">
      <c r="A554" s="151" t="s">
        <v>1641</v>
      </c>
      <c r="B554" s="151" t="s">
        <v>1642</v>
      </c>
    </row>
    <row r="555" spans="1:2">
      <c r="A555" s="151" t="s">
        <v>1643</v>
      </c>
      <c r="B555" s="151" t="s">
        <v>1644</v>
      </c>
    </row>
    <row r="556" spans="1:2">
      <c r="A556" s="151" t="s">
        <v>1645</v>
      </c>
      <c r="B556" s="151" t="s">
        <v>1646</v>
      </c>
    </row>
    <row r="557" spans="1:2">
      <c r="A557" s="151" t="s">
        <v>1647</v>
      </c>
      <c r="B557" s="151" t="s">
        <v>1648</v>
      </c>
    </row>
    <row r="558" spans="1:2">
      <c r="A558" s="151" t="s">
        <v>1649</v>
      </c>
      <c r="B558" s="151" t="s">
        <v>1650</v>
      </c>
    </row>
    <row r="559" spans="1:2">
      <c r="A559" s="151" t="s">
        <v>1651</v>
      </c>
      <c r="B559" s="151" t="s">
        <v>1652</v>
      </c>
    </row>
    <row r="560" spans="1:2">
      <c r="A560" s="151" t="s">
        <v>1653</v>
      </c>
      <c r="B560" s="151" t="s">
        <v>1654</v>
      </c>
    </row>
    <row r="561" spans="1:2">
      <c r="A561" s="151" t="s">
        <v>1655</v>
      </c>
      <c r="B561" s="151" t="s">
        <v>1656</v>
      </c>
    </row>
    <row r="562" spans="1:2">
      <c r="A562" s="151" t="s">
        <v>1657</v>
      </c>
      <c r="B562" s="151" t="s">
        <v>1658</v>
      </c>
    </row>
    <row r="563" spans="1:2">
      <c r="A563" s="151" t="s">
        <v>1659</v>
      </c>
      <c r="B563" s="151" t="s">
        <v>1660</v>
      </c>
    </row>
    <row r="564" spans="1:2">
      <c r="A564" s="151" t="s">
        <v>1661</v>
      </c>
      <c r="B564" s="151" t="s">
        <v>1662</v>
      </c>
    </row>
    <row r="565" spans="1:2">
      <c r="A565" s="151" t="s">
        <v>1663</v>
      </c>
      <c r="B565" s="151" t="s">
        <v>1664</v>
      </c>
    </row>
    <row r="566" spans="1:2">
      <c r="A566" s="151" t="s">
        <v>1665</v>
      </c>
      <c r="B566" s="151" t="s">
        <v>1666</v>
      </c>
    </row>
    <row r="567" spans="1:2">
      <c r="A567" s="151" t="s">
        <v>1667</v>
      </c>
      <c r="B567" s="151" t="s">
        <v>1668</v>
      </c>
    </row>
    <row r="568" spans="1:2">
      <c r="A568" s="151" t="s">
        <v>1669</v>
      </c>
      <c r="B568" s="151" t="s">
        <v>1670</v>
      </c>
    </row>
    <row r="569" spans="1:2">
      <c r="A569" s="151" t="s">
        <v>1671</v>
      </c>
      <c r="B569" s="151" t="s">
        <v>1672</v>
      </c>
    </row>
    <row r="570" spans="1:2">
      <c r="A570" s="151" t="s">
        <v>1673</v>
      </c>
      <c r="B570" s="151" t="s">
        <v>1674</v>
      </c>
    </row>
    <row r="571" spans="1:2">
      <c r="A571" s="151" t="s">
        <v>1675</v>
      </c>
      <c r="B571" s="151" t="s">
        <v>1676</v>
      </c>
    </row>
    <row r="572" spans="1:2">
      <c r="A572" s="151" t="s">
        <v>1677</v>
      </c>
      <c r="B572" s="151" t="s">
        <v>1678</v>
      </c>
    </row>
    <row r="573" spans="1:2">
      <c r="A573" s="151" t="s">
        <v>1679</v>
      </c>
      <c r="B573" s="151" t="s">
        <v>1680</v>
      </c>
    </row>
    <row r="574" spans="1:2">
      <c r="A574" s="151" t="s">
        <v>1681</v>
      </c>
      <c r="B574" s="151" t="s">
        <v>1682</v>
      </c>
    </row>
    <row r="575" spans="1:2">
      <c r="A575" s="151" t="s">
        <v>1683</v>
      </c>
      <c r="B575" s="151" t="s">
        <v>1684</v>
      </c>
    </row>
    <row r="576" spans="1:2">
      <c r="A576" s="151" t="s">
        <v>1685</v>
      </c>
      <c r="B576" s="151" t="s">
        <v>1686</v>
      </c>
    </row>
    <row r="577" spans="1:2">
      <c r="A577" s="151" t="s">
        <v>1687</v>
      </c>
      <c r="B577" s="151" t="s">
        <v>1688</v>
      </c>
    </row>
    <row r="578" spans="1:2">
      <c r="A578" s="151" t="s">
        <v>1689</v>
      </c>
      <c r="B578" s="151" t="s">
        <v>1690</v>
      </c>
    </row>
    <row r="579" spans="1:2">
      <c r="A579" s="151" t="s">
        <v>1691</v>
      </c>
      <c r="B579" s="151" t="s">
        <v>1692</v>
      </c>
    </row>
    <row r="580" spans="1:2">
      <c r="A580" s="151" t="s">
        <v>1693</v>
      </c>
      <c r="B580" s="151" t="s">
        <v>1694</v>
      </c>
    </row>
    <row r="581" spans="1:2">
      <c r="A581" s="151" t="s">
        <v>1695</v>
      </c>
      <c r="B581" s="151" t="s">
        <v>1696</v>
      </c>
    </row>
    <row r="582" spans="1:2">
      <c r="A582" s="151" t="s">
        <v>1697</v>
      </c>
      <c r="B582" s="151" t="s">
        <v>1698</v>
      </c>
    </row>
    <row r="583" spans="1:2">
      <c r="A583" s="151" t="s">
        <v>1699</v>
      </c>
      <c r="B583" s="151" t="s">
        <v>1700</v>
      </c>
    </row>
    <row r="584" spans="1:2">
      <c r="A584" s="151" t="s">
        <v>1701</v>
      </c>
      <c r="B584" s="151" t="s">
        <v>1702</v>
      </c>
    </row>
    <row r="585" spans="1:2">
      <c r="A585" s="151" t="s">
        <v>1703</v>
      </c>
      <c r="B585" s="151" t="s">
        <v>1704</v>
      </c>
    </row>
    <row r="586" spans="1:2">
      <c r="A586" s="151" t="s">
        <v>1705</v>
      </c>
      <c r="B586" s="151" t="s">
        <v>1706</v>
      </c>
    </row>
    <row r="587" spans="1:2">
      <c r="A587" s="151" t="s">
        <v>1707</v>
      </c>
      <c r="B587" s="151" t="s">
        <v>1708</v>
      </c>
    </row>
    <row r="588" spans="1:2">
      <c r="A588" s="151" t="s">
        <v>1709</v>
      </c>
      <c r="B588" s="151" t="s">
        <v>119</v>
      </c>
    </row>
    <row r="589" spans="1:2">
      <c r="A589" s="151" t="s">
        <v>1710</v>
      </c>
      <c r="B589" s="151" t="s">
        <v>1711</v>
      </c>
    </row>
    <row r="590" spans="1:2">
      <c r="A590" s="151" t="s">
        <v>1712</v>
      </c>
      <c r="B590" s="151" t="s">
        <v>1713</v>
      </c>
    </row>
    <row r="591" spans="1:2">
      <c r="A591" s="151" t="s">
        <v>1714</v>
      </c>
      <c r="B591" s="151" t="s">
        <v>1715</v>
      </c>
    </row>
    <row r="592" spans="1:2">
      <c r="A592" s="151" t="s">
        <v>1716</v>
      </c>
      <c r="B592" s="151" t="s">
        <v>1717</v>
      </c>
    </row>
    <row r="593" spans="1:2">
      <c r="A593" s="151" t="s">
        <v>1718</v>
      </c>
      <c r="B593" s="151" t="s">
        <v>1719</v>
      </c>
    </row>
    <row r="594" spans="1:2">
      <c r="A594" s="151" t="s">
        <v>1720</v>
      </c>
      <c r="B594" s="151" t="s">
        <v>1721</v>
      </c>
    </row>
    <row r="595" spans="1:2">
      <c r="A595" s="151" t="s">
        <v>1722</v>
      </c>
      <c r="B595" s="151" t="s">
        <v>1723</v>
      </c>
    </row>
    <row r="596" spans="1:2">
      <c r="A596" s="151" t="s">
        <v>1724</v>
      </c>
      <c r="B596" s="151" t="s">
        <v>1725</v>
      </c>
    </row>
    <row r="597" spans="1:2">
      <c r="A597" s="151" t="s">
        <v>1726</v>
      </c>
      <c r="B597" s="151" t="s">
        <v>1727</v>
      </c>
    </row>
    <row r="598" spans="1:2">
      <c r="A598" s="151" t="s">
        <v>1728</v>
      </c>
      <c r="B598" s="151" t="s">
        <v>1729</v>
      </c>
    </row>
    <row r="599" spans="1:2">
      <c r="A599" s="151" t="s">
        <v>1730</v>
      </c>
      <c r="B599" s="151" t="s">
        <v>1731</v>
      </c>
    </row>
    <row r="600" spans="1:2">
      <c r="A600" s="151" t="s">
        <v>1732</v>
      </c>
      <c r="B600" s="151" t="s">
        <v>1733</v>
      </c>
    </row>
    <row r="601" spans="1:2">
      <c r="A601" s="151" t="s">
        <v>1734</v>
      </c>
      <c r="B601" s="151" t="s">
        <v>1735</v>
      </c>
    </row>
    <row r="602" spans="1:2">
      <c r="A602" s="151" t="s">
        <v>1736</v>
      </c>
      <c r="B602" s="151" t="s">
        <v>1737</v>
      </c>
    </row>
    <row r="603" spans="1:2">
      <c r="A603" s="151" t="s">
        <v>1738</v>
      </c>
      <c r="B603" s="151" t="s">
        <v>1739</v>
      </c>
    </row>
    <row r="604" spans="1:2">
      <c r="A604" s="151" t="s">
        <v>1740</v>
      </c>
      <c r="B604" s="151" t="s">
        <v>1741</v>
      </c>
    </row>
    <row r="605" spans="1:2">
      <c r="A605" s="151" t="s">
        <v>1742</v>
      </c>
      <c r="B605" s="151" t="s">
        <v>1743</v>
      </c>
    </row>
    <row r="606" spans="1:2">
      <c r="A606" s="151" t="s">
        <v>1744</v>
      </c>
      <c r="B606" s="151" t="s">
        <v>1745</v>
      </c>
    </row>
    <row r="607" spans="1:2">
      <c r="A607" s="151" t="s">
        <v>1746</v>
      </c>
      <c r="B607" s="151" t="s">
        <v>1747</v>
      </c>
    </row>
    <row r="608" spans="1:2">
      <c r="A608" s="151" t="s">
        <v>1748</v>
      </c>
      <c r="B608" s="151" t="s">
        <v>1749</v>
      </c>
    </row>
    <row r="609" spans="1:2">
      <c r="A609" s="151" t="s">
        <v>1750</v>
      </c>
      <c r="B609" s="151" t="s">
        <v>1751</v>
      </c>
    </row>
    <row r="610" spans="1:2">
      <c r="A610" s="151" t="s">
        <v>1752</v>
      </c>
      <c r="B610" s="151" t="s">
        <v>1753</v>
      </c>
    </row>
    <row r="611" spans="1:2">
      <c r="A611" s="151" t="s">
        <v>1754</v>
      </c>
      <c r="B611" s="151" t="s">
        <v>1755</v>
      </c>
    </row>
    <row r="612" spans="1:2">
      <c r="A612" s="151" t="s">
        <v>1756</v>
      </c>
      <c r="B612" s="151" t="s">
        <v>1757</v>
      </c>
    </row>
    <row r="613" spans="1:2">
      <c r="A613" s="151" t="s">
        <v>1758</v>
      </c>
      <c r="B613" s="151" t="s">
        <v>1759</v>
      </c>
    </row>
    <row r="614" spans="1:2">
      <c r="A614" s="151" t="s">
        <v>1760</v>
      </c>
      <c r="B614" s="151" t="s">
        <v>1761</v>
      </c>
    </row>
    <row r="615" spans="1:2">
      <c r="A615" s="151" t="s">
        <v>1762</v>
      </c>
      <c r="B615" s="151" t="s">
        <v>1763</v>
      </c>
    </row>
    <row r="616" spans="1:2">
      <c r="A616" s="151" t="s">
        <v>1764</v>
      </c>
      <c r="B616" s="151" t="s">
        <v>1765</v>
      </c>
    </row>
    <row r="617" spans="1:2">
      <c r="A617" s="151" t="s">
        <v>1766</v>
      </c>
      <c r="B617" s="151" t="s">
        <v>1767</v>
      </c>
    </row>
    <row r="618" spans="1:2">
      <c r="A618" s="151" t="s">
        <v>1768</v>
      </c>
      <c r="B618" s="151" t="s">
        <v>1769</v>
      </c>
    </row>
    <row r="619" spans="1:2">
      <c r="A619" s="151" t="s">
        <v>1770</v>
      </c>
      <c r="B619" s="151" t="s">
        <v>1771</v>
      </c>
    </row>
    <row r="620" spans="1:2">
      <c r="A620" s="151" t="s">
        <v>1772</v>
      </c>
      <c r="B620" s="151" t="s">
        <v>1773</v>
      </c>
    </row>
    <row r="621" spans="1:2">
      <c r="A621" s="151" t="s">
        <v>1774</v>
      </c>
      <c r="B621" s="151" t="s">
        <v>1775</v>
      </c>
    </row>
    <row r="622" spans="1:2">
      <c r="A622" s="151" t="s">
        <v>1776</v>
      </c>
      <c r="B622" s="151" t="s">
        <v>1777</v>
      </c>
    </row>
    <row r="623" spans="1:2">
      <c r="A623" s="151" t="s">
        <v>1778</v>
      </c>
      <c r="B623" s="151" t="s">
        <v>1779</v>
      </c>
    </row>
    <row r="624" spans="1:2">
      <c r="A624" s="151" t="s">
        <v>1780</v>
      </c>
      <c r="B624" s="151" t="s">
        <v>1781</v>
      </c>
    </row>
    <row r="625" spans="1:2">
      <c r="A625" s="151" t="s">
        <v>1782</v>
      </c>
      <c r="B625" s="151" t="s">
        <v>1783</v>
      </c>
    </row>
    <row r="626" spans="1:2">
      <c r="A626" s="151" t="s">
        <v>1784</v>
      </c>
      <c r="B626" s="151" t="s">
        <v>1785</v>
      </c>
    </row>
    <row r="627" spans="1:2">
      <c r="A627" s="151" t="s">
        <v>1786</v>
      </c>
      <c r="B627" s="151" t="s">
        <v>289</v>
      </c>
    </row>
    <row r="628" spans="1:2">
      <c r="A628" s="151" t="s">
        <v>1787</v>
      </c>
      <c r="B628" s="151" t="s">
        <v>1788</v>
      </c>
    </row>
    <row r="629" spans="1:2">
      <c r="A629" s="151" t="s">
        <v>1789</v>
      </c>
      <c r="B629" s="151" t="s">
        <v>1790</v>
      </c>
    </row>
    <row r="630" spans="1:2">
      <c r="A630" s="151" t="s">
        <v>1791</v>
      </c>
      <c r="B630" s="151" t="s">
        <v>1792</v>
      </c>
    </row>
    <row r="631" spans="1:2">
      <c r="A631" s="151" t="s">
        <v>1793</v>
      </c>
      <c r="B631" s="151" t="s">
        <v>1794</v>
      </c>
    </row>
    <row r="632" spans="1:2">
      <c r="A632" s="151" t="s">
        <v>1795</v>
      </c>
      <c r="B632" s="151" t="s">
        <v>1796</v>
      </c>
    </row>
    <row r="633" spans="1:2">
      <c r="A633" s="151" t="s">
        <v>1797</v>
      </c>
      <c r="B633" s="151" t="s">
        <v>1798</v>
      </c>
    </row>
    <row r="634" spans="1:2">
      <c r="A634" s="151" t="s">
        <v>1799</v>
      </c>
      <c r="B634" s="151" t="s">
        <v>1800</v>
      </c>
    </row>
    <row r="635" spans="1:2">
      <c r="A635" s="151" t="s">
        <v>1801</v>
      </c>
      <c r="B635" s="151" t="s">
        <v>1802</v>
      </c>
    </row>
    <row r="636" spans="1:2">
      <c r="A636" s="151" t="s">
        <v>1803</v>
      </c>
      <c r="B636" s="151" t="s">
        <v>1804</v>
      </c>
    </row>
    <row r="637" spans="1:2">
      <c r="A637" s="151" t="s">
        <v>1805</v>
      </c>
      <c r="B637" s="151" t="s">
        <v>1806</v>
      </c>
    </row>
    <row r="638" spans="1:2">
      <c r="A638" s="151" t="s">
        <v>1807</v>
      </c>
      <c r="B638" s="151" t="s">
        <v>1808</v>
      </c>
    </row>
    <row r="639" spans="1:2">
      <c r="A639" s="151" t="s">
        <v>1809</v>
      </c>
      <c r="B639" s="151" t="s">
        <v>1810</v>
      </c>
    </row>
    <row r="640" spans="1:2">
      <c r="A640" s="151" t="s">
        <v>1811</v>
      </c>
      <c r="B640" s="151" t="s">
        <v>1812</v>
      </c>
    </row>
    <row r="641" spans="1:2">
      <c r="A641" s="151" t="s">
        <v>1813</v>
      </c>
      <c r="B641" s="151" t="s">
        <v>1814</v>
      </c>
    </row>
    <row r="642" spans="1:2">
      <c r="A642" s="151" t="s">
        <v>1815</v>
      </c>
      <c r="B642" s="151" t="s">
        <v>1816</v>
      </c>
    </row>
    <row r="643" spans="1:2">
      <c r="A643" s="151" t="s">
        <v>1817</v>
      </c>
      <c r="B643" s="151" t="s">
        <v>1818</v>
      </c>
    </row>
    <row r="644" spans="1:2">
      <c r="A644" s="151" t="s">
        <v>1819</v>
      </c>
      <c r="B644" s="151" t="s">
        <v>1820</v>
      </c>
    </row>
    <row r="645" spans="1:2">
      <c r="A645" s="151" t="s">
        <v>1821</v>
      </c>
      <c r="B645" s="151" t="s">
        <v>1822</v>
      </c>
    </row>
    <row r="646" spans="1:2">
      <c r="A646" s="151" t="s">
        <v>1823</v>
      </c>
      <c r="B646" s="151" t="s">
        <v>1824</v>
      </c>
    </row>
    <row r="647" spans="1:2">
      <c r="A647" s="151" t="s">
        <v>1825</v>
      </c>
      <c r="B647" s="151" t="s">
        <v>1826</v>
      </c>
    </row>
    <row r="648" spans="1:2">
      <c r="A648" s="151" t="s">
        <v>1827</v>
      </c>
      <c r="B648" s="151" t="s">
        <v>1828</v>
      </c>
    </row>
    <row r="649" spans="1:2">
      <c r="A649" s="151" t="s">
        <v>1829</v>
      </c>
      <c r="B649" s="151" t="s">
        <v>1830</v>
      </c>
    </row>
    <row r="650" spans="1:2">
      <c r="A650" s="151" t="s">
        <v>1831</v>
      </c>
      <c r="B650" s="151" t="s">
        <v>1832</v>
      </c>
    </row>
    <row r="651" spans="1:2">
      <c r="A651" s="151" t="s">
        <v>1833</v>
      </c>
      <c r="B651" s="151" t="s">
        <v>1834</v>
      </c>
    </row>
    <row r="652" spans="1:2">
      <c r="A652" s="151" t="s">
        <v>1835</v>
      </c>
      <c r="B652" s="151" t="s">
        <v>1836</v>
      </c>
    </row>
    <row r="653" spans="1:2">
      <c r="A653" s="151" t="s">
        <v>1837</v>
      </c>
      <c r="B653" s="151" t="s">
        <v>1838</v>
      </c>
    </row>
    <row r="654" spans="1:2">
      <c r="A654" s="151" t="s">
        <v>1839</v>
      </c>
      <c r="B654" s="151" t="s">
        <v>1840</v>
      </c>
    </row>
    <row r="655" spans="1:2">
      <c r="A655" s="151" t="s">
        <v>1841</v>
      </c>
      <c r="B655" s="151" t="s">
        <v>1842</v>
      </c>
    </row>
    <row r="656" spans="1:2">
      <c r="A656" s="151" t="s">
        <v>1843</v>
      </c>
      <c r="B656" s="151" t="s">
        <v>1844</v>
      </c>
    </row>
    <row r="657" spans="1:2">
      <c r="A657" s="151" t="s">
        <v>1845</v>
      </c>
      <c r="B657" s="151" t="s">
        <v>1846</v>
      </c>
    </row>
    <row r="658" spans="1:2">
      <c r="A658" s="151" t="s">
        <v>1847</v>
      </c>
      <c r="B658" s="151" t="s">
        <v>1848</v>
      </c>
    </row>
    <row r="659" spans="1:2">
      <c r="A659" s="151" t="s">
        <v>1849</v>
      </c>
      <c r="B659" s="151" t="s">
        <v>1850</v>
      </c>
    </row>
    <row r="660" spans="1:2">
      <c r="A660" s="151" t="s">
        <v>1851</v>
      </c>
      <c r="B660" s="151" t="s">
        <v>1852</v>
      </c>
    </row>
    <row r="661" spans="1:2">
      <c r="A661" s="151" t="s">
        <v>1853</v>
      </c>
      <c r="B661" s="151" t="s">
        <v>1854</v>
      </c>
    </row>
    <row r="662" spans="1:2">
      <c r="A662" s="151" t="s">
        <v>1855</v>
      </c>
      <c r="B662" s="151" t="s">
        <v>1856</v>
      </c>
    </row>
    <row r="663" spans="1:2">
      <c r="A663" s="151" t="s">
        <v>1857</v>
      </c>
      <c r="B663" s="151" t="s">
        <v>1858</v>
      </c>
    </row>
    <row r="664" spans="1:2">
      <c r="A664" s="151" t="s">
        <v>1859</v>
      </c>
      <c r="B664" s="151" t="s">
        <v>1860</v>
      </c>
    </row>
    <row r="665" spans="1:2">
      <c r="A665" s="151" t="s">
        <v>1861</v>
      </c>
      <c r="B665" s="151" t="s">
        <v>1862</v>
      </c>
    </row>
    <row r="666" spans="1:2">
      <c r="A666" s="151" t="s">
        <v>1863</v>
      </c>
      <c r="B666" s="151" t="s">
        <v>1864</v>
      </c>
    </row>
    <row r="667" spans="1:2">
      <c r="A667" s="151" t="s">
        <v>1865</v>
      </c>
      <c r="B667" s="151" t="s">
        <v>1866</v>
      </c>
    </row>
    <row r="668" spans="1:2">
      <c r="A668" s="151" t="s">
        <v>1867</v>
      </c>
      <c r="B668" s="151" t="s">
        <v>1868</v>
      </c>
    </row>
    <row r="669" spans="1:2">
      <c r="A669" s="151" t="s">
        <v>1869</v>
      </c>
      <c r="B669" s="151" t="s">
        <v>1870</v>
      </c>
    </row>
    <row r="670" spans="1:2">
      <c r="A670" s="151" t="s">
        <v>1871</v>
      </c>
      <c r="B670" s="151" t="s">
        <v>1872</v>
      </c>
    </row>
    <row r="671" spans="1:2">
      <c r="A671" s="151" t="s">
        <v>1873</v>
      </c>
      <c r="B671" s="151" t="s">
        <v>1874</v>
      </c>
    </row>
    <row r="672" spans="1:2">
      <c r="A672" s="151" t="s">
        <v>1875</v>
      </c>
      <c r="B672" s="151" t="s">
        <v>1876</v>
      </c>
    </row>
    <row r="673" spans="1:2">
      <c r="A673" s="151" t="s">
        <v>1877</v>
      </c>
      <c r="B673" s="151" t="s">
        <v>1878</v>
      </c>
    </row>
    <row r="674" spans="1:2">
      <c r="A674" s="151" t="s">
        <v>1879</v>
      </c>
      <c r="B674" s="151" t="s">
        <v>1880</v>
      </c>
    </row>
    <row r="675" spans="1:2">
      <c r="A675" s="151" t="s">
        <v>1881</v>
      </c>
      <c r="B675" s="151" t="s">
        <v>1882</v>
      </c>
    </row>
    <row r="676" spans="1:2">
      <c r="A676" s="151" t="s">
        <v>1883</v>
      </c>
      <c r="B676" s="151" t="s">
        <v>1884</v>
      </c>
    </row>
    <row r="677" spans="1:2">
      <c r="A677" s="151" t="s">
        <v>1885</v>
      </c>
      <c r="B677" s="151" t="s">
        <v>1886</v>
      </c>
    </row>
    <row r="678" spans="1:2">
      <c r="A678" s="151" t="s">
        <v>1887</v>
      </c>
      <c r="B678" s="151" t="s">
        <v>1888</v>
      </c>
    </row>
    <row r="679" spans="1:2">
      <c r="A679" s="151" t="s">
        <v>1889</v>
      </c>
      <c r="B679" s="151" t="s">
        <v>1890</v>
      </c>
    </row>
    <row r="680" spans="1:2">
      <c r="A680" s="151" t="s">
        <v>1891</v>
      </c>
      <c r="B680" s="151" t="s">
        <v>1892</v>
      </c>
    </row>
    <row r="681" spans="1:2">
      <c r="A681" s="151" t="s">
        <v>1893</v>
      </c>
      <c r="B681" s="151" t="s">
        <v>1894</v>
      </c>
    </row>
    <row r="682" spans="1:2">
      <c r="A682" s="151" t="s">
        <v>1895</v>
      </c>
      <c r="B682" s="151" t="s">
        <v>1896</v>
      </c>
    </row>
    <row r="683" spans="1:2">
      <c r="A683" s="151" t="s">
        <v>1897</v>
      </c>
      <c r="B683" s="151" t="s">
        <v>1898</v>
      </c>
    </row>
    <row r="684" spans="1:2">
      <c r="A684" s="151" t="s">
        <v>1899</v>
      </c>
      <c r="B684" s="151" t="s">
        <v>1900</v>
      </c>
    </row>
    <row r="685" spans="1:2">
      <c r="A685" s="151" t="s">
        <v>1901</v>
      </c>
      <c r="B685" s="151" t="s">
        <v>1902</v>
      </c>
    </row>
    <row r="686" spans="1:2">
      <c r="A686" s="151" t="s">
        <v>1903</v>
      </c>
      <c r="B686" s="151" t="s">
        <v>1904</v>
      </c>
    </row>
    <row r="687" spans="1:2">
      <c r="A687" s="151" t="s">
        <v>1905</v>
      </c>
      <c r="B687" s="151" t="s">
        <v>1906</v>
      </c>
    </row>
    <row r="688" spans="1:2">
      <c r="A688" s="151" t="s">
        <v>1907</v>
      </c>
      <c r="B688" s="151" t="s">
        <v>1908</v>
      </c>
    </row>
    <row r="689" spans="1:2">
      <c r="A689" s="151" t="s">
        <v>1909</v>
      </c>
      <c r="B689" s="151" t="s">
        <v>1910</v>
      </c>
    </row>
    <row r="690" spans="1:2">
      <c r="A690" s="151" t="s">
        <v>1911</v>
      </c>
      <c r="B690" s="151" t="s">
        <v>1912</v>
      </c>
    </row>
    <row r="691" spans="1:2">
      <c r="A691" s="151" t="s">
        <v>1913</v>
      </c>
      <c r="B691" s="151" t="s">
        <v>1914</v>
      </c>
    </row>
    <row r="692" spans="1:2">
      <c r="A692" s="151" t="s">
        <v>1915</v>
      </c>
      <c r="B692" s="151" t="s">
        <v>1916</v>
      </c>
    </row>
    <row r="693" spans="1:2">
      <c r="A693" s="151" t="s">
        <v>1917</v>
      </c>
      <c r="B693" s="151" t="s">
        <v>1918</v>
      </c>
    </row>
    <row r="694" spans="1:2">
      <c r="A694" s="151" t="s">
        <v>1919</v>
      </c>
      <c r="B694" s="151" t="s">
        <v>1920</v>
      </c>
    </row>
    <row r="695" spans="1:2">
      <c r="A695" s="151" t="s">
        <v>1921</v>
      </c>
      <c r="B695" s="151" t="s">
        <v>1922</v>
      </c>
    </row>
    <row r="696" spans="1:2">
      <c r="A696" s="151" t="s">
        <v>1923</v>
      </c>
      <c r="B696" s="151" t="s">
        <v>1924</v>
      </c>
    </row>
    <row r="697" spans="1:2">
      <c r="A697" s="151" t="s">
        <v>1925</v>
      </c>
      <c r="B697" s="151" t="s">
        <v>1926</v>
      </c>
    </row>
    <row r="698" spans="1:2">
      <c r="A698" s="151" t="s">
        <v>1927</v>
      </c>
      <c r="B698" s="151" t="s">
        <v>1928</v>
      </c>
    </row>
    <row r="699" spans="1:2">
      <c r="A699" s="151" t="s">
        <v>1929</v>
      </c>
      <c r="B699" s="151" t="s">
        <v>1930</v>
      </c>
    </row>
    <row r="700" spans="1:2">
      <c r="A700" s="151" t="s">
        <v>1931</v>
      </c>
      <c r="B700" s="151" t="s">
        <v>1932</v>
      </c>
    </row>
    <row r="701" spans="1:2">
      <c r="A701" s="151" t="s">
        <v>1933</v>
      </c>
      <c r="B701" s="151" t="s">
        <v>1934</v>
      </c>
    </row>
    <row r="702" spans="1:2">
      <c r="A702" s="151" t="s">
        <v>1935</v>
      </c>
      <c r="B702" s="151" t="s">
        <v>1936</v>
      </c>
    </row>
    <row r="703" spans="1:2">
      <c r="A703" s="151" t="s">
        <v>1937</v>
      </c>
      <c r="B703" s="151" t="s">
        <v>1938</v>
      </c>
    </row>
    <row r="704" spans="1:2">
      <c r="A704" s="151" t="s">
        <v>1939</v>
      </c>
      <c r="B704" s="151" t="s">
        <v>1940</v>
      </c>
    </row>
    <row r="705" spans="1:2">
      <c r="A705" s="151" t="s">
        <v>1941</v>
      </c>
      <c r="B705" s="151" t="s">
        <v>1942</v>
      </c>
    </row>
    <row r="706" spans="1:2">
      <c r="A706" s="151" t="s">
        <v>1943</v>
      </c>
      <c r="B706" s="151" t="s">
        <v>1944</v>
      </c>
    </row>
    <row r="707" spans="1:2">
      <c r="A707" s="151" t="s">
        <v>1945</v>
      </c>
      <c r="B707" s="151" t="s">
        <v>1946</v>
      </c>
    </row>
    <row r="708" spans="1:2">
      <c r="A708" s="151" t="s">
        <v>1947</v>
      </c>
      <c r="B708" s="151" t="s">
        <v>1948</v>
      </c>
    </row>
    <row r="709" spans="1:2">
      <c r="A709" s="151" t="s">
        <v>1949</v>
      </c>
      <c r="B709" s="151" t="s">
        <v>1950</v>
      </c>
    </row>
    <row r="710" spans="1:2">
      <c r="A710" s="151" t="s">
        <v>1951</v>
      </c>
      <c r="B710" s="151" t="s">
        <v>1952</v>
      </c>
    </row>
    <row r="711" spans="1:2">
      <c r="A711" s="151" t="s">
        <v>1953</v>
      </c>
      <c r="B711" s="151" t="s">
        <v>1954</v>
      </c>
    </row>
    <row r="712" spans="1:2">
      <c r="A712" s="151" t="s">
        <v>1955</v>
      </c>
      <c r="B712" s="151" t="s">
        <v>1956</v>
      </c>
    </row>
    <row r="713" spans="1:2">
      <c r="A713" s="151" t="s">
        <v>1957</v>
      </c>
      <c r="B713" s="151" t="s">
        <v>1958</v>
      </c>
    </row>
    <row r="714" spans="1:2">
      <c r="A714" s="151" t="s">
        <v>1959</v>
      </c>
      <c r="B714" s="151" t="s">
        <v>1960</v>
      </c>
    </row>
    <row r="715" spans="1:2">
      <c r="A715" s="151" t="s">
        <v>1961</v>
      </c>
      <c r="B715" s="151" t="s">
        <v>1962</v>
      </c>
    </row>
    <row r="716" spans="1:2">
      <c r="A716" s="151" t="s">
        <v>1963</v>
      </c>
      <c r="B716" s="151" t="s">
        <v>1964</v>
      </c>
    </row>
    <row r="717" spans="1:2">
      <c r="A717" s="151" t="s">
        <v>1965</v>
      </c>
      <c r="B717" s="151" t="s">
        <v>1966</v>
      </c>
    </row>
    <row r="718" spans="1:2">
      <c r="A718" s="151" t="s">
        <v>1967</v>
      </c>
      <c r="B718" s="151" t="s">
        <v>1968</v>
      </c>
    </row>
    <row r="719" spans="1:2">
      <c r="A719" s="151" t="s">
        <v>1969</v>
      </c>
      <c r="B719" s="151" t="s">
        <v>1970</v>
      </c>
    </row>
    <row r="720" spans="1:2">
      <c r="A720" s="151" t="s">
        <v>1971</v>
      </c>
      <c r="B720" s="151" t="s">
        <v>1972</v>
      </c>
    </row>
    <row r="721" spans="1:2">
      <c r="A721" s="151" t="s">
        <v>1973</v>
      </c>
      <c r="B721" s="151" t="s">
        <v>1974</v>
      </c>
    </row>
    <row r="722" spans="1:2">
      <c r="A722" s="151" t="s">
        <v>1975</v>
      </c>
      <c r="B722" s="151" t="s">
        <v>1976</v>
      </c>
    </row>
    <row r="723" spans="1:2">
      <c r="A723" s="151" t="s">
        <v>1977</v>
      </c>
      <c r="B723" s="151" t="s">
        <v>1978</v>
      </c>
    </row>
    <row r="724" spans="1:2">
      <c r="A724" s="151" t="s">
        <v>1979</v>
      </c>
      <c r="B724" s="151" t="s">
        <v>1980</v>
      </c>
    </row>
    <row r="725" spans="1:2">
      <c r="A725" s="151" t="s">
        <v>1981</v>
      </c>
      <c r="B725" s="151" t="s">
        <v>1982</v>
      </c>
    </row>
    <row r="726" spans="1:2">
      <c r="A726" s="151" t="s">
        <v>1983</v>
      </c>
      <c r="B726" s="151" t="s">
        <v>1984</v>
      </c>
    </row>
    <row r="727" spans="1:2">
      <c r="A727" s="151" t="s">
        <v>1985</v>
      </c>
      <c r="B727" s="151" t="s">
        <v>1986</v>
      </c>
    </row>
    <row r="728" spans="1:2">
      <c r="A728" s="151" t="s">
        <v>1987</v>
      </c>
      <c r="B728" s="151" t="s">
        <v>1988</v>
      </c>
    </row>
    <row r="729" spans="1:2">
      <c r="A729" s="151" t="s">
        <v>1989</v>
      </c>
      <c r="B729" s="151" t="s">
        <v>1990</v>
      </c>
    </row>
    <row r="730" spans="1:2">
      <c r="A730" s="151" t="s">
        <v>1991</v>
      </c>
      <c r="B730" s="151" t="s">
        <v>1992</v>
      </c>
    </row>
    <row r="731" spans="1:2">
      <c r="A731" s="151" t="s">
        <v>1993</v>
      </c>
      <c r="B731" s="151" t="s">
        <v>1994</v>
      </c>
    </row>
    <row r="732" spans="1:2">
      <c r="A732" s="151" t="s">
        <v>1995</v>
      </c>
      <c r="B732" s="151" t="s">
        <v>1996</v>
      </c>
    </row>
    <row r="733" spans="1:2">
      <c r="A733" s="151" t="s">
        <v>1997</v>
      </c>
      <c r="B733" s="151" t="s">
        <v>1998</v>
      </c>
    </row>
    <row r="734" spans="1:2">
      <c r="A734" s="151" t="s">
        <v>1999</v>
      </c>
      <c r="B734" s="151" t="s">
        <v>2000</v>
      </c>
    </row>
    <row r="735" spans="1:2">
      <c r="A735" s="151" t="s">
        <v>2001</v>
      </c>
      <c r="B735" s="151" t="s">
        <v>2002</v>
      </c>
    </row>
    <row r="736" spans="1:2">
      <c r="A736" s="151" t="s">
        <v>2003</v>
      </c>
      <c r="B736" s="151" t="s">
        <v>2004</v>
      </c>
    </row>
    <row r="737" spans="1:2">
      <c r="A737" s="151" t="s">
        <v>2005</v>
      </c>
      <c r="B737" s="151" t="s">
        <v>2006</v>
      </c>
    </row>
    <row r="738" spans="1:2">
      <c r="A738" s="151" t="s">
        <v>2007</v>
      </c>
      <c r="B738" s="151" t="s">
        <v>2008</v>
      </c>
    </row>
    <row r="739" spans="1:2">
      <c r="A739" s="151" t="s">
        <v>2009</v>
      </c>
      <c r="B739" s="151" t="s">
        <v>2010</v>
      </c>
    </row>
    <row r="740" spans="1:2">
      <c r="A740" s="151" t="s">
        <v>2011</v>
      </c>
      <c r="B740" s="151" t="s">
        <v>2012</v>
      </c>
    </row>
    <row r="741" spans="1:2">
      <c r="A741" s="151" t="s">
        <v>2013</v>
      </c>
      <c r="B741" s="151" t="s">
        <v>2014</v>
      </c>
    </row>
    <row r="742" spans="1:2">
      <c r="A742" s="151" t="s">
        <v>2015</v>
      </c>
      <c r="B742" s="151" t="s">
        <v>2016</v>
      </c>
    </row>
    <row r="743" spans="1:2">
      <c r="A743" s="151" t="s">
        <v>2017</v>
      </c>
      <c r="B743" s="151" t="s">
        <v>2018</v>
      </c>
    </row>
    <row r="744" spans="1:2">
      <c r="A744" s="151" t="s">
        <v>2019</v>
      </c>
      <c r="B744" s="151" t="s">
        <v>2020</v>
      </c>
    </row>
    <row r="745" spans="1:2">
      <c r="A745" s="151" t="s">
        <v>2021</v>
      </c>
      <c r="B745" s="151" t="s">
        <v>2022</v>
      </c>
    </row>
    <row r="746" spans="1:2">
      <c r="A746" s="151" t="s">
        <v>2023</v>
      </c>
      <c r="B746" s="151" t="s">
        <v>2024</v>
      </c>
    </row>
    <row r="747" spans="1:2">
      <c r="A747" s="151" t="s">
        <v>2025</v>
      </c>
      <c r="B747" s="151" t="s">
        <v>2026</v>
      </c>
    </row>
    <row r="748" spans="1:2">
      <c r="A748" s="151" t="s">
        <v>2027</v>
      </c>
      <c r="B748" s="151" t="s">
        <v>2028</v>
      </c>
    </row>
    <row r="749" spans="1:2">
      <c r="A749" s="151" t="s">
        <v>2029</v>
      </c>
      <c r="B749" s="151" t="s">
        <v>2030</v>
      </c>
    </row>
    <row r="750" spans="1:2">
      <c r="A750" s="151" t="s">
        <v>2031</v>
      </c>
      <c r="B750" s="151" t="s">
        <v>2032</v>
      </c>
    </row>
    <row r="751" spans="1:2">
      <c r="A751" s="151" t="s">
        <v>2033</v>
      </c>
      <c r="B751" s="151" t="s">
        <v>2034</v>
      </c>
    </row>
    <row r="752" spans="1:2">
      <c r="A752" s="151" t="s">
        <v>2035</v>
      </c>
      <c r="B752" s="151" t="s">
        <v>2036</v>
      </c>
    </row>
    <row r="753" spans="1:2">
      <c r="A753" s="151" t="s">
        <v>2037</v>
      </c>
      <c r="B753" s="151" t="s">
        <v>2038</v>
      </c>
    </row>
    <row r="754" spans="1:2">
      <c r="A754" s="151" t="s">
        <v>2039</v>
      </c>
      <c r="B754" s="151" t="s">
        <v>2040</v>
      </c>
    </row>
    <row r="755" spans="1:2">
      <c r="A755" s="151" t="s">
        <v>2041</v>
      </c>
      <c r="B755" s="151" t="s">
        <v>2042</v>
      </c>
    </row>
    <row r="756" spans="1:2">
      <c r="A756" s="151" t="s">
        <v>2043</v>
      </c>
      <c r="B756" s="151" t="s">
        <v>2044</v>
      </c>
    </row>
    <row r="757" spans="1:2">
      <c r="A757" s="151" t="s">
        <v>2045</v>
      </c>
      <c r="B757" s="151" t="s">
        <v>2046</v>
      </c>
    </row>
    <row r="758" spans="1:2">
      <c r="A758" s="151" t="s">
        <v>2047</v>
      </c>
      <c r="B758" s="151" t="s">
        <v>2048</v>
      </c>
    </row>
    <row r="759" spans="1:2">
      <c r="A759" s="151" t="s">
        <v>2049</v>
      </c>
      <c r="B759" s="151" t="s">
        <v>2050</v>
      </c>
    </row>
    <row r="760" spans="1:2">
      <c r="A760" s="151" t="s">
        <v>2051</v>
      </c>
      <c r="B760" s="151" t="s">
        <v>2052</v>
      </c>
    </row>
    <row r="761" spans="1:2">
      <c r="A761" s="151" t="s">
        <v>2053</v>
      </c>
      <c r="B761" s="151" t="s">
        <v>2054</v>
      </c>
    </row>
    <row r="762" spans="1:2">
      <c r="A762" s="151" t="s">
        <v>2055</v>
      </c>
      <c r="B762" s="151" t="s">
        <v>2056</v>
      </c>
    </row>
    <row r="763" spans="1:2">
      <c r="A763" s="151" t="s">
        <v>2057</v>
      </c>
      <c r="B763" s="151" t="s">
        <v>2058</v>
      </c>
    </row>
    <row r="764" spans="1:2">
      <c r="A764" s="151" t="s">
        <v>2059</v>
      </c>
      <c r="B764" s="151" t="s">
        <v>2060</v>
      </c>
    </row>
    <row r="765" spans="1:2">
      <c r="A765" s="151" t="s">
        <v>2061</v>
      </c>
      <c r="B765" s="151" t="s">
        <v>2062</v>
      </c>
    </row>
    <row r="766" spans="1:2">
      <c r="A766" s="151" t="s">
        <v>2063</v>
      </c>
      <c r="B766" s="151" t="s">
        <v>2064</v>
      </c>
    </row>
    <row r="767" spans="1:2">
      <c r="A767" s="151" t="s">
        <v>2065</v>
      </c>
      <c r="B767" s="151" t="s">
        <v>2066</v>
      </c>
    </row>
    <row r="768" spans="1:2">
      <c r="A768" s="151" t="s">
        <v>2067</v>
      </c>
      <c r="B768" s="151" t="s">
        <v>2068</v>
      </c>
    </row>
    <row r="769" spans="1:2">
      <c r="A769" s="151" t="s">
        <v>2069</v>
      </c>
      <c r="B769" s="151" t="s">
        <v>2070</v>
      </c>
    </row>
    <row r="770" spans="1:2">
      <c r="A770" s="151" t="s">
        <v>2071</v>
      </c>
      <c r="B770" s="151" t="s">
        <v>2072</v>
      </c>
    </row>
    <row r="771" spans="1:2">
      <c r="A771" s="151" t="s">
        <v>2073</v>
      </c>
      <c r="B771" s="151" t="s">
        <v>2074</v>
      </c>
    </row>
    <row r="772" spans="1:2">
      <c r="A772" s="151" t="s">
        <v>2075</v>
      </c>
      <c r="B772" s="151" t="s">
        <v>2076</v>
      </c>
    </row>
    <row r="773" spans="1:2">
      <c r="A773" s="151" t="s">
        <v>2077</v>
      </c>
      <c r="B773" s="151" t="s">
        <v>2078</v>
      </c>
    </row>
    <row r="774" spans="1:2">
      <c r="A774" s="151" t="s">
        <v>2079</v>
      </c>
      <c r="B774" s="151" t="s">
        <v>2080</v>
      </c>
    </row>
    <row r="775" spans="1:2">
      <c r="A775" s="151" t="s">
        <v>2081</v>
      </c>
      <c r="B775" s="151" t="s">
        <v>2082</v>
      </c>
    </row>
    <row r="776" spans="1:2">
      <c r="A776" s="151" t="s">
        <v>2083</v>
      </c>
      <c r="B776" s="151" t="s">
        <v>2084</v>
      </c>
    </row>
    <row r="777" spans="1:2">
      <c r="A777" s="151" t="s">
        <v>2085</v>
      </c>
      <c r="B777" s="151" t="s">
        <v>2086</v>
      </c>
    </row>
    <row r="778" spans="1:2">
      <c r="A778" s="151" t="s">
        <v>2087</v>
      </c>
      <c r="B778" s="151" t="s">
        <v>2088</v>
      </c>
    </row>
    <row r="779" spans="1:2">
      <c r="A779" s="151" t="s">
        <v>2089</v>
      </c>
      <c r="B779" s="151" t="s">
        <v>2090</v>
      </c>
    </row>
    <row r="780" spans="1:2">
      <c r="A780" s="151" t="s">
        <v>2091</v>
      </c>
      <c r="B780" s="151" t="s">
        <v>2092</v>
      </c>
    </row>
    <row r="781" spans="1:2">
      <c r="A781" s="151" t="s">
        <v>2093</v>
      </c>
      <c r="B781" s="151" t="s">
        <v>2094</v>
      </c>
    </row>
    <row r="782" spans="1:2">
      <c r="A782" s="151" t="s">
        <v>2095</v>
      </c>
      <c r="B782" s="151" t="s">
        <v>2096</v>
      </c>
    </row>
    <row r="783" spans="1:2">
      <c r="A783" s="151" t="s">
        <v>2097</v>
      </c>
      <c r="B783" s="151" t="s">
        <v>2098</v>
      </c>
    </row>
    <row r="784" spans="1:2">
      <c r="A784" s="151" t="s">
        <v>2099</v>
      </c>
      <c r="B784" s="151" t="s">
        <v>2100</v>
      </c>
    </row>
    <row r="785" spans="1:2">
      <c r="A785" s="151" t="s">
        <v>2101</v>
      </c>
      <c r="B785" s="151" t="s">
        <v>2102</v>
      </c>
    </row>
    <row r="786" spans="1:2">
      <c r="A786" s="151" t="s">
        <v>2103</v>
      </c>
      <c r="B786" s="151" t="s">
        <v>2104</v>
      </c>
    </row>
    <row r="787" spans="1:2">
      <c r="A787" s="151" t="s">
        <v>2105</v>
      </c>
      <c r="B787" s="151" t="s">
        <v>2106</v>
      </c>
    </row>
    <row r="788" spans="1:2">
      <c r="A788" s="151" t="s">
        <v>2107</v>
      </c>
      <c r="B788" s="151" t="s">
        <v>2108</v>
      </c>
    </row>
    <row r="789" spans="1:2">
      <c r="A789" s="151" t="s">
        <v>2109</v>
      </c>
      <c r="B789" s="151" t="s">
        <v>2110</v>
      </c>
    </row>
    <row r="790" spans="1:2">
      <c r="A790" s="151" t="s">
        <v>2111</v>
      </c>
      <c r="B790" s="151" t="s">
        <v>2112</v>
      </c>
    </row>
    <row r="791" spans="1:2">
      <c r="A791" s="151" t="s">
        <v>2113</v>
      </c>
      <c r="B791" s="151" t="s">
        <v>2114</v>
      </c>
    </row>
    <row r="792" spans="1:2">
      <c r="A792" s="151" t="s">
        <v>2115</v>
      </c>
      <c r="B792" s="151" t="s">
        <v>2116</v>
      </c>
    </row>
    <row r="793" spans="1:2">
      <c r="A793" s="151" t="s">
        <v>2117</v>
      </c>
      <c r="B793" s="151" t="s">
        <v>2118</v>
      </c>
    </row>
    <row r="794" spans="1:2">
      <c r="A794" s="151" t="s">
        <v>2119</v>
      </c>
      <c r="B794" s="151" t="s">
        <v>2120</v>
      </c>
    </row>
    <row r="795" spans="1:2">
      <c r="A795" s="151" t="s">
        <v>2121</v>
      </c>
      <c r="B795" s="151" t="s">
        <v>2122</v>
      </c>
    </row>
    <row r="796" spans="1:2">
      <c r="A796" s="151" t="s">
        <v>2123</v>
      </c>
      <c r="B796" s="151" t="s">
        <v>2124</v>
      </c>
    </row>
    <row r="797" spans="1:2">
      <c r="A797" s="151" t="s">
        <v>2125</v>
      </c>
      <c r="B797" s="151" t="s">
        <v>2126</v>
      </c>
    </row>
    <row r="798" spans="1:2">
      <c r="A798" s="151" t="s">
        <v>2127</v>
      </c>
      <c r="B798" s="151" t="s">
        <v>2128</v>
      </c>
    </row>
    <row r="799" spans="1:2">
      <c r="A799" s="151" t="s">
        <v>2129</v>
      </c>
      <c r="B799" s="151" t="s">
        <v>2130</v>
      </c>
    </row>
    <row r="800" spans="1:2">
      <c r="A800" s="151" t="s">
        <v>2131</v>
      </c>
      <c r="B800" s="151" t="s">
        <v>2132</v>
      </c>
    </row>
    <row r="801" spans="1:2">
      <c r="A801" s="151" t="s">
        <v>2133</v>
      </c>
      <c r="B801" s="151" t="s">
        <v>2134</v>
      </c>
    </row>
    <row r="802" spans="1:2">
      <c r="A802" s="151" t="s">
        <v>2135</v>
      </c>
      <c r="B802" s="151" t="s">
        <v>2136</v>
      </c>
    </row>
    <row r="803" spans="1:2">
      <c r="A803" s="151" t="s">
        <v>2137</v>
      </c>
      <c r="B803" s="151" t="s">
        <v>2138</v>
      </c>
    </row>
    <row r="804" spans="1:2">
      <c r="A804" s="151" t="s">
        <v>2139</v>
      </c>
      <c r="B804" s="151" t="s">
        <v>2140</v>
      </c>
    </row>
    <row r="805" spans="1:2">
      <c r="A805" s="151" t="s">
        <v>2141</v>
      </c>
      <c r="B805" s="151" t="s">
        <v>2142</v>
      </c>
    </row>
    <row r="806" spans="1:2">
      <c r="A806" s="151" t="s">
        <v>2143</v>
      </c>
      <c r="B806" s="151" t="s">
        <v>2144</v>
      </c>
    </row>
    <row r="807" spans="1:2">
      <c r="A807" s="151" t="s">
        <v>2145</v>
      </c>
      <c r="B807" s="151" t="s">
        <v>2146</v>
      </c>
    </row>
    <row r="808" spans="1:2">
      <c r="A808" s="151" t="s">
        <v>2147</v>
      </c>
      <c r="B808" s="151" t="s">
        <v>2148</v>
      </c>
    </row>
    <row r="809" spans="1:2">
      <c r="A809" s="151" t="s">
        <v>2149</v>
      </c>
      <c r="B809" s="151" t="s">
        <v>2150</v>
      </c>
    </row>
    <row r="810" spans="1:2">
      <c r="A810" s="151" t="s">
        <v>2151</v>
      </c>
      <c r="B810" s="151" t="s">
        <v>2152</v>
      </c>
    </row>
    <row r="811" spans="1:2">
      <c r="A811" s="151" t="s">
        <v>2153</v>
      </c>
      <c r="B811" s="151" t="s">
        <v>2154</v>
      </c>
    </row>
    <row r="812" spans="1:2">
      <c r="A812" s="151" t="s">
        <v>2155</v>
      </c>
      <c r="B812" s="151" t="s">
        <v>2156</v>
      </c>
    </row>
    <row r="813" spans="1:2">
      <c r="A813" s="151" t="s">
        <v>2157</v>
      </c>
      <c r="B813" s="151" t="s">
        <v>2158</v>
      </c>
    </row>
    <row r="814" spans="1:2">
      <c r="A814" s="151" t="s">
        <v>2159</v>
      </c>
      <c r="B814" s="151" t="s">
        <v>2160</v>
      </c>
    </row>
    <row r="815" spans="1:2">
      <c r="A815" s="151" t="s">
        <v>2161</v>
      </c>
      <c r="B815" s="151" t="s">
        <v>2162</v>
      </c>
    </row>
    <row r="816" spans="1:2">
      <c r="A816" s="151" t="s">
        <v>2163</v>
      </c>
      <c r="B816" s="151" t="s">
        <v>2164</v>
      </c>
    </row>
    <row r="817" spans="1:2">
      <c r="A817" s="151" t="s">
        <v>2165</v>
      </c>
      <c r="B817" s="151" t="s">
        <v>2166</v>
      </c>
    </row>
    <row r="818" spans="1:2">
      <c r="A818" s="151" t="s">
        <v>2167</v>
      </c>
      <c r="B818" s="151" t="s">
        <v>2168</v>
      </c>
    </row>
    <row r="819" spans="1:2">
      <c r="A819" s="151" t="s">
        <v>2169</v>
      </c>
      <c r="B819" s="151" t="s">
        <v>2170</v>
      </c>
    </row>
    <row r="820" spans="1:2">
      <c r="A820" s="151" t="s">
        <v>2171</v>
      </c>
      <c r="B820" s="151" t="s">
        <v>2172</v>
      </c>
    </row>
    <row r="821" spans="1:2">
      <c r="A821" s="151" t="s">
        <v>2173</v>
      </c>
      <c r="B821" s="151" t="s">
        <v>2174</v>
      </c>
    </row>
    <row r="822" spans="1:2">
      <c r="A822" s="151" t="s">
        <v>2175</v>
      </c>
      <c r="B822" s="151" t="s">
        <v>2176</v>
      </c>
    </row>
    <row r="823" spans="1:2">
      <c r="A823" s="151" t="s">
        <v>2177</v>
      </c>
      <c r="B823" s="151" t="s">
        <v>2178</v>
      </c>
    </row>
    <row r="824" spans="1:2">
      <c r="A824" s="151" t="s">
        <v>2179</v>
      </c>
      <c r="B824" s="151" t="s">
        <v>2180</v>
      </c>
    </row>
    <row r="825" spans="1:2">
      <c r="A825" s="151" t="s">
        <v>2181</v>
      </c>
      <c r="B825" s="151" t="s">
        <v>2182</v>
      </c>
    </row>
    <row r="826" spans="1:2">
      <c r="A826" s="151" t="s">
        <v>2183</v>
      </c>
      <c r="B826" s="151" t="s">
        <v>2184</v>
      </c>
    </row>
    <row r="827" spans="1:2">
      <c r="A827" s="151" t="s">
        <v>2185</v>
      </c>
      <c r="B827" s="151" t="s">
        <v>2186</v>
      </c>
    </row>
    <row r="828" spans="1:2">
      <c r="A828" s="151" t="s">
        <v>2187</v>
      </c>
      <c r="B828" s="151" t="s">
        <v>2188</v>
      </c>
    </row>
    <row r="829" spans="1:2">
      <c r="A829" s="151" t="s">
        <v>2189</v>
      </c>
      <c r="B829" s="151" t="s">
        <v>2190</v>
      </c>
    </row>
    <row r="830" spans="1:2">
      <c r="A830" s="151" t="s">
        <v>2191</v>
      </c>
      <c r="B830" s="151" t="s">
        <v>2192</v>
      </c>
    </row>
    <row r="831" spans="1:2">
      <c r="A831" s="151" t="s">
        <v>2193</v>
      </c>
      <c r="B831" s="151" t="s">
        <v>2194</v>
      </c>
    </row>
    <row r="832" spans="1:2">
      <c r="A832" s="151" t="s">
        <v>2195</v>
      </c>
      <c r="B832" s="151" t="s">
        <v>2196</v>
      </c>
    </row>
    <row r="833" spans="1:2">
      <c r="A833" s="151" t="s">
        <v>2197</v>
      </c>
      <c r="B833" s="151" t="s">
        <v>2198</v>
      </c>
    </row>
    <row r="834" spans="1:2">
      <c r="A834" s="151" t="s">
        <v>2199</v>
      </c>
      <c r="B834" s="151" t="s">
        <v>2200</v>
      </c>
    </row>
    <row r="835" spans="1:2">
      <c r="A835" s="151" t="s">
        <v>2201</v>
      </c>
      <c r="B835" s="151" t="s">
        <v>2202</v>
      </c>
    </row>
    <row r="836" spans="1:2">
      <c r="A836" s="151" t="s">
        <v>2203</v>
      </c>
      <c r="B836" s="151" t="s">
        <v>2204</v>
      </c>
    </row>
    <row r="837" spans="1:2">
      <c r="A837" s="151" t="s">
        <v>2205</v>
      </c>
      <c r="B837" s="151" t="s">
        <v>2206</v>
      </c>
    </row>
    <row r="838" spans="1:2">
      <c r="A838" s="151" t="s">
        <v>2207</v>
      </c>
      <c r="B838" s="151" t="s">
        <v>2208</v>
      </c>
    </row>
    <row r="839" spans="1:2">
      <c r="A839" s="151" t="s">
        <v>2209</v>
      </c>
      <c r="B839" s="151" t="s">
        <v>2210</v>
      </c>
    </row>
    <row r="840" spans="1:2">
      <c r="A840" s="151" t="s">
        <v>2211</v>
      </c>
      <c r="B840" s="151" t="s">
        <v>2212</v>
      </c>
    </row>
    <row r="841" spans="1:2">
      <c r="A841" s="151" t="s">
        <v>2213</v>
      </c>
      <c r="B841" s="151" t="s">
        <v>2214</v>
      </c>
    </row>
    <row r="842" spans="1:2">
      <c r="A842" s="151" t="s">
        <v>2215</v>
      </c>
      <c r="B842" s="151" t="s">
        <v>2216</v>
      </c>
    </row>
    <row r="843" spans="1:2">
      <c r="A843" s="151" t="s">
        <v>156</v>
      </c>
      <c r="B843" s="151" t="s">
        <v>2217</v>
      </c>
    </row>
    <row r="844" spans="1:2">
      <c r="A844" s="151" t="s">
        <v>2218</v>
      </c>
      <c r="B844" s="151" t="s">
        <v>2219</v>
      </c>
    </row>
    <row r="845" spans="1:2">
      <c r="A845" s="151" t="s">
        <v>2220</v>
      </c>
      <c r="B845" s="151" t="s">
        <v>2221</v>
      </c>
    </row>
    <row r="846" spans="1:2">
      <c r="A846" s="151" t="s">
        <v>2222</v>
      </c>
      <c r="B846" s="151" t="s">
        <v>2223</v>
      </c>
    </row>
    <row r="847" spans="1:2">
      <c r="A847" s="151" t="s">
        <v>2224</v>
      </c>
      <c r="B847" s="151" t="s">
        <v>2225</v>
      </c>
    </row>
    <row r="848" spans="1:2">
      <c r="A848" s="151" t="s">
        <v>2226</v>
      </c>
      <c r="B848" s="151" t="s">
        <v>2227</v>
      </c>
    </row>
    <row r="849" spans="1:2">
      <c r="A849" s="151" t="s">
        <v>2228</v>
      </c>
      <c r="B849" s="151" t="s">
        <v>2229</v>
      </c>
    </row>
    <row r="850" spans="1:2">
      <c r="A850" s="151" t="s">
        <v>2230</v>
      </c>
      <c r="B850" s="151" t="s">
        <v>2231</v>
      </c>
    </row>
    <row r="851" spans="1:2">
      <c r="A851" s="151" t="s">
        <v>2232</v>
      </c>
      <c r="B851" s="151" t="s">
        <v>2233</v>
      </c>
    </row>
    <row r="852" spans="1:2">
      <c r="A852" s="151" t="s">
        <v>2234</v>
      </c>
      <c r="B852" s="151" t="s">
        <v>2235</v>
      </c>
    </row>
    <row r="853" spans="1:2">
      <c r="A853" s="151" t="s">
        <v>2236</v>
      </c>
      <c r="B853" s="151" t="s">
        <v>2237</v>
      </c>
    </row>
    <row r="854" spans="1:2">
      <c r="A854" s="151" t="s">
        <v>2238</v>
      </c>
      <c r="B854" s="151" t="s">
        <v>2239</v>
      </c>
    </row>
    <row r="855" spans="1:2">
      <c r="A855" s="151" t="s">
        <v>2240</v>
      </c>
      <c r="B855" s="151" t="s">
        <v>2241</v>
      </c>
    </row>
    <row r="856" spans="1:2">
      <c r="A856" s="151" t="s">
        <v>2242</v>
      </c>
      <c r="B856" s="151" t="s">
        <v>2243</v>
      </c>
    </row>
    <row r="857" spans="1:2">
      <c r="A857" s="151" t="s">
        <v>2244</v>
      </c>
      <c r="B857" s="151" t="s">
        <v>2245</v>
      </c>
    </row>
    <row r="858" spans="1:2">
      <c r="A858" s="151" t="s">
        <v>2246</v>
      </c>
      <c r="B858" s="151" t="s">
        <v>2247</v>
      </c>
    </row>
    <row r="859" spans="1:2">
      <c r="A859" s="151" t="s">
        <v>2248</v>
      </c>
      <c r="B859" s="151" t="s">
        <v>2249</v>
      </c>
    </row>
    <row r="860" spans="1:2">
      <c r="A860" s="151" t="s">
        <v>2250</v>
      </c>
      <c r="B860" s="151" t="s">
        <v>2251</v>
      </c>
    </row>
    <row r="861" spans="1:2">
      <c r="A861" s="151" t="s">
        <v>2252</v>
      </c>
      <c r="B861" s="151" t="s">
        <v>2253</v>
      </c>
    </row>
    <row r="862" spans="1:2">
      <c r="A862" s="151" t="s">
        <v>2254</v>
      </c>
      <c r="B862" s="151" t="s">
        <v>2255</v>
      </c>
    </row>
    <row r="863" spans="1:2">
      <c r="A863" s="151" t="s">
        <v>2256</v>
      </c>
      <c r="B863" s="151" t="s">
        <v>2257</v>
      </c>
    </row>
    <row r="864" spans="1:2">
      <c r="A864" s="151" t="s">
        <v>2258</v>
      </c>
      <c r="B864" s="151" t="s">
        <v>2259</v>
      </c>
    </row>
    <row r="865" spans="1:2">
      <c r="A865" s="151" t="s">
        <v>2260</v>
      </c>
      <c r="B865" s="151" t="s">
        <v>2261</v>
      </c>
    </row>
    <row r="866" spans="1:2">
      <c r="A866" s="151" t="s">
        <v>2262</v>
      </c>
      <c r="B866" s="151" t="s">
        <v>2263</v>
      </c>
    </row>
    <row r="867" spans="1:2">
      <c r="A867" s="151" t="s">
        <v>2264</v>
      </c>
      <c r="B867" s="151" t="s">
        <v>2265</v>
      </c>
    </row>
    <row r="868" spans="1:2">
      <c r="A868" s="151" t="s">
        <v>2266</v>
      </c>
      <c r="B868" s="151" t="s">
        <v>2267</v>
      </c>
    </row>
    <row r="869" spans="1:2">
      <c r="A869" s="151" t="s">
        <v>2268</v>
      </c>
      <c r="B869" s="151" t="s">
        <v>2269</v>
      </c>
    </row>
    <row r="870" spans="1:2">
      <c r="A870" s="151" t="s">
        <v>2270</v>
      </c>
      <c r="B870" s="151" t="s">
        <v>2271</v>
      </c>
    </row>
    <row r="871" spans="1:2">
      <c r="A871" s="151" t="s">
        <v>2272</v>
      </c>
      <c r="B871" s="151" t="s">
        <v>2273</v>
      </c>
    </row>
    <row r="872" spans="1:2">
      <c r="A872" s="151" t="s">
        <v>2274</v>
      </c>
      <c r="B872" s="151" t="s">
        <v>365</v>
      </c>
    </row>
    <row r="873" spans="1:2">
      <c r="A873" s="151" t="s">
        <v>2275</v>
      </c>
      <c r="B873" s="151" t="s">
        <v>2276</v>
      </c>
    </row>
    <row r="874" spans="1:2">
      <c r="A874" s="151" t="s">
        <v>2277</v>
      </c>
      <c r="B874" s="151" t="s">
        <v>2278</v>
      </c>
    </row>
    <row r="875" spans="1:2">
      <c r="A875" s="151" t="s">
        <v>2279</v>
      </c>
      <c r="B875" s="151" t="s">
        <v>2280</v>
      </c>
    </row>
    <row r="876" spans="1:2">
      <c r="A876" s="151" t="s">
        <v>2281</v>
      </c>
      <c r="B876" s="151" t="s">
        <v>2282</v>
      </c>
    </row>
    <row r="877" spans="1:2">
      <c r="A877" s="151" t="s">
        <v>2283</v>
      </c>
      <c r="B877" s="151" t="s">
        <v>2284</v>
      </c>
    </row>
    <row r="878" spans="1:2">
      <c r="A878" s="151" t="s">
        <v>2285</v>
      </c>
      <c r="B878" s="151" t="s">
        <v>2286</v>
      </c>
    </row>
    <row r="879" spans="1:2">
      <c r="A879" s="151" t="s">
        <v>2287</v>
      </c>
      <c r="B879" s="151" t="s">
        <v>2288</v>
      </c>
    </row>
    <row r="880" spans="1:2">
      <c r="A880" s="151" t="s">
        <v>2289</v>
      </c>
      <c r="B880" s="151" t="s">
        <v>2290</v>
      </c>
    </row>
    <row r="881" spans="1:2">
      <c r="A881" s="151" t="s">
        <v>2291</v>
      </c>
      <c r="B881" s="151" t="s">
        <v>2292</v>
      </c>
    </row>
    <row r="882" spans="1:2">
      <c r="A882" s="151" t="s">
        <v>2293</v>
      </c>
      <c r="B882" s="151" t="s">
        <v>2294</v>
      </c>
    </row>
    <row r="883" spans="1:2">
      <c r="A883" s="151" t="s">
        <v>2295</v>
      </c>
      <c r="B883" s="151" t="s">
        <v>2296</v>
      </c>
    </row>
    <row r="884" spans="1:2">
      <c r="A884" s="151" t="s">
        <v>2297</v>
      </c>
      <c r="B884" s="151" t="s">
        <v>2298</v>
      </c>
    </row>
    <row r="885" spans="1:2">
      <c r="A885" s="151" t="s">
        <v>2299</v>
      </c>
      <c r="B885" s="151" t="s">
        <v>2300</v>
      </c>
    </row>
    <row r="886" spans="1:2">
      <c r="A886" s="151" t="s">
        <v>2301</v>
      </c>
      <c r="B886" s="151" t="s">
        <v>2302</v>
      </c>
    </row>
    <row r="887" spans="1:2">
      <c r="A887" s="151" t="s">
        <v>2303</v>
      </c>
      <c r="B887" s="151" t="s">
        <v>2304</v>
      </c>
    </row>
    <row r="888" spans="1:2">
      <c r="A888" s="151" t="s">
        <v>2305</v>
      </c>
      <c r="B888" s="151" t="s">
        <v>2306</v>
      </c>
    </row>
    <row r="889" spans="1:2">
      <c r="A889" s="151" t="s">
        <v>2307</v>
      </c>
      <c r="B889" s="151" t="s">
        <v>2308</v>
      </c>
    </row>
    <row r="890" spans="1:2">
      <c r="A890" s="151" t="s">
        <v>2309</v>
      </c>
      <c r="B890" s="151" t="s">
        <v>2310</v>
      </c>
    </row>
    <row r="891" spans="1:2">
      <c r="A891" s="151" t="s">
        <v>2311</v>
      </c>
      <c r="B891" s="151" t="s">
        <v>2312</v>
      </c>
    </row>
    <row r="892" spans="1:2">
      <c r="A892" s="151" t="s">
        <v>2313</v>
      </c>
      <c r="B892" s="151" t="s">
        <v>2314</v>
      </c>
    </row>
    <row r="893" spans="1:2">
      <c r="A893" s="151" t="s">
        <v>2315</v>
      </c>
      <c r="B893" s="151" t="s">
        <v>2316</v>
      </c>
    </row>
    <row r="894" spans="1:2">
      <c r="A894" s="151" t="s">
        <v>2317</v>
      </c>
      <c r="B894" s="151" t="s">
        <v>2318</v>
      </c>
    </row>
    <row r="895" spans="1:2">
      <c r="A895" s="151" t="s">
        <v>2319</v>
      </c>
      <c r="B895" s="151" t="s">
        <v>2320</v>
      </c>
    </row>
    <row r="896" spans="1:2">
      <c r="A896" s="151" t="s">
        <v>2321</v>
      </c>
      <c r="B896" s="151" t="s">
        <v>2322</v>
      </c>
    </row>
    <row r="897" spans="1:2">
      <c r="A897" s="151" t="s">
        <v>2323</v>
      </c>
      <c r="B897" s="151" t="s">
        <v>2324</v>
      </c>
    </row>
    <row r="898" spans="1:2">
      <c r="A898" s="151" t="s">
        <v>2325</v>
      </c>
      <c r="B898" s="151" t="s">
        <v>2326</v>
      </c>
    </row>
    <row r="899" spans="1:2">
      <c r="A899" s="151" t="s">
        <v>2327</v>
      </c>
      <c r="B899" s="151" t="s">
        <v>2328</v>
      </c>
    </row>
    <row r="900" spans="1:2">
      <c r="A900" s="151" t="s">
        <v>2329</v>
      </c>
      <c r="B900" s="151" t="s">
        <v>2330</v>
      </c>
    </row>
    <row r="901" spans="1:2">
      <c r="A901" s="151" t="s">
        <v>2331</v>
      </c>
      <c r="B901" s="151" t="s">
        <v>2332</v>
      </c>
    </row>
    <row r="902" spans="1:2">
      <c r="A902" s="151" t="s">
        <v>2333</v>
      </c>
      <c r="B902" s="151" t="s">
        <v>2334</v>
      </c>
    </row>
    <row r="903" spans="1:2">
      <c r="A903" s="151" t="s">
        <v>2335</v>
      </c>
      <c r="B903" s="151" t="s">
        <v>2336</v>
      </c>
    </row>
    <row r="904" spans="1:2">
      <c r="A904" s="151" t="s">
        <v>2337</v>
      </c>
      <c r="B904" s="151" t="s">
        <v>2338</v>
      </c>
    </row>
    <row r="905" spans="1:2">
      <c r="A905" s="151" t="s">
        <v>2339</v>
      </c>
      <c r="B905" s="151" t="s">
        <v>2340</v>
      </c>
    </row>
    <row r="906" spans="1:2">
      <c r="A906" s="151" t="s">
        <v>2341</v>
      </c>
      <c r="B906" s="151" t="s">
        <v>2342</v>
      </c>
    </row>
    <row r="907" spans="1:2">
      <c r="A907" s="151" t="s">
        <v>2343</v>
      </c>
      <c r="B907" s="151" t="s">
        <v>2344</v>
      </c>
    </row>
    <row r="908" spans="1:2">
      <c r="A908" s="151" t="s">
        <v>2345</v>
      </c>
      <c r="B908" s="151" t="s">
        <v>2346</v>
      </c>
    </row>
    <row r="909" spans="1:2">
      <c r="A909" s="151" t="s">
        <v>2347</v>
      </c>
      <c r="B909" s="151" t="s">
        <v>2348</v>
      </c>
    </row>
    <row r="910" spans="1:2">
      <c r="A910" s="151" t="s">
        <v>2349</v>
      </c>
      <c r="B910" s="151" t="s">
        <v>2350</v>
      </c>
    </row>
    <row r="911" spans="1:2">
      <c r="A911" s="151" t="s">
        <v>2351</v>
      </c>
      <c r="B911" s="151" t="s">
        <v>2352</v>
      </c>
    </row>
    <row r="912" spans="1:2">
      <c r="A912" s="151" t="s">
        <v>2353</v>
      </c>
      <c r="B912" s="151" t="s">
        <v>2354</v>
      </c>
    </row>
    <row r="913" spans="1:2">
      <c r="A913" s="151" t="s">
        <v>2355</v>
      </c>
      <c r="B913" s="151" t="s">
        <v>2356</v>
      </c>
    </row>
    <row r="914" spans="1:2">
      <c r="A914" s="151" t="s">
        <v>2357</v>
      </c>
      <c r="B914" s="151" t="s">
        <v>2358</v>
      </c>
    </row>
    <row r="915" spans="1:2">
      <c r="A915" s="151" t="s">
        <v>2359</v>
      </c>
      <c r="B915" s="151" t="s">
        <v>2360</v>
      </c>
    </row>
    <row r="916" spans="1:2">
      <c r="A916" s="151" t="s">
        <v>2361</v>
      </c>
      <c r="B916" s="151" t="s">
        <v>2362</v>
      </c>
    </row>
    <row r="917" spans="1:2">
      <c r="A917" s="151" t="s">
        <v>2363</v>
      </c>
      <c r="B917" s="151" t="s">
        <v>2364</v>
      </c>
    </row>
    <row r="918" spans="1:2">
      <c r="A918" s="151" t="s">
        <v>2365</v>
      </c>
      <c r="B918" s="151" t="s">
        <v>2366</v>
      </c>
    </row>
    <row r="919" spans="1:2">
      <c r="A919" s="151" t="s">
        <v>2367</v>
      </c>
      <c r="B919" s="151" t="s">
        <v>2368</v>
      </c>
    </row>
    <row r="920" spans="1:2">
      <c r="A920" s="151" t="s">
        <v>2369</v>
      </c>
      <c r="B920" s="151" t="s">
        <v>2370</v>
      </c>
    </row>
    <row r="921" spans="1:2">
      <c r="A921" s="151" t="s">
        <v>2371</v>
      </c>
      <c r="B921" s="151" t="s">
        <v>2372</v>
      </c>
    </row>
    <row r="922" spans="1:2">
      <c r="A922" s="151" t="s">
        <v>2373</v>
      </c>
      <c r="B922" s="151" t="s">
        <v>2374</v>
      </c>
    </row>
    <row r="923" spans="1:2">
      <c r="A923" s="151" t="s">
        <v>2375</v>
      </c>
      <c r="B923" s="151" t="s">
        <v>2376</v>
      </c>
    </row>
    <row r="924" spans="1:2">
      <c r="A924" s="151" t="s">
        <v>2377</v>
      </c>
      <c r="B924" s="151" t="s">
        <v>2378</v>
      </c>
    </row>
    <row r="925" spans="1:2">
      <c r="A925" s="151" t="s">
        <v>2379</v>
      </c>
      <c r="B925" s="151" t="s">
        <v>2380</v>
      </c>
    </row>
    <row r="926" spans="1:2">
      <c r="A926" s="151" t="s">
        <v>2381</v>
      </c>
      <c r="B926" s="151" t="s">
        <v>2382</v>
      </c>
    </row>
    <row r="927" spans="1:2">
      <c r="A927" s="151" t="s">
        <v>2383</v>
      </c>
      <c r="B927" s="151" t="s">
        <v>2384</v>
      </c>
    </row>
    <row r="928" spans="1:2">
      <c r="A928" s="151" t="s">
        <v>2385</v>
      </c>
      <c r="B928" s="151" t="s">
        <v>2386</v>
      </c>
    </row>
    <row r="929" spans="1:2">
      <c r="A929" s="151" t="s">
        <v>2387</v>
      </c>
      <c r="B929" s="151" t="s">
        <v>2388</v>
      </c>
    </row>
    <row r="930" spans="1:2">
      <c r="A930" s="151" t="s">
        <v>2389</v>
      </c>
      <c r="B930" s="151" t="s">
        <v>2390</v>
      </c>
    </row>
    <row r="931" spans="1:2">
      <c r="A931" s="151" t="s">
        <v>2391</v>
      </c>
      <c r="B931" s="151" t="s">
        <v>2392</v>
      </c>
    </row>
    <row r="932" spans="1:2">
      <c r="A932" s="151" t="s">
        <v>2393</v>
      </c>
      <c r="B932" s="151" t="s">
        <v>2394</v>
      </c>
    </row>
    <row r="933" spans="1:2">
      <c r="A933" s="151" t="s">
        <v>2395</v>
      </c>
      <c r="B933" s="151" t="s">
        <v>2396</v>
      </c>
    </row>
    <row r="934" spans="1:2">
      <c r="A934" s="151" t="s">
        <v>2397</v>
      </c>
      <c r="B934" s="151" t="s">
        <v>2398</v>
      </c>
    </row>
    <row r="935" spans="1:2">
      <c r="A935" s="151" t="s">
        <v>2399</v>
      </c>
      <c r="B935" s="151" t="s">
        <v>2400</v>
      </c>
    </row>
    <row r="936" spans="1:2">
      <c r="A936" s="151" t="s">
        <v>2401</v>
      </c>
      <c r="B936" s="151" t="s">
        <v>2402</v>
      </c>
    </row>
    <row r="937" spans="1:2">
      <c r="A937" s="151" t="s">
        <v>2403</v>
      </c>
      <c r="B937" s="151" t="s">
        <v>2404</v>
      </c>
    </row>
    <row r="938" spans="1:2">
      <c r="A938" s="151" t="s">
        <v>2405</v>
      </c>
      <c r="B938" s="151" t="s">
        <v>2406</v>
      </c>
    </row>
    <row r="939" spans="1:2">
      <c r="A939" s="151" t="s">
        <v>2407</v>
      </c>
      <c r="B939" s="151" t="s">
        <v>2408</v>
      </c>
    </row>
    <row r="940" spans="1:2">
      <c r="A940" s="151" t="s">
        <v>2409</v>
      </c>
      <c r="B940" s="151" t="s">
        <v>2410</v>
      </c>
    </row>
    <row r="941" spans="1:2">
      <c r="A941" s="151" t="s">
        <v>2411</v>
      </c>
      <c r="B941" s="151" t="s">
        <v>2412</v>
      </c>
    </row>
    <row r="942" spans="1:2">
      <c r="A942" s="151" t="s">
        <v>2413</v>
      </c>
      <c r="B942" s="151" t="s">
        <v>2414</v>
      </c>
    </row>
    <row r="943" spans="1:2">
      <c r="A943" s="151" t="s">
        <v>2415</v>
      </c>
      <c r="B943" s="151" t="s">
        <v>2416</v>
      </c>
    </row>
    <row r="944" spans="1:2">
      <c r="A944" s="151" t="s">
        <v>2417</v>
      </c>
      <c r="B944" s="151" t="s">
        <v>2418</v>
      </c>
    </row>
    <row r="945" spans="1:2">
      <c r="A945" s="151" t="s">
        <v>2419</v>
      </c>
      <c r="B945" s="151" t="s">
        <v>2420</v>
      </c>
    </row>
    <row r="946" spans="1:2">
      <c r="A946" s="151" t="s">
        <v>2421</v>
      </c>
      <c r="B946" s="151" t="s">
        <v>2422</v>
      </c>
    </row>
    <row r="947" spans="1:2">
      <c r="A947" s="151" t="s">
        <v>2423</v>
      </c>
      <c r="B947" s="151" t="s">
        <v>2424</v>
      </c>
    </row>
    <row r="948" spans="1:2">
      <c r="A948" s="151" t="s">
        <v>2425</v>
      </c>
      <c r="B948" s="151" t="s">
        <v>2426</v>
      </c>
    </row>
    <row r="949" spans="1:2">
      <c r="A949" s="151" t="s">
        <v>2427</v>
      </c>
      <c r="B949" s="151" t="s">
        <v>2428</v>
      </c>
    </row>
    <row r="950" spans="1:2">
      <c r="A950" s="151" t="s">
        <v>2429</v>
      </c>
      <c r="B950" s="151" t="s">
        <v>2430</v>
      </c>
    </row>
    <row r="951" spans="1:2">
      <c r="A951" s="151" t="s">
        <v>2431</v>
      </c>
      <c r="B951" s="151" t="s">
        <v>2432</v>
      </c>
    </row>
    <row r="952" spans="1:2">
      <c r="A952" s="151" t="s">
        <v>2433</v>
      </c>
      <c r="B952" s="151" t="s">
        <v>2434</v>
      </c>
    </row>
    <row r="953" spans="1:2">
      <c r="A953" s="151" t="s">
        <v>2435</v>
      </c>
      <c r="B953" s="151" t="s">
        <v>2436</v>
      </c>
    </row>
    <row r="954" spans="1:2">
      <c r="A954" s="151" t="s">
        <v>2437</v>
      </c>
      <c r="B954" s="151" t="s">
        <v>2438</v>
      </c>
    </row>
    <row r="955" spans="1:2">
      <c r="A955" s="151" t="s">
        <v>2439</v>
      </c>
      <c r="B955" s="151" t="s">
        <v>2440</v>
      </c>
    </row>
    <row r="956" spans="1:2">
      <c r="A956" s="151" t="s">
        <v>2441</v>
      </c>
      <c r="B956" s="151" t="s">
        <v>2442</v>
      </c>
    </row>
    <row r="957" spans="1:2">
      <c r="A957" s="151" t="s">
        <v>2443</v>
      </c>
      <c r="B957" s="151" t="s">
        <v>2444</v>
      </c>
    </row>
    <row r="958" spans="1:2">
      <c r="A958" s="151" t="s">
        <v>2445</v>
      </c>
      <c r="B958" s="151" t="s">
        <v>2446</v>
      </c>
    </row>
    <row r="959" spans="1:2">
      <c r="A959" s="151" t="s">
        <v>2447</v>
      </c>
      <c r="B959" s="151" t="s">
        <v>2448</v>
      </c>
    </row>
    <row r="960" spans="1:2">
      <c r="A960" s="151" t="s">
        <v>2449</v>
      </c>
      <c r="B960" s="151" t="s">
        <v>2450</v>
      </c>
    </row>
    <row r="961" spans="1:2">
      <c r="A961" s="151" t="s">
        <v>2451</v>
      </c>
      <c r="B961" s="151" t="s">
        <v>2452</v>
      </c>
    </row>
    <row r="962" spans="1:2">
      <c r="A962" s="151" t="s">
        <v>2453</v>
      </c>
      <c r="B962" s="151" t="s">
        <v>2454</v>
      </c>
    </row>
    <row r="963" spans="1:2">
      <c r="A963" s="151" t="s">
        <v>2455</v>
      </c>
      <c r="B963" s="151" t="s">
        <v>2456</v>
      </c>
    </row>
    <row r="964" spans="1:2">
      <c r="A964" s="151" t="s">
        <v>2457</v>
      </c>
      <c r="B964" s="151" t="s">
        <v>2458</v>
      </c>
    </row>
    <row r="965" spans="1:2">
      <c r="A965" s="151" t="s">
        <v>2459</v>
      </c>
      <c r="B965" s="151" t="s">
        <v>2460</v>
      </c>
    </row>
    <row r="966" spans="1:2">
      <c r="A966" s="151" t="s">
        <v>2461</v>
      </c>
      <c r="B966" s="151" t="s">
        <v>294</v>
      </c>
    </row>
    <row r="967" spans="1:2">
      <c r="A967" s="151" t="s">
        <v>2462</v>
      </c>
      <c r="B967" s="151" t="s">
        <v>2463</v>
      </c>
    </row>
    <row r="968" spans="1:2">
      <c r="A968" s="151" t="s">
        <v>2464</v>
      </c>
      <c r="B968" s="151" t="s">
        <v>2465</v>
      </c>
    </row>
    <row r="969" spans="1:2">
      <c r="A969" s="151" t="s">
        <v>2466</v>
      </c>
      <c r="B969" s="151" t="s">
        <v>2467</v>
      </c>
    </row>
    <row r="970" spans="1:2">
      <c r="A970" s="151" t="s">
        <v>2468</v>
      </c>
      <c r="B970" s="151" t="s">
        <v>2469</v>
      </c>
    </row>
    <row r="971" spans="1:2">
      <c r="A971" s="151" t="s">
        <v>2470</v>
      </c>
      <c r="B971" s="151" t="s">
        <v>2471</v>
      </c>
    </row>
    <row r="972" spans="1:2">
      <c r="A972" s="151" t="s">
        <v>2472</v>
      </c>
      <c r="B972" s="151" t="s">
        <v>2473</v>
      </c>
    </row>
    <row r="973" spans="1:2">
      <c r="A973" s="151" t="s">
        <v>2474</v>
      </c>
      <c r="B973" s="151" t="s">
        <v>2475</v>
      </c>
    </row>
    <row r="974" spans="1:2">
      <c r="A974" s="151" t="s">
        <v>2476</v>
      </c>
      <c r="B974" s="151" t="s">
        <v>2477</v>
      </c>
    </row>
    <row r="975" spans="1:2">
      <c r="A975" s="151" t="s">
        <v>2478</v>
      </c>
      <c r="B975" s="151" t="s">
        <v>2479</v>
      </c>
    </row>
    <row r="976" spans="1:2">
      <c r="A976" s="151" t="s">
        <v>2480</v>
      </c>
      <c r="B976" s="151" t="s">
        <v>2481</v>
      </c>
    </row>
    <row r="977" spans="1:2">
      <c r="A977" s="151" t="s">
        <v>2482</v>
      </c>
      <c r="B977" s="151" t="s">
        <v>2483</v>
      </c>
    </row>
    <row r="978" spans="1:2">
      <c r="A978" s="151" t="s">
        <v>2484</v>
      </c>
      <c r="B978" s="151" t="s">
        <v>2485</v>
      </c>
    </row>
    <row r="979" spans="1:2">
      <c r="A979" s="151" t="s">
        <v>2486</v>
      </c>
      <c r="B979" s="151" t="s">
        <v>2487</v>
      </c>
    </row>
    <row r="980" spans="1:2">
      <c r="A980" s="151" t="s">
        <v>2488</v>
      </c>
      <c r="B980" s="151" t="s">
        <v>2489</v>
      </c>
    </row>
    <row r="981" spans="1:2">
      <c r="A981" s="151" t="s">
        <v>2490</v>
      </c>
      <c r="B981" s="151" t="s">
        <v>2491</v>
      </c>
    </row>
    <row r="982" spans="1:2">
      <c r="A982" s="151" t="s">
        <v>2492</v>
      </c>
      <c r="B982" s="151" t="s">
        <v>2493</v>
      </c>
    </row>
    <row r="983" spans="1:2">
      <c r="A983" s="151" t="s">
        <v>2494</v>
      </c>
      <c r="B983" s="151" t="s">
        <v>2495</v>
      </c>
    </row>
    <row r="984" spans="1:2">
      <c r="A984" s="151" t="s">
        <v>2496</v>
      </c>
      <c r="B984" s="151" t="s">
        <v>2497</v>
      </c>
    </row>
    <row r="985" spans="1:2">
      <c r="A985" s="151" t="s">
        <v>2498</v>
      </c>
      <c r="B985" s="151" t="s">
        <v>2499</v>
      </c>
    </row>
    <row r="986" spans="1:2">
      <c r="A986" s="151" t="s">
        <v>2500</v>
      </c>
      <c r="B986" s="151" t="s">
        <v>2501</v>
      </c>
    </row>
    <row r="987" spans="1:2">
      <c r="A987" s="151" t="s">
        <v>2502</v>
      </c>
      <c r="B987" s="151" t="s">
        <v>2503</v>
      </c>
    </row>
    <row r="988" spans="1:2">
      <c r="A988" s="151" t="s">
        <v>2504</v>
      </c>
      <c r="B988" s="151" t="s">
        <v>2505</v>
      </c>
    </row>
    <row r="989" spans="1:2">
      <c r="A989" s="151" t="s">
        <v>2506</v>
      </c>
      <c r="B989" s="151" t="s">
        <v>2507</v>
      </c>
    </row>
    <row r="990" spans="1:2">
      <c r="A990" s="151" t="s">
        <v>2508</v>
      </c>
      <c r="B990" s="151" t="s">
        <v>2509</v>
      </c>
    </row>
    <row r="991" spans="1:2">
      <c r="A991" s="151" t="s">
        <v>2510</v>
      </c>
      <c r="B991" s="151" t="s">
        <v>299</v>
      </c>
    </row>
    <row r="992" spans="1:2">
      <c r="A992" s="151" t="s">
        <v>2511</v>
      </c>
      <c r="B992" s="151" t="s">
        <v>2512</v>
      </c>
    </row>
    <row r="993" spans="1:2">
      <c r="A993" s="151" t="s">
        <v>2513</v>
      </c>
      <c r="B993" s="151" t="s">
        <v>2514</v>
      </c>
    </row>
    <row r="994" spans="1:2">
      <c r="A994" s="151" t="s">
        <v>2515</v>
      </c>
      <c r="B994" s="151" t="s">
        <v>2516</v>
      </c>
    </row>
    <row r="995" spans="1:2">
      <c r="A995" s="151" t="s">
        <v>2517</v>
      </c>
      <c r="B995" s="151" t="s">
        <v>2518</v>
      </c>
    </row>
    <row r="996" spans="1:2">
      <c r="A996" s="151" t="s">
        <v>2519</v>
      </c>
      <c r="B996" s="151" t="s">
        <v>2520</v>
      </c>
    </row>
    <row r="997" spans="1:2">
      <c r="A997" s="151" t="s">
        <v>2521</v>
      </c>
      <c r="B997" s="151" t="s">
        <v>2522</v>
      </c>
    </row>
    <row r="998" spans="1:2">
      <c r="A998" s="151" t="s">
        <v>2523</v>
      </c>
      <c r="B998" s="151" t="s">
        <v>2524</v>
      </c>
    </row>
    <row r="999" spans="1:2">
      <c r="A999" s="151" t="s">
        <v>2525</v>
      </c>
      <c r="B999" s="151" t="s">
        <v>2526</v>
      </c>
    </row>
    <row r="1000" spans="1:2">
      <c r="A1000" s="151" t="s">
        <v>2527</v>
      </c>
      <c r="B1000" s="151" t="s">
        <v>2528</v>
      </c>
    </row>
    <row r="1001" spans="1:2">
      <c r="A1001" s="151" t="s">
        <v>2529</v>
      </c>
      <c r="B1001" s="151" t="s">
        <v>2530</v>
      </c>
    </row>
    <row r="1002" spans="1:2">
      <c r="A1002" s="151" t="s">
        <v>2531</v>
      </c>
      <c r="B1002" s="151" t="s">
        <v>2532</v>
      </c>
    </row>
    <row r="1003" spans="1:2">
      <c r="A1003" s="151" t="s">
        <v>2533</v>
      </c>
      <c r="B1003" s="151" t="s">
        <v>2534</v>
      </c>
    </row>
    <row r="1004" spans="1:2">
      <c r="A1004" s="151" t="s">
        <v>2535</v>
      </c>
      <c r="B1004" s="151" t="s">
        <v>2536</v>
      </c>
    </row>
    <row r="1005" spans="1:2">
      <c r="A1005" s="151" t="s">
        <v>2537</v>
      </c>
      <c r="B1005" s="151" t="s">
        <v>2538</v>
      </c>
    </row>
    <row r="1006" spans="1:2">
      <c r="A1006" s="151" t="s">
        <v>2539</v>
      </c>
      <c r="B1006" s="151" t="s">
        <v>2540</v>
      </c>
    </row>
    <row r="1007" spans="1:2">
      <c r="A1007" s="151" t="s">
        <v>2541</v>
      </c>
      <c r="B1007" s="151" t="s">
        <v>2542</v>
      </c>
    </row>
    <row r="1008" spans="1:2">
      <c r="A1008" s="151" t="s">
        <v>2543</v>
      </c>
      <c r="B1008" s="151" t="s">
        <v>2544</v>
      </c>
    </row>
    <row r="1009" spans="1:2">
      <c r="A1009" s="151" t="s">
        <v>2545</v>
      </c>
      <c r="B1009" s="151" t="s">
        <v>2546</v>
      </c>
    </row>
    <row r="1010" spans="1:2">
      <c r="A1010" s="151" t="s">
        <v>2547</v>
      </c>
      <c r="B1010" s="151" t="s">
        <v>2548</v>
      </c>
    </row>
    <row r="1011" spans="1:2">
      <c r="A1011" s="151" t="s">
        <v>2549</v>
      </c>
      <c r="B1011" s="151" t="s">
        <v>2550</v>
      </c>
    </row>
    <row r="1012" spans="1:2">
      <c r="A1012" s="151" t="s">
        <v>2551</v>
      </c>
      <c r="B1012" s="151" t="s">
        <v>2552</v>
      </c>
    </row>
    <row r="1013" spans="1:2">
      <c r="A1013" s="151" t="s">
        <v>2553</v>
      </c>
      <c r="B1013" s="151" t="s">
        <v>2554</v>
      </c>
    </row>
    <row r="1014" spans="1:2">
      <c r="A1014" s="151" t="s">
        <v>2555</v>
      </c>
      <c r="B1014" s="151" t="s">
        <v>2556</v>
      </c>
    </row>
    <row r="1015" spans="1:2">
      <c r="A1015" s="151" t="s">
        <v>2557</v>
      </c>
      <c r="B1015" s="151" t="s">
        <v>2558</v>
      </c>
    </row>
    <row r="1016" spans="1:2">
      <c r="A1016" s="151" t="s">
        <v>2559</v>
      </c>
      <c r="B1016" s="151" t="s">
        <v>2560</v>
      </c>
    </row>
    <row r="1017" spans="1:2">
      <c r="A1017" s="151" t="s">
        <v>2561</v>
      </c>
      <c r="B1017" s="151" t="s">
        <v>2562</v>
      </c>
    </row>
    <row r="1018" spans="1:2">
      <c r="A1018" s="151" t="s">
        <v>2563</v>
      </c>
      <c r="B1018" s="151" t="s">
        <v>2564</v>
      </c>
    </row>
    <row r="1019" spans="1:2">
      <c r="A1019" s="151" t="s">
        <v>2565</v>
      </c>
      <c r="B1019" s="151" t="s">
        <v>2566</v>
      </c>
    </row>
    <row r="1020" spans="1:2">
      <c r="A1020" s="151" t="s">
        <v>2567</v>
      </c>
      <c r="B1020" s="151" t="s">
        <v>2568</v>
      </c>
    </row>
    <row r="1021" spans="1:2">
      <c r="A1021" s="151" t="s">
        <v>2569</v>
      </c>
      <c r="B1021" s="151" t="s">
        <v>2570</v>
      </c>
    </row>
    <row r="1022" spans="1:2">
      <c r="A1022" s="151" t="s">
        <v>2571</v>
      </c>
      <c r="B1022" s="151" t="s">
        <v>2572</v>
      </c>
    </row>
    <row r="1023" spans="1:2">
      <c r="A1023" s="151" t="s">
        <v>2573</v>
      </c>
      <c r="B1023" s="151" t="s">
        <v>2574</v>
      </c>
    </row>
    <row r="1024" spans="1:2">
      <c r="A1024" s="151" t="s">
        <v>2575</v>
      </c>
      <c r="B1024" s="151" t="s">
        <v>2576</v>
      </c>
    </row>
    <row r="1025" spans="1:2">
      <c r="A1025" s="151" t="s">
        <v>2577</v>
      </c>
      <c r="B1025" s="151" t="s">
        <v>2578</v>
      </c>
    </row>
    <row r="1026" spans="1:2">
      <c r="A1026" s="151" t="s">
        <v>2579</v>
      </c>
      <c r="B1026" s="151" t="s">
        <v>2580</v>
      </c>
    </row>
    <row r="1027" spans="1:2">
      <c r="A1027" s="151" t="s">
        <v>2581</v>
      </c>
      <c r="B1027" s="151" t="s">
        <v>2582</v>
      </c>
    </row>
    <row r="1028" spans="1:2">
      <c r="A1028" s="151" t="s">
        <v>2583</v>
      </c>
      <c r="B1028" s="151" t="s">
        <v>2584</v>
      </c>
    </row>
    <row r="1029" spans="1:2">
      <c r="A1029" s="151" t="s">
        <v>2585</v>
      </c>
      <c r="B1029" s="151" t="s">
        <v>2586</v>
      </c>
    </row>
    <row r="1030" spans="1:2">
      <c r="A1030" s="151" t="s">
        <v>2587</v>
      </c>
      <c r="B1030" s="151" t="s">
        <v>2588</v>
      </c>
    </row>
    <row r="1031" spans="1:2">
      <c r="A1031" s="151" t="s">
        <v>2589</v>
      </c>
      <c r="B1031" s="151" t="s">
        <v>2590</v>
      </c>
    </row>
    <row r="1032" spans="1:2">
      <c r="A1032" s="151" t="s">
        <v>2591</v>
      </c>
      <c r="B1032" s="151" t="s">
        <v>2592</v>
      </c>
    </row>
    <row r="1033" spans="1:2">
      <c r="A1033" s="151" t="s">
        <v>2593</v>
      </c>
      <c r="B1033" s="151" t="s">
        <v>2594</v>
      </c>
    </row>
    <row r="1034" spans="1:2">
      <c r="A1034" s="151" t="s">
        <v>2595</v>
      </c>
      <c r="B1034" s="151" t="s">
        <v>2596</v>
      </c>
    </row>
    <row r="1035" spans="1:2">
      <c r="A1035" s="151" t="s">
        <v>2597</v>
      </c>
      <c r="B1035" s="151" t="s">
        <v>2598</v>
      </c>
    </row>
    <row r="1036" spans="1:2">
      <c r="A1036" s="151" t="s">
        <v>2599</v>
      </c>
      <c r="B1036" s="151" t="s">
        <v>2600</v>
      </c>
    </row>
    <row r="1037" spans="1:2">
      <c r="A1037" s="151" t="s">
        <v>2601</v>
      </c>
      <c r="B1037" s="151" t="s">
        <v>2602</v>
      </c>
    </row>
    <row r="1038" spans="1:2">
      <c r="A1038" s="151" t="s">
        <v>2603</v>
      </c>
      <c r="B1038" s="151" t="s">
        <v>2604</v>
      </c>
    </row>
    <row r="1039" spans="1:2">
      <c r="A1039" s="151" t="s">
        <v>2605</v>
      </c>
      <c r="B1039" s="151" t="s">
        <v>2606</v>
      </c>
    </row>
    <row r="1040" spans="1:2">
      <c r="A1040" s="151" t="s">
        <v>2607</v>
      </c>
      <c r="B1040" s="151" t="s">
        <v>2608</v>
      </c>
    </row>
    <row r="1041" spans="1:2">
      <c r="A1041" s="151" t="s">
        <v>2609</v>
      </c>
      <c r="B1041" s="151" t="s">
        <v>2610</v>
      </c>
    </row>
    <row r="1042" spans="1:2">
      <c r="A1042" s="151" t="s">
        <v>2611</v>
      </c>
      <c r="B1042" s="151" t="s">
        <v>2612</v>
      </c>
    </row>
    <row r="1043" spans="1:2">
      <c r="A1043" s="151" t="s">
        <v>2613</v>
      </c>
      <c r="B1043" s="151" t="s">
        <v>2614</v>
      </c>
    </row>
    <row r="1044" spans="1:2">
      <c r="A1044" s="151" t="s">
        <v>2615</v>
      </c>
      <c r="B1044" s="151" t="s">
        <v>2616</v>
      </c>
    </row>
    <row r="1045" spans="1:2">
      <c r="A1045" s="151" t="s">
        <v>2617</v>
      </c>
      <c r="B1045" s="151" t="s">
        <v>2618</v>
      </c>
    </row>
    <row r="1046" spans="1:2">
      <c r="A1046" s="151" t="s">
        <v>2619</v>
      </c>
      <c r="B1046" s="151" t="s">
        <v>2620</v>
      </c>
    </row>
    <row r="1047" spans="1:2">
      <c r="A1047" s="151" t="s">
        <v>2621</v>
      </c>
      <c r="B1047" s="151" t="s">
        <v>2622</v>
      </c>
    </row>
    <row r="1048" spans="1:2">
      <c r="A1048" s="151" t="s">
        <v>2623</v>
      </c>
      <c r="B1048" s="151" t="s">
        <v>2624</v>
      </c>
    </row>
    <row r="1049" spans="1:2">
      <c r="A1049" s="151" t="s">
        <v>2625</v>
      </c>
      <c r="B1049" s="151" t="s">
        <v>2626</v>
      </c>
    </row>
    <row r="1050" spans="1:2">
      <c r="A1050" s="151" t="s">
        <v>2627</v>
      </c>
      <c r="B1050" s="151" t="s">
        <v>2628</v>
      </c>
    </row>
    <row r="1051" spans="1:2">
      <c r="A1051" s="151" t="s">
        <v>2629</v>
      </c>
      <c r="B1051" s="151" t="s">
        <v>2630</v>
      </c>
    </row>
    <row r="1052" spans="1:2">
      <c r="A1052" s="151" t="s">
        <v>2631</v>
      </c>
      <c r="B1052" s="151" t="s">
        <v>2632</v>
      </c>
    </row>
    <row r="1053" spans="1:2">
      <c r="A1053" s="151" t="s">
        <v>2633</v>
      </c>
      <c r="B1053" s="151" t="s">
        <v>2634</v>
      </c>
    </row>
    <row r="1054" spans="1:2">
      <c r="A1054" s="151" t="s">
        <v>2635</v>
      </c>
      <c r="B1054" s="151" t="s">
        <v>2636</v>
      </c>
    </row>
    <row r="1055" spans="1:2">
      <c r="A1055" s="151" t="s">
        <v>2637</v>
      </c>
      <c r="B1055" s="151" t="s">
        <v>2638</v>
      </c>
    </row>
    <row r="1056" spans="1:2">
      <c r="A1056" s="151" t="s">
        <v>2639</v>
      </c>
      <c r="B1056" s="151" t="s">
        <v>2640</v>
      </c>
    </row>
    <row r="1057" spans="1:2">
      <c r="A1057" s="151" t="s">
        <v>2641</v>
      </c>
      <c r="B1057" s="151" t="s">
        <v>2642</v>
      </c>
    </row>
    <row r="1058" spans="1:2">
      <c r="A1058" s="151" t="s">
        <v>2643</v>
      </c>
      <c r="B1058" s="151" t="s">
        <v>2644</v>
      </c>
    </row>
    <row r="1059" spans="1:2">
      <c r="A1059" s="151" t="s">
        <v>2645</v>
      </c>
      <c r="B1059" s="151" t="s">
        <v>2646</v>
      </c>
    </row>
    <row r="1060" spans="1:2">
      <c r="A1060" s="151" t="s">
        <v>2647</v>
      </c>
      <c r="B1060" s="151" t="s">
        <v>2648</v>
      </c>
    </row>
    <row r="1061" spans="1:2">
      <c r="A1061" s="151" t="s">
        <v>2649</v>
      </c>
      <c r="B1061" s="151" t="s">
        <v>2650</v>
      </c>
    </row>
    <row r="1062" spans="1:2">
      <c r="A1062" s="151" t="s">
        <v>2651</v>
      </c>
      <c r="B1062" s="151" t="s">
        <v>2652</v>
      </c>
    </row>
    <row r="1063" spans="1:2">
      <c r="A1063" s="151" t="s">
        <v>2653</v>
      </c>
      <c r="B1063" s="151" t="s">
        <v>2654</v>
      </c>
    </row>
    <row r="1064" spans="1:2">
      <c r="A1064" s="151" t="s">
        <v>2655</v>
      </c>
      <c r="B1064" s="151" t="s">
        <v>2656</v>
      </c>
    </row>
    <row r="1065" spans="1:2">
      <c r="A1065" s="151" t="s">
        <v>2657</v>
      </c>
      <c r="B1065" s="151" t="s">
        <v>2658</v>
      </c>
    </row>
    <row r="1066" spans="1:2">
      <c r="A1066" s="151" t="s">
        <v>2659</v>
      </c>
      <c r="B1066" s="151" t="s">
        <v>2660</v>
      </c>
    </row>
    <row r="1067" spans="1:2">
      <c r="A1067" s="151" t="s">
        <v>2661</v>
      </c>
      <c r="B1067" s="151" t="s">
        <v>2662</v>
      </c>
    </row>
    <row r="1068" spans="1:2">
      <c r="A1068" s="151" t="s">
        <v>2663</v>
      </c>
      <c r="B1068" s="151" t="s">
        <v>2664</v>
      </c>
    </row>
    <row r="1069" spans="1:2">
      <c r="A1069" s="151" t="s">
        <v>2665</v>
      </c>
      <c r="B1069" s="151" t="s">
        <v>2666</v>
      </c>
    </row>
    <row r="1070" spans="1:2">
      <c r="A1070" s="151" t="s">
        <v>2667</v>
      </c>
      <c r="B1070" s="151" t="s">
        <v>2668</v>
      </c>
    </row>
    <row r="1071" spans="1:2">
      <c r="A1071" s="151" t="s">
        <v>2669</v>
      </c>
      <c r="B1071" s="151" t="s">
        <v>2670</v>
      </c>
    </row>
    <row r="1072" spans="1:2">
      <c r="A1072" s="151" t="s">
        <v>2671</v>
      </c>
      <c r="B1072" s="151" t="s">
        <v>2672</v>
      </c>
    </row>
    <row r="1073" spans="1:2">
      <c r="A1073" s="151" t="s">
        <v>2673</v>
      </c>
      <c r="B1073" s="151" t="s">
        <v>2674</v>
      </c>
    </row>
    <row r="1074" spans="1:2">
      <c r="A1074" s="151" t="s">
        <v>2675</v>
      </c>
      <c r="B1074" s="151" t="s">
        <v>2676</v>
      </c>
    </row>
    <row r="1075" spans="1:2">
      <c r="A1075" s="151" t="s">
        <v>2677</v>
      </c>
      <c r="B1075" s="151" t="s">
        <v>2678</v>
      </c>
    </row>
    <row r="1076" spans="1:2">
      <c r="A1076" s="151" t="s">
        <v>2679</v>
      </c>
      <c r="B1076" s="151" t="s">
        <v>2680</v>
      </c>
    </row>
    <row r="1077" spans="1:2">
      <c r="A1077" s="151" t="s">
        <v>2681</v>
      </c>
      <c r="B1077" s="151" t="s">
        <v>2682</v>
      </c>
    </row>
    <row r="1078" spans="1:2">
      <c r="A1078" s="151" t="s">
        <v>2683</v>
      </c>
      <c r="B1078" s="151" t="s">
        <v>2684</v>
      </c>
    </row>
    <row r="1079" spans="1:2">
      <c r="A1079" s="151" t="s">
        <v>2685</v>
      </c>
      <c r="B1079" s="151" t="s">
        <v>2686</v>
      </c>
    </row>
    <row r="1080" spans="1:2">
      <c r="A1080" s="151" t="s">
        <v>2687</v>
      </c>
      <c r="B1080" s="151" t="s">
        <v>2688</v>
      </c>
    </row>
    <row r="1081" spans="1:2">
      <c r="A1081" s="151" t="s">
        <v>2689</v>
      </c>
      <c r="B1081" s="151" t="s">
        <v>2690</v>
      </c>
    </row>
    <row r="1082" spans="1:2">
      <c r="A1082" s="151" t="s">
        <v>2691</v>
      </c>
      <c r="B1082" s="151" t="s">
        <v>2692</v>
      </c>
    </row>
    <row r="1083" spans="1:2">
      <c r="A1083" s="151" t="s">
        <v>2693</v>
      </c>
      <c r="B1083" s="151" t="s">
        <v>2694</v>
      </c>
    </row>
    <row r="1084" spans="1:2">
      <c r="A1084" s="151" t="s">
        <v>2695</v>
      </c>
      <c r="B1084" s="151" t="s">
        <v>2696</v>
      </c>
    </row>
    <row r="1085" spans="1:2">
      <c r="A1085" s="151" t="s">
        <v>2697</v>
      </c>
      <c r="B1085" s="151" t="s">
        <v>2698</v>
      </c>
    </row>
    <row r="1086" spans="1:2">
      <c r="A1086" s="151" t="s">
        <v>2699</v>
      </c>
      <c r="B1086" s="151" t="s">
        <v>2700</v>
      </c>
    </row>
    <row r="1087" spans="1:2">
      <c r="A1087" s="151" t="s">
        <v>2701</v>
      </c>
      <c r="B1087" s="151" t="s">
        <v>2702</v>
      </c>
    </row>
    <row r="1088" spans="1:2">
      <c r="A1088" s="151" t="s">
        <v>2703</v>
      </c>
      <c r="B1088" s="151" t="s">
        <v>2704</v>
      </c>
    </row>
    <row r="1089" spans="1:2">
      <c r="A1089" s="151" t="s">
        <v>2705</v>
      </c>
      <c r="B1089" s="151" t="s">
        <v>2706</v>
      </c>
    </row>
    <row r="1090" spans="1:2">
      <c r="A1090" s="151" t="s">
        <v>2707</v>
      </c>
      <c r="B1090" s="151" t="s">
        <v>2708</v>
      </c>
    </row>
    <row r="1091" spans="1:2">
      <c r="A1091" s="151" t="s">
        <v>2709</v>
      </c>
      <c r="B1091" s="151" t="s">
        <v>2710</v>
      </c>
    </row>
    <row r="1092" spans="1:2">
      <c r="A1092" s="151" t="s">
        <v>2711</v>
      </c>
      <c r="B1092" s="151" t="s">
        <v>2712</v>
      </c>
    </row>
    <row r="1093" spans="1:2">
      <c r="A1093" s="151" t="s">
        <v>2713</v>
      </c>
      <c r="B1093" s="151" t="s">
        <v>2714</v>
      </c>
    </row>
    <row r="1094" spans="1:2">
      <c r="A1094" s="151" t="s">
        <v>2715</v>
      </c>
      <c r="B1094" s="151" t="s">
        <v>2716</v>
      </c>
    </row>
    <row r="1095" spans="1:2">
      <c r="A1095" s="151" t="s">
        <v>2717</v>
      </c>
      <c r="B1095" s="151" t="s">
        <v>2718</v>
      </c>
    </row>
    <row r="1096" spans="1:2">
      <c r="A1096" s="151" t="s">
        <v>2719</v>
      </c>
      <c r="B1096" s="151" t="s">
        <v>2720</v>
      </c>
    </row>
    <row r="1097" spans="1:2">
      <c r="A1097" s="151" t="s">
        <v>2721</v>
      </c>
      <c r="B1097" s="151" t="s">
        <v>2722</v>
      </c>
    </row>
    <row r="1098" spans="1:2">
      <c r="A1098" s="151" t="s">
        <v>2723</v>
      </c>
      <c r="B1098" s="151" t="s">
        <v>2724</v>
      </c>
    </row>
    <row r="1099" spans="1:2">
      <c r="A1099" s="151" t="s">
        <v>2725</v>
      </c>
      <c r="B1099" s="151" t="s">
        <v>2726</v>
      </c>
    </row>
    <row r="1100" spans="1:2">
      <c r="A1100" s="151" t="s">
        <v>2727</v>
      </c>
      <c r="B1100" s="151" t="s">
        <v>2728</v>
      </c>
    </row>
    <row r="1101" spans="1:2">
      <c r="A1101" s="151" t="s">
        <v>2729</v>
      </c>
      <c r="B1101" s="151" t="s">
        <v>2730</v>
      </c>
    </row>
    <row r="1102" spans="1:2">
      <c r="A1102" s="151" t="s">
        <v>2731</v>
      </c>
      <c r="B1102" s="151" t="s">
        <v>2732</v>
      </c>
    </row>
    <row r="1103" spans="1:2">
      <c r="A1103" s="151" t="s">
        <v>2733</v>
      </c>
      <c r="B1103" s="151" t="s">
        <v>2734</v>
      </c>
    </row>
    <row r="1104" spans="1:2">
      <c r="A1104" s="151" t="s">
        <v>2735</v>
      </c>
      <c r="B1104" s="151" t="s">
        <v>2736</v>
      </c>
    </row>
    <row r="1105" spans="1:2">
      <c r="A1105" s="151" t="s">
        <v>2737</v>
      </c>
      <c r="B1105" s="151" t="s">
        <v>2738</v>
      </c>
    </row>
    <row r="1106" spans="1:2">
      <c r="A1106" s="151" t="s">
        <v>2739</v>
      </c>
      <c r="B1106" s="151" t="s">
        <v>2740</v>
      </c>
    </row>
    <row r="1107" spans="1:2">
      <c r="A1107" s="151" t="s">
        <v>2741</v>
      </c>
      <c r="B1107" s="151" t="s">
        <v>2742</v>
      </c>
    </row>
    <row r="1108" spans="1:2">
      <c r="A1108" s="151" t="s">
        <v>2743</v>
      </c>
      <c r="B1108" s="151" t="s">
        <v>2744</v>
      </c>
    </row>
    <row r="1109" spans="1:2">
      <c r="A1109" s="151" t="s">
        <v>2745</v>
      </c>
      <c r="B1109" s="151" t="s">
        <v>2746</v>
      </c>
    </row>
    <row r="1110" spans="1:2">
      <c r="A1110" s="151" t="s">
        <v>2747</v>
      </c>
      <c r="B1110" s="151" t="s">
        <v>2748</v>
      </c>
    </row>
    <row r="1111" spans="1:2">
      <c r="A1111" s="151" t="s">
        <v>2749</v>
      </c>
      <c r="B1111" s="151" t="s">
        <v>2750</v>
      </c>
    </row>
    <row r="1112" spans="1:2">
      <c r="A1112" s="151" t="s">
        <v>2751</v>
      </c>
      <c r="B1112" s="151" t="s">
        <v>2752</v>
      </c>
    </row>
    <row r="1113" spans="1:2">
      <c r="A1113" s="151" t="s">
        <v>2753</v>
      </c>
      <c r="B1113" s="151" t="s">
        <v>2754</v>
      </c>
    </row>
    <row r="1114" spans="1:2">
      <c r="A1114" s="151" t="s">
        <v>2755</v>
      </c>
      <c r="B1114" s="151" t="s">
        <v>2756</v>
      </c>
    </row>
    <row r="1115" spans="1:2">
      <c r="A1115" s="151" t="s">
        <v>2757</v>
      </c>
      <c r="B1115" s="151" t="s">
        <v>2758</v>
      </c>
    </row>
    <row r="1116" spans="1:2">
      <c r="A1116" s="151" t="s">
        <v>2759</v>
      </c>
      <c r="B1116" s="151" t="s">
        <v>2760</v>
      </c>
    </row>
    <row r="1117" spans="1:2">
      <c r="A1117" s="151" t="s">
        <v>2761</v>
      </c>
      <c r="B1117" s="151" t="s">
        <v>2762</v>
      </c>
    </row>
    <row r="1118" spans="1:2">
      <c r="A1118" s="151" t="s">
        <v>2763</v>
      </c>
      <c r="B1118" s="151" t="s">
        <v>2764</v>
      </c>
    </row>
    <row r="1119" spans="1:2">
      <c r="A1119" s="151" t="s">
        <v>2765</v>
      </c>
      <c r="B1119" s="151" t="s">
        <v>2766</v>
      </c>
    </row>
    <row r="1120" spans="1:2">
      <c r="A1120" s="151" t="s">
        <v>2767</v>
      </c>
      <c r="B1120" s="151" t="s">
        <v>2768</v>
      </c>
    </row>
    <row r="1121" spans="1:2">
      <c r="A1121" s="151" t="s">
        <v>2769</v>
      </c>
      <c r="B1121" s="151" t="s">
        <v>2770</v>
      </c>
    </row>
    <row r="1122" spans="1:2">
      <c r="A1122" s="151" t="s">
        <v>2771</v>
      </c>
      <c r="B1122" s="151" t="s">
        <v>2772</v>
      </c>
    </row>
    <row r="1123" spans="1:2">
      <c r="A1123" s="151" t="s">
        <v>2773</v>
      </c>
      <c r="B1123" s="151" t="s">
        <v>2774</v>
      </c>
    </row>
    <row r="1124" spans="1:2">
      <c r="A1124" s="151" t="s">
        <v>2775</v>
      </c>
      <c r="B1124" s="151" t="s">
        <v>2776</v>
      </c>
    </row>
    <row r="1125" spans="1:2">
      <c r="A1125" s="151" t="s">
        <v>2777</v>
      </c>
      <c r="B1125" s="151" t="s">
        <v>2778</v>
      </c>
    </row>
    <row r="1126" spans="1:2">
      <c r="A1126" s="151" t="s">
        <v>2779</v>
      </c>
      <c r="B1126" s="151" t="s">
        <v>2780</v>
      </c>
    </row>
    <row r="1127" spans="1:2">
      <c r="A1127" s="151" t="s">
        <v>2781</v>
      </c>
      <c r="B1127" s="151" t="s">
        <v>2782</v>
      </c>
    </row>
    <row r="1128" spans="1:2">
      <c r="A1128" s="151" t="s">
        <v>2783</v>
      </c>
      <c r="B1128" s="151" t="s">
        <v>2784</v>
      </c>
    </row>
    <row r="1129" spans="1:2">
      <c r="A1129" s="151" t="s">
        <v>2785</v>
      </c>
      <c r="B1129" s="151" t="s">
        <v>2786</v>
      </c>
    </row>
    <row r="1130" spans="1:2">
      <c r="A1130" s="151" t="s">
        <v>2787</v>
      </c>
      <c r="B1130" s="151" t="s">
        <v>2788</v>
      </c>
    </row>
    <row r="1131" spans="1:2">
      <c r="A1131" s="151" t="s">
        <v>2789</v>
      </c>
      <c r="B1131" s="151" t="s">
        <v>2790</v>
      </c>
    </row>
    <row r="1132" spans="1:2">
      <c r="A1132" s="151" t="s">
        <v>2791</v>
      </c>
      <c r="B1132" s="151" t="s">
        <v>2792</v>
      </c>
    </row>
    <row r="1133" spans="1:2">
      <c r="A1133" s="151" t="s">
        <v>2793</v>
      </c>
      <c r="B1133" s="151" t="s">
        <v>2794</v>
      </c>
    </row>
    <row r="1134" spans="1:2">
      <c r="A1134" s="151" t="s">
        <v>2795</v>
      </c>
      <c r="B1134" s="151" t="s">
        <v>2796</v>
      </c>
    </row>
    <row r="1135" spans="1:2">
      <c r="A1135" s="151" t="s">
        <v>2797</v>
      </c>
      <c r="B1135" s="151" t="s">
        <v>2798</v>
      </c>
    </row>
    <row r="1136" spans="1:2">
      <c r="A1136" s="151" t="s">
        <v>2799</v>
      </c>
      <c r="B1136" s="151" t="s">
        <v>2800</v>
      </c>
    </row>
    <row r="1137" spans="1:2">
      <c r="A1137" s="151" t="s">
        <v>2801</v>
      </c>
      <c r="B1137" s="151" t="s">
        <v>2802</v>
      </c>
    </row>
    <row r="1138" spans="1:2">
      <c r="A1138" s="151" t="s">
        <v>2803</v>
      </c>
      <c r="B1138" s="151" t="s">
        <v>2804</v>
      </c>
    </row>
    <row r="1139" spans="1:2">
      <c r="A1139" s="151" t="s">
        <v>2805</v>
      </c>
      <c r="B1139" s="151" t="s">
        <v>2806</v>
      </c>
    </row>
    <row r="1140" spans="1:2">
      <c r="A1140" s="151" t="s">
        <v>2807</v>
      </c>
      <c r="B1140" s="151" t="s">
        <v>2808</v>
      </c>
    </row>
    <row r="1141" spans="1:2">
      <c r="A1141" s="151" t="s">
        <v>2809</v>
      </c>
      <c r="B1141" s="151" t="s">
        <v>2810</v>
      </c>
    </row>
    <row r="1142" spans="1:2">
      <c r="A1142" s="151" t="s">
        <v>2811</v>
      </c>
      <c r="B1142" s="151" t="s">
        <v>2812</v>
      </c>
    </row>
    <row r="1143" spans="1:2">
      <c r="A1143" s="151" t="s">
        <v>2813</v>
      </c>
      <c r="B1143" s="151" t="s">
        <v>2814</v>
      </c>
    </row>
    <row r="1144" spans="1:2">
      <c r="A1144" s="151" t="s">
        <v>2815</v>
      </c>
      <c r="B1144" s="151" t="s">
        <v>2816</v>
      </c>
    </row>
    <row r="1145" spans="1:2">
      <c r="A1145" s="151" t="s">
        <v>2817</v>
      </c>
      <c r="B1145" s="151" t="s">
        <v>2818</v>
      </c>
    </row>
    <row r="1146" spans="1:2">
      <c r="A1146" s="151" t="s">
        <v>2819</v>
      </c>
      <c r="B1146" s="151" t="s">
        <v>2820</v>
      </c>
    </row>
    <row r="1147" spans="1:2">
      <c r="A1147" s="151" t="s">
        <v>2821</v>
      </c>
      <c r="B1147" s="151" t="s">
        <v>2822</v>
      </c>
    </row>
    <row r="1148" spans="1:2">
      <c r="A1148" s="151" t="s">
        <v>2823</v>
      </c>
      <c r="B1148" s="151" t="s">
        <v>2824</v>
      </c>
    </row>
    <row r="1149" spans="1:2">
      <c r="A1149" s="151" t="s">
        <v>2825</v>
      </c>
      <c r="B1149" s="151" t="s">
        <v>2826</v>
      </c>
    </row>
    <row r="1150" spans="1:2">
      <c r="A1150" s="151" t="s">
        <v>2827</v>
      </c>
      <c r="B1150" s="151" t="s">
        <v>2828</v>
      </c>
    </row>
    <row r="1151" spans="1:2">
      <c r="A1151" s="151" t="s">
        <v>2829</v>
      </c>
      <c r="B1151" s="151" t="s">
        <v>2830</v>
      </c>
    </row>
    <row r="1152" spans="1:2">
      <c r="A1152" s="151" t="s">
        <v>2831</v>
      </c>
      <c r="B1152" s="151" t="s">
        <v>2832</v>
      </c>
    </row>
    <row r="1153" spans="1:2">
      <c r="A1153" s="151" t="s">
        <v>2833</v>
      </c>
      <c r="B1153" s="151" t="s">
        <v>2834</v>
      </c>
    </row>
    <row r="1154" spans="1:2">
      <c r="A1154" s="151" t="s">
        <v>2835</v>
      </c>
      <c r="B1154" s="151" t="s">
        <v>2836</v>
      </c>
    </row>
    <row r="1155" spans="1:2">
      <c r="A1155" s="151" t="s">
        <v>2837</v>
      </c>
      <c r="B1155" s="151" t="s">
        <v>2838</v>
      </c>
    </row>
    <row r="1156" spans="1:2">
      <c r="A1156" s="151" t="s">
        <v>2839</v>
      </c>
      <c r="B1156" s="151" t="s">
        <v>2840</v>
      </c>
    </row>
    <row r="1157" spans="1:2">
      <c r="A1157" s="151" t="s">
        <v>2841</v>
      </c>
      <c r="B1157" s="151" t="s">
        <v>2842</v>
      </c>
    </row>
    <row r="1158" spans="1:2">
      <c r="A1158" s="151" t="s">
        <v>2843</v>
      </c>
      <c r="B1158" s="151" t="s">
        <v>2844</v>
      </c>
    </row>
    <row r="1159" spans="1:2">
      <c r="A1159" s="151" t="s">
        <v>2845</v>
      </c>
      <c r="B1159" s="151" t="s">
        <v>2846</v>
      </c>
    </row>
    <row r="1160" spans="1:2">
      <c r="A1160" s="151" t="s">
        <v>2847</v>
      </c>
      <c r="B1160" s="151" t="s">
        <v>2848</v>
      </c>
    </row>
    <row r="1161" spans="1:2">
      <c r="A1161" s="151" t="s">
        <v>2849</v>
      </c>
      <c r="B1161" s="151" t="s">
        <v>2850</v>
      </c>
    </row>
    <row r="1162" spans="1:2">
      <c r="A1162" s="151" t="s">
        <v>2851</v>
      </c>
      <c r="B1162" s="151" t="s">
        <v>2852</v>
      </c>
    </row>
    <row r="1163" spans="1:2">
      <c r="A1163" s="151" t="s">
        <v>2853</v>
      </c>
      <c r="B1163" s="151" t="s">
        <v>2854</v>
      </c>
    </row>
    <row r="1164" spans="1:2">
      <c r="A1164" s="151" t="s">
        <v>2855</v>
      </c>
      <c r="B1164" s="151" t="s">
        <v>2856</v>
      </c>
    </row>
    <row r="1165" spans="1:2">
      <c r="A1165" s="151" t="s">
        <v>2857</v>
      </c>
      <c r="B1165" s="151" t="s">
        <v>2858</v>
      </c>
    </row>
    <row r="1166" spans="1:2">
      <c r="A1166" s="151" t="s">
        <v>2859</v>
      </c>
      <c r="B1166" s="151" t="s">
        <v>2860</v>
      </c>
    </row>
    <row r="1167" spans="1:2">
      <c r="A1167" s="151" t="s">
        <v>2861</v>
      </c>
      <c r="B1167" s="151" t="s">
        <v>2862</v>
      </c>
    </row>
    <row r="1168" spans="1:2">
      <c r="A1168" s="151" t="s">
        <v>2863</v>
      </c>
      <c r="B1168" s="151" t="s">
        <v>2864</v>
      </c>
    </row>
    <row r="1169" spans="1:2">
      <c r="A1169" s="151" t="s">
        <v>2865</v>
      </c>
      <c r="B1169" s="151" t="s">
        <v>2866</v>
      </c>
    </row>
    <row r="1170" spans="1:2">
      <c r="A1170" s="151" t="s">
        <v>2867</v>
      </c>
      <c r="B1170" s="151" t="s">
        <v>2868</v>
      </c>
    </row>
    <row r="1171" spans="1:2">
      <c r="A1171" s="151" t="s">
        <v>2869</v>
      </c>
      <c r="B1171" s="151" t="s">
        <v>2870</v>
      </c>
    </row>
    <row r="1172" spans="1:2">
      <c r="A1172" s="151" t="s">
        <v>2871</v>
      </c>
      <c r="B1172" s="151" t="s">
        <v>2872</v>
      </c>
    </row>
    <row r="1173" spans="1:2">
      <c r="A1173" s="151" t="s">
        <v>2873</v>
      </c>
      <c r="B1173" s="151" t="s">
        <v>2874</v>
      </c>
    </row>
    <row r="1174" spans="1:2">
      <c r="A1174" s="151" t="s">
        <v>2875</v>
      </c>
      <c r="B1174" s="151" t="s">
        <v>2876</v>
      </c>
    </row>
    <row r="1175" spans="1:2">
      <c r="A1175" s="151" t="s">
        <v>2877</v>
      </c>
      <c r="B1175" s="151" t="s">
        <v>2878</v>
      </c>
    </row>
    <row r="1176" spans="1:2">
      <c r="A1176" s="151" t="s">
        <v>2879</v>
      </c>
      <c r="B1176" s="151" t="s">
        <v>2880</v>
      </c>
    </row>
    <row r="1177" spans="1:2">
      <c r="A1177" s="151" t="s">
        <v>2881</v>
      </c>
      <c r="B1177" s="151" t="s">
        <v>2882</v>
      </c>
    </row>
    <row r="1178" spans="1:2">
      <c r="A1178" s="151" t="s">
        <v>2883</v>
      </c>
      <c r="B1178" s="151" t="s">
        <v>2884</v>
      </c>
    </row>
    <row r="1179" spans="1:2">
      <c r="A1179" s="151" t="s">
        <v>2885</v>
      </c>
      <c r="B1179" s="151" t="s">
        <v>2886</v>
      </c>
    </row>
    <row r="1180" spans="1:2">
      <c r="A1180" s="151" t="s">
        <v>2887</v>
      </c>
      <c r="B1180" s="151" t="s">
        <v>2888</v>
      </c>
    </row>
    <row r="1181" spans="1:2">
      <c r="A1181" s="151" t="s">
        <v>2889</v>
      </c>
      <c r="B1181" s="151" t="s">
        <v>2890</v>
      </c>
    </row>
    <row r="1182" spans="1:2">
      <c r="A1182" s="151" t="s">
        <v>2891</v>
      </c>
      <c r="B1182" s="151" t="s">
        <v>2892</v>
      </c>
    </row>
    <row r="1183" spans="1:2">
      <c r="A1183" s="151" t="s">
        <v>2893</v>
      </c>
      <c r="B1183" s="151" t="s">
        <v>2894</v>
      </c>
    </row>
    <row r="1184" spans="1:2">
      <c r="A1184" s="151" t="s">
        <v>2895</v>
      </c>
      <c r="B1184" s="151" t="s">
        <v>2896</v>
      </c>
    </row>
    <row r="1185" spans="1:2">
      <c r="A1185" s="151" t="s">
        <v>2897</v>
      </c>
      <c r="B1185" s="151" t="s">
        <v>2898</v>
      </c>
    </row>
    <row r="1186" spans="1:2">
      <c r="A1186" s="151" t="s">
        <v>2899</v>
      </c>
      <c r="B1186" s="151" t="s">
        <v>2900</v>
      </c>
    </row>
    <row r="1187" spans="1:2">
      <c r="A1187" s="151" t="s">
        <v>2901</v>
      </c>
      <c r="B1187" s="151" t="s">
        <v>2902</v>
      </c>
    </row>
    <row r="1188" spans="1:2">
      <c r="A1188" s="151" t="s">
        <v>2903</v>
      </c>
      <c r="B1188" s="151" t="s">
        <v>2904</v>
      </c>
    </row>
    <row r="1189" spans="1:2">
      <c r="A1189" s="151" t="s">
        <v>2905</v>
      </c>
      <c r="B1189" s="151" t="s">
        <v>2906</v>
      </c>
    </row>
    <row r="1190" spans="1:2">
      <c r="A1190" s="151" t="s">
        <v>2907</v>
      </c>
      <c r="B1190" s="151" t="s">
        <v>2908</v>
      </c>
    </row>
    <row r="1191" spans="1:2">
      <c r="A1191" s="151" t="s">
        <v>2909</v>
      </c>
      <c r="B1191" s="151" t="s">
        <v>2910</v>
      </c>
    </row>
    <row r="1192" spans="1:2">
      <c r="A1192" s="151" t="s">
        <v>2911</v>
      </c>
      <c r="B1192" s="151" t="s">
        <v>2912</v>
      </c>
    </row>
    <row r="1193" spans="1:2">
      <c r="A1193" s="151" t="s">
        <v>2913</v>
      </c>
      <c r="B1193" s="151" t="s">
        <v>2914</v>
      </c>
    </row>
    <row r="1194" spans="1:2">
      <c r="A1194" s="151" t="s">
        <v>2915</v>
      </c>
      <c r="B1194" s="151" t="s">
        <v>2916</v>
      </c>
    </row>
    <row r="1195" spans="1:2">
      <c r="A1195" s="151" t="s">
        <v>2917</v>
      </c>
      <c r="B1195" s="151" t="s">
        <v>2918</v>
      </c>
    </row>
    <row r="1196" spans="1:2">
      <c r="A1196" s="151" t="s">
        <v>2919</v>
      </c>
      <c r="B1196" s="151" t="s">
        <v>2920</v>
      </c>
    </row>
    <row r="1197" spans="1:2">
      <c r="A1197" s="151" t="s">
        <v>2921</v>
      </c>
      <c r="B1197" s="151" t="s">
        <v>2922</v>
      </c>
    </row>
    <row r="1198" spans="1:2">
      <c r="A1198" s="151" t="s">
        <v>2923</v>
      </c>
      <c r="B1198" s="151" t="s">
        <v>2924</v>
      </c>
    </row>
    <row r="1199" spans="1:2">
      <c r="A1199" s="151" t="s">
        <v>2925</v>
      </c>
      <c r="B1199" s="151" t="s">
        <v>2926</v>
      </c>
    </row>
    <row r="1200" spans="1:2">
      <c r="A1200" s="151" t="s">
        <v>2927</v>
      </c>
      <c r="B1200" s="151" t="s">
        <v>2928</v>
      </c>
    </row>
    <row r="1201" spans="1:2">
      <c r="A1201" s="151" t="s">
        <v>2929</v>
      </c>
      <c r="B1201" s="151" t="s">
        <v>2930</v>
      </c>
    </row>
    <row r="1202" spans="1:2">
      <c r="A1202" s="151" t="s">
        <v>2931</v>
      </c>
      <c r="B1202" s="151" t="s">
        <v>2932</v>
      </c>
    </row>
    <row r="1203" spans="1:2">
      <c r="A1203" s="151" t="s">
        <v>2933</v>
      </c>
      <c r="B1203" s="151" t="s">
        <v>2934</v>
      </c>
    </row>
    <row r="1204" spans="1:2">
      <c r="A1204" s="151" t="s">
        <v>2935</v>
      </c>
      <c r="B1204" s="151" t="s">
        <v>2936</v>
      </c>
    </row>
    <row r="1205" spans="1:2">
      <c r="A1205" s="151" t="s">
        <v>2937</v>
      </c>
      <c r="B1205" s="151" t="s">
        <v>2938</v>
      </c>
    </row>
    <row r="1206" spans="1:2">
      <c r="A1206" s="151" t="s">
        <v>2939</v>
      </c>
      <c r="B1206" s="151" t="s">
        <v>2940</v>
      </c>
    </row>
    <row r="1207" spans="1:2">
      <c r="A1207" s="151" t="s">
        <v>2941</v>
      </c>
      <c r="B1207" s="151" t="s">
        <v>2942</v>
      </c>
    </row>
    <row r="1208" spans="1:2">
      <c r="A1208" s="151" t="s">
        <v>2943</v>
      </c>
      <c r="B1208" s="151" t="s">
        <v>2944</v>
      </c>
    </row>
    <row r="1209" spans="1:2">
      <c r="A1209" s="151" t="s">
        <v>2945</v>
      </c>
      <c r="B1209" s="151" t="s">
        <v>2946</v>
      </c>
    </row>
    <row r="1210" spans="1:2">
      <c r="A1210" s="151" t="s">
        <v>2947</v>
      </c>
      <c r="B1210" s="151" t="s">
        <v>2948</v>
      </c>
    </row>
    <row r="1211" spans="1:2">
      <c r="A1211" s="151" t="s">
        <v>2949</v>
      </c>
      <c r="B1211" s="151" t="s">
        <v>2950</v>
      </c>
    </row>
    <row r="1212" spans="1:2">
      <c r="A1212" s="151" t="s">
        <v>2951</v>
      </c>
      <c r="B1212" s="151" t="s">
        <v>2952</v>
      </c>
    </row>
    <row r="1213" spans="1:2">
      <c r="A1213" s="151" t="s">
        <v>2953</v>
      </c>
      <c r="B1213" s="151" t="s">
        <v>2954</v>
      </c>
    </row>
    <row r="1214" spans="1:2">
      <c r="A1214" s="151" t="s">
        <v>2955</v>
      </c>
      <c r="B1214" s="151" t="s">
        <v>2956</v>
      </c>
    </row>
    <row r="1215" spans="1:2">
      <c r="A1215" s="151" t="s">
        <v>2957</v>
      </c>
      <c r="B1215" s="151" t="s">
        <v>2958</v>
      </c>
    </row>
    <row r="1216" spans="1:2">
      <c r="A1216" s="151" t="s">
        <v>2959</v>
      </c>
      <c r="B1216" s="151" t="s">
        <v>2960</v>
      </c>
    </row>
    <row r="1217" spans="1:2">
      <c r="A1217" s="151" t="s">
        <v>2961</v>
      </c>
      <c r="B1217" s="151" t="s">
        <v>2962</v>
      </c>
    </row>
    <row r="1218" spans="1:2">
      <c r="A1218" s="151" t="s">
        <v>2963</v>
      </c>
      <c r="B1218" s="151" t="s">
        <v>2964</v>
      </c>
    </row>
    <row r="1219" spans="1:2">
      <c r="A1219" s="151" t="s">
        <v>2965</v>
      </c>
      <c r="B1219" s="151" t="s">
        <v>2966</v>
      </c>
    </row>
    <row r="1220" spans="1:2">
      <c r="A1220" s="151" t="s">
        <v>2967</v>
      </c>
      <c r="B1220" s="151" t="s">
        <v>2968</v>
      </c>
    </row>
    <row r="1221" spans="1:2">
      <c r="A1221" s="151" t="s">
        <v>2969</v>
      </c>
      <c r="B1221" s="151" t="s">
        <v>2970</v>
      </c>
    </row>
    <row r="1222" spans="1:2">
      <c r="A1222" s="151" t="s">
        <v>2971</v>
      </c>
      <c r="B1222" s="151" t="s">
        <v>2972</v>
      </c>
    </row>
    <row r="1223" spans="1:2">
      <c r="A1223" s="151" t="s">
        <v>2973</v>
      </c>
      <c r="B1223" s="151" t="s">
        <v>2974</v>
      </c>
    </row>
    <row r="1224" spans="1:2">
      <c r="A1224" s="151" t="s">
        <v>2975</v>
      </c>
      <c r="B1224" s="151" t="s">
        <v>2976</v>
      </c>
    </row>
    <row r="1225" spans="1:2">
      <c r="A1225" s="151" t="s">
        <v>2977</v>
      </c>
      <c r="B1225" s="151" t="s">
        <v>2978</v>
      </c>
    </row>
    <row r="1226" spans="1:2">
      <c r="A1226" s="151" t="s">
        <v>2979</v>
      </c>
      <c r="B1226" s="151" t="s">
        <v>2980</v>
      </c>
    </row>
    <row r="1227" spans="1:2">
      <c r="A1227" s="151" t="s">
        <v>2981</v>
      </c>
      <c r="B1227" s="151" t="s">
        <v>2982</v>
      </c>
    </row>
    <row r="1228" spans="1:2">
      <c r="A1228" s="151" t="s">
        <v>2983</v>
      </c>
      <c r="B1228" s="151" t="s">
        <v>2984</v>
      </c>
    </row>
    <row r="1229" spans="1:2">
      <c r="A1229" s="151" t="s">
        <v>2985</v>
      </c>
      <c r="B1229" s="151" t="s">
        <v>2986</v>
      </c>
    </row>
    <row r="1230" spans="1:2">
      <c r="A1230" s="151" t="s">
        <v>2987</v>
      </c>
      <c r="B1230" s="151" t="s">
        <v>2988</v>
      </c>
    </row>
    <row r="1231" spans="1:2">
      <c r="A1231" s="151" t="s">
        <v>2989</v>
      </c>
      <c r="B1231" s="151" t="s">
        <v>2990</v>
      </c>
    </row>
    <row r="1232" spans="1:2">
      <c r="A1232" s="151" t="s">
        <v>2991</v>
      </c>
      <c r="B1232" s="151" t="s">
        <v>2992</v>
      </c>
    </row>
    <row r="1233" spans="1:2">
      <c r="A1233" s="151" t="s">
        <v>2993</v>
      </c>
      <c r="B1233" s="151" t="s">
        <v>2994</v>
      </c>
    </row>
    <row r="1234" spans="1:2">
      <c r="A1234" s="151" t="s">
        <v>2995</v>
      </c>
      <c r="B1234" s="151" t="s">
        <v>2996</v>
      </c>
    </row>
    <row r="1235" spans="1:2">
      <c r="A1235" s="151" t="s">
        <v>2997</v>
      </c>
      <c r="B1235" s="151" t="s">
        <v>2998</v>
      </c>
    </row>
    <row r="1236" spans="1:2">
      <c r="A1236" s="151" t="s">
        <v>2999</v>
      </c>
      <c r="B1236" s="151" t="s">
        <v>3000</v>
      </c>
    </row>
    <row r="1237" spans="1:2">
      <c r="A1237" s="151" t="s">
        <v>3001</v>
      </c>
      <c r="B1237" s="151" t="s">
        <v>3002</v>
      </c>
    </row>
    <row r="1238" spans="1:2">
      <c r="A1238" s="151" t="s">
        <v>3003</v>
      </c>
      <c r="B1238" s="151" t="s">
        <v>3004</v>
      </c>
    </row>
    <row r="1239" spans="1:2">
      <c r="A1239" s="151" t="s">
        <v>3005</v>
      </c>
      <c r="B1239" s="151" t="s">
        <v>3006</v>
      </c>
    </row>
    <row r="1240" spans="1:2">
      <c r="A1240" s="151" t="s">
        <v>3007</v>
      </c>
      <c r="B1240" s="151" t="s">
        <v>3008</v>
      </c>
    </row>
    <row r="1241" spans="1:2">
      <c r="A1241" s="151" t="s">
        <v>3009</v>
      </c>
      <c r="B1241" s="151" t="s">
        <v>3010</v>
      </c>
    </row>
    <row r="1242" spans="1:2">
      <c r="A1242" s="151" t="s">
        <v>3011</v>
      </c>
      <c r="B1242" s="151" t="s">
        <v>3012</v>
      </c>
    </row>
    <row r="1243" spans="1:2">
      <c r="A1243" s="151" t="s">
        <v>3013</v>
      </c>
      <c r="B1243" s="151" t="s">
        <v>3014</v>
      </c>
    </row>
    <row r="1244" spans="1:2">
      <c r="A1244" s="151" t="s">
        <v>3015</v>
      </c>
      <c r="B1244" s="151" t="s">
        <v>3016</v>
      </c>
    </row>
    <row r="1245" spans="1:2">
      <c r="A1245" s="151" t="s">
        <v>3017</v>
      </c>
      <c r="B1245" s="151" t="s">
        <v>3018</v>
      </c>
    </row>
    <row r="1246" spans="1:2">
      <c r="A1246" s="151" t="s">
        <v>3019</v>
      </c>
      <c r="B1246" s="151" t="s">
        <v>3020</v>
      </c>
    </row>
    <row r="1247" spans="1:2">
      <c r="A1247" s="151" t="s">
        <v>3021</v>
      </c>
      <c r="B1247" s="151" t="s">
        <v>3022</v>
      </c>
    </row>
    <row r="1248" spans="1:2">
      <c r="A1248" s="151" t="s">
        <v>3023</v>
      </c>
      <c r="B1248" s="151" t="s">
        <v>3024</v>
      </c>
    </row>
    <row r="1249" spans="1:2">
      <c r="A1249" s="151" t="s">
        <v>3025</v>
      </c>
      <c r="B1249" s="151" t="s">
        <v>3026</v>
      </c>
    </row>
    <row r="1250" spans="1:2">
      <c r="A1250" s="151" t="s">
        <v>3027</v>
      </c>
      <c r="B1250" s="151" t="s">
        <v>3028</v>
      </c>
    </row>
    <row r="1251" spans="1:2">
      <c r="A1251" s="151" t="s">
        <v>3029</v>
      </c>
      <c r="B1251" s="151" t="s">
        <v>3030</v>
      </c>
    </row>
    <row r="1252" spans="1:2">
      <c r="A1252" s="151" t="s">
        <v>3031</v>
      </c>
      <c r="B1252" s="151" t="s">
        <v>3032</v>
      </c>
    </row>
    <row r="1253" spans="1:2">
      <c r="A1253" s="151" t="s">
        <v>3033</v>
      </c>
      <c r="B1253" s="151" t="s">
        <v>3034</v>
      </c>
    </row>
    <row r="1254" spans="1:2">
      <c r="A1254" s="151" t="s">
        <v>3035</v>
      </c>
      <c r="B1254" s="151" t="s">
        <v>3036</v>
      </c>
    </row>
    <row r="1255" spans="1:2">
      <c r="A1255" s="151" t="s">
        <v>3037</v>
      </c>
      <c r="B1255" s="151" t="s">
        <v>3038</v>
      </c>
    </row>
    <row r="1256" spans="1:2">
      <c r="A1256" s="151" t="s">
        <v>3039</v>
      </c>
      <c r="B1256" s="151" t="s">
        <v>3040</v>
      </c>
    </row>
    <row r="1257" spans="1:2">
      <c r="A1257" s="151" t="s">
        <v>3041</v>
      </c>
      <c r="B1257" s="151" t="s">
        <v>3042</v>
      </c>
    </row>
    <row r="1258" spans="1:2">
      <c r="A1258" s="151" t="s">
        <v>3043</v>
      </c>
      <c r="B1258" s="151" t="s">
        <v>3044</v>
      </c>
    </row>
    <row r="1259" spans="1:2">
      <c r="A1259" s="151" t="s">
        <v>3045</v>
      </c>
      <c r="B1259" s="151" t="s">
        <v>3046</v>
      </c>
    </row>
    <row r="1260" spans="1:2">
      <c r="A1260" s="151" t="s">
        <v>3047</v>
      </c>
      <c r="B1260" s="151" t="s">
        <v>3048</v>
      </c>
    </row>
    <row r="1261" spans="1:2">
      <c r="A1261" s="151" t="s">
        <v>3049</v>
      </c>
      <c r="B1261" s="151" t="s">
        <v>3050</v>
      </c>
    </row>
    <row r="1262" spans="1:2">
      <c r="A1262" s="151" t="s">
        <v>3051</v>
      </c>
      <c r="B1262" s="151" t="s">
        <v>303</v>
      </c>
    </row>
    <row r="1263" spans="1:2">
      <c r="A1263" s="151" t="s">
        <v>3052</v>
      </c>
      <c r="B1263" s="151" t="s">
        <v>3053</v>
      </c>
    </row>
    <row r="1264" spans="1:2">
      <c r="A1264" s="151" t="s">
        <v>3054</v>
      </c>
      <c r="B1264" s="151" t="s">
        <v>3055</v>
      </c>
    </row>
    <row r="1265" spans="1:2">
      <c r="A1265" s="151" t="s">
        <v>3056</v>
      </c>
      <c r="B1265" s="151" t="s">
        <v>3057</v>
      </c>
    </row>
    <row r="1266" spans="1:2">
      <c r="A1266" s="151" t="s">
        <v>3058</v>
      </c>
      <c r="B1266" s="151" t="s">
        <v>3059</v>
      </c>
    </row>
    <row r="1267" spans="1:2">
      <c r="A1267" s="151" t="s">
        <v>3060</v>
      </c>
      <c r="B1267" s="151" t="s">
        <v>3061</v>
      </c>
    </row>
    <row r="1268" spans="1:2">
      <c r="A1268" s="151" t="s">
        <v>3062</v>
      </c>
      <c r="B1268" s="151" t="s">
        <v>3063</v>
      </c>
    </row>
    <row r="1269" spans="1:2">
      <c r="A1269" s="151" t="s">
        <v>3064</v>
      </c>
      <c r="B1269" s="151" t="s">
        <v>308</v>
      </c>
    </row>
    <row r="1270" spans="1:2">
      <c r="A1270" s="151" t="s">
        <v>3065</v>
      </c>
      <c r="B1270" s="151" t="s">
        <v>3066</v>
      </c>
    </row>
    <row r="1271" spans="1:2">
      <c r="A1271" s="151" t="s">
        <v>3067</v>
      </c>
      <c r="B1271" s="151" t="s">
        <v>3068</v>
      </c>
    </row>
    <row r="1272" spans="1:2">
      <c r="A1272" s="151" t="s">
        <v>3069</v>
      </c>
      <c r="B1272" s="151" t="s">
        <v>3070</v>
      </c>
    </row>
    <row r="1273" spans="1:2">
      <c r="A1273" s="151" t="s">
        <v>3071</v>
      </c>
      <c r="B1273" s="151" t="s">
        <v>3072</v>
      </c>
    </row>
    <row r="1274" spans="1:2">
      <c r="A1274" s="151" t="s">
        <v>3073</v>
      </c>
      <c r="B1274" s="151" t="s">
        <v>3074</v>
      </c>
    </row>
    <row r="1275" spans="1:2">
      <c r="A1275" s="151" t="s">
        <v>3075</v>
      </c>
      <c r="B1275" s="151" t="s">
        <v>3076</v>
      </c>
    </row>
    <row r="1276" spans="1:2">
      <c r="A1276" s="151" t="s">
        <v>3077</v>
      </c>
      <c r="B1276" s="151" t="s">
        <v>3078</v>
      </c>
    </row>
    <row r="1277" spans="1:2">
      <c r="A1277" s="151" t="s">
        <v>3079</v>
      </c>
      <c r="B1277" s="151" t="s">
        <v>3080</v>
      </c>
    </row>
    <row r="1278" spans="1:2">
      <c r="A1278" s="151" t="s">
        <v>3081</v>
      </c>
      <c r="B1278" s="151" t="s">
        <v>3082</v>
      </c>
    </row>
    <row r="1279" spans="1:2">
      <c r="A1279" s="151" t="s">
        <v>3083</v>
      </c>
      <c r="B1279" s="151" t="s">
        <v>313</v>
      </c>
    </row>
    <row r="1280" spans="1:2">
      <c r="A1280" s="151" t="s">
        <v>3084</v>
      </c>
      <c r="B1280" s="151" t="s">
        <v>3085</v>
      </c>
    </row>
    <row r="1281" spans="1:2">
      <c r="A1281" s="151" t="s">
        <v>3086</v>
      </c>
      <c r="B1281" s="151" t="s">
        <v>3087</v>
      </c>
    </row>
    <row r="1282" spans="1:2">
      <c r="A1282" s="151" t="s">
        <v>3088</v>
      </c>
      <c r="B1282" s="151" t="s">
        <v>3089</v>
      </c>
    </row>
    <row r="1283" spans="1:2">
      <c r="A1283" s="151" t="s">
        <v>3090</v>
      </c>
      <c r="B1283" s="151" t="s">
        <v>318</v>
      </c>
    </row>
    <row r="1284" spans="1:2">
      <c r="A1284" s="151" t="s">
        <v>3091</v>
      </c>
      <c r="B1284" s="151" t="s">
        <v>323</v>
      </c>
    </row>
    <row r="1285" spans="1:2">
      <c r="A1285" s="151" t="s">
        <v>3092</v>
      </c>
      <c r="B1285" s="151" t="s">
        <v>328</v>
      </c>
    </row>
    <row r="1286" spans="1:2">
      <c r="A1286" s="151" t="s">
        <v>3093</v>
      </c>
      <c r="B1286" s="151" t="s">
        <v>3094</v>
      </c>
    </row>
    <row r="1287" spans="1:2">
      <c r="A1287" s="151" t="s">
        <v>3095</v>
      </c>
      <c r="B1287" s="151" t="s">
        <v>3096</v>
      </c>
    </row>
    <row r="1288" spans="1:2">
      <c r="A1288" s="151" t="s">
        <v>3097</v>
      </c>
      <c r="B1288" s="151" t="s">
        <v>3098</v>
      </c>
    </row>
    <row r="1289" spans="1:2">
      <c r="A1289" s="151" t="s">
        <v>3099</v>
      </c>
      <c r="B1289" s="151" t="s">
        <v>3100</v>
      </c>
    </row>
    <row r="1290" spans="1:2">
      <c r="A1290" s="151" t="s">
        <v>3101</v>
      </c>
      <c r="B1290" s="151" t="s">
        <v>3102</v>
      </c>
    </row>
    <row r="1291" spans="1:2">
      <c r="A1291" s="151" t="s">
        <v>3103</v>
      </c>
      <c r="B1291" s="151" t="s">
        <v>3104</v>
      </c>
    </row>
    <row r="1292" spans="1:2">
      <c r="A1292" s="151" t="s">
        <v>3105</v>
      </c>
      <c r="B1292" s="151" t="s">
        <v>3106</v>
      </c>
    </row>
    <row r="1293" spans="1:2">
      <c r="A1293" s="151" t="s">
        <v>3107</v>
      </c>
      <c r="B1293" s="151" t="s">
        <v>3108</v>
      </c>
    </row>
    <row r="1294" spans="1:2">
      <c r="A1294" s="151" t="s">
        <v>3109</v>
      </c>
      <c r="B1294" s="151" t="s">
        <v>3110</v>
      </c>
    </row>
    <row r="1295" spans="1:2">
      <c r="A1295" s="151" t="s">
        <v>3111</v>
      </c>
      <c r="B1295" s="151" t="s">
        <v>3112</v>
      </c>
    </row>
    <row r="1296" spans="1:2">
      <c r="A1296" s="151" t="s">
        <v>3113</v>
      </c>
      <c r="B1296" s="151" t="s">
        <v>3114</v>
      </c>
    </row>
    <row r="1297" spans="1:2">
      <c r="A1297" s="151" t="s">
        <v>3115</v>
      </c>
      <c r="B1297" s="151" t="s">
        <v>3116</v>
      </c>
    </row>
    <row r="1298" spans="1:2">
      <c r="A1298" s="151" t="s">
        <v>3117</v>
      </c>
      <c r="B1298" s="151" t="s">
        <v>3118</v>
      </c>
    </row>
    <row r="1299" spans="1:2">
      <c r="A1299" s="151" t="s">
        <v>3119</v>
      </c>
      <c r="B1299" s="151" t="s">
        <v>3120</v>
      </c>
    </row>
    <row r="1300" spans="1:2">
      <c r="A1300" s="151" t="s">
        <v>3121</v>
      </c>
      <c r="B1300" s="151" t="s">
        <v>333</v>
      </c>
    </row>
    <row r="1301" spans="1:2">
      <c r="A1301" s="151" t="s">
        <v>3122</v>
      </c>
      <c r="B1301" s="151" t="s">
        <v>3123</v>
      </c>
    </row>
    <row r="1302" spans="1:2">
      <c r="A1302" s="151" t="s">
        <v>3124</v>
      </c>
      <c r="B1302" s="151" t="s">
        <v>3125</v>
      </c>
    </row>
    <row r="1303" spans="1:2">
      <c r="A1303" s="151" t="s">
        <v>3126</v>
      </c>
      <c r="B1303" s="151" t="s">
        <v>338</v>
      </c>
    </row>
    <row r="1304" spans="1:2">
      <c r="A1304" s="151" t="s">
        <v>3127</v>
      </c>
      <c r="B1304" s="151" t="s">
        <v>3128</v>
      </c>
    </row>
    <row r="1305" spans="1:2">
      <c r="A1305" s="151" t="s">
        <v>3129</v>
      </c>
      <c r="B1305" s="151" t="s">
        <v>3130</v>
      </c>
    </row>
    <row r="1306" spans="1:2">
      <c r="A1306" s="151" t="s">
        <v>3131</v>
      </c>
      <c r="B1306" s="151" t="s">
        <v>3132</v>
      </c>
    </row>
    <row r="1307" spans="1:2">
      <c r="A1307" s="151" t="s">
        <v>3133</v>
      </c>
      <c r="B1307" s="151" t="s">
        <v>3134</v>
      </c>
    </row>
    <row r="1308" spans="1:2">
      <c r="A1308" s="151" t="s">
        <v>3135</v>
      </c>
      <c r="B1308" s="151" t="s">
        <v>3136</v>
      </c>
    </row>
    <row r="1309" spans="1:2">
      <c r="A1309" s="151" t="s">
        <v>3137</v>
      </c>
      <c r="B1309" s="151" t="s">
        <v>3138</v>
      </c>
    </row>
    <row r="1310" spans="1:2">
      <c r="A1310" s="151" t="s">
        <v>3139</v>
      </c>
      <c r="B1310" s="151" t="s">
        <v>3140</v>
      </c>
    </row>
    <row r="1311" spans="1:2">
      <c r="A1311" s="151" t="s">
        <v>3141</v>
      </c>
      <c r="B1311" s="151" t="s">
        <v>3142</v>
      </c>
    </row>
    <row r="1312" spans="1:2">
      <c r="A1312" s="151" t="s">
        <v>3143</v>
      </c>
      <c r="B1312" s="151" t="s">
        <v>3144</v>
      </c>
    </row>
    <row r="1313" spans="1:2">
      <c r="A1313" s="151" t="s">
        <v>3145</v>
      </c>
      <c r="B1313" s="151" t="s">
        <v>3146</v>
      </c>
    </row>
    <row r="1314" spans="1:2">
      <c r="A1314" s="151" t="s">
        <v>3147</v>
      </c>
      <c r="B1314" s="151" t="s">
        <v>3148</v>
      </c>
    </row>
    <row r="1315" spans="1:2">
      <c r="A1315" s="151" t="s">
        <v>3149</v>
      </c>
      <c r="B1315" s="151" t="s">
        <v>3150</v>
      </c>
    </row>
    <row r="1316" spans="1:2">
      <c r="A1316" s="151" t="s">
        <v>3151</v>
      </c>
      <c r="B1316" s="151" t="s">
        <v>3152</v>
      </c>
    </row>
    <row r="1317" spans="1:2">
      <c r="A1317" s="151" t="s">
        <v>3153</v>
      </c>
      <c r="B1317" s="151" t="s">
        <v>3154</v>
      </c>
    </row>
    <row r="1318" spans="1:2">
      <c r="A1318" s="151" t="s">
        <v>3155</v>
      </c>
      <c r="B1318" s="151" t="s">
        <v>3156</v>
      </c>
    </row>
    <row r="1319" spans="1:2">
      <c r="A1319" s="151" t="s">
        <v>3157</v>
      </c>
      <c r="B1319" s="151" t="s">
        <v>3158</v>
      </c>
    </row>
    <row r="1320" spans="1:2">
      <c r="A1320" s="151" t="s">
        <v>3159</v>
      </c>
      <c r="B1320" s="151" t="s">
        <v>3160</v>
      </c>
    </row>
    <row r="1321" spans="1:2">
      <c r="A1321" s="151" t="s">
        <v>3161</v>
      </c>
      <c r="B1321" s="151" t="s">
        <v>3162</v>
      </c>
    </row>
    <row r="1322" spans="1:2">
      <c r="A1322" s="151" t="s">
        <v>3163</v>
      </c>
      <c r="B1322" s="151" t="s">
        <v>3164</v>
      </c>
    </row>
    <row r="1323" spans="1:2">
      <c r="A1323" s="151" t="s">
        <v>3165</v>
      </c>
      <c r="B1323" s="151" t="s">
        <v>3166</v>
      </c>
    </row>
    <row r="1324" spans="1:2">
      <c r="A1324" s="151" t="s">
        <v>3167</v>
      </c>
      <c r="B1324" s="151" t="s">
        <v>3168</v>
      </c>
    </row>
    <row r="1325" spans="1:2">
      <c r="A1325" s="151" t="s">
        <v>3169</v>
      </c>
      <c r="B1325" s="151" t="s">
        <v>3170</v>
      </c>
    </row>
    <row r="1326" spans="1:2">
      <c r="A1326" s="151" t="s">
        <v>3171</v>
      </c>
      <c r="B1326" s="151" t="s">
        <v>3172</v>
      </c>
    </row>
    <row r="1327" spans="1:2">
      <c r="A1327" s="151" t="s">
        <v>3173</v>
      </c>
      <c r="B1327" s="151" t="s">
        <v>3174</v>
      </c>
    </row>
    <row r="1328" spans="1:2">
      <c r="A1328" s="151" t="s">
        <v>3175</v>
      </c>
      <c r="B1328" s="151" t="s">
        <v>3176</v>
      </c>
    </row>
    <row r="1329" spans="1:2">
      <c r="A1329" s="151" t="s">
        <v>3177</v>
      </c>
      <c r="B1329" s="151" t="s">
        <v>3178</v>
      </c>
    </row>
    <row r="1330" spans="1:2">
      <c r="A1330" s="151" t="s">
        <v>3179</v>
      </c>
      <c r="B1330" s="151" t="s">
        <v>3180</v>
      </c>
    </row>
    <row r="1331" spans="1:2">
      <c r="A1331" s="151" t="s">
        <v>3181</v>
      </c>
      <c r="B1331" s="151" t="s">
        <v>3182</v>
      </c>
    </row>
    <row r="1332" spans="1:2">
      <c r="A1332" s="151" t="s">
        <v>3183</v>
      </c>
      <c r="B1332" s="151" t="s">
        <v>3184</v>
      </c>
    </row>
    <row r="1333" spans="1:2">
      <c r="A1333" s="151" t="s">
        <v>3185</v>
      </c>
      <c r="B1333" s="151" t="s">
        <v>3186</v>
      </c>
    </row>
    <row r="1334" spans="1:2">
      <c r="A1334" s="151" t="s">
        <v>3187</v>
      </c>
      <c r="B1334" s="151" t="s">
        <v>3188</v>
      </c>
    </row>
    <row r="1335" spans="1:2">
      <c r="A1335" s="151" t="s">
        <v>3189</v>
      </c>
      <c r="B1335" s="151" t="s">
        <v>3190</v>
      </c>
    </row>
    <row r="1336" spans="1:2">
      <c r="A1336" s="151" t="s">
        <v>3191</v>
      </c>
      <c r="B1336" s="151" t="s">
        <v>3192</v>
      </c>
    </row>
    <row r="1337" spans="1:2">
      <c r="A1337" s="151" t="s">
        <v>3193</v>
      </c>
      <c r="B1337" s="151" t="s">
        <v>3194</v>
      </c>
    </row>
    <row r="1338" spans="1:2">
      <c r="A1338" s="151" t="s">
        <v>3195</v>
      </c>
      <c r="B1338" s="151" t="s">
        <v>3196</v>
      </c>
    </row>
    <row r="1339" spans="1:2">
      <c r="A1339" s="151" t="s">
        <v>3197</v>
      </c>
      <c r="B1339" s="151" t="s">
        <v>3198</v>
      </c>
    </row>
    <row r="1340" spans="1:2">
      <c r="A1340" s="151" t="s">
        <v>3199</v>
      </c>
      <c r="B1340" s="151" t="s">
        <v>3200</v>
      </c>
    </row>
    <row r="1341" spans="1:2">
      <c r="A1341" s="151" t="s">
        <v>3201</v>
      </c>
      <c r="B1341" s="151" t="s">
        <v>3202</v>
      </c>
    </row>
    <row r="1342" spans="1:2">
      <c r="A1342" s="151" t="s">
        <v>3203</v>
      </c>
      <c r="B1342" s="151" t="s">
        <v>3204</v>
      </c>
    </row>
    <row r="1343" spans="1:2">
      <c r="A1343" s="151" t="s">
        <v>3205</v>
      </c>
      <c r="B1343" s="151" t="s">
        <v>3206</v>
      </c>
    </row>
    <row r="1344" spans="1:2">
      <c r="A1344" s="151" t="s">
        <v>3207</v>
      </c>
      <c r="B1344" s="151" t="s">
        <v>3208</v>
      </c>
    </row>
    <row r="1345" spans="1:2">
      <c r="A1345" s="151" t="s">
        <v>3209</v>
      </c>
      <c r="B1345" s="151" t="s">
        <v>3210</v>
      </c>
    </row>
    <row r="1346" spans="1:2">
      <c r="A1346" s="151" t="s">
        <v>3211</v>
      </c>
      <c r="B1346" s="151" t="s">
        <v>3212</v>
      </c>
    </row>
    <row r="1347" spans="1:2">
      <c r="A1347" s="151" t="s">
        <v>3213</v>
      </c>
      <c r="B1347" s="151" t="s">
        <v>3214</v>
      </c>
    </row>
    <row r="1348" spans="1:2">
      <c r="A1348" s="151" t="s">
        <v>3215</v>
      </c>
      <c r="B1348" s="151" t="s">
        <v>3216</v>
      </c>
    </row>
    <row r="1349" spans="1:2">
      <c r="A1349" s="151" t="s">
        <v>3217</v>
      </c>
      <c r="B1349" s="151" t="s">
        <v>3218</v>
      </c>
    </row>
    <row r="1350" spans="1:2">
      <c r="A1350" s="151" t="s">
        <v>3219</v>
      </c>
      <c r="B1350" s="151" t="s">
        <v>3220</v>
      </c>
    </row>
    <row r="1351" spans="1:2">
      <c r="A1351" s="151" t="s">
        <v>3221</v>
      </c>
      <c r="B1351" s="151" t="s">
        <v>3222</v>
      </c>
    </row>
    <row r="1352" spans="1:2">
      <c r="A1352" s="151" t="s">
        <v>3223</v>
      </c>
      <c r="B1352" s="151" t="s">
        <v>3224</v>
      </c>
    </row>
    <row r="1353" spans="1:2">
      <c r="A1353" s="151" t="s">
        <v>3225</v>
      </c>
      <c r="B1353" s="151" t="s">
        <v>3226</v>
      </c>
    </row>
    <row r="1354" spans="1:2">
      <c r="A1354" s="151" t="s">
        <v>3227</v>
      </c>
      <c r="B1354" s="151" t="s">
        <v>3228</v>
      </c>
    </row>
    <row r="1355" spans="1:2">
      <c r="A1355" s="151" t="s">
        <v>3229</v>
      </c>
      <c r="B1355" s="151" t="s">
        <v>343</v>
      </c>
    </row>
    <row r="1356" spans="1:2">
      <c r="A1356" s="151" t="s">
        <v>3230</v>
      </c>
      <c r="B1356" s="151" t="s">
        <v>3231</v>
      </c>
    </row>
    <row r="1357" spans="1:2">
      <c r="A1357" s="151" t="s">
        <v>3232</v>
      </c>
      <c r="B1357" s="151" t="s">
        <v>348</v>
      </c>
    </row>
    <row r="1358" spans="1:2">
      <c r="A1358" s="151" t="s">
        <v>3233</v>
      </c>
      <c r="B1358" s="151" t="s">
        <v>3234</v>
      </c>
    </row>
    <row r="1359" spans="1:2">
      <c r="A1359" s="151" t="s">
        <v>3235</v>
      </c>
      <c r="B1359" s="151" t="s">
        <v>3236</v>
      </c>
    </row>
    <row r="1360" spans="1:2">
      <c r="A1360" s="151" t="s">
        <v>3237</v>
      </c>
      <c r="B1360" s="151" t="s">
        <v>3238</v>
      </c>
    </row>
    <row r="1361" spans="1:2">
      <c r="A1361" s="151" t="s">
        <v>3239</v>
      </c>
      <c r="B1361" s="151" t="s">
        <v>3240</v>
      </c>
    </row>
    <row r="1362" spans="1:2">
      <c r="A1362" s="151" t="s">
        <v>3241</v>
      </c>
      <c r="B1362" s="151" t="s">
        <v>3242</v>
      </c>
    </row>
    <row r="1363" spans="1:2">
      <c r="A1363" s="151" t="s">
        <v>3243</v>
      </c>
      <c r="B1363" s="151" t="s">
        <v>3244</v>
      </c>
    </row>
    <row r="1364" spans="1:2">
      <c r="A1364" s="151" t="s">
        <v>3245</v>
      </c>
      <c r="B1364" s="151" t="s">
        <v>3246</v>
      </c>
    </row>
    <row r="1365" spans="1:2">
      <c r="A1365" s="151" t="s">
        <v>3247</v>
      </c>
      <c r="B1365" s="151" t="s">
        <v>3248</v>
      </c>
    </row>
    <row r="1366" spans="1:2">
      <c r="A1366" s="151" t="s">
        <v>3249</v>
      </c>
      <c r="B1366" s="151" t="s">
        <v>3250</v>
      </c>
    </row>
    <row r="1367" spans="1:2">
      <c r="A1367" s="151" t="s">
        <v>3251</v>
      </c>
      <c r="B1367" s="151" t="s">
        <v>3252</v>
      </c>
    </row>
    <row r="1368" spans="1:2">
      <c r="A1368" s="151" t="s">
        <v>3253</v>
      </c>
      <c r="B1368" s="151" t="s">
        <v>3254</v>
      </c>
    </row>
    <row r="1369" spans="1:2">
      <c r="A1369" s="151" t="s">
        <v>3255</v>
      </c>
      <c r="B1369" s="151" t="s">
        <v>3256</v>
      </c>
    </row>
    <row r="1370" spans="1:2">
      <c r="A1370" s="151" t="s">
        <v>3257</v>
      </c>
      <c r="B1370" s="151" t="s">
        <v>3258</v>
      </c>
    </row>
    <row r="1371" spans="1:2">
      <c r="A1371" s="151" t="s">
        <v>3259</v>
      </c>
      <c r="B1371" s="151" t="s">
        <v>3260</v>
      </c>
    </row>
    <row r="1372" spans="1:2">
      <c r="A1372" s="151" t="s">
        <v>3261</v>
      </c>
      <c r="B1372" s="151" t="s">
        <v>3262</v>
      </c>
    </row>
    <row r="1373" spans="1:2">
      <c r="A1373" s="151" t="s">
        <v>3263</v>
      </c>
      <c r="B1373" s="151" t="s">
        <v>3264</v>
      </c>
    </row>
    <row r="1374" spans="1:2">
      <c r="A1374" s="151" t="s">
        <v>3265</v>
      </c>
      <c r="B1374" s="151" t="s">
        <v>3266</v>
      </c>
    </row>
    <row r="1375" spans="1:2">
      <c r="A1375" s="151" t="s">
        <v>3267</v>
      </c>
      <c r="B1375" s="151" t="s">
        <v>3268</v>
      </c>
    </row>
    <row r="1376" spans="1:2">
      <c r="A1376" s="151" t="s">
        <v>3269</v>
      </c>
      <c r="B1376" s="151" t="s">
        <v>3270</v>
      </c>
    </row>
    <row r="1377" spans="1:2">
      <c r="A1377" s="151" t="s">
        <v>3271</v>
      </c>
      <c r="B1377" s="151" t="s">
        <v>3272</v>
      </c>
    </row>
    <row r="1378" spans="1:2">
      <c r="A1378" s="151" t="s">
        <v>3273</v>
      </c>
      <c r="B1378" s="151" t="s">
        <v>3274</v>
      </c>
    </row>
    <row r="1379" spans="1:2">
      <c r="A1379" s="151" t="s">
        <v>3275</v>
      </c>
      <c r="B1379" s="151" t="s">
        <v>3276</v>
      </c>
    </row>
    <row r="1380" spans="1:2">
      <c r="A1380" s="151" t="s">
        <v>3277</v>
      </c>
      <c r="B1380" s="151" t="s">
        <v>3278</v>
      </c>
    </row>
    <row r="1381" spans="1:2">
      <c r="A1381" s="151" t="s">
        <v>3279</v>
      </c>
      <c r="B1381" s="151" t="s">
        <v>3280</v>
      </c>
    </row>
    <row r="1382" spans="1:2">
      <c r="A1382" s="151" t="s">
        <v>3281</v>
      </c>
      <c r="B1382" s="151" t="s">
        <v>3282</v>
      </c>
    </row>
    <row r="1383" spans="1:2">
      <c r="A1383" s="151" t="s">
        <v>3283</v>
      </c>
      <c r="B1383" s="151" t="s">
        <v>3284</v>
      </c>
    </row>
    <row r="1384" spans="1:2">
      <c r="A1384" s="151" t="s">
        <v>3285</v>
      </c>
      <c r="B1384" s="151" t="s">
        <v>3286</v>
      </c>
    </row>
    <row r="1385" spans="1:2">
      <c r="A1385" s="151" t="s">
        <v>3287</v>
      </c>
      <c r="B1385" s="151" t="s">
        <v>910</v>
      </c>
    </row>
    <row r="1386" spans="1:2">
      <c r="A1386" s="151" t="s">
        <v>3288</v>
      </c>
      <c r="B1386" s="151" t="s">
        <v>3289</v>
      </c>
    </row>
    <row r="1387" spans="1:2">
      <c r="A1387" s="151" t="s">
        <v>3290</v>
      </c>
      <c r="B1387" s="151" t="s">
        <v>353</v>
      </c>
    </row>
    <row r="1388" spans="1:2">
      <c r="A1388" s="151" t="s">
        <v>3291</v>
      </c>
      <c r="B1388" s="151" t="s">
        <v>3292</v>
      </c>
    </row>
    <row r="1389" spans="1:2">
      <c r="A1389" s="151" t="s">
        <v>3293</v>
      </c>
      <c r="B1389" s="151" t="s">
        <v>358</v>
      </c>
    </row>
    <row r="1390" spans="1:2">
      <c r="A1390" s="151" t="s">
        <v>3294</v>
      </c>
      <c r="B1390" s="151" t="s">
        <v>3295</v>
      </c>
    </row>
    <row r="1391" spans="1:2">
      <c r="A1391" s="151" t="s">
        <v>3296</v>
      </c>
      <c r="B1391" s="151" t="s">
        <v>363</v>
      </c>
    </row>
    <row r="1392" spans="1:2">
      <c r="A1392" s="151" t="s">
        <v>3297</v>
      </c>
      <c r="B1392" s="151" t="s">
        <v>368</v>
      </c>
    </row>
    <row r="1393" spans="1:2">
      <c r="A1393" s="151" t="s">
        <v>3298</v>
      </c>
      <c r="B1393" s="151" t="s">
        <v>120</v>
      </c>
    </row>
    <row r="1394" spans="1:2">
      <c r="A1394" s="151" t="s">
        <v>3299</v>
      </c>
      <c r="B1394" s="151" t="s">
        <v>3300</v>
      </c>
    </row>
    <row r="1395" spans="1:2">
      <c r="A1395" s="151" t="s">
        <v>3301</v>
      </c>
      <c r="B1395" s="151" t="s">
        <v>3302</v>
      </c>
    </row>
    <row r="1396" spans="1:2">
      <c r="A1396" s="151" t="s">
        <v>3303</v>
      </c>
      <c r="B1396" s="151" t="s">
        <v>3304</v>
      </c>
    </row>
    <row r="1397" spans="1:2">
      <c r="A1397" s="151" t="s">
        <v>3305</v>
      </c>
      <c r="B1397" s="151" t="s">
        <v>373</v>
      </c>
    </row>
    <row r="1398" spans="1:2">
      <c r="A1398" s="151" t="s">
        <v>3306</v>
      </c>
      <c r="B1398" s="151" t="s">
        <v>3307</v>
      </c>
    </row>
    <row r="1399" spans="1:2">
      <c r="A1399" s="151" t="s">
        <v>3308</v>
      </c>
      <c r="B1399" s="151" t="s">
        <v>3309</v>
      </c>
    </row>
    <row r="1400" spans="1:2">
      <c r="A1400" s="151" t="s">
        <v>3310</v>
      </c>
      <c r="B1400" s="151" t="s">
        <v>3311</v>
      </c>
    </row>
    <row r="1401" spans="1:2">
      <c r="A1401" s="151" t="s">
        <v>3312</v>
      </c>
      <c r="B1401" s="151" t="s">
        <v>3313</v>
      </c>
    </row>
    <row r="1402" spans="1:2">
      <c r="A1402" s="151" t="s">
        <v>3314</v>
      </c>
      <c r="B1402" s="151" t="s">
        <v>3315</v>
      </c>
    </row>
    <row r="1403" spans="1:2">
      <c r="A1403" s="151" t="s">
        <v>3316</v>
      </c>
      <c r="B1403" s="151" t="s">
        <v>3317</v>
      </c>
    </row>
    <row r="1404" spans="1:2">
      <c r="A1404" s="151" t="s">
        <v>3318</v>
      </c>
      <c r="B1404" s="151" t="s">
        <v>3319</v>
      </c>
    </row>
    <row r="1405" spans="1:2">
      <c r="A1405" s="151" t="s">
        <v>3320</v>
      </c>
      <c r="B1405" s="151" t="s">
        <v>3321</v>
      </c>
    </row>
    <row r="1406" spans="1:2">
      <c r="A1406" s="151" t="s">
        <v>3322</v>
      </c>
      <c r="B1406" s="151" t="s">
        <v>3323</v>
      </c>
    </row>
    <row r="1407" spans="1:2">
      <c r="A1407" s="151" t="s">
        <v>3324</v>
      </c>
      <c r="B1407" s="151" t="s">
        <v>3325</v>
      </c>
    </row>
    <row r="1408" spans="1:2">
      <c r="A1408" s="151" t="s">
        <v>3326</v>
      </c>
      <c r="B1408" s="151" t="s">
        <v>3327</v>
      </c>
    </row>
    <row r="1409" spans="1:2">
      <c r="A1409" s="151" t="s">
        <v>3328</v>
      </c>
      <c r="B1409" s="151" t="s">
        <v>3329</v>
      </c>
    </row>
    <row r="1410" spans="1:2">
      <c r="A1410" s="151" t="s">
        <v>3330</v>
      </c>
      <c r="B1410" s="151" t="s">
        <v>3331</v>
      </c>
    </row>
    <row r="1411" spans="1:2">
      <c r="A1411" s="151" t="s">
        <v>3332</v>
      </c>
      <c r="B1411" s="151" t="s">
        <v>3333</v>
      </c>
    </row>
    <row r="1412" spans="1:2">
      <c r="A1412" s="151" t="s">
        <v>3334</v>
      </c>
      <c r="B1412" s="151" t="s">
        <v>3335</v>
      </c>
    </row>
    <row r="1413" spans="1:2">
      <c r="A1413" s="151" t="s">
        <v>3336</v>
      </c>
      <c r="B1413" s="151" t="s">
        <v>3337</v>
      </c>
    </row>
    <row r="1414" spans="1:2">
      <c r="A1414" s="151" t="s">
        <v>3338</v>
      </c>
      <c r="B1414" s="151" t="s">
        <v>3339</v>
      </c>
    </row>
    <row r="1415" spans="1:2">
      <c r="A1415" s="151" t="s">
        <v>3340</v>
      </c>
      <c r="B1415" s="151" t="s">
        <v>3341</v>
      </c>
    </row>
    <row r="1416" spans="1:2">
      <c r="A1416" s="151" t="s">
        <v>3342</v>
      </c>
      <c r="B1416" s="151" t="s">
        <v>3343</v>
      </c>
    </row>
    <row r="1417" spans="1:2">
      <c r="A1417" s="151" t="s">
        <v>3344</v>
      </c>
      <c r="B1417" s="151" t="s">
        <v>3345</v>
      </c>
    </row>
    <row r="1418" spans="1:2">
      <c r="A1418" s="151" t="s">
        <v>3346</v>
      </c>
      <c r="B1418" s="151" t="s">
        <v>3347</v>
      </c>
    </row>
    <row r="1419" spans="1:2">
      <c r="A1419" s="151" t="s">
        <v>3348</v>
      </c>
      <c r="B1419" s="151" t="s">
        <v>3349</v>
      </c>
    </row>
    <row r="1420" spans="1:2">
      <c r="A1420" s="151" t="s">
        <v>3350</v>
      </c>
      <c r="B1420" s="151" t="s">
        <v>3351</v>
      </c>
    </row>
    <row r="1421" spans="1:2">
      <c r="A1421" s="151" t="s">
        <v>3352</v>
      </c>
      <c r="B1421" s="151" t="s">
        <v>3353</v>
      </c>
    </row>
    <row r="1422" spans="1:2">
      <c r="A1422" s="151" t="s">
        <v>3354</v>
      </c>
      <c r="B1422" s="151" t="s">
        <v>3355</v>
      </c>
    </row>
    <row r="1423" spans="1:2">
      <c r="A1423" s="151" t="s">
        <v>3356</v>
      </c>
      <c r="B1423" s="151" t="s">
        <v>3357</v>
      </c>
    </row>
    <row r="1424" spans="1:2">
      <c r="A1424" s="151" t="s">
        <v>3358</v>
      </c>
      <c r="B1424" s="151" t="s">
        <v>3359</v>
      </c>
    </row>
    <row r="1425" spans="1:2">
      <c r="A1425" s="151" t="s">
        <v>3360</v>
      </c>
      <c r="B1425" s="151" t="s">
        <v>3361</v>
      </c>
    </row>
    <row r="1426" spans="1:2">
      <c r="A1426" s="151" t="s">
        <v>3362</v>
      </c>
      <c r="B1426" s="151" t="s">
        <v>3363</v>
      </c>
    </row>
    <row r="1427" spans="1:2">
      <c r="A1427" s="151" t="s">
        <v>3364</v>
      </c>
      <c r="B1427" s="151" t="s">
        <v>3365</v>
      </c>
    </row>
    <row r="1428" spans="1:2">
      <c r="A1428" s="151" t="s">
        <v>3366</v>
      </c>
      <c r="B1428" s="151" t="s">
        <v>3367</v>
      </c>
    </row>
    <row r="1429" spans="1:2">
      <c r="A1429" s="151" t="s">
        <v>3368</v>
      </c>
      <c r="B1429" s="151" t="s">
        <v>3369</v>
      </c>
    </row>
    <row r="1430" spans="1:2">
      <c r="A1430" s="151" t="s">
        <v>3370</v>
      </c>
      <c r="B1430" s="151" t="s">
        <v>3371</v>
      </c>
    </row>
    <row r="1431" spans="1:2">
      <c r="A1431" s="151" t="s">
        <v>3372</v>
      </c>
      <c r="B1431" s="151" t="s">
        <v>3373</v>
      </c>
    </row>
    <row r="1432" spans="1:2">
      <c r="A1432" s="151" t="s">
        <v>3374</v>
      </c>
      <c r="B1432" s="151" t="s">
        <v>3375</v>
      </c>
    </row>
    <row r="1433" spans="1:2">
      <c r="A1433" s="151" t="s">
        <v>3376</v>
      </c>
      <c r="B1433" s="151" t="s">
        <v>3377</v>
      </c>
    </row>
    <row r="1434" spans="1:2">
      <c r="A1434" s="151" t="s">
        <v>3378</v>
      </c>
      <c r="B1434" s="151" t="s">
        <v>3379</v>
      </c>
    </row>
    <row r="1435" spans="1:2">
      <c r="A1435" s="151" t="s">
        <v>3380</v>
      </c>
      <c r="B1435" s="151" t="s">
        <v>3381</v>
      </c>
    </row>
    <row r="1436" spans="1:2">
      <c r="A1436" s="151" t="s">
        <v>3382</v>
      </c>
      <c r="B1436" s="151" t="s">
        <v>3383</v>
      </c>
    </row>
    <row r="1437" spans="1:2">
      <c r="A1437" s="151" t="s">
        <v>3384</v>
      </c>
      <c r="B1437" s="151" t="s">
        <v>3385</v>
      </c>
    </row>
    <row r="1438" spans="1:2">
      <c r="A1438" s="151" t="s">
        <v>3386</v>
      </c>
      <c r="B1438" s="151" t="s">
        <v>3387</v>
      </c>
    </row>
    <row r="1439" spans="1:2">
      <c r="A1439" s="151" t="s">
        <v>3388</v>
      </c>
      <c r="B1439" s="151" t="s">
        <v>3389</v>
      </c>
    </row>
    <row r="1440" spans="1:2">
      <c r="A1440" s="151" t="s">
        <v>3390</v>
      </c>
      <c r="B1440" s="151" t="s">
        <v>3391</v>
      </c>
    </row>
    <row r="1441" spans="1:2">
      <c r="A1441" s="151" t="s">
        <v>3392</v>
      </c>
      <c r="B1441" s="151" t="s">
        <v>3393</v>
      </c>
    </row>
    <row r="1442" spans="1:2">
      <c r="A1442" s="151" t="s">
        <v>3394</v>
      </c>
      <c r="B1442" s="151" t="s">
        <v>3395</v>
      </c>
    </row>
    <row r="1443" spans="1:2">
      <c r="A1443" s="151" t="s">
        <v>3396</v>
      </c>
      <c r="B1443" s="151" t="s">
        <v>3397</v>
      </c>
    </row>
    <row r="1444" spans="1:2">
      <c r="A1444" s="151" t="s">
        <v>3398</v>
      </c>
      <c r="B1444" s="151" t="s">
        <v>3399</v>
      </c>
    </row>
    <row r="1445" spans="1:2">
      <c r="A1445" s="151" t="s">
        <v>3400</v>
      </c>
      <c r="B1445" s="151" t="s">
        <v>3401</v>
      </c>
    </row>
    <row r="1446" spans="1:2">
      <c r="A1446" s="151" t="s">
        <v>3402</v>
      </c>
      <c r="B1446" s="151" t="s">
        <v>3403</v>
      </c>
    </row>
    <row r="1447" spans="1:2">
      <c r="A1447" s="151" t="s">
        <v>3404</v>
      </c>
      <c r="B1447" s="151" t="s">
        <v>3405</v>
      </c>
    </row>
    <row r="1448" spans="1:2">
      <c r="A1448" s="151" t="s">
        <v>3406</v>
      </c>
      <c r="B1448" s="151" t="s">
        <v>3407</v>
      </c>
    </row>
    <row r="1449" spans="1:2">
      <c r="A1449" s="151" t="s">
        <v>3408</v>
      </c>
      <c r="B1449" s="151" t="s">
        <v>3409</v>
      </c>
    </row>
    <row r="1450" spans="1:2">
      <c r="A1450" s="151" t="s">
        <v>3410</v>
      </c>
      <c r="B1450" s="151" t="s">
        <v>3411</v>
      </c>
    </row>
    <row r="1451" spans="1:2">
      <c r="A1451" s="151" t="s">
        <v>3412</v>
      </c>
      <c r="B1451" s="151" t="s">
        <v>3413</v>
      </c>
    </row>
    <row r="1452" spans="1:2">
      <c r="A1452" s="151" t="s">
        <v>3414</v>
      </c>
      <c r="B1452" s="151" t="s">
        <v>3415</v>
      </c>
    </row>
    <row r="1453" spans="1:2">
      <c r="A1453" s="151" t="s">
        <v>3416</v>
      </c>
      <c r="B1453" s="151" t="s">
        <v>3417</v>
      </c>
    </row>
    <row r="1454" spans="1:2">
      <c r="A1454" s="151" t="s">
        <v>3418</v>
      </c>
      <c r="B1454" s="151" t="s">
        <v>3419</v>
      </c>
    </row>
    <row r="1455" spans="1:2">
      <c r="A1455" s="151" t="s">
        <v>3420</v>
      </c>
      <c r="B1455" s="151" t="s">
        <v>3421</v>
      </c>
    </row>
    <row r="1456" spans="1:2">
      <c r="A1456" s="151" t="s">
        <v>3422</v>
      </c>
      <c r="B1456" s="151" t="s">
        <v>3423</v>
      </c>
    </row>
    <row r="1457" spans="1:2">
      <c r="A1457" s="151" t="s">
        <v>3424</v>
      </c>
      <c r="B1457" s="151" t="s">
        <v>3425</v>
      </c>
    </row>
    <row r="1458" spans="1:2">
      <c r="A1458" s="151" t="s">
        <v>3426</v>
      </c>
    </row>
    <row r="1459" spans="1:2">
      <c r="A1459" s="151" t="s">
        <v>3427</v>
      </c>
    </row>
    <row r="1460" spans="1:2">
      <c r="A1460" s="151" t="s">
        <v>3428</v>
      </c>
    </row>
    <row r="1461" spans="1:2">
      <c r="A1461" s="151" t="s">
        <v>3429</v>
      </c>
    </row>
    <row r="1462" spans="1:2">
      <c r="A1462" s="151" t="s">
        <v>3430</v>
      </c>
    </row>
    <row r="1463" spans="1:2">
      <c r="A1463" s="151" t="s">
        <v>3431</v>
      </c>
    </row>
    <row r="1464" spans="1:2">
      <c r="A1464" s="151" t="s">
        <v>3432</v>
      </c>
    </row>
    <row r="1465" spans="1:2">
      <c r="A1465" s="151" t="s">
        <v>3433</v>
      </c>
    </row>
    <row r="1466" spans="1:2">
      <c r="A1466" s="151" t="s">
        <v>3434</v>
      </c>
    </row>
    <row r="1467" spans="1:2">
      <c r="A1467" s="151" t="s">
        <v>3435</v>
      </c>
    </row>
    <row r="1468" spans="1:2">
      <c r="A1468" s="151" t="s">
        <v>3436</v>
      </c>
    </row>
    <row r="1469" spans="1:2">
      <c r="A1469" s="151" t="s">
        <v>3437</v>
      </c>
    </row>
    <row r="1470" spans="1:2">
      <c r="A1470" s="151" t="s">
        <v>3438</v>
      </c>
    </row>
    <row r="1471" spans="1:2">
      <c r="A1471" s="151" t="s">
        <v>3439</v>
      </c>
    </row>
    <row r="1472" spans="1:2">
      <c r="A1472" s="151" t="s">
        <v>3440</v>
      </c>
    </row>
    <row r="1473" spans="1:1">
      <c r="A1473" s="151" t="s">
        <v>3441</v>
      </c>
    </row>
    <row r="1474" spans="1:1">
      <c r="A1474" s="151" t="s">
        <v>3442</v>
      </c>
    </row>
    <row r="1475" spans="1:1">
      <c r="A1475" s="151" t="s">
        <v>3443</v>
      </c>
    </row>
    <row r="1476" spans="1:1">
      <c r="A1476" s="151" t="s">
        <v>3444</v>
      </c>
    </row>
    <row r="1477" spans="1:1">
      <c r="A1477" s="151" t="s">
        <v>3445</v>
      </c>
    </row>
    <row r="1478" spans="1:1">
      <c r="A1478" s="151" t="s">
        <v>3446</v>
      </c>
    </row>
    <row r="1479" spans="1:1">
      <c r="A1479" s="151" t="s">
        <v>3447</v>
      </c>
    </row>
    <row r="1480" spans="1:1">
      <c r="A1480" s="151" t="s">
        <v>3448</v>
      </c>
    </row>
    <row r="1481" spans="1:1">
      <c r="A1481" s="151" t="s">
        <v>3449</v>
      </c>
    </row>
    <row r="1482" spans="1:1">
      <c r="A1482" s="151" t="s">
        <v>3450</v>
      </c>
    </row>
    <row r="1483" spans="1:1">
      <c r="A1483" s="151" t="s">
        <v>3451</v>
      </c>
    </row>
    <row r="1484" spans="1:1">
      <c r="A1484" s="151" t="s">
        <v>3452</v>
      </c>
    </row>
    <row r="1485" spans="1:1">
      <c r="A1485" s="151" t="s">
        <v>3453</v>
      </c>
    </row>
    <row r="1486" spans="1:1">
      <c r="A1486" s="151" t="s">
        <v>3454</v>
      </c>
    </row>
    <row r="1487" spans="1:1">
      <c r="A1487" s="151" t="s">
        <v>3455</v>
      </c>
    </row>
    <row r="1488" spans="1:1">
      <c r="A1488" s="151" t="s">
        <v>3456</v>
      </c>
    </row>
    <row r="1489" spans="1:1">
      <c r="A1489" s="151" t="s">
        <v>3457</v>
      </c>
    </row>
    <row r="1490" spans="1:1">
      <c r="A1490" s="151" t="s">
        <v>3458</v>
      </c>
    </row>
    <row r="1491" spans="1:1">
      <c r="A1491" s="151" t="s">
        <v>3459</v>
      </c>
    </row>
    <row r="1492" spans="1:1">
      <c r="A1492" s="151" t="s">
        <v>3460</v>
      </c>
    </row>
    <row r="1493" spans="1:1">
      <c r="A1493" s="151" t="s">
        <v>3461</v>
      </c>
    </row>
    <row r="1494" spans="1:1">
      <c r="A1494" s="151" t="s">
        <v>3462</v>
      </c>
    </row>
    <row r="1495" spans="1:1">
      <c r="A1495" s="151" t="s">
        <v>3463</v>
      </c>
    </row>
    <row r="1496" spans="1:1">
      <c r="A1496" s="151" t="s">
        <v>3464</v>
      </c>
    </row>
    <row r="1497" spans="1:1">
      <c r="A1497" s="151" t="s">
        <v>3465</v>
      </c>
    </row>
    <row r="1498" spans="1:1">
      <c r="A1498" s="151" t="s">
        <v>3466</v>
      </c>
    </row>
    <row r="1499" spans="1:1">
      <c r="A1499" s="151" t="s">
        <v>3467</v>
      </c>
    </row>
    <row r="1500" spans="1:1">
      <c r="A1500" s="151" t="s">
        <v>3468</v>
      </c>
    </row>
    <row r="1501" spans="1:1">
      <c r="A1501" s="151" t="s">
        <v>3469</v>
      </c>
    </row>
    <row r="1502" spans="1:1">
      <c r="A1502" s="151" t="s">
        <v>3470</v>
      </c>
    </row>
    <row r="1503" spans="1:1">
      <c r="A1503" s="151" t="s">
        <v>3471</v>
      </c>
    </row>
    <row r="1504" spans="1:1">
      <c r="A1504" s="151" t="s">
        <v>3472</v>
      </c>
    </row>
    <row r="1505" spans="1:1">
      <c r="A1505" s="151" t="s">
        <v>3473</v>
      </c>
    </row>
    <row r="1506" spans="1:1">
      <c r="A1506" s="151" t="s">
        <v>3474</v>
      </c>
    </row>
    <row r="1507" spans="1:1">
      <c r="A1507" s="151" t="s">
        <v>3475</v>
      </c>
    </row>
    <row r="1508" spans="1:1">
      <c r="A1508" s="151" t="s">
        <v>3476</v>
      </c>
    </row>
    <row r="1509" spans="1:1">
      <c r="A1509" s="151" t="s">
        <v>3477</v>
      </c>
    </row>
    <row r="1510" spans="1:1">
      <c r="A1510" s="151" t="s">
        <v>3478</v>
      </c>
    </row>
    <row r="1511" spans="1:1">
      <c r="A1511" s="151" t="s">
        <v>3479</v>
      </c>
    </row>
    <row r="1512" spans="1:1">
      <c r="A1512" s="151" t="s">
        <v>3480</v>
      </c>
    </row>
    <row r="1513" spans="1:1">
      <c r="A1513" s="151" t="s">
        <v>3481</v>
      </c>
    </row>
    <row r="1514" spans="1:1">
      <c r="A1514" s="151" t="s">
        <v>3482</v>
      </c>
    </row>
    <row r="1515" spans="1:1">
      <c r="A1515" s="151" t="s">
        <v>3483</v>
      </c>
    </row>
    <row r="1516" spans="1:1">
      <c r="A1516" s="151" t="s">
        <v>3484</v>
      </c>
    </row>
    <row r="1517" spans="1:1">
      <c r="A1517" s="151" t="s">
        <v>3485</v>
      </c>
    </row>
    <row r="1518" spans="1:1">
      <c r="A1518" s="151" t="s">
        <v>3486</v>
      </c>
    </row>
    <row r="1519" spans="1:1">
      <c r="A1519" s="151" t="s">
        <v>3487</v>
      </c>
    </row>
    <row r="1520" spans="1:1">
      <c r="A1520" s="151" t="s">
        <v>3488</v>
      </c>
    </row>
    <row r="1521" spans="1:1">
      <c r="A1521" s="151" t="s">
        <v>3489</v>
      </c>
    </row>
    <row r="1522" spans="1:1">
      <c r="A1522" s="151" t="s">
        <v>3490</v>
      </c>
    </row>
    <row r="1523" spans="1:1">
      <c r="A1523" s="151" t="s">
        <v>3491</v>
      </c>
    </row>
    <row r="1524" spans="1:1">
      <c r="A1524" s="151" t="s">
        <v>3492</v>
      </c>
    </row>
    <row r="1525" spans="1:1">
      <c r="A1525" s="151" t="s">
        <v>3493</v>
      </c>
    </row>
    <row r="1526" spans="1:1">
      <c r="A1526" s="151" t="s">
        <v>3494</v>
      </c>
    </row>
    <row r="1527" spans="1:1">
      <c r="A1527" s="151" t="s">
        <v>3495</v>
      </c>
    </row>
    <row r="1528" spans="1:1">
      <c r="A1528" s="151" t="s">
        <v>3496</v>
      </c>
    </row>
    <row r="1529" spans="1:1">
      <c r="A1529" s="151" t="s">
        <v>3497</v>
      </c>
    </row>
    <row r="1530" spans="1:1">
      <c r="A1530" s="151" t="s">
        <v>3498</v>
      </c>
    </row>
    <row r="1531" spans="1:1">
      <c r="A1531" s="151" t="s">
        <v>3499</v>
      </c>
    </row>
    <row r="1532" spans="1:1">
      <c r="A1532" s="151" t="s">
        <v>3500</v>
      </c>
    </row>
    <row r="1533" spans="1:1">
      <c r="A1533" s="151" t="s">
        <v>3501</v>
      </c>
    </row>
    <row r="1534" spans="1:1">
      <c r="A1534" s="151" t="s">
        <v>3502</v>
      </c>
    </row>
    <row r="1535" spans="1:1">
      <c r="A1535" s="151" t="s">
        <v>3503</v>
      </c>
    </row>
    <row r="1536" spans="1:1">
      <c r="A1536" s="151" t="s">
        <v>3504</v>
      </c>
    </row>
    <row r="1537" spans="1:1">
      <c r="A1537" s="151" t="s">
        <v>3505</v>
      </c>
    </row>
    <row r="1538" spans="1:1">
      <c r="A1538" s="151" t="s">
        <v>3506</v>
      </c>
    </row>
    <row r="1539" spans="1:1">
      <c r="A1539" s="151" t="s">
        <v>3507</v>
      </c>
    </row>
    <row r="1540" spans="1:1">
      <c r="A1540" s="151" t="s">
        <v>3508</v>
      </c>
    </row>
    <row r="1541" spans="1:1">
      <c r="A1541" s="151" t="s">
        <v>3509</v>
      </c>
    </row>
    <row r="1542" spans="1:1">
      <c r="A1542" s="151" t="s">
        <v>3510</v>
      </c>
    </row>
    <row r="1543" spans="1:1">
      <c r="A1543" s="151" t="s">
        <v>3511</v>
      </c>
    </row>
    <row r="1544" spans="1:1">
      <c r="A1544" s="151" t="s">
        <v>3512</v>
      </c>
    </row>
    <row r="1545" spans="1:1">
      <c r="A1545" s="151" t="s">
        <v>3513</v>
      </c>
    </row>
    <row r="1546" spans="1:1">
      <c r="A1546" s="151" t="s">
        <v>3514</v>
      </c>
    </row>
    <row r="1547" spans="1:1">
      <c r="A1547" s="151" t="s">
        <v>3515</v>
      </c>
    </row>
    <row r="1548" spans="1:1">
      <c r="A1548" s="151" t="s">
        <v>3516</v>
      </c>
    </row>
    <row r="1549" spans="1:1">
      <c r="A1549" s="151" t="s">
        <v>3517</v>
      </c>
    </row>
    <row r="1550" spans="1:1">
      <c r="A1550" s="151" t="s">
        <v>3518</v>
      </c>
    </row>
    <row r="1551" spans="1:1">
      <c r="A1551" s="151" t="s">
        <v>3519</v>
      </c>
    </row>
    <row r="1552" spans="1:1">
      <c r="A1552" s="151" t="s">
        <v>3520</v>
      </c>
    </row>
    <row r="1553" spans="1:1">
      <c r="A1553" s="151" t="s">
        <v>3521</v>
      </c>
    </row>
    <row r="1554" spans="1:1">
      <c r="A1554" s="151" t="s">
        <v>3522</v>
      </c>
    </row>
    <row r="1555" spans="1:1">
      <c r="A1555" s="151" t="s">
        <v>3523</v>
      </c>
    </row>
    <row r="1556" spans="1:1">
      <c r="A1556" s="151" t="s">
        <v>3524</v>
      </c>
    </row>
    <row r="1557" spans="1:1">
      <c r="A1557" s="151" t="s">
        <v>3525</v>
      </c>
    </row>
    <row r="1558" spans="1:1">
      <c r="A1558" s="151" t="s">
        <v>3526</v>
      </c>
    </row>
    <row r="1559" spans="1:1">
      <c r="A1559" s="151" t="s">
        <v>3527</v>
      </c>
    </row>
    <row r="1560" spans="1:1">
      <c r="A1560" s="151" t="s">
        <v>3528</v>
      </c>
    </row>
    <row r="1561" spans="1:1">
      <c r="A1561" s="151" t="s">
        <v>3529</v>
      </c>
    </row>
    <row r="1562" spans="1:1">
      <c r="A1562" s="151" t="s">
        <v>3530</v>
      </c>
    </row>
    <row r="1563" spans="1:1">
      <c r="A1563" s="151" t="s">
        <v>3531</v>
      </c>
    </row>
    <row r="1564" spans="1:1">
      <c r="A1564" s="151" t="s">
        <v>3532</v>
      </c>
    </row>
    <row r="1565" spans="1:1">
      <c r="A1565" s="151" t="s">
        <v>3533</v>
      </c>
    </row>
    <row r="1566" spans="1:1">
      <c r="A1566" s="151" t="s">
        <v>3534</v>
      </c>
    </row>
    <row r="1567" spans="1:1">
      <c r="A1567" s="151" t="s">
        <v>3535</v>
      </c>
    </row>
    <row r="1568" spans="1:1">
      <c r="A1568" s="151" t="s">
        <v>3536</v>
      </c>
    </row>
    <row r="1569" spans="1:1">
      <c r="A1569" s="151" t="s">
        <v>3537</v>
      </c>
    </row>
    <row r="1570" spans="1:1">
      <c r="A1570" s="151" t="s">
        <v>3538</v>
      </c>
    </row>
    <row r="1571" spans="1:1">
      <c r="A1571" s="151" t="s">
        <v>3539</v>
      </c>
    </row>
    <row r="1572" spans="1:1">
      <c r="A1572" s="151" t="s">
        <v>3540</v>
      </c>
    </row>
    <row r="1573" spans="1:1">
      <c r="A1573" s="151" t="s">
        <v>3541</v>
      </c>
    </row>
    <row r="1574" spans="1:1">
      <c r="A1574" s="151" t="s">
        <v>3542</v>
      </c>
    </row>
    <row r="1575" spans="1:1">
      <c r="A1575" s="151" t="s">
        <v>3543</v>
      </c>
    </row>
    <row r="1576" spans="1:1">
      <c r="A1576" s="151" t="s">
        <v>3544</v>
      </c>
    </row>
    <row r="1577" spans="1:1">
      <c r="A1577" s="151" t="s">
        <v>3545</v>
      </c>
    </row>
    <row r="1578" spans="1:1">
      <c r="A1578" s="151" t="s">
        <v>3546</v>
      </c>
    </row>
    <row r="1579" spans="1:1">
      <c r="A1579" s="151" t="s">
        <v>3547</v>
      </c>
    </row>
    <row r="1580" spans="1:1">
      <c r="A1580" s="151" t="s">
        <v>3548</v>
      </c>
    </row>
    <row r="1581" spans="1:1">
      <c r="A1581" s="151" t="s">
        <v>3549</v>
      </c>
    </row>
    <row r="1582" spans="1:1">
      <c r="A1582" s="151" t="s">
        <v>3550</v>
      </c>
    </row>
    <row r="1583" spans="1:1">
      <c r="A1583" s="151" t="s">
        <v>3551</v>
      </c>
    </row>
    <row r="1584" spans="1:1">
      <c r="A1584" s="151" t="s">
        <v>3552</v>
      </c>
    </row>
    <row r="1585" spans="1:1">
      <c r="A1585" s="151" t="s">
        <v>3553</v>
      </c>
    </row>
    <row r="1586" spans="1:1">
      <c r="A1586" s="151" t="s">
        <v>3554</v>
      </c>
    </row>
    <row r="1587" spans="1:1">
      <c r="A1587" s="151" t="s">
        <v>3555</v>
      </c>
    </row>
    <row r="1588" spans="1:1">
      <c r="A1588" s="151" t="s">
        <v>3556</v>
      </c>
    </row>
    <row r="1589" spans="1:1">
      <c r="A1589" s="151" t="s">
        <v>3557</v>
      </c>
    </row>
    <row r="1590" spans="1:1">
      <c r="A1590" s="151" t="s">
        <v>3558</v>
      </c>
    </row>
    <row r="1591" spans="1:1">
      <c r="A1591" s="151" t="s">
        <v>3559</v>
      </c>
    </row>
    <row r="1592" spans="1:1">
      <c r="A1592" s="151" t="s">
        <v>3560</v>
      </c>
    </row>
    <row r="1593" spans="1:1">
      <c r="A1593" s="151" t="s">
        <v>3561</v>
      </c>
    </row>
    <row r="1594" spans="1:1">
      <c r="A1594" s="151" t="s">
        <v>3562</v>
      </c>
    </row>
    <row r="1595" spans="1:1">
      <c r="A1595" s="151" t="s">
        <v>3563</v>
      </c>
    </row>
    <row r="1596" spans="1:1">
      <c r="A1596" s="151" t="s">
        <v>3564</v>
      </c>
    </row>
    <row r="1597" spans="1:1">
      <c r="A1597" s="151" t="s">
        <v>3565</v>
      </c>
    </row>
    <row r="1598" spans="1:1">
      <c r="A1598" s="151" t="s">
        <v>3566</v>
      </c>
    </row>
    <row r="1599" spans="1:1">
      <c r="A1599" s="151" t="s">
        <v>3567</v>
      </c>
    </row>
    <row r="1600" spans="1:1">
      <c r="A1600" s="151" t="s">
        <v>3568</v>
      </c>
    </row>
    <row r="1601" spans="1:1">
      <c r="A1601" s="151" t="s">
        <v>3569</v>
      </c>
    </row>
    <row r="1602" spans="1:1">
      <c r="A1602" s="151" t="s">
        <v>3570</v>
      </c>
    </row>
    <row r="1603" spans="1:1">
      <c r="A1603" s="151" t="s">
        <v>3571</v>
      </c>
    </row>
    <row r="1604" spans="1:1">
      <c r="A1604" s="151" t="s">
        <v>3572</v>
      </c>
    </row>
    <row r="1605" spans="1:1">
      <c r="A1605" s="151" t="s">
        <v>3573</v>
      </c>
    </row>
    <row r="1606" spans="1:1">
      <c r="A1606" s="151" t="s">
        <v>3574</v>
      </c>
    </row>
    <row r="1607" spans="1:1">
      <c r="A1607" s="151" t="s">
        <v>3575</v>
      </c>
    </row>
    <row r="1608" spans="1:1">
      <c r="A1608" s="151" t="s">
        <v>3576</v>
      </c>
    </row>
    <row r="1609" spans="1:1">
      <c r="A1609" s="151" t="s">
        <v>3577</v>
      </c>
    </row>
    <row r="1610" spans="1:1">
      <c r="A1610" s="151" t="s">
        <v>3578</v>
      </c>
    </row>
    <row r="1611" spans="1:1">
      <c r="A1611" s="151" t="s">
        <v>3579</v>
      </c>
    </row>
    <row r="1612" spans="1:1">
      <c r="A1612" s="151" t="s">
        <v>3580</v>
      </c>
    </row>
    <row r="1613" spans="1:1">
      <c r="A1613" s="151" t="s">
        <v>3581</v>
      </c>
    </row>
    <row r="1614" spans="1:1">
      <c r="A1614" s="151" t="s">
        <v>3582</v>
      </c>
    </row>
    <row r="1615" spans="1:1">
      <c r="A1615" s="151" t="s">
        <v>3583</v>
      </c>
    </row>
    <row r="1616" spans="1:1">
      <c r="A1616" s="151" t="s">
        <v>3584</v>
      </c>
    </row>
    <row r="1617" spans="1:1">
      <c r="A1617" s="151" t="s">
        <v>3585</v>
      </c>
    </row>
    <row r="1618" spans="1:1">
      <c r="A1618" s="151" t="s">
        <v>3586</v>
      </c>
    </row>
    <row r="1619" spans="1:1">
      <c r="A1619" s="151" t="s">
        <v>3587</v>
      </c>
    </row>
    <row r="1620" spans="1:1">
      <c r="A1620" s="151" t="s">
        <v>3588</v>
      </c>
    </row>
    <row r="1621" spans="1:1">
      <c r="A1621" s="151" t="s">
        <v>3589</v>
      </c>
    </row>
    <row r="1622" spans="1:1">
      <c r="A1622" s="151" t="s">
        <v>3590</v>
      </c>
    </row>
    <row r="1623" spans="1:1">
      <c r="A1623" s="151" t="s">
        <v>3591</v>
      </c>
    </row>
    <row r="1624" spans="1:1">
      <c r="A1624" s="151" t="s">
        <v>3592</v>
      </c>
    </row>
    <row r="1625" spans="1:1">
      <c r="A1625" s="151" t="s">
        <v>3593</v>
      </c>
    </row>
    <row r="1626" spans="1:1">
      <c r="A1626" s="151" t="s">
        <v>3594</v>
      </c>
    </row>
    <row r="1627" spans="1:1">
      <c r="A1627" s="151" t="s">
        <v>3595</v>
      </c>
    </row>
    <row r="1628" spans="1:1">
      <c r="A1628" s="151" t="s">
        <v>3596</v>
      </c>
    </row>
    <row r="1629" spans="1:1">
      <c r="A1629" s="151" t="s">
        <v>3597</v>
      </c>
    </row>
    <row r="1630" spans="1:1">
      <c r="A1630" s="151" t="s">
        <v>3598</v>
      </c>
    </row>
    <row r="1631" spans="1:1">
      <c r="A1631" s="151" t="s">
        <v>3599</v>
      </c>
    </row>
    <row r="1632" spans="1:1">
      <c r="A1632" s="151" t="s">
        <v>3600</v>
      </c>
    </row>
    <row r="1633" spans="1:1">
      <c r="A1633" s="151" t="s">
        <v>3601</v>
      </c>
    </row>
    <row r="1634" spans="1:1">
      <c r="A1634" s="151" t="s">
        <v>3602</v>
      </c>
    </row>
    <row r="1635" spans="1:1">
      <c r="A1635" s="151" t="s">
        <v>3603</v>
      </c>
    </row>
    <row r="1636" spans="1:1">
      <c r="A1636" s="151" t="s">
        <v>3604</v>
      </c>
    </row>
    <row r="1637" spans="1:1">
      <c r="A1637" s="151" t="s">
        <v>3605</v>
      </c>
    </row>
    <row r="1638" spans="1:1">
      <c r="A1638" s="151" t="s">
        <v>3606</v>
      </c>
    </row>
    <row r="1639" spans="1:1">
      <c r="A1639" s="151" t="s">
        <v>3607</v>
      </c>
    </row>
    <row r="1640" spans="1:1">
      <c r="A1640" s="151" t="s">
        <v>3608</v>
      </c>
    </row>
    <row r="1641" spans="1:1">
      <c r="A1641" s="151" t="s">
        <v>3609</v>
      </c>
    </row>
    <row r="1642" spans="1:1">
      <c r="A1642" s="151" t="s">
        <v>3610</v>
      </c>
    </row>
    <row r="1643" spans="1:1">
      <c r="A1643" s="151" t="s">
        <v>3611</v>
      </c>
    </row>
    <row r="1644" spans="1:1">
      <c r="A1644" s="151" t="s">
        <v>3612</v>
      </c>
    </row>
    <row r="1645" spans="1:1">
      <c r="A1645" s="151" t="s">
        <v>3613</v>
      </c>
    </row>
    <row r="1646" spans="1:1">
      <c r="A1646" s="151" t="s">
        <v>3614</v>
      </c>
    </row>
    <row r="1647" spans="1:1">
      <c r="A1647" s="151" t="s">
        <v>3615</v>
      </c>
    </row>
    <row r="1648" spans="1:1">
      <c r="A1648" s="151" t="s">
        <v>3616</v>
      </c>
    </row>
    <row r="1649" spans="1:1">
      <c r="A1649" s="151" t="s">
        <v>3617</v>
      </c>
    </row>
    <row r="1650" spans="1:1">
      <c r="A1650" s="151" t="s">
        <v>3618</v>
      </c>
    </row>
    <row r="1651" spans="1:1">
      <c r="A1651" s="151" t="s">
        <v>3619</v>
      </c>
    </row>
    <row r="1652" spans="1:1">
      <c r="A1652" s="151" t="s">
        <v>3620</v>
      </c>
    </row>
    <row r="1653" spans="1:1">
      <c r="A1653" s="151" t="s">
        <v>3621</v>
      </c>
    </row>
    <row r="1654" spans="1:1">
      <c r="A1654" s="151" t="s">
        <v>3622</v>
      </c>
    </row>
    <row r="1655" spans="1:1">
      <c r="A1655" s="151" t="s">
        <v>3623</v>
      </c>
    </row>
    <row r="1656" spans="1:1">
      <c r="A1656" s="151" t="s">
        <v>3624</v>
      </c>
    </row>
    <row r="1657" spans="1:1">
      <c r="A1657" s="151" t="s">
        <v>3625</v>
      </c>
    </row>
    <row r="1658" spans="1:1">
      <c r="A1658" s="151" t="s">
        <v>3626</v>
      </c>
    </row>
    <row r="1659" spans="1:1">
      <c r="A1659" s="151" t="s">
        <v>3627</v>
      </c>
    </row>
    <row r="1660" spans="1:1">
      <c r="A1660" s="151" t="s">
        <v>3628</v>
      </c>
    </row>
    <row r="1661" spans="1:1">
      <c r="A1661" s="151" t="s">
        <v>3629</v>
      </c>
    </row>
    <row r="1662" spans="1:1">
      <c r="A1662" s="151" t="s">
        <v>3630</v>
      </c>
    </row>
    <row r="1663" spans="1:1">
      <c r="A1663" s="151" t="s">
        <v>3631</v>
      </c>
    </row>
    <row r="1664" spans="1:1">
      <c r="A1664" s="151" t="s">
        <v>3632</v>
      </c>
    </row>
    <row r="1665" spans="1:1">
      <c r="A1665" s="151" t="s">
        <v>3633</v>
      </c>
    </row>
    <row r="1666" spans="1:1">
      <c r="A1666" s="151" t="s">
        <v>3634</v>
      </c>
    </row>
    <row r="1667" spans="1:1">
      <c r="A1667" s="151" t="s">
        <v>3635</v>
      </c>
    </row>
    <row r="1668" spans="1:1">
      <c r="A1668" s="151" t="s">
        <v>3636</v>
      </c>
    </row>
    <row r="1669" spans="1:1">
      <c r="A1669" s="151" t="s">
        <v>3637</v>
      </c>
    </row>
    <row r="1670" spans="1:1">
      <c r="A1670" s="151" t="s">
        <v>3638</v>
      </c>
    </row>
    <row r="1671" spans="1:1">
      <c r="A1671" s="151" t="s">
        <v>3639</v>
      </c>
    </row>
    <row r="1672" spans="1:1">
      <c r="A1672" s="151" t="s">
        <v>3640</v>
      </c>
    </row>
    <row r="1673" spans="1:1">
      <c r="A1673" s="151" t="s">
        <v>3641</v>
      </c>
    </row>
    <row r="1674" spans="1:1">
      <c r="A1674" s="151" t="s">
        <v>3642</v>
      </c>
    </row>
    <row r="1675" spans="1:1">
      <c r="A1675" s="151" t="s">
        <v>3643</v>
      </c>
    </row>
    <row r="1676" spans="1:1">
      <c r="A1676" s="151" t="s">
        <v>3644</v>
      </c>
    </row>
    <row r="1677" spans="1:1">
      <c r="A1677" s="151" t="s">
        <v>3645</v>
      </c>
    </row>
    <row r="1678" spans="1:1">
      <c r="A1678" s="151" t="s">
        <v>3646</v>
      </c>
    </row>
    <row r="1679" spans="1:1">
      <c r="A1679" s="151" t="s">
        <v>3647</v>
      </c>
    </row>
    <row r="1680" spans="1:1">
      <c r="A1680" s="151" t="s">
        <v>3648</v>
      </c>
    </row>
    <row r="1681" spans="1:1">
      <c r="A1681" s="151" t="s">
        <v>3649</v>
      </c>
    </row>
    <row r="1682" spans="1:1">
      <c r="A1682" s="151" t="s">
        <v>3650</v>
      </c>
    </row>
    <row r="1683" spans="1:1">
      <c r="A1683" s="151" t="s">
        <v>3651</v>
      </c>
    </row>
    <row r="1684" spans="1:1">
      <c r="A1684" s="151" t="s">
        <v>3652</v>
      </c>
    </row>
    <row r="1685" spans="1:1">
      <c r="A1685" s="151" t="s">
        <v>3653</v>
      </c>
    </row>
    <row r="1686" spans="1:1">
      <c r="A1686" s="151" t="s">
        <v>3654</v>
      </c>
    </row>
    <row r="1687" spans="1:1">
      <c r="A1687" s="151" t="s">
        <v>3655</v>
      </c>
    </row>
    <row r="1688" spans="1:1">
      <c r="A1688" s="151" t="s">
        <v>3656</v>
      </c>
    </row>
    <row r="1689" spans="1:1">
      <c r="A1689" s="151" t="s">
        <v>3657</v>
      </c>
    </row>
    <row r="1690" spans="1:1">
      <c r="A1690" s="151" t="s">
        <v>3658</v>
      </c>
    </row>
    <row r="1691" spans="1:1">
      <c r="A1691" s="151" t="s">
        <v>3659</v>
      </c>
    </row>
    <row r="1692" spans="1:1">
      <c r="A1692" s="151" t="s">
        <v>3660</v>
      </c>
    </row>
    <row r="1693" spans="1:1">
      <c r="A1693" s="151" t="s">
        <v>3661</v>
      </c>
    </row>
    <row r="1694" spans="1:1">
      <c r="A1694" s="151" t="s">
        <v>3662</v>
      </c>
    </row>
    <row r="1695" spans="1:1">
      <c r="A1695" s="151" t="s">
        <v>3663</v>
      </c>
    </row>
    <row r="1696" spans="1:1">
      <c r="A1696" s="151" t="s">
        <v>3664</v>
      </c>
    </row>
    <row r="1697" spans="1:1">
      <c r="A1697" s="151" t="s">
        <v>3665</v>
      </c>
    </row>
    <row r="1698" spans="1:1">
      <c r="A1698" s="151" t="s">
        <v>3666</v>
      </c>
    </row>
    <row r="1699" spans="1:1">
      <c r="A1699" s="151" t="s">
        <v>3667</v>
      </c>
    </row>
    <row r="1700" spans="1:1">
      <c r="A1700" s="151" t="s">
        <v>3668</v>
      </c>
    </row>
    <row r="1701" spans="1:1">
      <c r="A1701" s="151" t="s">
        <v>3669</v>
      </c>
    </row>
    <row r="1702" spans="1:1">
      <c r="A1702" s="151" t="s">
        <v>3670</v>
      </c>
    </row>
    <row r="1703" spans="1:1">
      <c r="A1703" s="151" t="s">
        <v>3671</v>
      </c>
    </row>
    <row r="1704" spans="1:1">
      <c r="A1704" s="151" t="s">
        <v>3672</v>
      </c>
    </row>
    <row r="1705" spans="1:1">
      <c r="A1705" s="151" t="s">
        <v>3673</v>
      </c>
    </row>
    <row r="1706" spans="1:1">
      <c r="A1706" s="151" t="s">
        <v>3674</v>
      </c>
    </row>
    <row r="1707" spans="1:1">
      <c r="A1707" s="151" t="s">
        <v>3675</v>
      </c>
    </row>
    <row r="1708" spans="1:1">
      <c r="A1708" s="151" t="s">
        <v>3676</v>
      </c>
    </row>
    <row r="1709" spans="1:1">
      <c r="A1709" s="151" t="s">
        <v>3677</v>
      </c>
    </row>
    <row r="1710" spans="1:1">
      <c r="A1710" s="151" t="s">
        <v>3678</v>
      </c>
    </row>
    <row r="1711" spans="1:1">
      <c r="A1711" s="151" t="s">
        <v>3679</v>
      </c>
    </row>
    <row r="1712" spans="1:1">
      <c r="A1712" s="151" t="s">
        <v>3680</v>
      </c>
    </row>
    <row r="1713" spans="1:1">
      <c r="A1713" s="151" t="s">
        <v>3681</v>
      </c>
    </row>
    <row r="1714" spans="1:1">
      <c r="A1714" s="151" t="s">
        <v>3682</v>
      </c>
    </row>
    <row r="1715" spans="1:1">
      <c r="A1715" s="151" t="s">
        <v>3683</v>
      </c>
    </row>
    <row r="1716" spans="1:1">
      <c r="A1716" s="151" t="s">
        <v>3684</v>
      </c>
    </row>
    <row r="1717" spans="1:1">
      <c r="A1717" s="151" t="s">
        <v>3685</v>
      </c>
    </row>
    <row r="1718" spans="1:1">
      <c r="A1718" s="151" t="s">
        <v>3686</v>
      </c>
    </row>
    <row r="1719" spans="1:1">
      <c r="A1719" s="151" t="s">
        <v>3687</v>
      </c>
    </row>
    <row r="1720" spans="1:1">
      <c r="A1720" s="151" t="s">
        <v>3688</v>
      </c>
    </row>
    <row r="1721" spans="1:1">
      <c r="A1721" s="151" t="s">
        <v>3689</v>
      </c>
    </row>
    <row r="1722" spans="1:1">
      <c r="A1722" s="151" t="s">
        <v>3690</v>
      </c>
    </row>
    <row r="1723" spans="1:1">
      <c r="A1723" s="151" t="s">
        <v>3691</v>
      </c>
    </row>
    <row r="1724" spans="1:1">
      <c r="A1724" s="151" t="s">
        <v>3692</v>
      </c>
    </row>
    <row r="1725" spans="1:1">
      <c r="A1725" s="151" t="s">
        <v>3693</v>
      </c>
    </row>
    <row r="1726" spans="1:1">
      <c r="A1726" s="151" t="s">
        <v>3694</v>
      </c>
    </row>
    <row r="1727" spans="1:1">
      <c r="A1727" s="151" t="s">
        <v>3695</v>
      </c>
    </row>
    <row r="1728" spans="1:1">
      <c r="A1728" s="151" t="s">
        <v>3696</v>
      </c>
    </row>
    <row r="1729" spans="1:1">
      <c r="A1729" s="151" t="s">
        <v>3697</v>
      </c>
    </row>
    <row r="1730" spans="1:1">
      <c r="A1730" s="151" t="s">
        <v>3698</v>
      </c>
    </row>
    <row r="1731" spans="1:1">
      <c r="A1731" s="151" t="s">
        <v>3699</v>
      </c>
    </row>
    <row r="1732" spans="1:1">
      <c r="A1732" s="151" t="s">
        <v>3700</v>
      </c>
    </row>
    <row r="1733" spans="1:1">
      <c r="A1733" s="151" t="s">
        <v>3701</v>
      </c>
    </row>
    <row r="1734" spans="1:1">
      <c r="A1734" s="151" t="s">
        <v>3702</v>
      </c>
    </row>
    <row r="1735" spans="1:1">
      <c r="A1735" s="151" t="s">
        <v>3703</v>
      </c>
    </row>
    <row r="1736" spans="1:1">
      <c r="A1736" s="151" t="s">
        <v>3704</v>
      </c>
    </row>
    <row r="1737" spans="1:1">
      <c r="A1737" s="151" t="s">
        <v>3705</v>
      </c>
    </row>
    <row r="1738" spans="1:1">
      <c r="A1738" s="151" t="s">
        <v>3706</v>
      </c>
    </row>
    <row r="1739" spans="1:1">
      <c r="A1739" s="151" t="s">
        <v>3707</v>
      </c>
    </row>
    <row r="1740" spans="1:1">
      <c r="A1740" s="151" t="s">
        <v>3708</v>
      </c>
    </row>
    <row r="1741" spans="1:1">
      <c r="A1741" s="151" t="s">
        <v>3709</v>
      </c>
    </row>
    <row r="1742" spans="1:1">
      <c r="A1742" s="151" t="s">
        <v>3710</v>
      </c>
    </row>
    <row r="1743" spans="1:1">
      <c r="A1743" s="151" t="s">
        <v>3711</v>
      </c>
    </row>
    <row r="1744" spans="1:1">
      <c r="A1744" s="151" t="s">
        <v>3712</v>
      </c>
    </row>
    <row r="1745" spans="1:1">
      <c r="A1745" s="151" t="s">
        <v>3713</v>
      </c>
    </row>
    <row r="1746" spans="1:1">
      <c r="A1746" s="151" t="s">
        <v>3714</v>
      </c>
    </row>
    <row r="1747" spans="1:1">
      <c r="A1747" s="151" t="s">
        <v>3715</v>
      </c>
    </row>
    <row r="1748" spans="1:1">
      <c r="A1748" s="151" t="s">
        <v>3716</v>
      </c>
    </row>
    <row r="1749" spans="1:1">
      <c r="A1749" s="151" t="s">
        <v>3717</v>
      </c>
    </row>
    <row r="1750" spans="1:1">
      <c r="A1750" s="151" t="s">
        <v>3718</v>
      </c>
    </row>
    <row r="1751" spans="1:1">
      <c r="A1751" s="151" t="s">
        <v>3719</v>
      </c>
    </row>
    <row r="1752" spans="1:1">
      <c r="A1752" s="151" t="s">
        <v>3720</v>
      </c>
    </row>
    <row r="1753" spans="1:1">
      <c r="A1753" s="151" t="s">
        <v>3721</v>
      </c>
    </row>
    <row r="1754" spans="1:1">
      <c r="A1754" s="151" t="s">
        <v>3722</v>
      </c>
    </row>
    <row r="1755" spans="1:1">
      <c r="A1755" s="151" t="s">
        <v>3723</v>
      </c>
    </row>
    <row r="1756" spans="1:1">
      <c r="A1756" s="151" t="s">
        <v>3724</v>
      </c>
    </row>
    <row r="1757" spans="1:1">
      <c r="A1757" s="151" t="s">
        <v>3725</v>
      </c>
    </row>
    <row r="1758" spans="1:1">
      <c r="A1758" s="151" t="s">
        <v>3726</v>
      </c>
    </row>
    <row r="1759" spans="1:1">
      <c r="A1759" s="151" t="s">
        <v>3727</v>
      </c>
    </row>
    <row r="1760" spans="1:1">
      <c r="A1760" s="151" t="s">
        <v>3728</v>
      </c>
    </row>
    <row r="1761" spans="1:1">
      <c r="A1761" s="151" t="s">
        <v>3729</v>
      </c>
    </row>
    <row r="1762" spans="1:1">
      <c r="A1762" s="151" t="s">
        <v>3730</v>
      </c>
    </row>
    <row r="1763" spans="1:1">
      <c r="A1763" s="151" t="s">
        <v>3731</v>
      </c>
    </row>
    <row r="1764" spans="1:1">
      <c r="A1764" s="151" t="s">
        <v>3732</v>
      </c>
    </row>
    <row r="1765" spans="1:1">
      <c r="A1765" s="151" t="s">
        <v>3733</v>
      </c>
    </row>
    <row r="1766" spans="1:1">
      <c r="A1766" s="151" t="s">
        <v>3734</v>
      </c>
    </row>
    <row r="1767" spans="1:1">
      <c r="A1767" s="151" t="s">
        <v>3735</v>
      </c>
    </row>
    <row r="1768" spans="1:1">
      <c r="A1768" s="151" t="s">
        <v>3736</v>
      </c>
    </row>
    <row r="1769" spans="1:1">
      <c r="A1769" s="151" t="s">
        <v>3737</v>
      </c>
    </row>
    <row r="1770" spans="1:1">
      <c r="A1770" s="151" t="s">
        <v>3738</v>
      </c>
    </row>
    <row r="1771" spans="1:1">
      <c r="A1771" s="151" t="s">
        <v>3739</v>
      </c>
    </row>
    <row r="1772" spans="1:1">
      <c r="A1772" s="151" t="s">
        <v>3740</v>
      </c>
    </row>
    <row r="1773" spans="1:1">
      <c r="A1773" s="151" t="s">
        <v>3741</v>
      </c>
    </row>
    <row r="1774" spans="1:1">
      <c r="A1774" s="151" t="s">
        <v>3742</v>
      </c>
    </row>
    <row r="1775" spans="1:1">
      <c r="A1775" s="151" t="s">
        <v>3743</v>
      </c>
    </row>
    <row r="1776" spans="1:1">
      <c r="A1776" s="151" t="s">
        <v>3744</v>
      </c>
    </row>
    <row r="1777" spans="1:1">
      <c r="A1777" s="151" t="s">
        <v>3745</v>
      </c>
    </row>
    <row r="1778" spans="1:1">
      <c r="A1778" s="151" t="s">
        <v>3746</v>
      </c>
    </row>
    <row r="1779" spans="1:1">
      <c r="A1779" s="151" t="s">
        <v>3747</v>
      </c>
    </row>
    <row r="1780" spans="1:1">
      <c r="A1780" s="151" t="s">
        <v>3748</v>
      </c>
    </row>
    <row r="1781" spans="1:1">
      <c r="A1781" s="151" t="s">
        <v>3749</v>
      </c>
    </row>
    <row r="1782" spans="1:1">
      <c r="A1782" s="151" t="s">
        <v>3750</v>
      </c>
    </row>
    <row r="1783" spans="1:1">
      <c r="A1783" s="151" t="s">
        <v>3751</v>
      </c>
    </row>
    <row r="1784" spans="1:1">
      <c r="A1784" s="151" t="s">
        <v>3752</v>
      </c>
    </row>
    <row r="1785" spans="1:1">
      <c r="A1785" s="151" t="s">
        <v>3753</v>
      </c>
    </row>
    <row r="1786" spans="1:1">
      <c r="A1786" s="151" t="s">
        <v>3754</v>
      </c>
    </row>
    <row r="1787" spans="1:1">
      <c r="A1787" s="151" t="s">
        <v>3755</v>
      </c>
    </row>
    <row r="1788" spans="1:1">
      <c r="A1788" s="151" t="s">
        <v>3756</v>
      </c>
    </row>
    <row r="1789" spans="1:1">
      <c r="A1789" s="151" t="s">
        <v>3757</v>
      </c>
    </row>
    <row r="1790" spans="1:1">
      <c r="A1790" s="151" t="s">
        <v>3758</v>
      </c>
    </row>
    <row r="1791" spans="1:1">
      <c r="A1791" s="151" t="s">
        <v>3759</v>
      </c>
    </row>
    <row r="1792" spans="1:1">
      <c r="A1792" s="151" t="s">
        <v>3760</v>
      </c>
    </row>
    <row r="1793" spans="1:1">
      <c r="A1793" s="151" t="s">
        <v>3761</v>
      </c>
    </row>
    <row r="1794" spans="1:1">
      <c r="A1794" s="151" t="s">
        <v>3762</v>
      </c>
    </row>
    <row r="1795" spans="1:1">
      <c r="A1795" s="151" t="s">
        <v>3763</v>
      </c>
    </row>
    <row r="1796" spans="1:1">
      <c r="A1796" s="151" t="s">
        <v>3764</v>
      </c>
    </row>
    <row r="1797" spans="1:1">
      <c r="A1797" s="151" t="s">
        <v>3765</v>
      </c>
    </row>
    <row r="1798" spans="1:1">
      <c r="A1798" s="151" t="s">
        <v>3766</v>
      </c>
    </row>
    <row r="1799" spans="1:1">
      <c r="A1799" s="151" t="s">
        <v>3767</v>
      </c>
    </row>
    <row r="1800" spans="1:1">
      <c r="A1800" s="151" t="s">
        <v>3768</v>
      </c>
    </row>
    <row r="1801" spans="1:1">
      <c r="A1801" s="151" t="s">
        <v>3769</v>
      </c>
    </row>
    <row r="1802" spans="1:1">
      <c r="A1802" s="151" t="s">
        <v>3770</v>
      </c>
    </row>
    <row r="1803" spans="1:1">
      <c r="A1803" s="151" t="s">
        <v>3771</v>
      </c>
    </row>
    <row r="1804" spans="1:1">
      <c r="A1804" s="151" t="s">
        <v>3772</v>
      </c>
    </row>
    <row r="1805" spans="1:1">
      <c r="A1805" s="151" t="s">
        <v>3773</v>
      </c>
    </row>
    <row r="1806" spans="1:1">
      <c r="A1806" s="151" t="s">
        <v>3774</v>
      </c>
    </row>
    <row r="1807" spans="1:1">
      <c r="A1807" s="151" t="s">
        <v>3775</v>
      </c>
    </row>
    <row r="1808" spans="1:1">
      <c r="A1808" s="151" t="s">
        <v>3776</v>
      </c>
    </row>
    <row r="1809" spans="1:1">
      <c r="A1809" s="151" t="s">
        <v>3777</v>
      </c>
    </row>
    <row r="1810" spans="1:1">
      <c r="A1810" s="151" t="s">
        <v>3778</v>
      </c>
    </row>
    <row r="1811" spans="1:1">
      <c r="A1811" s="151" t="s">
        <v>3779</v>
      </c>
    </row>
    <row r="1812" spans="1:1">
      <c r="A1812" s="151" t="s">
        <v>3780</v>
      </c>
    </row>
    <row r="1813" spans="1:1">
      <c r="A1813" s="151" t="s">
        <v>3781</v>
      </c>
    </row>
    <row r="1814" spans="1:1">
      <c r="A1814" s="151" t="s">
        <v>3782</v>
      </c>
    </row>
    <row r="1815" spans="1:1">
      <c r="A1815" s="151" t="s">
        <v>3783</v>
      </c>
    </row>
    <row r="1816" spans="1:1">
      <c r="A1816" s="151" t="s">
        <v>3784</v>
      </c>
    </row>
    <row r="1817" spans="1:1">
      <c r="A1817" s="151" t="s">
        <v>3785</v>
      </c>
    </row>
    <row r="1818" spans="1:1">
      <c r="A1818" s="151" t="s">
        <v>3786</v>
      </c>
    </row>
    <row r="1819" spans="1:1">
      <c r="A1819" s="151" t="s">
        <v>3787</v>
      </c>
    </row>
    <row r="1820" spans="1:1">
      <c r="A1820" s="151" t="s">
        <v>3788</v>
      </c>
    </row>
    <row r="1821" spans="1:1">
      <c r="A1821" s="151" t="s">
        <v>3789</v>
      </c>
    </row>
    <row r="1822" spans="1:1">
      <c r="A1822" s="151" t="s">
        <v>3790</v>
      </c>
    </row>
    <row r="1823" spans="1:1">
      <c r="A1823" s="151" t="s">
        <v>3791</v>
      </c>
    </row>
    <row r="1824" spans="1:1">
      <c r="A1824" s="151" t="s">
        <v>3792</v>
      </c>
    </row>
    <row r="1825" spans="1:1">
      <c r="A1825" s="151" t="s">
        <v>3793</v>
      </c>
    </row>
    <row r="1826" spans="1:1">
      <c r="A1826" s="151" t="s">
        <v>3794</v>
      </c>
    </row>
    <row r="1827" spans="1:1">
      <c r="A1827" s="151" t="s">
        <v>3795</v>
      </c>
    </row>
    <row r="1828" spans="1:1">
      <c r="A1828" s="151" t="s">
        <v>3796</v>
      </c>
    </row>
    <row r="1829" spans="1:1">
      <c r="A1829" s="151" t="s">
        <v>3797</v>
      </c>
    </row>
    <row r="1830" spans="1:1">
      <c r="A1830" s="151" t="s">
        <v>3798</v>
      </c>
    </row>
    <row r="1831" spans="1:1">
      <c r="A1831" s="151" t="s">
        <v>3799</v>
      </c>
    </row>
    <row r="1832" spans="1:1">
      <c r="A1832" s="151" t="s">
        <v>3800</v>
      </c>
    </row>
    <row r="1833" spans="1:1">
      <c r="A1833" s="151" t="s">
        <v>3801</v>
      </c>
    </row>
    <row r="1834" spans="1:1">
      <c r="A1834" s="151" t="s">
        <v>3802</v>
      </c>
    </row>
    <row r="1835" spans="1:1">
      <c r="A1835" s="151" t="s">
        <v>3803</v>
      </c>
    </row>
    <row r="1836" spans="1:1">
      <c r="A1836" s="151" t="s">
        <v>3804</v>
      </c>
    </row>
    <row r="1837" spans="1:1">
      <c r="A1837" s="151" t="s">
        <v>3805</v>
      </c>
    </row>
    <row r="1838" spans="1:1">
      <c r="A1838" s="151" t="s">
        <v>3806</v>
      </c>
    </row>
    <row r="1839" spans="1:1">
      <c r="A1839" s="151" t="s">
        <v>3807</v>
      </c>
    </row>
    <row r="1840" spans="1:1">
      <c r="A1840" s="151" t="s">
        <v>3808</v>
      </c>
    </row>
    <row r="1841" spans="1:1">
      <c r="A1841" s="151" t="s">
        <v>3809</v>
      </c>
    </row>
    <row r="1842" spans="1:1">
      <c r="A1842" s="151" t="s">
        <v>3810</v>
      </c>
    </row>
    <row r="1843" spans="1:1">
      <c r="A1843" s="151" t="s">
        <v>3811</v>
      </c>
    </row>
    <row r="1844" spans="1:1">
      <c r="A1844" s="151" t="s">
        <v>3812</v>
      </c>
    </row>
    <row r="1845" spans="1:1">
      <c r="A1845" s="151" t="s">
        <v>3813</v>
      </c>
    </row>
    <row r="1846" spans="1:1">
      <c r="A1846" s="151" t="s">
        <v>3814</v>
      </c>
    </row>
    <row r="1847" spans="1:1">
      <c r="A1847" s="151" t="s">
        <v>3815</v>
      </c>
    </row>
    <row r="1848" spans="1:1">
      <c r="A1848" s="151" t="s">
        <v>3816</v>
      </c>
    </row>
    <row r="1849" spans="1:1">
      <c r="A1849" s="151" t="s">
        <v>3817</v>
      </c>
    </row>
    <row r="1850" spans="1:1">
      <c r="A1850" s="151" t="s">
        <v>3818</v>
      </c>
    </row>
    <row r="1851" spans="1:1">
      <c r="A1851" s="151" t="s">
        <v>3819</v>
      </c>
    </row>
    <row r="1852" spans="1:1">
      <c r="A1852" s="151" t="s">
        <v>3820</v>
      </c>
    </row>
    <row r="1853" spans="1:1">
      <c r="A1853" s="151" t="s">
        <v>3821</v>
      </c>
    </row>
    <row r="1854" spans="1:1">
      <c r="A1854" s="151" t="s">
        <v>3822</v>
      </c>
    </row>
    <row r="1855" spans="1:1">
      <c r="A1855" s="151" t="s">
        <v>3823</v>
      </c>
    </row>
    <row r="1856" spans="1:1">
      <c r="A1856" s="151" t="s">
        <v>3824</v>
      </c>
    </row>
    <row r="1857" spans="1:1">
      <c r="A1857" s="151" t="s">
        <v>3825</v>
      </c>
    </row>
    <row r="1858" spans="1:1">
      <c r="A1858" s="151" t="s">
        <v>3826</v>
      </c>
    </row>
    <row r="1859" spans="1:1">
      <c r="A1859" s="151" t="s">
        <v>3827</v>
      </c>
    </row>
    <row r="1860" spans="1:1">
      <c r="A1860" s="151" t="s">
        <v>3828</v>
      </c>
    </row>
    <row r="1861" spans="1:1">
      <c r="A1861" s="151" t="s">
        <v>3829</v>
      </c>
    </row>
    <row r="1862" spans="1:1">
      <c r="A1862" s="151" t="s">
        <v>3830</v>
      </c>
    </row>
    <row r="1863" spans="1:1">
      <c r="A1863" s="151" t="s">
        <v>3831</v>
      </c>
    </row>
    <row r="1864" spans="1:1">
      <c r="A1864" s="151" t="s">
        <v>3832</v>
      </c>
    </row>
    <row r="1865" spans="1:1">
      <c r="A1865" s="151" t="s">
        <v>3833</v>
      </c>
    </row>
    <row r="1866" spans="1:1">
      <c r="A1866" s="151" t="s">
        <v>3834</v>
      </c>
    </row>
    <row r="1867" spans="1:1">
      <c r="A1867" s="151" t="s">
        <v>3835</v>
      </c>
    </row>
    <row r="1868" spans="1:1">
      <c r="A1868" s="151" t="s">
        <v>3836</v>
      </c>
    </row>
    <row r="1869" spans="1:1">
      <c r="A1869" s="151" t="s">
        <v>3837</v>
      </c>
    </row>
    <row r="1870" spans="1:1">
      <c r="A1870" s="151" t="s">
        <v>3838</v>
      </c>
    </row>
    <row r="1871" spans="1:1">
      <c r="A1871" s="151" t="s">
        <v>3839</v>
      </c>
    </row>
    <row r="1872" spans="1:1">
      <c r="A1872" s="151" t="s">
        <v>3840</v>
      </c>
    </row>
    <row r="1873" spans="1:1">
      <c r="A1873" s="151" t="s">
        <v>3841</v>
      </c>
    </row>
    <row r="1874" spans="1:1">
      <c r="A1874" s="151" t="s">
        <v>3842</v>
      </c>
    </row>
    <row r="1875" spans="1:1">
      <c r="A1875" s="151" t="s">
        <v>3843</v>
      </c>
    </row>
    <row r="1876" spans="1:1">
      <c r="A1876" s="151" t="s">
        <v>3844</v>
      </c>
    </row>
    <row r="1877" spans="1:1">
      <c r="A1877" s="151" t="s">
        <v>3845</v>
      </c>
    </row>
    <row r="1878" spans="1:1">
      <c r="A1878" s="151" t="s">
        <v>3846</v>
      </c>
    </row>
    <row r="1879" spans="1:1">
      <c r="A1879" s="151" t="s">
        <v>3847</v>
      </c>
    </row>
    <row r="1880" spans="1:1">
      <c r="A1880" s="151" t="s">
        <v>3848</v>
      </c>
    </row>
    <row r="1881" spans="1:1">
      <c r="A1881" s="151" t="s">
        <v>3849</v>
      </c>
    </row>
    <row r="1882" spans="1:1">
      <c r="A1882" s="151" t="s">
        <v>3850</v>
      </c>
    </row>
    <row r="1883" spans="1:1">
      <c r="A1883" s="151" t="s">
        <v>3851</v>
      </c>
    </row>
    <row r="1884" spans="1:1">
      <c r="A1884" s="151" t="s">
        <v>3852</v>
      </c>
    </row>
    <row r="1885" spans="1:1">
      <c r="A1885" s="151" t="s">
        <v>3853</v>
      </c>
    </row>
    <row r="1886" spans="1:1">
      <c r="A1886" s="151" t="s">
        <v>3854</v>
      </c>
    </row>
    <row r="1887" spans="1:1">
      <c r="A1887" s="151" t="s">
        <v>3855</v>
      </c>
    </row>
    <row r="1888" spans="1:1">
      <c r="A1888" s="151" t="s">
        <v>3856</v>
      </c>
    </row>
    <row r="1889" spans="1:1">
      <c r="A1889" s="151" t="s">
        <v>3857</v>
      </c>
    </row>
    <row r="1890" spans="1:1">
      <c r="A1890" s="151" t="s">
        <v>3858</v>
      </c>
    </row>
    <row r="1891" spans="1:1">
      <c r="A1891" s="151" t="s">
        <v>3859</v>
      </c>
    </row>
    <row r="1892" spans="1:1">
      <c r="A1892" s="151" t="s">
        <v>3860</v>
      </c>
    </row>
    <row r="1893" spans="1:1">
      <c r="A1893" s="151" t="s">
        <v>3861</v>
      </c>
    </row>
    <row r="1894" spans="1:1">
      <c r="A1894" s="151" t="s">
        <v>3862</v>
      </c>
    </row>
    <row r="1895" spans="1:1">
      <c r="A1895" s="151" t="s">
        <v>3863</v>
      </c>
    </row>
    <row r="1896" spans="1:1">
      <c r="A1896" s="151" t="s">
        <v>3864</v>
      </c>
    </row>
    <row r="1897" spans="1:1">
      <c r="A1897" s="151" t="s">
        <v>3865</v>
      </c>
    </row>
    <row r="1898" spans="1:1">
      <c r="A1898" s="151" t="s">
        <v>3866</v>
      </c>
    </row>
    <row r="1899" spans="1:1">
      <c r="A1899" s="151" t="s">
        <v>3867</v>
      </c>
    </row>
    <row r="1900" spans="1:1">
      <c r="A1900" s="151" t="s">
        <v>3868</v>
      </c>
    </row>
    <row r="1901" spans="1:1">
      <c r="A1901" s="151" t="s">
        <v>3869</v>
      </c>
    </row>
    <row r="1902" spans="1:1">
      <c r="A1902" s="151" t="s">
        <v>3870</v>
      </c>
    </row>
    <row r="1903" spans="1:1">
      <c r="A1903" s="151" t="s">
        <v>3871</v>
      </c>
    </row>
    <row r="1904" spans="1:1">
      <c r="A1904" s="151" t="s">
        <v>3872</v>
      </c>
    </row>
    <row r="1905" spans="1:1">
      <c r="A1905" s="151" t="s">
        <v>3873</v>
      </c>
    </row>
    <row r="1906" spans="1:1">
      <c r="A1906" s="151" t="s">
        <v>3874</v>
      </c>
    </row>
    <row r="1907" spans="1:1">
      <c r="A1907" s="151" t="s">
        <v>3875</v>
      </c>
    </row>
    <row r="1908" spans="1:1">
      <c r="A1908" s="151" t="s">
        <v>3876</v>
      </c>
    </row>
    <row r="1909" spans="1:1">
      <c r="A1909" s="151" t="s">
        <v>3877</v>
      </c>
    </row>
    <row r="1910" spans="1:1">
      <c r="A1910" s="151" t="s">
        <v>3878</v>
      </c>
    </row>
    <row r="1911" spans="1:1">
      <c r="A1911" s="151" t="s">
        <v>3879</v>
      </c>
    </row>
    <row r="1912" spans="1:1">
      <c r="A1912" s="151" t="s">
        <v>3880</v>
      </c>
    </row>
    <row r="1913" spans="1:1">
      <c r="A1913" s="151" t="s">
        <v>3881</v>
      </c>
    </row>
    <row r="1914" spans="1:1">
      <c r="A1914" s="151" t="s">
        <v>3882</v>
      </c>
    </row>
    <row r="1915" spans="1:1">
      <c r="A1915" s="151" t="s">
        <v>3883</v>
      </c>
    </row>
    <row r="1916" spans="1:1">
      <c r="A1916" s="151" t="s">
        <v>3884</v>
      </c>
    </row>
    <row r="1917" spans="1:1">
      <c r="A1917" s="151" t="s">
        <v>3885</v>
      </c>
    </row>
    <row r="1918" spans="1:1">
      <c r="A1918" s="151" t="s">
        <v>3886</v>
      </c>
    </row>
    <row r="1919" spans="1:1">
      <c r="A1919" s="151" t="s">
        <v>3887</v>
      </c>
    </row>
    <row r="1920" spans="1:1">
      <c r="A1920" s="151" t="s">
        <v>3888</v>
      </c>
    </row>
    <row r="1921" spans="1:1">
      <c r="A1921" s="151" t="s">
        <v>3889</v>
      </c>
    </row>
    <row r="1922" spans="1:1">
      <c r="A1922" s="151" t="s">
        <v>3890</v>
      </c>
    </row>
    <row r="1923" spans="1:1">
      <c r="A1923" s="151" t="s">
        <v>3891</v>
      </c>
    </row>
    <row r="1924" spans="1:1">
      <c r="A1924" s="151" t="s">
        <v>3892</v>
      </c>
    </row>
    <row r="1925" spans="1:1">
      <c r="A1925" s="151" t="s">
        <v>3893</v>
      </c>
    </row>
    <row r="1926" spans="1:1">
      <c r="A1926" s="151" t="s">
        <v>3894</v>
      </c>
    </row>
    <row r="1927" spans="1:1">
      <c r="A1927" s="151" t="s">
        <v>3895</v>
      </c>
    </row>
    <row r="1928" spans="1:1">
      <c r="A1928" s="151" t="s">
        <v>3896</v>
      </c>
    </row>
    <row r="1929" spans="1:1">
      <c r="A1929" s="151" t="s">
        <v>3897</v>
      </c>
    </row>
    <row r="1930" spans="1:1">
      <c r="A1930" s="151" t="s">
        <v>3898</v>
      </c>
    </row>
    <row r="1931" spans="1:1">
      <c r="A1931" s="151" t="s">
        <v>3899</v>
      </c>
    </row>
    <row r="1932" spans="1:1">
      <c r="A1932" s="151" t="s">
        <v>3900</v>
      </c>
    </row>
    <row r="1933" spans="1:1">
      <c r="A1933" s="151" t="s">
        <v>3901</v>
      </c>
    </row>
    <row r="1934" spans="1:1">
      <c r="A1934" s="151" t="s">
        <v>3902</v>
      </c>
    </row>
    <row r="1935" spans="1:1">
      <c r="A1935" s="151" t="s">
        <v>3903</v>
      </c>
    </row>
    <row r="1936" spans="1:1">
      <c r="A1936" s="151" t="s">
        <v>3904</v>
      </c>
    </row>
    <row r="1937" spans="1:1">
      <c r="A1937" s="151" t="s">
        <v>3905</v>
      </c>
    </row>
    <row r="1938" spans="1:1">
      <c r="A1938" s="151" t="s">
        <v>3906</v>
      </c>
    </row>
    <row r="1939" spans="1:1">
      <c r="A1939" s="151" t="s">
        <v>3907</v>
      </c>
    </row>
    <row r="1940" spans="1:1">
      <c r="A1940" s="151" t="s">
        <v>3908</v>
      </c>
    </row>
    <row r="1941" spans="1:1">
      <c r="A1941" s="151" t="s">
        <v>3909</v>
      </c>
    </row>
    <row r="1942" spans="1:1">
      <c r="A1942" s="151" t="s">
        <v>3910</v>
      </c>
    </row>
    <row r="1943" spans="1:1">
      <c r="A1943" s="151" t="s">
        <v>3911</v>
      </c>
    </row>
    <row r="1944" spans="1:1">
      <c r="A1944" s="151" t="s">
        <v>3912</v>
      </c>
    </row>
    <row r="1945" spans="1:1">
      <c r="A1945" s="151" t="s">
        <v>3913</v>
      </c>
    </row>
    <row r="1946" spans="1:1">
      <c r="A1946" s="151" t="s">
        <v>3914</v>
      </c>
    </row>
    <row r="1947" spans="1:1">
      <c r="A1947" s="151" t="s">
        <v>3915</v>
      </c>
    </row>
    <row r="1948" spans="1:1">
      <c r="A1948" s="151" t="s">
        <v>3916</v>
      </c>
    </row>
    <row r="1949" spans="1:1">
      <c r="A1949" s="151" t="s">
        <v>3917</v>
      </c>
    </row>
    <row r="1950" spans="1:1">
      <c r="A1950" s="151" t="s">
        <v>3918</v>
      </c>
    </row>
    <row r="1951" spans="1:1">
      <c r="A1951" s="151" t="s">
        <v>3919</v>
      </c>
    </row>
    <row r="1952" spans="1:1">
      <c r="A1952" s="151" t="s">
        <v>3920</v>
      </c>
    </row>
    <row r="1953" spans="1:1">
      <c r="A1953" s="151" t="s">
        <v>3921</v>
      </c>
    </row>
    <row r="1954" spans="1:1">
      <c r="A1954" s="151" t="s">
        <v>3922</v>
      </c>
    </row>
    <row r="1955" spans="1:1">
      <c r="A1955" s="151" t="s">
        <v>3923</v>
      </c>
    </row>
    <row r="1956" spans="1:1">
      <c r="A1956" s="151" t="s">
        <v>3924</v>
      </c>
    </row>
    <row r="1957" spans="1:1">
      <c r="A1957" s="151" t="s">
        <v>3925</v>
      </c>
    </row>
    <row r="1958" spans="1:1">
      <c r="A1958" s="151" t="s">
        <v>3926</v>
      </c>
    </row>
    <row r="1959" spans="1:1">
      <c r="A1959" s="151" t="s">
        <v>3927</v>
      </c>
    </row>
    <row r="1960" spans="1:1">
      <c r="A1960" s="151" t="s">
        <v>3928</v>
      </c>
    </row>
    <row r="1961" spans="1:1">
      <c r="A1961" s="151" t="s">
        <v>3929</v>
      </c>
    </row>
    <row r="1962" spans="1:1">
      <c r="A1962" s="151" t="s">
        <v>3930</v>
      </c>
    </row>
    <row r="1963" spans="1:1">
      <c r="A1963" s="151" t="s">
        <v>3931</v>
      </c>
    </row>
    <row r="1964" spans="1:1">
      <c r="A1964" s="151" t="s">
        <v>3932</v>
      </c>
    </row>
    <row r="1965" spans="1:1">
      <c r="A1965" s="151" t="s">
        <v>3933</v>
      </c>
    </row>
    <row r="1966" spans="1:1">
      <c r="A1966" s="151" t="s">
        <v>3934</v>
      </c>
    </row>
    <row r="1967" spans="1:1">
      <c r="A1967" s="151" t="s">
        <v>3935</v>
      </c>
    </row>
    <row r="1968" spans="1:1">
      <c r="A1968" s="151" t="s">
        <v>3936</v>
      </c>
    </row>
    <row r="1969" spans="1:1">
      <c r="A1969" s="151" t="s">
        <v>3937</v>
      </c>
    </row>
    <row r="1970" spans="1:1">
      <c r="A1970" s="151" t="s">
        <v>3938</v>
      </c>
    </row>
    <row r="1971" spans="1:1">
      <c r="A1971" s="151" t="s">
        <v>3939</v>
      </c>
    </row>
    <row r="1972" spans="1:1">
      <c r="A1972" s="151" t="s">
        <v>3940</v>
      </c>
    </row>
    <row r="1973" spans="1:1">
      <c r="A1973" s="151" t="s">
        <v>3941</v>
      </c>
    </row>
    <row r="1974" spans="1:1">
      <c r="A1974" s="151" t="s">
        <v>3942</v>
      </c>
    </row>
    <row r="1975" spans="1:1">
      <c r="A1975" s="151" t="s">
        <v>3943</v>
      </c>
    </row>
    <row r="1976" spans="1:1">
      <c r="A1976" s="151" t="s">
        <v>3944</v>
      </c>
    </row>
    <row r="1977" spans="1:1">
      <c r="A1977" s="151" t="s">
        <v>3945</v>
      </c>
    </row>
    <row r="1978" spans="1:1">
      <c r="A1978" s="151" t="s">
        <v>3946</v>
      </c>
    </row>
    <row r="1979" spans="1:1">
      <c r="A1979" s="151" t="s">
        <v>3947</v>
      </c>
    </row>
    <row r="1980" spans="1:1">
      <c r="A1980" s="151" t="s">
        <v>3948</v>
      </c>
    </row>
    <row r="1981" spans="1:1">
      <c r="A1981" s="151" t="s">
        <v>3949</v>
      </c>
    </row>
    <row r="1982" spans="1:1">
      <c r="A1982" s="151" t="s">
        <v>3950</v>
      </c>
    </row>
    <row r="1983" spans="1:1">
      <c r="A1983" s="151" t="s">
        <v>3951</v>
      </c>
    </row>
    <row r="1984" spans="1:1">
      <c r="A1984" s="151" t="s">
        <v>3952</v>
      </c>
    </row>
    <row r="1985" spans="1:1">
      <c r="A1985" s="151" t="s">
        <v>3953</v>
      </c>
    </row>
    <row r="1986" spans="1:1">
      <c r="A1986" s="151" t="s">
        <v>3954</v>
      </c>
    </row>
    <row r="1987" spans="1:1">
      <c r="A1987" s="151" t="s">
        <v>3955</v>
      </c>
    </row>
    <row r="1988" spans="1:1">
      <c r="A1988" s="151" t="s">
        <v>3956</v>
      </c>
    </row>
    <row r="1989" spans="1:1">
      <c r="A1989" s="151" t="s">
        <v>3957</v>
      </c>
    </row>
    <row r="1990" spans="1:1">
      <c r="A1990" s="151" t="s">
        <v>3958</v>
      </c>
    </row>
    <row r="1991" spans="1:1">
      <c r="A1991" s="151" t="s">
        <v>3959</v>
      </c>
    </row>
    <row r="1992" spans="1:1">
      <c r="A1992" s="151" t="s">
        <v>3960</v>
      </c>
    </row>
    <row r="1993" spans="1:1">
      <c r="A1993" s="151" t="s">
        <v>3961</v>
      </c>
    </row>
    <row r="1994" spans="1:1">
      <c r="A1994" s="151" t="s">
        <v>3962</v>
      </c>
    </row>
    <row r="1995" spans="1:1">
      <c r="A1995" s="151" t="s">
        <v>3963</v>
      </c>
    </row>
    <row r="1996" spans="1:1">
      <c r="A1996" s="151" t="s">
        <v>3964</v>
      </c>
    </row>
    <row r="1997" spans="1:1">
      <c r="A1997" s="151" t="s">
        <v>3965</v>
      </c>
    </row>
    <row r="1998" spans="1:1">
      <c r="A1998" s="151" t="s">
        <v>3966</v>
      </c>
    </row>
    <row r="1999" spans="1:1">
      <c r="A1999" s="151" t="s">
        <v>3967</v>
      </c>
    </row>
    <row r="2000" spans="1:1">
      <c r="A2000" s="151" t="s">
        <v>3968</v>
      </c>
    </row>
    <row r="2001" spans="1:1">
      <c r="A2001" s="151" t="s">
        <v>3969</v>
      </c>
    </row>
    <row r="2002" spans="1:1">
      <c r="A2002" s="151" t="s">
        <v>3970</v>
      </c>
    </row>
    <row r="2003" spans="1:1">
      <c r="A2003" s="151" t="s">
        <v>3971</v>
      </c>
    </row>
    <row r="2004" spans="1:1">
      <c r="A2004" s="151" t="s">
        <v>3972</v>
      </c>
    </row>
    <row r="2005" spans="1:1">
      <c r="A2005" s="151" t="s">
        <v>3973</v>
      </c>
    </row>
    <row r="2006" spans="1:1">
      <c r="A2006" s="151" t="s">
        <v>3974</v>
      </c>
    </row>
    <row r="2007" spans="1:1">
      <c r="A2007" s="151" t="s">
        <v>3975</v>
      </c>
    </row>
    <row r="2008" spans="1:1">
      <c r="A2008" s="151" t="s">
        <v>3976</v>
      </c>
    </row>
    <row r="2009" spans="1:1">
      <c r="A2009" s="151" t="s">
        <v>3977</v>
      </c>
    </row>
    <row r="2010" spans="1:1">
      <c r="A2010" s="151" t="s">
        <v>3978</v>
      </c>
    </row>
    <row r="2011" spans="1:1">
      <c r="A2011" s="151" t="s">
        <v>3979</v>
      </c>
    </row>
    <row r="2012" spans="1:1">
      <c r="A2012" s="151" t="s">
        <v>3980</v>
      </c>
    </row>
    <row r="2013" spans="1:1">
      <c r="A2013" s="151" t="s">
        <v>3981</v>
      </c>
    </row>
    <row r="2014" spans="1:1">
      <c r="A2014" s="151" t="s">
        <v>3982</v>
      </c>
    </row>
    <row r="2015" spans="1:1">
      <c r="A2015" s="151" t="s">
        <v>3983</v>
      </c>
    </row>
    <row r="2016" spans="1:1">
      <c r="A2016" s="151" t="s">
        <v>3984</v>
      </c>
    </row>
    <row r="2017" spans="1:1">
      <c r="A2017" s="151" t="s">
        <v>3985</v>
      </c>
    </row>
    <row r="2018" spans="1:1">
      <c r="A2018" s="151" t="s">
        <v>3986</v>
      </c>
    </row>
    <row r="2019" spans="1:1">
      <c r="A2019" s="151" t="s">
        <v>3987</v>
      </c>
    </row>
    <row r="2020" spans="1:1">
      <c r="A2020" s="151" t="s">
        <v>3988</v>
      </c>
    </row>
    <row r="2021" spans="1:1">
      <c r="A2021" s="151" t="s">
        <v>3989</v>
      </c>
    </row>
    <row r="2022" spans="1:1">
      <c r="A2022" s="151" t="s">
        <v>3990</v>
      </c>
    </row>
    <row r="2023" spans="1:1">
      <c r="A2023" s="151" t="s">
        <v>3991</v>
      </c>
    </row>
    <row r="2024" spans="1:1">
      <c r="A2024" s="151" t="s">
        <v>3992</v>
      </c>
    </row>
    <row r="2025" spans="1:1">
      <c r="A2025" s="151" t="s">
        <v>3993</v>
      </c>
    </row>
    <row r="2026" spans="1:1">
      <c r="A2026" s="151" t="s">
        <v>3994</v>
      </c>
    </row>
    <row r="2027" spans="1:1">
      <c r="A2027" s="151" t="s">
        <v>3995</v>
      </c>
    </row>
    <row r="2028" spans="1:1">
      <c r="A2028" s="151" t="s">
        <v>3996</v>
      </c>
    </row>
    <row r="2029" spans="1:1">
      <c r="A2029" s="151" t="s">
        <v>3997</v>
      </c>
    </row>
    <row r="2030" spans="1:1">
      <c r="A2030" s="151" t="s">
        <v>3998</v>
      </c>
    </row>
    <row r="2031" spans="1:1">
      <c r="A2031" s="151" t="s">
        <v>3999</v>
      </c>
    </row>
    <row r="2032" spans="1:1">
      <c r="A2032" s="151" t="s">
        <v>4000</v>
      </c>
    </row>
    <row r="2033" spans="1:1">
      <c r="A2033" s="151" t="s">
        <v>4001</v>
      </c>
    </row>
    <row r="2034" spans="1:1">
      <c r="A2034" s="151" t="s">
        <v>4002</v>
      </c>
    </row>
    <row r="2035" spans="1:1">
      <c r="A2035" s="151" t="s">
        <v>4003</v>
      </c>
    </row>
    <row r="2036" spans="1:1">
      <c r="A2036" s="151" t="s">
        <v>4004</v>
      </c>
    </row>
    <row r="2037" spans="1:1">
      <c r="A2037" s="151" t="s">
        <v>4005</v>
      </c>
    </row>
    <row r="2038" spans="1:1">
      <c r="A2038" s="151" t="s">
        <v>4006</v>
      </c>
    </row>
    <row r="2039" spans="1:1">
      <c r="A2039" s="151" t="s">
        <v>4007</v>
      </c>
    </row>
    <row r="2040" spans="1:1">
      <c r="A2040" s="151" t="s">
        <v>4008</v>
      </c>
    </row>
    <row r="2041" spans="1:1">
      <c r="A2041" s="151" t="s">
        <v>4009</v>
      </c>
    </row>
    <row r="2042" spans="1:1">
      <c r="A2042" s="151" t="s">
        <v>4010</v>
      </c>
    </row>
    <row r="2043" spans="1:1">
      <c r="A2043" s="151" t="s">
        <v>4011</v>
      </c>
    </row>
    <row r="2044" spans="1:1">
      <c r="A2044" s="151" t="s">
        <v>4012</v>
      </c>
    </row>
    <row r="2045" spans="1:1">
      <c r="A2045" s="151" t="s">
        <v>4013</v>
      </c>
    </row>
    <row r="2046" spans="1:1">
      <c r="A2046" s="151" t="s">
        <v>4014</v>
      </c>
    </row>
    <row r="2047" spans="1:1">
      <c r="A2047" s="151" t="s">
        <v>4015</v>
      </c>
    </row>
    <row r="2048" spans="1:1">
      <c r="A2048" s="151" t="s">
        <v>4016</v>
      </c>
    </row>
    <row r="2049" spans="1:1">
      <c r="A2049" s="151" t="s">
        <v>4017</v>
      </c>
    </row>
    <row r="2050" spans="1:1">
      <c r="A2050" s="151" t="s">
        <v>4018</v>
      </c>
    </row>
    <row r="2051" spans="1:1">
      <c r="A2051" s="151" t="s">
        <v>4019</v>
      </c>
    </row>
    <row r="2052" spans="1:1">
      <c r="A2052" s="151" t="s">
        <v>4020</v>
      </c>
    </row>
    <row r="2053" spans="1:1">
      <c r="A2053" s="151" t="s">
        <v>4021</v>
      </c>
    </row>
    <row r="2054" spans="1:1">
      <c r="A2054" s="151" t="s">
        <v>4022</v>
      </c>
    </row>
    <row r="2055" spans="1:1">
      <c r="A2055" s="151" t="s">
        <v>4023</v>
      </c>
    </row>
    <row r="2056" spans="1:1">
      <c r="A2056" s="151" t="s">
        <v>4024</v>
      </c>
    </row>
    <row r="2057" spans="1:1">
      <c r="A2057" s="151" t="s">
        <v>4025</v>
      </c>
    </row>
    <row r="2058" spans="1:1">
      <c r="A2058" s="151" t="s">
        <v>4026</v>
      </c>
    </row>
    <row r="2059" spans="1:1">
      <c r="A2059" s="151" t="s">
        <v>4027</v>
      </c>
    </row>
    <row r="2060" spans="1:1">
      <c r="A2060" s="151" t="s">
        <v>4028</v>
      </c>
    </row>
    <row r="2061" spans="1:1">
      <c r="A2061" s="151" t="s">
        <v>4029</v>
      </c>
    </row>
    <row r="2062" spans="1:1">
      <c r="A2062" s="151" t="s">
        <v>4030</v>
      </c>
    </row>
    <row r="2063" spans="1:1">
      <c r="A2063" s="151" t="s">
        <v>4031</v>
      </c>
    </row>
    <row r="2064" spans="1:1">
      <c r="A2064" s="151" t="s">
        <v>4032</v>
      </c>
    </row>
    <row r="2065" spans="1:1">
      <c r="A2065" s="151" t="s">
        <v>4033</v>
      </c>
    </row>
    <row r="2066" spans="1:1">
      <c r="A2066" s="151" t="s">
        <v>4034</v>
      </c>
    </row>
    <row r="2067" spans="1:1">
      <c r="A2067" s="151" t="s">
        <v>4035</v>
      </c>
    </row>
    <row r="2068" spans="1:1">
      <c r="A2068" s="151" t="s">
        <v>4036</v>
      </c>
    </row>
    <row r="2069" spans="1:1">
      <c r="A2069" s="151" t="s">
        <v>4037</v>
      </c>
    </row>
    <row r="2070" spans="1:1">
      <c r="A2070" s="151" t="s">
        <v>4038</v>
      </c>
    </row>
    <row r="2071" spans="1:1">
      <c r="A2071" s="151" t="s">
        <v>4039</v>
      </c>
    </row>
    <row r="2072" spans="1:1">
      <c r="A2072" s="151" t="s">
        <v>4040</v>
      </c>
    </row>
    <row r="2073" spans="1:1">
      <c r="A2073" s="151" t="s">
        <v>4041</v>
      </c>
    </row>
    <row r="2074" spans="1:1">
      <c r="A2074" s="151" t="s">
        <v>4042</v>
      </c>
    </row>
    <row r="2075" spans="1:1">
      <c r="A2075" s="151" t="s">
        <v>4043</v>
      </c>
    </row>
    <row r="2076" spans="1:1">
      <c r="A2076" s="151" t="s">
        <v>4044</v>
      </c>
    </row>
    <row r="2077" spans="1:1">
      <c r="A2077" s="151" t="s">
        <v>4045</v>
      </c>
    </row>
    <row r="2078" spans="1:1">
      <c r="A2078" s="151" t="s">
        <v>4046</v>
      </c>
    </row>
    <row r="2079" spans="1:1">
      <c r="A2079" s="151" t="s">
        <v>4047</v>
      </c>
    </row>
    <row r="2080" spans="1:1">
      <c r="A2080" s="151" t="s">
        <v>4048</v>
      </c>
    </row>
    <row r="2081" spans="1:1">
      <c r="A2081" s="151" t="s">
        <v>4049</v>
      </c>
    </row>
    <row r="2082" spans="1:1">
      <c r="A2082" s="151" t="s">
        <v>4050</v>
      </c>
    </row>
    <row r="2083" spans="1:1">
      <c r="A2083" s="151" t="s">
        <v>4051</v>
      </c>
    </row>
    <row r="2084" spans="1:1">
      <c r="A2084" s="151" t="s">
        <v>4052</v>
      </c>
    </row>
    <row r="2085" spans="1:1">
      <c r="A2085" s="151" t="s">
        <v>4053</v>
      </c>
    </row>
    <row r="2086" spans="1:1">
      <c r="A2086" s="151" t="s">
        <v>4054</v>
      </c>
    </row>
    <row r="2087" spans="1:1">
      <c r="A2087" s="151" t="s">
        <v>4055</v>
      </c>
    </row>
    <row r="2088" spans="1:1">
      <c r="A2088" s="151" t="s">
        <v>4056</v>
      </c>
    </row>
    <row r="2089" spans="1:1">
      <c r="A2089" s="151" t="s">
        <v>4057</v>
      </c>
    </row>
    <row r="2090" spans="1:1">
      <c r="A2090" s="151" t="s">
        <v>4058</v>
      </c>
    </row>
    <row r="2091" spans="1:1">
      <c r="A2091" s="151" t="s">
        <v>4059</v>
      </c>
    </row>
    <row r="2092" spans="1:1">
      <c r="A2092" s="151" t="s">
        <v>4060</v>
      </c>
    </row>
    <row r="2093" spans="1:1">
      <c r="A2093" s="151" t="s">
        <v>4061</v>
      </c>
    </row>
    <row r="2094" spans="1:1">
      <c r="A2094" s="151" t="s">
        <v>4062</v>
      </c>
    </row>
    <row r="2095" spans="1:1">
      <c r="A2095" s="151" t="s">
        <v>4063</v>
      </c>
    </row>
    <row r="2096" spans="1:1">
      <c r="A2096" s="151" t="s">
        <v>4064</v>
      </c>
    </row>
    <row r="2097" spans="1:1">
      <c r="A2097" s="151" t="s">
        <v>4065</v>
      </c>
    </row>
    <row r="2098" spans="1:1">
      <c r="A2098" s="151" t="s">
        <v>4066</v>
      </c>
    </row>
    <row r="2099" spans="1:1">
      <c r="A2099" s="151" t="s">
        <v>4067</v>
      </c>
    </row>
    <row r="2100" spans="1:1">
      <c r="A2100" s="151" t="s">
        <v>4068</v>
      </c>
    </row>
    <row r="2101" spans="1:1">
      <c r="A2101" s="151" t="s">
        <v>4069</v>
      </c>
    </row>
    <row r="2102" spans="1:1">
      <c r="A2102" s="151" t="s">
        <v>4070</v>
      </c>
    </row>
    <row r="2103" spans="1:1">
      <c r="A2103" s="151" t="s">
        <v>4071</v>
      </c>
    </row>
    <row r="2104" spans="1:1">
      <c r="A2104" s="151" t="s">
        <v>4072</v>
      </c>
    </row>
    <row r="2105" spans="1:1">
      <c r="A2105" s="151" t="s">
        <v>4073</v>
      </c>
    </row>
    <row r="2106" spans="1:1">
      <c r="A2106" s="151" t="s">
        <v>4074</v>
      </c>
    </row>
    <row r="2107" spans="1:1">
      <c r="A2107" s="151" t="s">
        <v>4075</v>
      </c>
    </row>
    <row r="2108" spans="1:1">
      <c r="A2108" s="151" t="s">
        <v>4076</v>
      </c>
    </row>
    <row r="2109" spans="1:1">
      <c r="A2109" s="151" t="s">
        <v>4077</v>
      </c>
    </row>
    <row r="2110" spans="1:1">
      <c r="A2110" s="151" t="s">
        <v>4078</v>
      </c>
    </row>
    <row r="2111" spans="1:1">
      <c r="A2111" s="151" t="s">
        <v>4079</v>
      </c>
    </row>
    <row r="2112" spans="1:1">
      <c r="A2112" s="151" t="s">
        <v>4080</v>
      </c>
    </row>
    <row r="2113" spans="1:1">
      <c r="A2113" s="151" t="s">
        <v>4081</v>
      </c>
    </row>
    <row r="2114" spans="1:1">
      <c r="A2114" s="151" t="s">
        <v>4082</v>
      </c>
    </row>
    <row r="2115" spans="1:1">
      <c r="A2115" s="151" t="s">
        <v>4083</v>
      </c>
    </row>
    <row r="2116" spans="1:1">
      <c r="A2116" s="151" t="s">
        <v>4084</v>
      </c>
    </row>
    <row r="2117" spans="1:1">
      <c r="A2117" s="151" t="s">
        <v>4085</v>
      </c>
    </row>
    <row r="2118" spans="1:1">
      <c r="A2118" s="151" t="s">
        <v>4086</v>
      </c>
    </row>
    <row r="2119" spans="1:1">
      <c r="A2119" s="151" t="s">
        <v>4087</v>
      </c>
    </row>
    <row r="2120" spans="1:1">
      <c r="A2120" s="151" t="s">
        <v>4088</v>
      </c>
    </row>
    <row r="2121" spans="1:1">
      <c r="A2121" s="151" t="s">
        <v>4089</v>
      </c>
    </row>
    <row r="2122" spans="1:1">
      <c r="A2122" s="151" t="s">
        <v>4090</v>
      </c>
    </row>
    <row r="2123" spans="1:1">
      <c r="A2123" s="151" t="s">
        <v>4091</v>
      </c>
    </row>
    <row r="2124" spans="1:1">
      <c r="A2124" s="151" t="s">
        <v>4092</v>
      </c>
    </row>
    <row r="2125" spans="1:1">
      <c r="A2125" s="151" t="s">
        <v>4093</v>
      </c>
    </row>
    <row r="2126" spans="1:1">
      <c r="A2126" s="151" t="s">
        <v>4094</v>
      </c>
    </row>
    <row r="2127" spans="1:1">
      <c r="A2127" s="151" t="s">
        <v>4095</v>
      </c>
    </row>
    <row r="2128" spans="1:1">
      <c r="A2128" s="151" t="s">
        <v>4096</v>
      </c>
    </row>
    <row r="2129" spans="1:1">
      <c r="A2129" s="151" t="s">
        <v>4097</v>
      </c>
    </row>
    <row r="2130" spans="1:1">
      <c r="A2130" s="151" t="s">
        <v>4098</v>
      </c>
    </row>
    <row r="2131" spans="1:1">
      <c r="A2131" s="151" t="s">
        <v>4099</v>
      </c>
    </row>
    <row r="2132" spans="1:1">
      <c r="A2132" s="151" t="s">
        <v>4100</v>
      </c>
    </row>
    <row r="2133" spans="1:1">
      <c r="A2133" s="151" t="s">
        <v>4101</v>
      </c>
    </row>
    <row r="2134" spans="1:1">
      <c r="A2134" s="151" t="s">
        <v>4102</v>
      </c>
    </row>
    <row r="2135" spans="1:1">
      <c r="A2135" s="151" t="s">
        <v>4103</v>
      </c>
    </row>
    <row r="2136" spans="1:1">
      <c r="A2136" s="151" t="s">
        <v>4104</v>
      </c>
    </row>
    <row r="2137" spans="1:1">
      <c r="A2137" s="151" t="s">
        <v>4105</v>
      </c>
    </row>
    <row r="2138" spans="1:1">
      <c r="A2138" s="151" t="s">
        <v>4106</v>
      </c>
    </row>
    <row r="2139" spans="1:1">
      <c r="A2139" s="151" t="s">
        <v>4107</v>
      </c>
    </row>
    <row r="2140" spans="1:1">
      <c r="A2140" s="151" t="s">
        <v>4108</v>
      </c>
    </row>
    <row r="2141" spans="1:1">
      <c r="A2141" s="151" t="s">
        <v>4109</v>
      </c>
    </row>
    <row r="2142" spans="1:1">
      <c r="A2142" s="151" t="s">
        <v>4110</v>
      </c>
    </row>
    <row r="2143" spans="1:1">
      <c r="A2143" s="151" t="s">
        <v>4111</v>
      </c>
    </row>
    <row r="2144" spans="1:1">
      <c r="A2144" s="151" t="s">
        <v>4112</v>
      </c>
    </row>
    <row r="2145" spans="1:1">
      <c r="A2145" s="151" t="s">
        <v>4113</v>
      </c>
    </row>
    <row r="2146" spans="1:1">
      <c r="A2146" s="151" t="s">
        <v>4114</v>
      </c>
    </row>
    <row r="2147" spans="1:1">
      <c r="A2147" s="151" t="s">
        <v>4115</v>
      </c>
    </row>
    <row r="2148" spans="1:1">
      <c r="A2148" s="151" t="s">
        <v>4116</v>
      </c>
    </row>
    <row r="2149" spans="1:1">
      <c r="A2149" s="151" t="s">
        <v>4117</v>
      </c>
    </row>
    <row r="2150" spans="1:1">
      <c r="A2150" s="151" t="s">
        <v>4118</v>
      </c>
    </row>
    <row r="2151" spans="1:1">
      <c r="A2151" s="151" t="s">
        <v>4119</v>
      </c>
    </row>
    <row r="2152" spans="1:1">
      <c r="A2152" s="151" t="s">
        <v>4120</v>
      </c>
    </row>
    <row r="2153" spans="1:1">
      <c r="A2153" s="151" t="s">
        <v>4121</v>
      </c>
    </row>
    <row r="2154" spans="1:1">
      <c r="A2154" s="151" t="s">
        <v>4122</v>
      </c>
    </row>
    <row r="2155" spans="1:1">
      <c r="A2155" s="151" t="s">
        <v>4123</v>
      </c>
    </row>
    <row r="2156" spans="1:1">
      <c r="A2156" s="151" t="s">
        <v>4124</v>
      </c>
    </row>
    <row r="2157" spans="1:1">
      <c r="A2157" s="151" t="s">
        <v>4125</v>
      </c>
    </row>
    <row r="2158" spans="1:1">
      <c r="A2158" s="151" t="s">
        <v>4126</v>
      </c>
    </row>
    <row r="2159" spans="1:1">
      <c r="A2159" s="151" t="s">
        <v>4127</v>
      </c>
    </row>
    <row r="2160" spans="1:1">
      <c r="A2160" s="151" t="s">
        <v>4128</v>
      </c>
    </row>
    <row r="2161" spans="1:1">
      <c r="A2161" s="151" t="s">
        <v>4129</v>
      </c>
    </row>
    <row r="2162" spans="1:1">
      <c r="A2162" s="151" t="s">
        <v>4130</v>
      </c>
    </row>
    <row r="2163" spans="1:1">
      <c r="A2163" s="151" t="s">
        <v>4131</v>
      </c>
    </row>
    <row r="2164" spans="1:1">
      <c r="A2164" s="151" t="s">
        <v>4132</v>
      </c>
    </row>
    <row r="2165" spans="1:1">
      <c r="A2165" s="151" t="s">
        <v>4133</v>
      </c>
    </row>
    <row r="2166" spans="1:1">
      <c r="A2166" s="151" t="s">
        <v>4134</v>
      </c>
    </row>
    <row r="2167" spans="1:1">
      <c r="A2167" s="151" t="s">
        <v>4135</v>
      </c>
    </row>
    <row r="2168" spans="1:1">
      <c r="A2168" s="151" t="s">
        <v>4136</v>
      </c>
    </row>
    <row r="2169" spans="1:1">
      <c r="A2169" s="151" t="s">
        <v>4137</v>
      </c>
    </row>
    <row r="2170" spans="1:1">
      <c r="A2170" s="151" t="s">
        <v>4138</v>
      </c>
    </row>
    <row r="2171" spans="1:1">
      <c r="A2171" s="151" t="s">
        <v>4139</v>
      </c>
    </row>
    <row r="2172" spans="1:1">
      <c r="A2172" s="151" t="s">
        <v>4140</v>
      </c>
    </row>
    <row r="2173" spans="1:1">
      <c r="A2173" s="151" t="s">
        <v>4141</v>
      </c>
    </row>
    <row r="2174" spans="1:1">
      <c r="A2174" s="151" t="s">
        <v>4142</v>
      </c>
    </row>
    <row r="2175" spans="1:1">
      <c r="A2175" s="151" t="s">
        <v>4143</v>
      </c>
    </row>
    <row r="2176" spans="1:1">
      <c r="A2176" s="151" t="s">
        <v>4144</v>
      </c>
    </row>
    <row r="2177" spans="1:1">
      <c r="A2177" s="151" t="s">
        <v>4145</v>
      </c>
    </row>
    <row r="2178" spans="1:1">
      <c r="A2178" s="151" t="s">
        <v>4146</v>
      </c>
    </row>
    <row r="2179" spans="1:1">
      <c r="A2179" s="151" t="s">
        <v>4147</v>
      </c>
    </row>
    <row r="2180" spans="1:1">
      <c r="A2180" s="151" t="s">
        <v>4148</v>
      </c>
    </row>
    <row r="2181" spans="1:1">
      <c r="A2181" s="151" t="s">
        <v>4149</v>
      </c>
    </row>
    <row r="2182" spans="1:1">
      <c r="A2182" s="151" t="s">
        <v>4150</v>
      </c>
    </row>
    <row r="2183" spans="1:1">
      <c r="A2183" s="151" t="s">
        <v>4151</v>
      </c>
    </row>
    <row r="2184" spans="1:1">
      <c r="A2184" s="151" t="s">
        <v>4152</v>
      </c>
    </row>
    <row r="2185" spans="1:1">
      <c r="A2185" s="151" t="s">
        <v>4153</v>
      </c>
    </row>
    <row r="2186" spans="1:1">
      <c r="A2186" s="151" t="s">
        <v>4154</v>
      </c>
    </row>
    <row r="2187" spans="1:1">
      <c r="A2187" s="151" t="s">
        <v>4155</v>
      </c>
    </row>
    <row r="2188" spans="1:1">
      <c r="A2188" s="151" t="s">
        <v>4156</v>
      </c>
    </row>
    <row r="2189" spans="1:1">
      <c r="A2189" s="151" t="s">
        <v>4157</v>
      </c>
    </row>
    <row r="2190" spans="1:1">
      <c r="A2190" s="151" t="s">
        <v>4158</v>
      </c>
    </row>
    <row r="2191" spans="1:1">
      <c r="A2191" s="151" t="s">
        <v>4159</v>
      </c>
    </row>
    <row r="2192" spans="1:1">
      <c r="A2192" s="151" t="s">
        <v>4160</v>
      </c>
    </row>
    <row r="2193" spans="1:1">
      <c r="A2193" s="151" t="s">
        <v>4161</v>
      </c>
    </row>
    <row r="2194" spans="1:1">
      <c r="A2194" s="151" t="s">
        <v>4162</v>
      </c>
    </row>
    <row r="2195" spans="1:1">
      <c r="A2195" s="151" t="s">
        <v>4163</v>
      </c>
    </row>
    <row r="2196" spans="1:1">
      <c r="A2196" s="151" t="s">
        <v>4164</v>
      </c>
    </row>
    <row r="2197" spans="1:1">
      <c r="A2197" s="151" t="s">
        <v>4165</v>
      </c>
    </row>
    <row r="2198" spans="1:1">
      <c r="A2198" s="151" t="s">
        <v>4166</v>
      </c>
    </row>
    <row r="2199" spans="1:1">
      <c r="A2199" s="151" t="s">
        <v>4167</v>
      </c>
    </row>
    <row r="2200" spans="1:1">
      <c r="A2200" s="151" t="s">
        <v>4168</v>
      </c>
    </row>
    <row r="2201" spans="1:1">
      <c r="A2201" s="151" t="s">
        <v>4169</v>
      </c>
    </row>
    <row r="2202" spans="1:1">
      <c r="A2202" s="151" t="s">
        <v>4170</v>
      </c>
    </row>
    <row r="2203" spans="1:1">
      <c r="A2203" s="151" t="s">
        <v>4171</v>
      </c>
    </row>
    <row r="2204" spans="1:1">
      <c r="A2204" s="151" t="s">
        <v>4172</v>
      </c>
    </row>
    <row r="2205" spans="1:1">
      <c r="A2205" s="151" t="s">
        <v>4173</v>
      </c>
    </row>
    <row r="2206" spans="1:1">
      <c r="A2206" s="151" t="s">
        <v>4174</v>
      </c>
    </row>
    <row r="2207" spans="1:1">
      <c r="A2207" s="151" t="s">
        <v>4175</v>
      </c>
    </row>
    <row r="2208" spans="1:1">
      <c r="A2208" s="151" t="s">
        <v>4176</v>
      </c>
    </row>
    <row r="2209" spans="1:1">
      <c r="A2209" s="151" t="s">
        <v>4177</v>
      </c>
    </row>
    <row r="2210" spans="1:1">
      <c r="A2210" s="151" t="s">
        <v>4178</v>
      </c>
    </row>
    <row r="2211" spans="1:1">
      <c r="A2211" s="151" t="s">
        <v>4179</v>
      </c>
    </row>
    <row r="2212" spans="1:1">
      <c r="A2212" s="151" t="s">
        <v>4180</v>
      </c>
    </row>
    <row r="2213" spans="1:1">
      <c r="A2213" s="151" t="s">
        <v>4181</v>
      </c>
    </row>
    <row r="2214" spans="1:1">
      <c r="A2214" s="151" t="s">
        <v>4182</v>
      </c>
    </row>
    <row r="2215" spans="1:1">
      <c r="A2215" s="151" t="s">
        <v>4183</v>
      </c>
    </row>
    <row r="2216" spans="1:1">
      <c r="A2216" s="151" t="s">
        <v>4184</v>
      </c>
    </row>
    <row r="2217" spans="1:1">
      <c r="A2217" s="151" t="s">
        <v>4185</v>
      </c>
    </row>
    <row r="2218" spans="1:1">
      <c r="A2218" s="151" t="s">
        <v>4186</v>
      </c>
    </row>
    <row r="2219" spans="1:1">
      <c r="A2219" s="151" t="s">
        <v>4187</v>
      </c>
    </row>
    <row r="2220" spans="1:1">
      <c r="A2220" s="151" t="s">
        <v>4188</v>
      </c>
    </row>
    <row r="2221" spans="1:1">
      <c r="A2221" s="151" t="s">
        <v>4189</v>
      </c>
    </row>
    <row r="2222" spans="1:1">
      <c r="A2222" s="151" t="s">
        <v>4190</v>
      </c>
    </row>
    <row r="2223" spans="1:1">
      <c r="A2223" s="151" t="s">
        <v>4191</v>
      </c>
    </row>
    <row r="2224" spans="1:1">
      <c r="A2224" s="151" t="s">
        <v>4192</v>
      </c>
    </row>
    <row r="2225" spans="1:1">
      <c r="A2225" s="151" t="s">
        <v>4193</v>
      </c>
    </row>
    <row r="2226" spans="1:1">
      <c r="A2226" s="151" t="s">
        <v>4194</v>
      </c>
    </row>
    <row r="2227" spans="1:1">
      <c r="A2227" s="151" t="s">
        <v>4195</v>
      </c>
    </row>
    <row r="2228" spans="1:1">
      <c r="A2228" s="151" t="s">
        <v>4196</v>
      </c>
    </row>
    <row r="2229" spans="1:1">
      <c r="A2229" s="151" t="s">
        <v>4197</v>
      </c>
    </row>
    <row r="2230" spans="1:1">
      <c r="A2230" s="151" t="s">
        <v>4198</v>
      </c>
    </row>
    <row r="2231" spans="1:1">
      <c r="A2231" s="151" t="s">
        <v>4199</v>
      </c>
    </row>
    <row r="2232" spans="1:1">
      <c r="A2232" s="151" t="s">
        <v>4200</v>
      </c>
    </row>
    <row r="2233" spans="1:1">
      <c r="A2233" s="151" t="s">
        <v>4201</v>
      </c>
    </row>
    <row r="2234" spans="1:1">
      <c r="A2234" s="151" t="s">
        <v>4202</v>
      </c>
    </row>
    <row r="2235" spans="1:1">
      <c r="A2235" s="151" t="s">
        <v>4203</v>
      </c>
    </row>
    <row r="2236" spans="1:1">
      <c r="A2236" s="151" t="s">
        <v>4204</v>
      </c>
    </row>
    <row r="2237" spans="1:1">
      <c r="A2237" s="151" t="s">
        <v>4205</v>
      </c>
    </row>
    <row r="2238" spans="1:1">
      <c r="A2238" s="151" t="s">
        <v>4206</v>
      </c>
    </row>
    <row r="2239" spans="1:1">
      <c r="A2239" s="151" t="s">
        <v>4207</v>
      </c>
    </row>
    <row r="2240" spans="1:1">
      <c r="A2240" s="151" t="s">
        <v>4208</v>
      </c>
    </row>
    <row r="2241" spans="1:1">
      <c r="A2241" s="151" t="s">
        <v>4209</v>
      </c>
    </row>
    <row r="2242" spans="1:1">
      <c r="A2242" s="151" t="s">
        <v>4210</v>
      </c>
    </row>
    <row r="2243" spans="1:1">
      <c r="A2243" s="151" t="s">
        <v>4211</v>
      </c>
    </row>
    <row r="2244" spans="1:1">
      <c r="A2244" s="151" t="s">
        <v>4212</v>
      </c>
    </row>
    <row r="2245" spans="1:1">
      <c r="A2245" s="151" t="s">
        <v>4213</v>
      </c>
    </row>
    <row r="2246" spans="1:1">
      <c r="A2246" s="151" t="s">
        <v>4214</v>
      </c>
    </row>
    <row r="2247" spans="1:1">
      <c r="A2247" s="151" t="s">
        <v>4215</v>
      </c>
    </row>
    <row r="2248" spans="1:1">
      <c r="A2248" s="151" t="s">
        <v>4216</v>
      </c>
    </row>
    <row r="2249" spans="1:1">
      <c r="A2249" s="151" t="s">
        <v>4217</v>
      </c>
    </row>
    <row r="2250" spans="1:1">
      <c r="A2250" s="151" t="s">
        <v>4218</v>
      </c>
    </row>
    <row r="2251" spans="1:1">
      <c r="A2251" s="151" t="s">
        <v>4219</v>
      </c>
    </row>
    <row r="2252" spans="1:1">
      <c r="A2252" s="151" t="s">
        <v>4220</v>
      </c>
    </row>
    <row r="2253" spans="1:1">
      <c r="A2253" s="151" t="s">
        <v>4221</v>
      </c>
    </row>
    <row r="2254" spans="1:1">
      <c r="A2254" s="151" t="s">
        <v>4222</v>
      </c>
    </row>
    <row r="2255" spans="1:1">
      <c r="A2255" s="151" t="s">
        <v>4223</v>
      </c>
    </row>
    <row r="2256" spans="1:1">
      <c r="A2256" s="151" t="s">
        <v>4224</v>
      </c>
    </row>
    <row r="2257" spans="1:1">
      <c r="A2257" s="151" t="s">
        <v>4225</v>
      </c>
    </row>
    <row r="2258" spans="1:1">
      <c r="A2258" s="151" t="s">
        <v>4226</v>
      </c>
    </row>
    <row r="2259" spans="1:1">
      <c r="A2259" s="151" t="s">
        <v>4227</v>
      </c>
    </row>
    <row r="2260" spans="1:1">
      <c r="A2260" s="151" t="s">
        <v>4228</v>
      </c>
    </row>
    <row r="2261" spans="1:1">
      <c r="A2261" s="151" t="s">
        <v>4229</v>
      </c>
    </row>
    <row r="2262" spans="1:1">
      <c r="A2262" s="151" t="s">
        <v>4230</v>
      </c>
    </row>
    <row r="2263" spans="1:1">
      <c r="A2263" s="151" t="s">
        <v>4231</v>
      </c>
    </row>
    <row r="2264" spans="1:1">
      <c r="A2264" s="151" t="s">
        <v>4232</v>
      </c>
    </row>
    <row r="2265" spans="1:1">
      <c r="A2265" s="151" t="s">
        <v>4233</v>
      </c>
    </row>
    <row r="2266" spans="1:1">
      <c r="A2266" s="151" t="s">
        <v>4234</v>
      </c>
    </row>
    <row r="2267" spans="1:1">
      <c r="A2267" s="151" t="s">
        <v>4235</v>
      </c>
    </row>
    <row r="2268" spans="1:1">
      <c r="A2268" s="151" t="s">
        <v>4236</v>
      </c>
    </row>
    <row r="2269" spans="1:1">
      <c r="A2269" s="151" t="s">
        <v>4237</v>
      </c>
    </row>
    <row r="2270" spans="1:1">
      <c r="A2270" s="151" t="s">
        <v>4238</v>
      </c>
    </row>
    <row r="2271" spans="1:1">
      <c r="A2271" s="151" t="s">
        <v>4239</v>
      </c>
    </row>
    <row r="2272" spans="1:1">
      <c r="A2272" s="151" t="s">
        <v>4240</v>
      </c>
    </row>
    <row r="2273" spans="1:1">
      <c r="A2273" s="151" t="s">
        <v>4241</v>
      </c>
    </row>
    <row r="2274" spans="1:1">
      <c r="A2274" s="151" t="s">
        <v>4242</v>
      </c>
    </row>
    <row r="2275" spans="1:1">
      <c r="A2275" s="151" t="s">
        <v>4243</v>
      </c>
    </row>
    <row r="2276" spans="1:1">
      <c r="A2276" s="151" t="s">
        <v>4244</v>
      </c>
    </row>
    <row r="2277" spans="1:1">
      <c r="A2277" s="151" t="s">
        <v>4245</v>
      </c>
    </row>
    <row r="2278" spans="1:1">
      <c r="A2278" s="151" t="s">
        <v>4246</v>
      </c>
    </row>
    <row r="2279" spans="1:1">
      <c r="A2279" s="151" t="s">
        <v>4247</v>
      </c>
    </row>
    <row r="2280" spans="1:1">
      <c r="A2280" s="151" t="s">
        <v>4248</v>
      </c>
    </row>
    <row r="2281" spans="1:1">
      <c r="A2281" s="151" t="s">
        <v>4249</v>
      </c>
    </row>
    <row r="2282" spans="1:1">
      <c r="A2282" s="151" t="s">
        <v>4250</v>
      </c>
    </row>
    <row r="2283" spans="1:1">
      <c r="A2283" s="151" t="s">
        <v>4251</v>
      </c>
    </row>
    <row r="2284" spans="1:1">
      <c r="A2284" s="151" t="s">
        <v>4252</v>
      </c>
    </row>
    <row r="2285" spans="1:1">
      <c r="A2285" s="151" t="s">
        <v>4253</v>
      </c>
    </row>
    <row r="2286" spans="1:1">
      <c r="A2286" s="151" t="s">
        <v>4254</v>
      </c>
    </row>
    <row r="2287" spans="1:1">
      <c r="A2287" s="151" t="s">
        <v>4255</v>
      </c>
    </row>
    <row r="2288" spans="1:1">
      <c r="A2288" s="151" t="s">
        <v>4256</v>
      </c>
    </row>
    <row r="2289" spans="1:1">
      <c r="A2289" s="151" t="s">
        <v>4257</v>
      </c>
    </row>
    <row r="2290" spans="1:1">
      <c r="A2290" s="151" t="s">
        <v>4258</v>
      </c>
    </row>
    <row r="2291" spans="1:1">
      <c r="A2291" s="151" t="s">
        <v>4259</v>
      </c>
    </row>
    <row r="2292" spans="1:1">
      <c r="A2292" s="151" t="s">
        <v>4260</v>
      </c>
    </row>
    <row r="2293" spans="1:1">
      <c r="A2293" s="151" t="s">
        <v>4261</v>
      </c>
    </row>
    <row r="2294" spans="1:1">
      <c r="A2294" s="151" t="s">
        <v>4262</v>
      </c>
    </row>
    <row r="2295" spans="1:1">
      <c r="A2295" s="151" t="s">
        <v>4263</v>
      </c>
    </row>
    <row r="2296" spans="1:1">
      <c r="A2296" s="151" t="s">
        <v>4264</v>
      </c>
    </row>
    <row r="2297" spans="1:1">
      <c r="A2297" s="151" t="s">
        <v>4265</v>
      </c>
    </row>
    <row r="2298" spans="1:1">
      <c r="A2298" s="151" t="s">
        <v>4266</v>
      </c>
    </row>
    <row r="2299" spans="1:1">
      <c r="A2299" s="151" t="s">
        <v>4267</v>
      </c>
    </row>
    <row r="2300" spans="1:1">
      <c r="A2300" s="151" t="s">
        <v>4268</v>
      </c>
    </row>
    <row r="2301" spans="1:1">
      <c r="A2301" s="151" t="s">
        <v>4269</v>
      </c>
    </row>
    <row r="2302" spans="1:1">
      <c r="A2302" s="151" t="s">
        <v>4270</v>
      </c>
    </row>
    <row r="2303" spans="1:1">
      <c r="A2303" s="151" t="s">
        <v>4271</v>
      </c>
    </row>
    <row r="2304" spans="1:1">
      <c r="A2304" s="151" t="s">
        <v>4272</v>
      </c>
    </row>
    <row r="2305" spans="1:1">
      <c r="A2305" s="151" t="s">
        <v>4273</v>
      </c>
    </row>
    <row r="2306" spans="1:1">
      <c r="A2306" s="151" t="s">
        <v>4274</v>
      </c>
    </row>
    <row r="2307" spans="1:1">
      <c r="A2307" s="151" t="s">
        <v>4275</v>
      </c>
    </row>
    <row r="2308" spans="1:1">
      <c r="A2308" s="151" t="s">
        <v>4276</v>
      </c>
    </row>
    <row r="2309" spans="1:1">
      <c r="A2309" s="151" t="s">
        <v>4277</v>
      </c>
    </row>
    <row r="2310" spans="1:1">
      <c r="A2310" s="151" t="s">
        <v>4278</v>
      </c>
    </row>
    <row r="2311" spans="1:1">
      <c r="A2311" s="151" t="s">
        <v>4279</v>
      </c>
    </row>
    <row r="2312" spans="1:1">
      <c r="A2312" s="151" t="s">
        <v>4280</v>
      </c>
    </row>
    <row r="2313" spans="1:1">
      <c r="A2313" s="151" t="s">
        <v>4281</v>
      </c>
    </row>
    <row r="2314" spans="1:1">
      <c r="A2314" s="151" t="s">
        <v>4282</v>
      </c>
    </row>
    <row r="2315" spans="1:1">
      <c r="A2315" s="151" t="s">
        <v>4283</v>
      </c>
    </row>
    <row r="2316" spans="1:1">
      <c r="A2316" s="151" t="s">
        <v>4284</v>
      </c>
    </row>
    <row r="2317" spans="1:1">
      <c r="A2317" s="151" t="s">
        <v>4285</v>
      </c>
    </row>
    <row r="2318" spans="1:1">
      <c r="A2318" s="151" t="s">
        <v>4286</v>
      </c>
    </row>
    <row r="2319" spans="1:1">
      <c r="A2319" s="151" t="s">
        <v>4287</v>
      </c>
    </row>
    <row r="2320" spans="1:1">
      <c r="A2320" s="151" t="s">
        <v>4288</v>
      </c>
    </row>
    <row r="2321" spans="1:1">
      <c r="A2321" s="151" t="s">
        <v>4289</v>
      </c>
    </row>
    <row r="2322" spans="1:1">
      <c r="A2322" s="151" t="s">
        <v>4290</v>
      </c>
    </row>
    <row r="2323" spans="1:1">
      <c r="A2323" s="151" t="s">
        <v>4291</v>
      </c>
    </row>
    <row r="2324" spans="1:1">
      <c r="A2324" s="151" t="s">
        <v>4292</v>
      </c>
    </row>
    <row r="2325" spans="1:1">
      <c r="A2325" s="151" t="s">
        <v>4293</v>
      </c>
    </row>
    <row r="2326" spans="1:1">
      <c r="A2326" s="151" t="s">
        <v>4294</v>
      </c>
    </row>
    <row r="2327" spans="1:1">
      <c r="A2327" s="151" t="s">
        <v>4295</v>
      </c>
    </row>
    <row r="2328" spans="1:1">
      <c r="A2328" s="151" t="s">
        <v>4296</v>
      </c>
    </row>
    <row r="2329" spans="1:1">
      <c r="A2329" s="151" t="s">
        <v>4297</v>
      </c>
    </row>
    <row r="2330" spans="1:1">
      <c r="A2330" s="151" t="s">
        <v>4298</v>
      </c>
    </row>
    <row r="2331" spans="1:1">
      <c r="A2331" s="151" t="s">
        <v>4299</v>
      </c>
    </row>
    <row r="2332" spans="1:1">
      <c r="A2332" s="151" t="s">
        <v>4300</v>
      </c>
    </row>
    <row r="2333" spans="1:1">
      <c r="A2333" s="151" t="s">
        <v>4301</v>
      </c>
    </row>
    <row r="2334" spans="1:1">
      <c r="A2334" s="151" t="s">
        <v>4302</v>
      </c>
    </row>
    <row r="2335" spans="1:1">
      <c r="A2335" s="151" t="s">
        <v>4303</v>
      </c>
    </row>
    <row r="2336" spans="1:1">
      <c r="A2336" s="151" t="s">
        <v>4304</v>
      </c>
    </row>
    <row r="2337" spans="1:1">
      <c r="A2337" s="151" t="s">
        <v>4305</v>
      </c>
    </row>
    <row r="2338" spans="1:1">
      <c r="A2338" s="151" t="s">
        <v>4306</v>
      </c>
    </row>
    <row r="2339" spans="1:1">
      <c r="A2339" s="151" t="s">
        <v>4307</v>
      </c>
    </row>
    <row r="2340" spans="1:1">
      <c r="A2340" s="151" t="s">
        <v>4308</v>
      </c>
    </row>
    <row r="2341" spans="1:1">
      <c r="A2341" s="151" t="s">
        <v>4309</v>
      </c>
    </row>
    <row r="2342" spans="1:1">
      <c r="A2342" s="151" t="s">
        <v>4310</v>
      </c>
    </row>
    <row r="2343" spans="1:1">
      <c r="A2343" s="151" t="s">
        <v>4311</v>
      </c>
    </row>
    <row r="2344" spans="1:1">
      <c r="A2344" s="151" t="s">
        <v>4312</v>
      </c>
    </row>
    <row r="2345" spans="1:1">
      <c r="A2345" s="151" t="s">
        <v>4313</v>
      </c>
    </row>
    <row r="2346" spans="1:1">
      <c r="A2346" s="151" t="s">
        <v>4314</v>
      </c>
    </row>
    <row r="2347" spans="1:1">
      <c r="A2347" s="151" t="s">
        <v>4315</v>
      </c>
    </row>
    <row r="2348" spans="1:1">
      <c r="A2348" s="151" t="s">
        <v>4316</v>
      </c>
    </row>
    <row r="2349" spans="1:1">
      <c r="A2349" s="151" t="s">
        <v>4317</v>
      </c>
    </row>
    <row r="2350" spans="1:1">
      <c r="A2350" s="151" t="s">
        <v>4318</v>
      </c>
    </row>
    <row r="2351" spans="1:1">
      <c r="A2351" s="151" t="s">
        <v>4319</v>
      </c>
    </row>
    <row r="2352" spans="1:1">
      <c r="A2352" s="151" t="s">
        <v>4320</v>
      </c>
    </row>
    <row r="2353" spans="1:1">
      <c r="A2353" s="151" t="s">
        <v>4321</v>
      </c>
    </row>
    <row r="2354" spans="1:1">
      <c r="A2354" s="151" t="s">
        <v>4322</v>
      </c>
    </row>
    <row r="2355" spans="1:1">
      <c r="A2355" s="151" t="s">
        <v>4323</v>
      </c>
    </row>
    <row r="2356" spans="1:1">
      <c r="A2356" s="151" t="s">
        <v>4324</v>
      </c>
    </row>
    <row r="2357" spans="1:1">
      <c r="A2357" s="151" t="s">
        <v>4325</v>
      </c>
    </row>
    <row r="2358" spans="1:1">
      <c r="A2358" s="151" t="s">
        <v>4326</v>
      </c>
    </row>
    <row r="2359" spans="1:1">
      <c r="A2359" s="151" t="s">
        <v>4327</v>
      </c>
    </row>
    <row r="2360" spans="1:1">
      <c r="A2360" s="151" t="s">
        <v>4328</v>
      </c>
    </row>
    <row r="2361" spans="1:1">
      <c r="A2361" s="151" t="s">
        <v>4329</v>
      </c>
    </row>
    <row r="2362" spans="1:1">
      <c r="A2362" s="151" t="s">
        <v>4330</v>
      </c>
    </row>
    <row r="2363" spans="1:1">
      <c r="A2363" s="151" t="s">
        <v>4331</v>
      </c>
    </row>
    <row r="2364" spans="1:1">
      <c r="A2364" s="151" t="s">
        <v>4332</v>
      </c>
    </row>
    <row r="2365" spans="1:1">
      <c r="A2365" s="151" t="s">
        <v>4333</v>
      </c>
    </row>
    <row r="2366" spans="1:1">
      <c r="A2366" s="151" t="s">
        <v>4334</v>
      </c>
    </row>
    <row r="2367" spans="1:1">
      <c r="A2367" s="151" t="s">
        <v>4335</v>
      </c>
    </row>
    <row r="2368" spans="1:1">
      <c r="A2368" s="151" t="s">
        <v>4336</v>
      </c>
    </row>
    <row r="2369" spans="1:1">
      <c r="A2369" s="151" t="s">
        <v>4337</v>
      </c>
    </row>
    <row r="2370" spans="1:1">
      <c r="A2370" s="151" t="s">
        <v>4338</v>
      </c>
    </row>
    <row r="2371" spans="1:1">
      <c r="A2371" s="151" t="s">
        <v>4339</v>
      </c>
    </row>
    <row r="2372" spans="1:1">
      <c r="A2372" s="151" t="s">
        <v>4340</v>
      </c>
    </row>
    <row r="2373" spans="1:1">
      <c r="A2373" s="151" t="s">
        <v>4341</v>
      </c>
    </row>
    <row r="2374" spans="1:1">
      <c r="A2374" s="151" t="s">
        <v>4342</v>
      </c>
    </row>
    <row r="2375" spans="1:1">
      <c r="A2375" s="151" t="s">
        <v>4343</v>
      </c>
    </row>
    <row r="2376" spans="1:1">
      <c r="A2376" s="151" t="s">
        <v>4344</v>
      </c>
    </row>
    <row r="2377" spans="1:1">
      <c r="A2377" s="151" t="s">
        <v>4345</v>
      </c>
    </row>
    <row r="2378" spans="1:1">
      <c r="A2378" s="151" t="s">
        <v>4346</v>
      </c>
    </row>
    <row r="2379" spans="1:1">
      <c r="A2379" s="151" t="s">
        <v>4347</v>
      </c>
    </row>
    <row r="2380" spans="1:1">
      <c r="A2380" s="151" t="s">
        <v>4348</v>
      </c>
    </row>
    <row r="2381" spans="1:1">
      <c r="A2381" s="151" t="s">
        <v>4349</v>
      </c>
    </row>
    <row r="2382" spans="1:1">
      <c r="A2382" s="151" t="s">
        <v>4350</v>
      </c>
    </row>
    <row r="2383" spans="1:1">
      <c r="A2383" s="151" t="s">
        <v>4351</v>
      </c>
    </row>
    <row r="2384" spans="1:1">
      <c r="A2384" s="151" t="s">
        <v>4352</v>
      </c>
    </row>
    <row r="2385" spans="1:1">
      <c r="A2385" s="151" t="s">
        <v>4353</v>
      </c>
    </row>
    <row r="2386" spans="1:1">
      <c r="A2386" s="151" t="s">
        <v>4354</v>
      </c>
    </row>
    <row r="2387" spans="1:1">
      <c r="A2387" s="151" t="s">
        <v>4355</v>
      </c>
    </row>
    <row r="2388" spans="1:1">
      <c r="A2388" s="151" t="s">
        <v>4356</v>
      </c>
    </row>
    <row r="2389" spans="1:1">
      <c r="A2389" s="151" t="s">
        <v>4357</v>
      </c>
    </row>
    <row r="2390" spans="1:1">
      <c r="A2390" s="151" t="s">
        <v>4358</v>
      </c>
    </row>
    <row r="2391" spans="1:1">
      <c r="A2391" s="151" t="s">
        <v>4359</v>
      </c>
    </row>
    <row r="2392" spans="1:1">
      <c r="A2392" s="151" t="s">
        <v>4360</v>
      </c>
    </row>
    <row r="2393" spans="1:1">
      <c r="A2393" s="151" t="s">
        <v>4361</v>
      </c>
    </row>
    <row r="2394" spans="1:1">
      <c r="A2394" s="151" t="s">
        <v>4362</v>
      </c>
    </row>
    <row r="2395" spans="1:1">
      <c r="A2395" s="151" t="s">
        <v>4363</v>
      </c>
    </row>
    <row r="2396" spans="1:1">
      <c r="A2396" s="151" t="s">
        <v>4364</v>
      </c>
    </row>
    <row r="2397" spans="1:1">
      <c r="A2397" s="151" t="s">
        <v>4365</v>
      </c>
    </row>
    <row r="2398" spans="1:1">
      <c r="A2398" s="151" t="s">
        <v>4366</v>
      </c>
    </row>
    <row r="2399" spans="1:1">
      <c r="A2399" s="151" t="s">
        <v>4367</v>
      </c>
    </row>
    <row r="2400" spans="1:1">
      <c r="A2400" s="151" t="s">
        <v>4368</v>
      </c>
    </row>
    <row r="2401" spans="1:1">
      <c r="A2401" s="151" t="s">
        <v>4369</v>
      </c>
    </row>
    <row r="2402" spans="1:1">
      <c r="A2402" s="151" t="s">
        <v>4370</v>
      </c>
    </row>
    <row r="2403" spans="1:1">
      <c r="A2403" s="151" t="s">
        <v>4371</v>
      </c>
    </row>
    <row r="2404" spans="1:1">
      <c r="A2404" s="151" t="s">
        <v>4372</v>
      </c>
    </row>
    <row r="2405" spans="1:1">
      <c r="A2405" s="151" t="s">
        <v>4373</v>
      </c>
    </row>
    <row r="2406" spans="1:1">
      <c r="A2406" s="151" t="s">
        <v>4374</v>
      </c>
    </row>
    <row r="2407" spans="1:1">
      <c r="A2407" s="151" t="s">
        <v>4375</v>
      </c>
    </row>
    <row r="2408" spans="1:1">
      <c r="A2408" s="151" t="s">
        <v>4376</v>
      </c>
    </row>
    <row r="2409" spans="1:1">
      <c r="A2409" s="151" t="s">
        <v>4377</v>
      </c>
    </row>
    <row r="2410" spans="1:1">
      <c r="A2410" s="151" t="s">
        <v>4378</v>
      </c>
    </row>
    <row r="2411" spans="1:1">
      <c r="A2411" s="151" t="s">
        <v>4379</v>
      </c>
    </row>
    <row r="2412" spans="1:1">
      <c r="A2412" s="151" t="s">
        <v>4380</v>
      </c>
    </row>
    <row r="2413" spans="1:1">
      <c r="A2413" s="151" t="s">
        <v>4381</v>
      </c>
    </row>
    <row r="2414" spans="1:1">
      <c r="A2414" s="151" t="s">
        <v>4382</v>
      </c>
    </row>
    <row r="2415" spans="1:1">
      <c r="A2415" s="151" t="s">
        <v>4383</v>
      </c>
    </row>
    <row r="2416" spans="1:1">
      <c r="A2416" s="151" t="s">
        <v>4384</v>
      </c>
    </row>
    <row r="2417" spans="1:1">
      <c r="A2417" s="151" t="s">
        <v>4385</v>
      </c>
    </row>
    <row r="2418" spans="1:1">
      <c r="A2418" s="151" t="s">
        <v>4386</v>
      </c>
    </row>
    <row r="2419" spans="1:1">
      <c r="A2419" s="151" t="s">
        <v>4387</v>
      </c>
    </row>
    <row r="2420" spans="1:1">
      <c r="A2420" s="151" t="s">
        <v>4388</v>
      </c>
    </row>
    <row r="2421" spans="1:1">
      <c r="A2421" s="151" t="s">
        <v>4389</v>
      </c>
    </row>
    <row r="2422" spans="1:1">
      <c r="A2422" s="151" t="s">
        <v>4390</v>
      </c>
    </row>
    <row r="2423" spans="1:1">
      <c r="A2423" s="151" t="s">
        <v>4391</v>
      </c>
    </row>
    <row r="2424" spans="1:1">
      <c r="A2424" s="151" t="s">
        <v>4392</v>
      </c>
    </row>
    <row r="2425" spans="1:1">
      <c r="A2425" s="151" t="s">
        <v>4393</v>
      </c>
    </row>
    <row r="2426" spans="1:1">
      <c r="A2426" s="151" t="s">
        <v>4394</v>
      </c>
    </row>
    <row r="2427" spans="1:1">
      <c r="A2427" s="151" t="s">
        <v>4395</v>
      </c>
    </row>
    <row r="2428" spans="1:1">
      <c r="A2428" s="151" t="s">
        <v>4396</v>
      </c>
    </row>
    <row r="2429" spans="1:1">
      <c r="A2429" s="151" t="s">
        <v>4397</v>
      </c>
    </row>
    <row r="2430" spans="1:1">
      <c r="A2430" s="151" t="s">
        <v>4398</v>
      </c>
    </row>
    <row r="2431" spans="1:1">
      <c r="A2431" s="151" t="s">
        <v>4399</v>
      </c>
    </row>
    <row r="2432" spans="1:1">
      <c r="A2432" s="151" t="s">
        <v>4400</v>
      </c>
    </row>
    <row r="2433" spans="1:1">
      <c r="A2433" s="151" t="s">
        <v>4401</v>
      </c>
    </row>
    <row r="2434" spans="1:1">
      <c r="A2434" s="151" t="s">
        <v>4402</v>
      </c>
    </row>
    <row r="2435" spans="1:1">
      <c r="A2435" s="151" t="s">
        <v>4403</v>
      </c>
    </row>
    <row r="2436" spans="1:1">
      <c r="A2436" s="151" t="s">
        <v>4404</v>
      </c>
    </row>
    <row r="2437" spans="1:1">
      <c r="A2437" s="151" t="s">
        <v>4405</v>
      </c>
    </row>
    <row r="2438" spans="1:1">
      <c r="A2438" s="151" t="s">
        <v>4406</v>
      </c>
    </row>
    <row r="2439" spans="1:1">
      <c r="A2439" s="151" t="s">
        <v>4407</v>
      </c>
    </row>
    <row r="2440" spans="1:1">
      <c r="A2440" s="151" t="s">
        <v>4408</v>
      </c>
    </row>
    <row r="2441" spans="1:1">
      <c r="A2441" s="151" t="s">
        <v>4409</v>
      </c>
    </row>
    <row r="2442" spans="1:1">
      <c r="A2442" s="151" t="s">
        <v>4410</v>
      </c>
    </row>
    <row r="2443" spans="1:1">
      <c r="A2443" s="151" t="s">
        <v>4411</v>
      </c>
    </row>
    <row r="2444" spans="1:1">
      <c r="A2444" s="151" t="s">
        <v>4412</v>
      </c>
    </row>
    <row r="2445" spans="1:1">
      <c r="A2445" s="151" t="s">
        <v>4413</v>
      </c>
    </row>
    <row r="2446" spans="1:1">
      <c r="A2446" s="151" t="s">
        <v>4414</v>
      </c>
    </row>
    <row r="2447" spans="1:1">
      <c r="A2447" s="151" t="s">
        <v>4415</v>
      </c>
    </row>
    <row r="2448" spans="1:1">
      <c r="A2448" s="151" t="s">
        <v>4416</v>
      </c>
    </row>
    <row r="2449" spans="1:1">
      <c r="A2449" s="151" t="s">
        <v>4417</v>
      </c>
    </row>
    <row r="2450" spans="1:1">
      <c r="A2450" s="151" t="s">
        <v>4418</v>
      </c>
    </row>
    <row r="2451" spans="1:1">
      <c r="A2451" s="151" t="s">
        <v>4419</v>
      </c>
    </row>
    <row r="2452" spans="1:1">
      <c r="A2452" s="151" t="s">
        <v>4420</v>
      </c>
    </row>
    <row r="2453" spans="1:1">
      <c r="A2453" s="151" t="s">
        <v>4421</v>
      </c>
    </row>
    <row r="2454" spans="1:1">
      <c r="A2454" s="151" t="s">
        <v>4422</v>
      </c>
    </row>
    <row r="2455" spans="1:1">
      <c r="A2455" s="151" t="s">
        <v>4423</v>
      </c>
    </row>
    <row r="2456" spans="1:1">
      <c r="A2456" s="151" t="s">
        <v>4424</v>
      </c>
    </row>
    <row r="2457" spans="1:1">
      <c r="A2457" s="151" t="s">
        <v>4425</v>
      </c>
    </row>
    <row r="2458" spans="1:1">
      <c r="A2458" s="151" t="s">
        <v>4426</v>
      </c>
    </row>
    <row r="2459" spans="1:1">
      <c r="A2459" s="151" t="s">
        <v>4427</v>
      </c>
    </row>
    <row r="2460" spans="1:1">
      <c r="A2460" s="151" t="s">
        <v>4428</v>
      </c>
    </row>
    <row r="2461" spans="1:1">
      <c r="A2461" s="151" t="s">
        <v>4429</v>
      </c>
    </row>
    <row r="2462" spans="1:1">
      <c r="A2462" s="151" t="s">
        <v>4430</v>
      </c>
    </row>
    <row r="2463" spans="1:1">
      <c r="A2463" s="151" t="s">
        <v>4431</v>
      </c>
    </row>
    <row r="2464" spans="1:1">
      <c r="A2464" s="151" t="s">
        <v>4432</v>
      </c>
    </row>
    <row r="2465" spans="1:1">
      <c r="A2465" s="151" t="s">
        <v>4433</v>
      </c>
    </row>
    <row r="2466" spans="1:1">
      <c r="A2466" s="151" t="s">
        <v>4434</v>
      </c>
    </row>
    <row r="2467" spans="1:1">
      <c r="A2467" s="151" t="s">
        <v>4435</v>
      </c>
    </row>
    <row r="2468" spans="1:1">
      <c r="A2468" s="151" t="s">
        <v>4436</v>
      </c>
    </row>
    <row r="2469" spans="1:1">
      <c r="A2469" s="151" t="s">
        <v>4437</v>
      </c>
    </row>
    <row r="2470" spans="1:1">
      <c r="A2470" s="151" t="s">
        <v>4438</v>
      </c>
    </row>
    <row r="2471" spans="1:1">
      <c r="A2471" s="151" t="s">
        <v>4439</v>
      </c>
    </row>
    <row r="2472" spans="1:1">
      <c r="A2472" s="151" t="s">
        <v>4440</v>
      </c>
    </row>
    <row r="2473" spans="1:1">
      <c r="A2473" s="151" t="s">
        <v>4441</v>
      </c>
    </row>
    <row r="2474" spans="1:1">
      <c r="A2474" s="151" t="s">
        <v>4442</v>
      </c>
    </row>
    <row r="2475" spans="1:1">
      <c r="A2475" s="151" t="s">
        <v>4443</v>
      </c>
    </row>
    <row r="2476" spans="1:1">
      <c r="A2476" s="151" t="s">
        <v>4444</v>
      </c>
    </row>
    <row r="2477" spans="1:1">
      <c r="A2477" s="151" t="s">
        <v>4445</v>
      </c>
    </row>
    <row r="2478" spans="1:1">
      <c r="A2478" s="151" t="s">
        <v>4446</v>
      </c>
    </row>
    <row r="2479" spans="1:1">
      <c r="A2479" s="151" t="s">
        <v>4447</v>
      </c>
    </row>
    <row r="2480" spans="1:1">
      <c r="A2480" s="151" t="s">
        <v>4448</v>
      </c>
    </row>
    <row r="2481" spans="1:1">
      <c r="A2481" s="151" t="s">
        <v>4449</v>
      </c>
    </row>
    <row r="2482" spans="1:1">
      <c r="A2482" s="151" t="s">
        <v>4450</v>
      </c>
    </row>
    <row r="2483" spans="1:1">
      <c r="A2483" s="151" t="s">
        <v>4451</v>
      </c>
    </row>
    <row r="2484" spans="1:1">
      <c r="A2484" s="151" t="s">
        <v>4452</v>
      </c>
    </row>
    <row r="2485" spans="1:1">
      <c r="A2485" s="151" t="s">
        <v>4453</v>
      </c>
    </row>
    <row r="2486" spans="1:1">
      <c r="A2486" s="151" t="s">
        <v>4454</v>
      </c>
    </row>
    <row r="2487" spans="1:1">
      <c r="A2487" s="151" t="s">
        <v>4455</v>
      </c>
    </row>
    <row r="2488" spans="1:1">
      <c r="A2488" s="151" t="s">
        <v>4456</v>
      </c>
    </row>
    <row r="2489" spans="1:1">
      <c r="A2489" s="151" t="s">
        <v>4457</v>
      </c>
    </row>
    <row r="2490" spans="1:1">
      <c r="A2490" s="151" t="s">
        <v>4458</v>
      </c>
    </row>
    <row r="2491" spans="1:1">
      <c r="A2491" s="151" t="s">
        <v>4459</v>
      </c>
    </row>
    <row r="2492" spans="1:1">
      <c r="A2492" s="151" t="s">
        <v>4460</v>
      </c>
    </row>
    <row r="2493" spans="1:1">
      <c r="A2493" s="151" t="s">
        <v>4461</v>
      </c>
    </row>
    <row r="2494" spans="1:1">
      <c r="A2494" s="151" t="s">
        <v>4462</v>
      </c>
    </row>
    <row r="2495" spans="1:1">
      <c r="A2495" s="151" t="s">
        <v>4463</v>
      </c>
    </row>
    <row r="2496" spans="1:1">
      <c r="A2496" s="151" t="s">
        <v>4464</v>
      </c>
    </row>
    <row r="2497" spans="1:1">
      <c r="A2497" s="151" t="s">
        <v>4465</v>
      </c>
    </row>
    <row r="2498" spans="1:1">
      <c r="A2498" s="151" t="s">
        <v>4466</v>
      </c>
    </row>
    <row r="2499" spans="1:1">
      <c r="A2499" s="151" t="s">
        <v>4467</v>
      </c>
    </row>
    <row r="2500" spans="1:1">
      <c r="A2500" s="151" t="s">
        <v>4468</v>
      </c>
    </row>
    <row r="2501" spans="1:1">
      <c r="A2501" s="151" t="s">
        <v>4469</v>
      </c>
    </row>
    <row r="2502" spans="1:1">
      <c r="A2502" s="151" t="s">
        <v>4470</v>
      </c>
    </row>
    <row r="2503" spans="1:1">
      <c r="A2503" s="151" t="s">
        <v>4471</v>
      </c>
    </row>
    <row r="2504" spans="1:1">
      <c r="A2504" s="151" t="s">
        <v>4472</v>
      </c>
    </row>
    <row r="2505" spans="1:1">
      <c r="A2505" s="151" t="s">
        <v>4473</v>
      </c>
    </row>
    <row r="2506" spans="1:1">
      <c r="A2506" s="151" t="s">
        <v>4474</v>
      </c>
    </row>
    <row r="2507" spans="1:1">
      <c r="A2507" s="151" t="s">
        <v>4475</v>
      </c>
    </row>
    <row r="2508" spans="1:1">
      <c r="A2508" s="151" t="s">
        <v>4476</v>
      </c>
    </row>
    <row r="2509" spans="1:1">
      <c r="A2509" s="151" t="s">
        <v>4477</v>
      </c>
    </row>
    <row r="2510" spans="1:1">
      <c r="A2510" s="151" t="s">
        <v>4478</v>
      </c>
    </row>
    <row r="2511" spans="1:1">
      <c r="A2511" s="151" t="s">
        <v>4479</v>
      </c>
    </row>
    <row r="2512" spans="1:1">
      <c r="A2512" s="151" t="s">
        <v>4480</v>
      </c>
    </row>
    <row r="2513" spans="1:1">
      <c r="A2513" s="151" t="s">
        <v>4481</v>
      </c>
    </row>
    <row r="2514" spans="1:1">
      <c r="A2514" s="151" t="s">
        <v>4482</v>
      </c>
    </row>
    <row r="2515" spans="1:1">
      <c r="A2515" s="151" t="s">
        <v>4483</v>
      </c>
    </row>
    <row r="2516" spans="1:1">
      <c r="A2516" s="151" t="s">
        <v>4484</v>
      </c>
    </row>
    <row r="2517" spans="1:1">
      <c r="A2517" s="151" t="s">
        <v>4485</v>
      </c>
    </row>
    <row r="2518" spans="1:1">
      <c r="A2518" s="151" t="s">
        <v>4486</v>
      </c>
    </row>
    <row r="2519" spans="1:1">
      <c r="A2519" s="151" t="s">
        <v>4487</v>
      </c>
    </row>
    <row r="2520" spans="1:1">
      <c r="A2520" s="151" t="s">
        <v>4488</v>
      </c>
    </row>
    <row r="2521" spans="1:1">
      <c r="A2521" s="151" t="s">
        <v>4489</v>
      </c>
    </row>
    <row r="2522" spans="1:1">
      <c r="A2522" s="151" t="s">
        <v>4490</v>
      </c>
    </row>
    <row r="2523" spans="1:1">
      <c r="A2523" s="151" t="s">
        <v>4491</v>
      </c>
    </row>
    <row r="2524" spans="1:1">
      <c r="A2524" s="151" t="s">
        <v>4492</v>
      </c>
    </row>
    <row r="2525" spans="1:1">
      <c r="A2525" s="151" t="s">
        <v>4493</v>
      </c>
    </row>
    <row r="2526" spans="1:1">
      <c r="A2526" s="151" t="s">
        <v>4494</v>
      </c>
    </row>
    <row r="2527" spans="1:1">
      <c r="A2527" s="151" t="s">
        <v>4495</v>
      </c>
    </row>
    <row r="2528" spans="1:1">
      <c r="A2528" s="151" t="s">
        <v>4496</v>
      </c>
    </row>
    <row r="2529" spans="1:1">
      <c r="A2529" s="151" t="s">
        <v>4497</v>
      </c>
    </row>
    <row r="2530" spans="1:1">
      <c r="A2530" s="151" t="s">
        <v>4498</v>
      </c>
    </row>
    <row r="2531" spans="1:1">
      <c r="A2531" s="151" t="s">
        <v>4499</v>
      </c>
    </row>
    <row r="2532" spans="1:1">
      <c r="A2532" s="151" t="s">
        <v>4500</v>
      </c>
    </row>
    <row r="2533" spans="1:1">
      <c r="A2533" s="151" t="s">
        <v>4501</v>
      </c>
    </row>
    <row r="2534" spans="1:1">
      <c r="A2534" s="151" t="s">
        <v>4502</v>
      </c>
    </row>
    <row r="2535" spans="1:1">
      <c r="A2535" s="151" t="s">
        <v>4503</v>
      </c>
    </row>
    <row r="2536" spans="1:1">
      <c r="A2536" s="151" t="s">
        <v>4504</v>
      </c>
    </row>
    <row r="2537" spans="1:1">
      <c r="A2537" s="151" t="s">
        <v>4505</v>
      </c>
    </row>
    <row r="2538" spans="1:1">
      <c r="A2538" s="151" t="s">
        <v>4506</v>
      </c>
    </row>
    <row r="2539" spans="1:1">
      <c r="A2539" s="151" t="s">
        <v>4507</v>
      </c>
    </row>
    <row r="2540" spans="1:1">
      <c r="A2540" s="151" t="s">
        <v>4508</v>
      </c>
    </row>
    <row r="2541" spans="1:1">
      <c r="A2541" s="151" t="s">
        <v>4509</v>
      </c>
    </row>
    <row r="2542" spans="1:1">
      <c r="A2542" s="151" t="s">
        <v>4510</v>
      </c>
    </row>
    <row r="2543" spans="1:1">
      <c r="A2543" s="151" t="s">
        <v>4511</v>
      </c>
    </row>
    <row r="2544" spans="1:1">
      <c r="A2544" s="151" t="s">
        <v>4512</v>
      </c>
    </row>
    <row r="2545" spans="1:1">
      <c r="A2545" s="151" t="s">
        <v>4513</v>
      </c>
    </row>
    <row r="2546" spans="1:1">
      <c r="A2546" s="151" t="s">
        <v>4514</v>
      </c>
    </row>
    <row r="2547" spans="1:1">
      <c r="A2547" s="151" t="s">
        <v>4515</v>
      </c>
    </row>
    <row r="2548" spans="1:1">
      <c r="A2548" s="151" t="s">
        <v>4516</v>
      </c>
    </row>
    <row r="2549" spans="1:1">
      <c r="A2549" s="151" t="s">
        <v>4517</v>
      </c>
    </row>
    <row r="2550" spans="1:1">
      <c r="A2550" s="151" t="s">
        <v>4518</v>
      </c>
    </row>
    <row r="2551" spans="1:1">
      <c r="A2551" s="151" t="s">
        <v>4519</v>
      </c>
    </row>
    <row r="2552" spans="1:1">
      <c r="A2552" s="151" t="s">
        <v>4520</v>
      </c>
    </row>
    <row r="2553" spans="1:1">
      <c r="A2553" s="151" t="s">
        <v>4521</v>
      </c>
    </row>
    <row r="2554" spans="1:1">
      <c r="A2554" s="151" t="s">
        <v>4522</v>
      </c>
    </row>
    <row r="2555" spans="1:1">
      <c r="A2555" s="151" t="s">
        <v>4523</v>
      </c>
    </row>
    <row r="2556" spans="1:1">
      <c r="A2556" s="151" t="s">
        <v>4524</v>
      </c>
    </row>
    <row r="2557" spans="1:1">
      <c r="A2557" s="151" t="s">
        <v>4525</v>
      </c>
    </row>
    <row r="2558" spans="1:1">
      <c r="A2558" s="151" t="s">
        <v>4526</v>
      </c>
    </row>
    <row r="2559" spans="1:1">
      <c r="A2559" s="151" t="s">
        <v>4527</v>
      </c>
    </row>
    <row r="2560" spans="1:1">
      <c r="A2560" s="151" t="s">
        <v>4528</v>
      </c>
    </row>
    <row r="2561" spans="1:1">
      <c r="A2561" s="151" t="s">
        <v>4529</v>
      </c>
    </row>
    <row r="2562" spans="1:1">
      <c r="A2562" s="151" t="s">
        <v>4530</v>
      </c>
    </row>
    <row r="2563" spans="1:1">
      <c r="A2563" s="151" t="s">
        <v>4531</v>
      </c>
    </row>
    <row r="2564" spans="1:1">
      <c r="A2564" s="151" t="s">
        <v>4532</v>
      </c>
    </row>
    <row r="2565" spans="1:1">
      <c r="A2565" s="151" t="s">
        <v>4533</v>
      </c>
    </row>
    <row r="2566" spans="1:1">
      <c r="A2566" s="151" t="s">
        <v>4534</v>
      </c>
    </row>
    <row r="2567" spans="1:1">
      <c r="A2567" s="151" t="s">
        <v>4535</v>
      </c>
    </row>
    <row r="2568" spans="1:1">
      <c r="A2568" s="151" t="s">
        <v>4536</v>
      </c>
    </row>
    <row r="2569" spans="1:1">
      <c r="A2569" s="151" t="s">
        <v>4537</v>
      </c>
    </row>
    <row r="2570" spans="1:1">
      <c r="A2570" s="151" t="s">
        <v>4538</v>
      </c>
    </row>
    <row r="2571" spans="1:1">
      <c r="A2571" s="151" t="s">
        <v>4539</v>
      </c>
    </row>
    <row r="2572" spans="1:1">
      <c r="A2572" s="151" t="s">
        <v>4540</v>
      </c>
    </row>
    <row r="2573" spans="1:1">
      <c r="A2573" s="151" t="s">
        <v>4541</v>
      </c>
    </row>
    <row r="2574" spans="1:1">
      <c r="A2574" s="151" t="s">
        <v>4542</v>
      </c>
    </row>
    <row r="2575" spans="1:1">
      <c r="A2575" s="151" t="s">
        <v>4543</v>
      </c>
    </row>
    <row r="2576" spans="1:1">
      <c r="A2576" s="151" t="s">
        <v>4544</v>
      </c>
    </row>
    <row r="2577" spans="1:1">
      <c r="A2577" s="151" t="s">
        <v>4545</v>
      </c>
    </row>
    <row r="2578" spans="1:1">
      <c r="A2578" s="151" t="s">
        <v>4546</v>
      </c>
    </row>
    <row r="2579" spans="1:1">
      <c r="A2579" s="151" t="s">
        <v>4547</v>
      </c>
    </row>
    <row r="2580" spans="1:1">
      <c r="A2580" s="151" t="s">
        <v>4548</v>
      </c>
    </row>
    <row r="2581" spans="1:1">
      <c r="A2581" s="151" t="s">
        <v>4549</v>
      </c>
    </row>
    <row r="2582" spans="1:1">
      <c r="A2582" s="151" t="s">
        <v>4550</v>
      </c>
    </row>
    <row r="2583" spans="1:1">
      <c r="A2583" s="151" t="s">
        <v>4551</v>
      </c>
    </row>
    <row r="2584" spans="1:1">
      <c r="A2584" s="151" t="s">
        <v>4552</v>
      </c>
    </row>
    <row r="2585" spans="1:1">
      <c r="A2585" s="151" t="s">
        <v>4553</v>
      </c>
    </row>
    <row r="2586" spans="1:1">
      <c r="A2586" s="151" t="s">
        <v>4554</v>
      </c>
    </row>
    <row r="2587" spans="1:1">
      <c r="A2587" s="151" t="s">
        <v>4555</v>
      </c>
    </row>
    <row r="2588" spans="1:1">
      <c r="A2588" s="151" t="s">
        <v>4556</v>
      </c>
    </row>
    <row r="2589" spans="1:1">
      <c r="A2589" s="151" t="s">
        <v>4557</v>
      </c>
    </row>
    <row r="2590" spans="1:1">
      <c r="A2590" s="151" t="s">
        <v>4558</v>
      </c>
    </row>
    <row r="2591" spans="1:1">
      <c r="A2591" s="151" t="s">
        <v>4559</v>
      </c>
    </row>
    <row r="2592" spans="1:1">
      <c r="A2592" s="151" t="s">
        <v>4560</v>
      </c>
    </row>
    <row r="2593" spans="1:1">
      <c r="A2593" s="151" t="s">
        <v>4561</v>
      </c>
    </row>
    <row r="2594" spans="1:1">
      <c r="A2594" s="151" t="s">
        <v>4562</v>
      </c>
    </row>
    <row r="2595" spans="1:1">
      <c r="A2595" s="151" t="s">
        <v>4563</v>
      </c>
    </row>
    <row r="2596" spans="1:1">
      <c r="A2596" s="151" t="s">
        <v>4564</v>
      </c>
    </row>
    <row r="2597" spans="1:1">
      <c r="A2597" s="151" t="s">
        <v>4565</v>
      </c>
    </row>
    <row r="2598" spans="1:1">
      <c r="A2598" s="151" t="s">
        <v>4566</v>
      </c>
    </row>
    <row r="2599" spans="1:1">
      <c r="A2599" s="151" t="s">
        <v>4567</v>
      </c>
    </row>
    <row r="2600" spans="1:1">
      <c r="A2600" s="151" t="s">
        <v>4568</v>
      </c>
    </row>
    <row r="2601" spans="1:1">
      <c r="A2601" s="151" t="s">
        <v>4569</v>
      </c>
    </row>
    <row r="2602" spans="1:1">
      <c r="A2602" s="151" t="s">
        <v>4570</v>
      </c>
    </row>
    <row r="2603" spans="1:1">
      <c r="A2603" s="151" t="s">
        <v>4571</v>
      </c>
    </row>
    <row r="2604" spans="1:1">
      <c r="A2604" s="151" t="s">
        <v>4572</v>
      </c>
    </row>
    <row r="2605" spans="1:1">
      <c r="A2605" s="151" t="s">
        <v>4573</v>
      </c>
    </row>
    <row r="2606" spans="1:1">
      <c r="A2606" s="151" t="s">
        <v>4574</v>
      </c>
    </row>
    <row r="2607" spans="1:1">
      <c r="A2607" s="151" t="s">
        <v>4575</v>
      </c>
    </row>
    <row r="2608" spans="1:1">
      <c r="A2608" s="151" t="s">
        <v>4576</v>
      </c>
    </row>
    <row r="2609" spans="1:1">
      <c r="A2609" s="151" t="s">
        <v>4577</v>
      </c>
    </row>
    <row r="2610" spans="1:1">
      <c r="A2610" s="151" t="s">
        <v>4578</v>
      </c>
    </row>
    <row r="2611" spans="1:1">
      <c r="A2611" s="151" t="s">
        <v>4579</v>
      </c>
    </row>
    <row r="2612" spans="1:1">
      <c r="A2612" s="151" t="s">
        <v>4580</v>
      </c>
    </row>
    <row r="2613" spans="1:1">
      <c r="A2613" s="151" t="s">
        <v>4581</v>
      </c>
    </row>
    <row r="2614" spans="1:1">
      <c r="A2614" s="151" t="s">
        <v>4582</v>
      </c>
    </row>
    <row r="2615" spans="1:1">
      <c r="A2615" s="151" t="s">
        <v>4583</v>
      </c>
    </row>
    <row r="2616" spans="1:1">
      <c r="A2616" s="151" t="s">
        <v>4584</v>
      </c>
    </row>
    <row r="2617" spans="1:1">
      <c r="A2617" s="151" t="s">
        <v>4585</v>
      </c>
    </row>
    <row r="2618" spans="1:1">
      <c r="A2618" s="151" t="s">
        <v>4586</v>
      </c>
    </row>
    <row r="2619" spans="1:1">
      <c r="A2619" s="151" t="s">
        <v>4587</v>
      </c>
    </row>
    <row r="2620" spans="1:1">
      <c r="A2620" s="151" t="s">
        <v>4588</v>
      </c>
    </row>
    <row r="2621" spans="1:1">
      <c r="A2621" s="151" t="s">
        <v>4589</v>
      </c>
    </row>
    <row r="2622" spans="1:1">
      <c r="A2622" s="151" t="s">
        <v>4590</v>
      </c>
    </row>
    <row r="2623" spans="1:1">
      <c r="A2623" s="151" t="s">
        <v>4591</v>
      </c>
    </row>
    <row r="2624" spans="1:1">
      <c r="A2624" s="151" t="s">
        <v>4592</v>
      </c>
    </row>
    <row r="2625" spans="1:1">
      <c r="A2625" s="151" t="s">
        <v>4593</v>
      </c>
    </row>
    <row r="2626" spans="1:1">
      <c r="A2626" s="151" t="s">
        <v>4594</v>
      </c>
    </row>
    <row r="2627" spans="1:1">
      <c r="A2627" s="151" t="s">
        <v>4595</v>
      </c>
    </row>
    <row r="2628" spans="1:1">
      <c r="A2628" s="151" t="s">
        <v>4596</v>
      </c>
    </row>
    <row r="2629" spans="1:1">
      <c r="A2629" s="151" t="s">
        <v>4597</v>
      </c>
    </row>
    <row r="2630" spans="1:1">
      <c r="A2630" s="151" t="s">
        <v>4598</v>
      </c>
    </row>
    <row r="2631" spans="1:1">
      <c r="A2631" s="151" t="s">
        <v>4599</v>
      </c>
    </row>
    <row r="2632" spans="1:1">
      <c r="A2632" s="151" t="s">
        <v>4600</v>
      </c>
    </row>
    <row r="2633" spans="1:1">
      <c r="A2633" s="151" t="s">
        <v>4601</v>
      </c>
    </row>
    <row r="2634" spans="1:1">
      <c r="A2634" s="151" t="s">
        <v>4602</v>
      </c>
    </row>
    <row r="2635" spans="1:1">
      <c r="A2635" s="151" t="s">
        <v>4603</v>
      </c>
    </row>
    <row r="2636" spans="1:1">
      <c r="A2636" s="151" t="s">
        <v>4604</v>
      </c>
    </row>
    <row r="2637" spans="1:1">
      <c r="A2637" s="151" t="s">
        <v>4605</v>
      </c>
    </row>
    <row r="2638" spans="1:1">
      <c r="A2638" s="151" t="s">
        <v>4606</v>
      </c>
    </row>
    <row r="2639" spans="1:1">
      <c r="A2639" s="151" t="s">
        <v>4607</v>
      </c>
    </row>
    <row r="2640" spans="1:1">
      <c r="A2640" s="151" t="s">
        <v>4608</v>
      </c>
    </row>
    <row r="2641" spans="1:1">
      <c r="A2641" s="151" t="s">
        <v>4609</v>
      </c>
    </row>
    <row r="2642" spans="1:1">
      <c r="A2642" s="151" t="s">
        <v>4610</v>
      </c>
    </row>
    <row r="2643" spans="1:1">
      <c r="A2643" s="151" t="s">
        <v>4611</v>
      </c>
    </row>
    <row r="2644" spans="1:1">
      <c r="A2644" s="151" t="s">
        <v>4612</v>
      </c>
    </row>
    <row r="2645" spans="1:1">
      <c r="A2645" s="151" t="s">
        <v>4613</v>
      </c>
    </row>
    <row r="2646" spans="1:1">
      <c r="A2646" s="151" t="s">
        <v>4614</v>
      </c>
    </row>
    <row r="2647" spans="1:1">
      <c r="A2647" s="151" t="s">
        <v>4615</v>
      </c>
    </row>
    <row r="2648" spans="1:1">
      <c r="A2648" s="151" t="s">
        <v>4616</v>
      </c>
    </row>
    <row r="2649" spans="1:1">
      <c r="A2649" s="151" t="s">
        <v>4617</v>
      </c>
    </row>
    <row r="2650" spans="1:1">
      <c r="A2650" s="151" t="s">
        <v>4618</v>
      </c>
    </row>
    <row r="2651" spans="1:1">
      <c r="A2651" s="151" t="s">
        <v>4619</v>
      </c>
    </row>
    <row r="2652" spans="1:1">
      <c r="A2652" s="151" t="s">
        <v>4620</v>
      </c>
    </row>
    <row r="2653" spans="1:1">
      <c r="A2653" s="151" t="s">
        <v>4621</v>
      </c>
    </row>
    <row r="2654" spans="1:1">
      <c r="A2654" s="151" t="s">
        <v>4622</v>
      </c>
    </row>
    <row r="2655" spans="1:1">
      <c r="A2655" s="151" t="s">
        <v>4623</v>
      </c>
    </row>
    <row r="2656" spans="1:1">
      <c r="A2656" s="151" t="s">
        <v>4624</v>
      </c>
    </row>
    <row r="2657" spans="1:1">
      <c r="A2657" s="151" t="s">
        <v>4625</v>
      </c>
    </row>
    <row r="2658" spans="1:1">
      <c r="A2658" s="151" t="s">
        <v>4626</v>
      </c>
    </row>
    <row r="2659" spans="1:1">
      <c r="A2659" s="151" t="s">
        <v>4627</v>
      </c>
    </row>
    <row r="2660" spans="1:1">
      <c r="A2660" s="151" t="s">
        <v>4628</v>
      </c>
    </row>
    <row r="2661" spans="1:1">
      <c r="A2661" s="151" t="s">
        <v>4629</v>
      </c>
    </row>
    <row r="2662" spans="1:1">
      <c r="A2662" s="151" t="s">
        <v>4630</v>
      </c>
    </row>
    <row r="2663" spans="1:1">
      <c r="A2663" s="151" t="s">
        <v>4631</v>
      </c>
    </row>
    <row r="2664" spans="1:1">
      <c r="A2664" s="151" t="s">
        <v>4632</v>
      </c>
    </row>
    <row r="2665" spans="1:1">
      <c r="A2665" s="151" t="s">
        <v>4633</v>
      </c>
    </row>
    <row r="2666" spans="1:1">
      <c r="A2666" s="151" t="s">
        <v>4634</v>
      </c>
    </row>
    <row r="2667" spans="1:1">
      <c r="A2667" s="151" t="s">
        <v>4635</v>
      </c>
    </row>
    <row r="2668" spans="1:1">
      <c r="A2668" s="151" t="s">
        <v>4636</v>
      </c>
    </row>
    <row r="2669" spans="1:1">
      <c r="A2669" s="151" t="s">
        <v>4637</v>
      </c>
    </row>
    <row r="2670" spans="1:1">
      <c r="A2670" s="151" t="s">
        <v>4638</v>
      </c>
    </row>
    <row r="2671" spans="1:1">
      <c r="A2671" s="151" t="s">
        <v>4639</v>
      </c>
    </row>
    <row r="2672" spans="1:1">
      <c r="A2672" s="151" t="s">
        <v>4640</v>
      </c>
    </row>
    <row r="2673" spans="1:1">
      <c r="A2673" s="151" t="s">
        <v>4641</v>
      </c>
    </row>
    <row r="2674" spans="1:1">
      <c r="A2674" s="151" t="s">
        <v>4642</v>
      </c>
    </row>
    <row r="2675" spans="1:1">
      <c r="A2675" s="151" t="s">
        <v>4643</v>
      </c>
    </row>
    <row r="2676" spans="1:1">
      <c r="A2676" s="151" t="s">
        <v>4644</v>
      </c>
    </row>
    <row r="2677" spans="1:1">
      <c r="A2677" s="151" t="s">
        <v>4645</v>
      </c>
    </row>
    <row r="2678" spans="1:1">
      <c r="A2678" s="151" t="s">
        <v>4646</v>
      </c>
    </row>
    <row r="2679" spans="1:1">
      <c r="A2679" s="151" t="s">
        <v>4647</v>
      </c>
    </row>
    <row r="2680" spans="1:1">
      <c r="A2680" s="151" t="s">
        <v>4648</v>
      </c>
    </row>
    <row r="2681" spans="1:1">
      <c r="A2681" s="151" t="s">
        <v>4649</v>
      </c>
    </row>
    <row r="2682" spans="1:1">
      <c r="A2682" s="151" t="s">
        <v>4650</v>
      </c>
    </row>
    <row r="2683" spans="1:1">
      <c r="A2683" s="151" t="s">
        <v>4651</v>
      </c>
    </row>
    <row r="2684" spans="1:1">
      <c r="A2684" s="151" t="s">
        <v>4652</v>
      </c>
    </row>
    <row r="2685" spans="1:1">
      <c r="A2685" s="151" t="s">
        <v>4653</v>
      </c>
    </row>
    <row r="2686" spans="1:1">
      <c r="A2686" s="151" t="s">
        <v>4654</v>
      </c>
    </row>
    <row r="2687" spans="1:1">
      <c r="A2687" s="151" t="s">
        <v>4655</v>
      </c>
    </row>
    <row r="2688" spans="1:1">
      <c r="A2688" s="151" t="s">
        <v>4656</v>
      </c>
    </row>
    <row r="2689" spans="1:1">
      <c r="A2689" s="151" t="s">
        <v>4657</v>
      </c>
    </row>
    <row r="2690" spans="1:1">
      <c r="A2690" s="151" t="s">
        <v>4658</v>
      </c>
    </row>
    <row r="2691" spans="1:1">
      <c r="A2691" s="151" t="s">
        <v>4659</v>
      </c>
    </row>
    <row r="2692" spans="1:1">
      <c r="A2692" s="151" t="s">
        <v>4660</v>
      </c>
    </row>
    <row r="2693" spans="1:1">
      <c r="A2693" s="151" t="s">
        <v>4661</v>
      </c>
    </row>
    <row r="2694" spans="1:1">
      <c r="A2694" s="151" t="s">
        <v>4662</v>
      </c>
    </row>
    <row r="2695" spans="1:1">
      <c r="A2695" s="151" t="s">
        <v>4663</v>
      </c>
    </row>
    <row r="2696" spans="1:1">
      <c r="A2696" s="151" t="s">
        <v>4664</v>
      </c>
    </row>
    <row r="2697" spans="1:1">
      <c r="A2697" s="151" t="s">
        <v>4665</v>
      </c>
    </row>
    <row r="2698" spans="1:1">
      <c r="A2698" s="151" t="s">
        <v>4666</v>
      </c>
    </row>
    <row r="2699" spans="1:1">
      <c r="A2699" s="151" t="s">
        <v>4667</v>
      </c>
    </row>
    <row r="2700" spans="1:1">
      <c r="A2700" s="151" t="s">
        <v>4668</v>
      </c>
    </row>
    <row r="2701" spans="1:1">
      <c r="A2701" s="151" t="s">
        <v>4669</v>
      </c>
    </row>
    <row r="2702" spans="1:1">
      <c r="A2702" s="151" t="s">
        <v>4670</v>
      </c>
    </row>
    <row r="2703" spans="1:1">
      <c r="A2703" s="151" t="s">
        <v>4671</v>
      </c>
    </row>
    <row r="2704" spans="1:1">
      <c r="A2704" s="151" t="s">
        <v>4672</v>
      </c>
    </row>
    <row r="2705" spans="1:1">
      <c r="A2705" s="151" t="s">
        <v>4673</v>
      </c>
    </row>
    <row r="2706" spans="1:1">
      <c r="A2706" s="151" t="s">
        <v>4674</v>
      </c>
    </row>
    <row r="2707" spans="1:1">
      <c r="A2707" s="151" t="s">
        <v>4675</v>
      </c>
    </row>
    <row r="2708" spans="1:1">
      <c r="A2708" s="151" t="s">
        <v>4676</v>
      </c>
    </row>
    <row r="2709" spans="1:1">
      <c r="A2709" s="151" t="s">
        <v>4677</v>
      </c>
    </row>
    <row r="2710" spans="1:1">
      <c r="A2710" s="151" t="s">
        <v>4678</v>
      </c>
    </row>
    <row r="2711" spans="1:1">
      <c r="A2711" s="151" t="s">
        <v>4679</v>
      </c>
    </row>
    <row r="2712" spans="1:1">
      <c r="A2712" s="151" t="s">
        <v>4680</v>
      </c>
    </row>
    <row r="2713" spans="1:1">
      <c r="A2713" s="151" t="s">
        <v>4681</v>
      </c>
    </row>
    <row r="2714" spans="1:1">
      <c r="A2714" s="151" t="s">
        <v>4682</v>
      </c>
    </row>
    <row r="2715" spans="1:1">
      <c r="A2715" s="151" t="s">
        <v>4683</v>
      </c>
    </row>
    <row r="2716" spans="1:1">
      <c r="A2716" s="151" t="s">
        <v>4684</v>
      </c>
    </row>
    <row r="2717" spans="1:1">
      <c r="A2717" s="151" t="s">
        <v>4685</v>
      </c>
    </row>
    <row r="2718" spans="1:1">
      <c r="A2718" s="151" t="s">
        <v>4686</v>
      </c>
    </row>
    <row r="2719" spans="1:1">
      <c r="A2719" s="151" t="s">
        <v>4687</v>
      </c>
    </row>
    <row r="2720" spans="1:1">
      <c r="A2720" s="151" t="s">
        <v>4688</v>
      </c>
    </row>
    <row r="2721" spans="1:1">
      <c r="A2721" s="151" t="s">
        <v>4689</v>
      </c>
    </row>
    <row r="2722" spans="1:1">
      <c r="A2722" s="151" t="s">
        <v>4690</v>
      </c>
    </row>
    <row r="2723" spans="1:1">
      <c r="A2723" s="151" t="s">
        <v>4691</v>
      </c>
    </row>
    <row r="2724" spans="1:1">
      <c r="A2724" s="151" t="s">
        <v>4692</v>
      </c>
    </row>
    <row r="2725" spans="1:1">
      <c r="A2725" s="151" t="s">
        <v>4693</v>
      </c>
    </row>
    <row r="2726" spans="1:1">
      <c r="A2726" s="151" t="s">
        <v>4694</v>
      </c>
    </row>
    <row r="2727" spans="1:1">
      <c r="A2727" s="151" t="s">
        <v>4695</v>
      </c>
    </row>
    <row r="2728" spans="1:1">
      <c r="A2728" s="151" t="s">
        <v>4696</v>
      </c>
    </row>
    <row r="2729" spans="1:1">
      <c r="A2729" s="151" t="s">
        <v>4697</v>
      </c>
    </row>
    <row r="2730" spans="1:1">
      <c r="A2730" s="151" t="s">
        <v>4698</v>
      </c>
    </row>
    <row r="2731" spans="1:1">
      <c r="A2731" s="151" t="s">
        <v>4699</v>
      </c>
    </row>
    <row r="2732" spans="1:1">
      <c r="A2732" s="151" t="s">
        <v>4700</v>
      </c>
    </row>
    <row r="2733" spans="1:1">
      <c r="A2733" s="151" t="s">
        <v>4701</v>
      </c>
    </row>
    <row r="2734" spans="1:1">
      <c r="A2734" s="151" t="s">
        <v>4702</v>
      </c>
    </row>
    <row r="2735" spans="1:1">
      <c r="A2735" s="151" t="s">
        <v>4703</v>
      </c>
    </row>
    <row r="2736" spans="1:1">
      <c r="A2736" s="151" t="s">
        <v>4704</v>
      </c>
    </row>
    <row r="2737" spans="1:1">
      <c r="A2737" s="151" t="s">
        <v>4705</v>
      </c>
    </row>
    <row r="2738" spans="1:1">
      <c r="A2738" s="151" t="s">
        <v>4706</v>
      </c>
    </row>
    <row r="2739" spans="1:1">
      <c r="A2739" s="151" t="s">
        <v>4707</v>
      </c>
    </row>
    <row r="2740" spans="1:1">
      <c r="A2740" s="151" t="s">
        <v>4708</v>
      </c>
    </row>
    <row r="2741" spans="1:1">
      <c r="A2741" s="151" t="s">
        <v>4709</v>
      </c>
    </row>
    <row r="2742" spans="1:1">
      <c r="A2742" s="151" t="s">
        <v>4710</v>
      </c>
    </row>
    <row r="2743" spans="1:1">
      <c r="A2743" s="151" t="s">
        <v>4711</v>
      </c>
    </row>
    <row r="2744" spans="1:1">
      <c r="A2744" s="151" t="s">
        <v>4712</v>
      </c>
    </row>
    <row r="2745" spans="1:1">
      <c r="A2745" s="151" t="s">
        <v>4713</v>
      </c>
    </row>
    <row r="2746" spans="1:1">
      <c r="A2746" s="151" t="s">
        <v>4714</v>
      </c>
    </row>
    <row r="2747" spans="1:1">
      <c r="A2747" s="151" t="s">
        <v>4715</v>
      </c>
    </row>
    <row r="2748" spans="1:1">
      <c r="A2748" s="151" t="s">
        <v>4716</v>
      </c>
    </row>
    <row r="2749" spans="1:1">
      <c r="A2749" s="151" t="s">
        <v>4717</v>
      </c>
    </row>
    <row r="2750" spans="1:1">
      <c r="A2750" s="151" t="s">
        <v>4718</v>
      </c>
    </row>
    <row r="2751" spans="1:1">
      <c r="A2751" s="151" t="s">
        <v>4719</v>
      </c>
    </row>
    <row r="2752" spans="1:1">
      <c r="A2752" s="151" t="s">
        <v>4720</v>
      </c>
    </row>
    <row r="2753" spans="1:1">
      <c r="A2753" s="151" t="s">
        <v>4721</v>
      </c>
    </row>
    <row r="2754" spans="1:1">
      <c r="A2754" s="151" t="s">
        <v>4722</v>
      </c>
    </row>
    <row r="2755" spans="1:1">
      <c r="A2755" s="151" t="s">
        <v>4723</v>
      </c>
    </row>
    <row r="2756" spans="1:1">
      <c r="A2756" s="151" t="s">
        <v>4724</v>
      </c>
    </row>
    <row r="2757" spans="1:1">
      <c r="A2757" s="151" t="s">
        <v>4725</v>
      </c>
    </row>
    <row r="2758" spans="1:1">
      <c r="A2758" s="151" t="s">
        <v>4726</v>
      </c>
    </row>
    <row r="2759" spans="1:1">
      <c r="A2759" s="151" t="s">
        <v>4727</v>
      </c>
    </row>
    <row r="2760" spans="1:1">
      <c r="A2760" s="151" t="s">
        <v>4728</v>
      </c>
    </row>
    <row r="2761" spans="1:1">
      <c r="A2761" s="151" t="s">
        <v>4729</v>
      </c>
    </row>
    <row r="2762" spans="1:1">
      <c r="A2762" s="151" t="s">
        <v>4730</v>
      </c>
    </row>
    <row r="2763" spans="1:1">
      <c r="A2763" s="151" t="s">
        <v>4731</v>
      </c>
    </row>
    <row r="2764" spans="1:1">
      <c r="A2764" s="151" t="s">
        <v>4732</v>
      </c>
    </row>
    <row r="2765" spans="1:1">
      <c r="A2765" s="151" t="s">
        <v>4733</v>
      </c>
    </row>
    <row r="2766" spans="1:1">
      <c r="A2766" s="151" t="s">
        <v>4734</v>
      </c>
    </row>
    <row r="2767" spans="1:1">
      <c r="A2767" s="151" t="s">
        <v>4735</v>
      </c>
    </row>
    <row r="2768" spans="1:1">
      <c r="A2768" s="151" t="s">
        <v>4736</v>
      </c>
    </row>
    <row r="2769" spans="1:1">
      <c r="A2769" s="151" t="s">
        <v>4737</v>
      </c>
    </row>
    <row r="2770" spans="1:1">
      <c r="A2770" s="151" t="s">
        <v>4738</v>
      </c>
    </row>
    <row r="2771" spans="1:1">
      <c r="A2771" s="151" t="s">
        <v>4739</v>
      </c>
    </row>
    <row r="2772" spans="1:1">
      <c r="A2772" s="151" t="s">
        <v>4740</v>
      </c>
    </row>
    <row r="2773" spans="1:1">
      <c r="A2773" s="151" t="s">
        <v>4741</v>
      </c>
    </row>
    <row r="2774" spans="1:1">
      <c r="A2774" s="151" t="s">
        <v>4742</v>
      </c>
    </row>
    <row r="2775" spans="1:1">
      <c r="A2775" s="151" t="s">
        <v>4743</v>
      </c>
    </row>
    <row r="2776" spans="1:1">
      <c r="A2776" s="151" t="s">
        <v>4744</v>
      </c>
    </row>
    <row r="2777" spans="1:1">
      <c r="A2777" s="151" t="s">
        <v>4745</v>
      </c>
    </row>
    <row r="2778" spans="1:1">
      <c r="A2778" s="151" t="s">
        <v>4746</v>
      </c>
    </row>
    <row r="2779" spans="1:1">
      <c r="A2779" s="151" t="s">
        <v>4747</v>
      </c>
    </row>
    <row r="2780" spans="1:1">
      <c r="A2780" s="151" t="s">
        <v>4748</v>
      </c>
    </row>
    <row r="2781" spans="1:1">
      <c r="A2781" s="151" t="s">
        <v>4749</v>
      </c>
    </row>
    <row r="2782" spans="1:1">
      <c r="A2782" s="151" t="s">
        <v>4750</v>
      </c>
    </row>
    <row r="2783" spans="1:1">
      <c r="A2783" s="151" t="s">
        <v>4751</v>
      </c>
    </row>
    <row r="2784" spans="1:1">
      <c r="A2784" s="151" t="s">
        <v>4752</v>
      </c>
    </row>
    <row r="2785" spans="1:1">
      <c r="A2785" s="151" t="s">
        <v>4753</v>
      </c>
    </row>
    <row r="2786" spans="1:1">
      <c r="A2786" s="151" t="s">
        <v>4754</v>
      </c>
    </row>
    <row r="2787" spans="1:1">
      <c r="A2787" s="151" t="s">
        <v>4755</v>
      </c>
    </row>
    <row r="2788" spans="1:1">
      <c r="A2788" s="151" t="s">
        <v>4756</v>
      </c>
    </row>
    <row r="2789" spans="1:1">
      <c r="A2789" s="151" t="s">
        <v>4757</v>
      </c>
    </row>
    <row r="2790" spans="1:1">
      <c r="A2790" s="151" t="s">
        <v>4758</v>
      </c>
    </row>
    <row r="2791" spans="1:1">
      <c r="A2791" s="151" t="s">
        <v>4759</v>
      </c>
    </row>
    <row r="2792" spans="1:1">
      <c r="A2792" s="151" t="s">
        <v>4760</v>
      </c>
    </row>
    <row r="2793" spans="1:1">
      <c r="A2793" s="151" t="s">
        <v>4761</v>
      </c>
    </row>
    <row r="2794" spans="1:1">
      <c r="A2794" s="151" t="s">
        <v>4762</v>
      </c>
    </row>
    <row r="2795" spans="1:1">
      <c r="A2795" s="151" t="s">
        <v>4763</v>
      </c>
    </row>
    <row r="2796" spans="1:1">
      <c r="A2796" s="151" t="s">
        <v>4764</v>
      </c>
    </row>
    <row r="2797" spans="1:1">
      <c r="A2797" s="151" t="s">
        <v>4765</v>
      </c>
    </row>
    <row r="2798" spans="1:1">
      <c r="A2798" s="151" t="s">
        <v>4766</v>
      </c>
    </row>
    <row r="2799" spans="1:1">
      <c r="A2799" s="151" t="s">
        <v>4767</v>
      </c>
    </row>
    <row r="2800" spans="1:1">
      <c r="A2800" s="151" t="s">
        <v>4768</v>
      </c>
    </row>
    <row r="2801" spans="1:1">
      <c r="A2801" s="151" t="s">
        <v>4769</v>
      </c>
    </row>
    <row r="2802" spans="1:1">
      <c r="A2802" s="151" t="s">
        <v>4770</v>
      </c>
    </row>
    <row r="2803" spans="1:1">
      <c r="A2803" s="151" t="s">
        <v>4771</v>
      </c>
    </row>
    <row r="2804" spans="1:1">
      <c r="A2804" s="151" t="s">
        <v>4772</v>
      </c>
    </row>
    <row r="2805" spans="1:1">
      <c r="A2805" s="151" t="s">
        <v>4773</v>
      </c>
    </row>
    <row r="2806" spans="1:1">
      <c r="A2806" s="151" t="s">
        <v>4774</v>
      </c>
    </row>
    <row r="2807" spans="1:1">
      <c r="A2807" s="151" t="s">
        <v>4775</v>
      </c>
    </row>
    <row r="2808" spans="1:1">
      <c r="A2808" s="151" t="s">
        <v>4776</v>
      </c>
    </row>
    <row r="2809" spans="1:1">
      <c r="A2809" s="151" t="s">
        <v>4777</v>
      </c>
    </row>
    <row r="2810" spans="1:1">
      <c r="A2810" s="151" t="s">
        <v>4778</v>
      </c>
    </row>
    <row r="2811" spans="1:1">
      <c r="A2811" s="151" t="s">
        <v>4779</v>
      </c>
    </row>
    <row r="2812" spans="1:1">
      <c r="A2812" s="151" t="s">
        <v>4780</v>
      </c>
    </row>
    <row r="2813" spans="1:1">
      <c r="A2813" s="151" t="s">
        <v>4781</v>
      </c>
    </row>
    <row r="2814" spans="1:1">
      <c r="A2814" s="151" t="s">
        <v>4782</v>
      </c>
    </row>
    <row r="2815" spans="1:1">
      <c r="A2815" s="151" t="s">
        <v>4783</v>
      </c>
    </row>
    <row r="2816" spans="1:1">
      <c r="A2816" s="151" t="s">
        <v>4784</v>
      </c>
    </row>
    <row r="2817" spans="1:1">
      <c r="A2817" s="151" t="s">
        <v>4785</v>
      </c>
    </row>
    <row r="2818" spans="1:1">
      <c r="A2818" s="151" t="s">
        <v>4786</v>
      </c>
    </row>
    <row r="2819" spans="1:1">
      <c r="A2819" s="151" t="s">
        <v>4787</v>
      </c>
    </row>
    <row r="2820" spans="1:1">
      <c r="A2820" s="151" t="s">
        <v>4788</v>
      </c>
    </row>
    <row r="2821" spans="1:1">
      <c r="A2821" s="151" t="s">
        <v>4789</v>
      </c>
    </row>
    <row r="2822" spans="1:1">
      <c r="A2822" s="151" t="s">
        <v>4790</v>
      </c>
    </row>
    <row r="2823" spans="1:1">
      <c r="A2823" s="151" t="s">
        <v>4791</v>
      </c>
    </row>
    <row r="2824" spans="1:1">
      <c r="A2824" s="151" t="s">
        <v>4792</v>
      </c>
    </row>
    <row r="2825" spans="1:1">
      <c r="A2825" s="151" t="s">
        <v>4793</v>
      </c>
    </row>
    <row r="2826" spans="1:1">
      <c r="A2826" s="151" t="s">
        <v>4794</v>
      </c>
    </row>
    <row r="2827" spans="1:1">
      <c r="A2827" s="151" t="s">
        <v>4795</v>
      </c>
    </row>
    <row r="2828" spans="1:1">
      <c r="A2828" s="151" t="s">
        <v>4796</v>
      </c>
    </row>
    <row r="2829" spans="1:1">
      <c r="A2829" s="151" t="s">
        <v>4797</v>
      </c>
    </row>
    <row r="2830" spans="1:1">
      <c r="A2830" s="151" t="s">
        <v>4798</v>
      </c>
    </row>
    <row r="2831" spans="1:1">
      <c r="A2831" s="151" t="s">
        <v>4799</v>
      </c>
    </row>
    <row r="2832" spans="1:1">
      <c r="A2832" s="151" t="s">
        <v>4800</v>
      </c>
    </row>
    <row r="2833" spans="1:1">
      <c r="A2833" s="151" t="s">
        <v>4801</v>
      </c>
    </row>
    <row r="2834" spans="1:1">
      <c r="A2834" s="151" t="s">
        <v>4802</v>
      </c>
    </row>
    <row r="2835" spans="1:1">
      <c r="A2835" s="151" t="s">
        <v>4803</v>
      </c>
    </row>
    <row r="2836" spans="1:1">
      <c r="A2836" s="151" t="s">
        <v>4804</v>
      </c>
    </row>
    <row r="2837" spans="1:1">
      <c r="A2837" s="151" t="s">
        <v>4805</v>
      </c>
    </row>
    <row r="2838" spans="1:1">
      <c r="A2838" s="151" t="s">
        <v>4806</v>
      </c>
    </row>
    <row r="2839" spans="1:1">
      <c r="A2839" s="151" t="s">
        <v>4807</v>
      </c>
    </row>
    <row r="2840" spans="1:1">
      <c r="A2840" s="151" t="s">
        <v>4808</v>
      </c>
    </row>
    <row r="2841" spans="1:1">
      <c r="A2841" s="151" t="s">
        <v>4809</v>
      </c>
    </row>
    <row r="2842" spans="1:1">
      <c r="A2842" s="151" t="s">
        <v>4810</v>
      </c>
    </row>
    <row r="2843" spans="1:1">
      <c r="A2843" s="151" t="s">
        <v>4811</v>
      </c>
    </row>
    <row r="2844" spans="1:1">
      <c r="A2844" s="151" t="s">
        <v>4812</v>
      </c>
    </row>
    <row r="2845" spans="1:1">
      <c r="A2845" s="151" t="s">
        <v>4813</v>
      </c>
    </row>
    <row r="2846" spans="1:1">
      <c r="A2846" s="151" t="s">
        <v>4814</v>
      </c>
    </row>
    <row r="2847" spans="1:1">
      <c r="A2847" s="151" t="s">
        <v>4815</v>
      </c>
    </row>
    <row r="2848" spans="1:1">
      <c r="A2848" s="151" t="s">
        <v>4816</v>
      </c>
    </row>
    <row r="2849" spans="1:1">
      <c r="A2849" s="151" t="s">
        <v>4817</v>
      </c>
    </row>
    <row r="2850" spans="1:1">
      <c r="A2850" s="151" t="s">
        <v>4818</v>
      </c>
    </row>
    <row r="2851" spans="1:1">
      <c r="A2851" s="151" t="s">
        <v>4819</v>
      </c>
    </row>
    <row r="2852" spans="1:1">
      <c r="A2852" s="151" t="s">
        <v>4820</v>
      </c>
    </row>
    <row r="2853" spans="1:1">
      <c r="A2853" s="151" t="s">
        <v>4821</v>
      </c>
    </row>
    <row r="2854" spans="1:1">
      <c r="A2854" s="151" t="s">
        <v>4822</v>
      </c>
    </row>
    <row r="2855" spans="1:1">
      <c r="A2855" s="151" t="s">
        <v>4823</v>
      </c>
    </row>
    <row r="2856" spans="1:1">
      <c r="A2856" s="151" t="s">
        <v>4824</v>
      </c>
    </row>
    <row r="2857" spans="1:1">
      <c r="A2857" s="151" t="s">
        <v>4825</v>
      </c>
    </row>
    <row r="2858" spans="1:1">
      <c r="A2858" s="151" t="s">
        <v>4826</v>
      </c>
    </row>
    <row r="2859" spans="1:1">
      <c r="A2859" s="151" t="s">
        <v>4827</v>
      </c>
    </row>
    <row r="2860" spans="1:1">
      <c r="A2860" s="151" t="s">
        <v>4828</v>
      </c>
    </row>
    <row r="2861" spans="1:1">
      <c r="A2861" s="151" t="s">
        <v>4829</v>
      </c>
    </row>
    <row r="2862" spans="1:1">
      <c r="A2862" s="151" t="s">
        <v>4830</v>
      </c>
    </row>
    <row r="2863" spans="1:1">
      <c r="A2863" s="151" t="s">
        <v>4831</v>
      </c>
    </row>
    <row r="2864" spans="1:1">
      <c r="A2864" s="151" t="s">
        <v>4832</v>
      </c>
    </row>
    <row r="2865" spans="1:1">
      <c r="A2865" s="151" t="s">
        <v>4833</v>
      </c>
    </row>
    <row r="2866" spans="1:1">
      <c r="A2866" s="151" t="s">
        <v>4834</v>
      </c>
    </row>
    <row r="2867" spans="1:1">
      <c r="A2867" s="151" t="s">
        <v>4835</v>
      </c>
    </row>
    <row r="2868" spans="1:1">
      <c r="A2868" s="151" t="s">
        <v>4836</v>
      </c>
    </row>
    <row r="2869" spans="1:1">
      <c r="A2869" s="151" t="s">
        <v>4837</v>
      </c>
    </row>
    <row r="2870" spans="1:1">
      <c r="A2870" s="151" t="s">
        <v>4838</v>
      </c>
    </row>
    <row r="2871" spans="1:1">
      <c r="A2871" s="151" t="s">
        <v>4839</v>
      </c>
    </row>
    <row r="2872" spans="1:1">
      <c r="A2872" s="151" t="s">
        <v>4840</v>
      </c>
    </row>
    <row r="2873" spans="1:1">
      <c r="A2873" s="151" t="s">
        <v>4841</v>
      </c>
    </row>
    <row r="2874" spans="1:1">
      <c r="A2874" s="151" t="s">
        <v>4842</v>
      </c>
    </row>
    <row r="2875" spans="1:1">
      <c r="A2875" s="151" t="s">
        <v>4843</v>
      </c>
    </row>
    <row r="2876" spans="1:1">
      <c r="A2876" s="151" t="s">
        <v>4844</v>
      </c>
    </row>
    <row r="2877" spans="1:1">
      <c r="A2877" s="151" t="s">
        <v>4845</v>
      </c>
    </row>
    <row r="2878" spans="1:1">
      <c r="A2878" s="151" t="s">
        <v>4846</v>
      </c>
    </row>
    <row r="2879" spans="1:1">
      <c r="A2879" s="151" t="s">
        <v>4847</v>
      </c>
    </row>
    <row r="2880" spans="1:1">
      <c r="A2880" s="151" t="s">
        <v>4848</v>
      </c>
    </row>
    <row r="2881" spans="1:1">
      <c r="A2881" s="151" t="s">
        <v>4849</v>
      </c>
    </row>
    <row r="2882" spans="1:1">
      <c r="A2882" s="151" t="s">
        <v>4850</v>
      </c>
    </row>
    <row r="2883" spans="1:1">
      <c r="A2883" s="151" t="s">
        <v>4851</v>
      </c>
    </row>
    <row r="2884" spans="1:1">
      <c r="A2884" s="151" t="s">
        <v>4852</v>
      </c>
    </row>
    <row r="2885" spans="1:1">
      <c r="A2885" s="151" t="s">
        <v>4853</v>
      </c>
    </row>
    <row r="2886" spans="1:1">
      <c r="A2886" s="151" t="s">
        <v>4854</v>
      </c>
    </row>
    <row r="2887" spans="1:1">
      <c r="A2887" s="151" t="s">
        <v>4855</v>
      </c>
    </row>
    <row r="2888" spans="1:1">
      <c r="A2888" s="151" t="s">
        <v>4856</v>
      </c>
    </row>
    <row r="2889" spans="1:1">
      <c r="A2889" s="151" t="s">
        <v>4857</v>
      </c>
    </row>
    <row r="2890" spans="1:1">
      <c r="A2890" s="151" t="s">
        <v>4858</v>
      </c>
    </row>
    <row r="2891" spans="1:1">
      <c r="A2891" s="151" t="s">
        <v>4859</v>
      </c>
    </row>
    <row r="2892" spans="1:1">
      <c r="A2892" s="151" t="s">
        <v>4860</v>
      </c>
    </row>
    <row r="2893" spans="1:1">
      <c r="A2893" s="151" t="s">
        <v>4861</v>
      </c>
    </row>
    <row r="2894" spans="1:1">
      <c r="A2894" s="151" t="s">
        <v>4862</v>
      </c>
    </row>
    <row r="2895" spans="1:1">
      <c r="A2895" s="151" t="s">
        <v>4863</v>
      </c>
    </row>
    <row r="2896" spans="1:1">
      <c r="A2896" s="151" t="s">
        <v>4864</v>
      </c>
    </row>
    <row r="2897" spans="1:1">
      <c r="A2897" s="151" t="s">
        <v>4865</v>
      </c>
    </row>
    <row r="2898" spans="1:1">
      <c r="A2898" s="151" t="s">
        <v>4866</v>
      </c>
    </row>
    <row r="2899" spans="1:1">
      <c r="A2899" s="151" t="s">
        <v>4867</v>
      </c>
    </row>
    <row r="2900" spans="1:1">
      <c r="A2900" s="151" t="s">
        <v>4868</v>
      </c>
    </row>
    <row r="2901" spans="1:1">
      <c r="A2901" s="151" t="s">
        <v>4869</v>
      </c>
    </row>
    <row r="2902" spans="1:1">
      <c r="A2902" s="151" t="s">
        <v>4870</v>
      </c>
    </row>
    <row r="2903" spans="1:1">
      <c r="A2903" s="151" t="s">
        <v>4871</v>
      </c>
    </row>
    <row r="2904" spans="1:1">
      <c r="A2904" s="151" t="s">
        <v>4872</v>
      </c>
    </row>
    <row r="2905" spans="1:1">
      <c r="A2905" s="151" t="s">
        <v>4873</v>
      </c>
    </row>
    <row r="2906" spans="1:1">
      <c r="A2906" s="151" t="s">
        <v>4874</v>
      </c>
    </row>
    <row r="2907" spans="1:1">
      <c r="A2907" s="151" t="s">
        <v>4875</v>
      </c>
    </row>
    <row r="2908" spans="1:1">
      <c r="A2908" s="151" t="s">
        <v>4876</v>
      </c>
    </row>
    <row r="2909" spans="1:1">
      <c r="A2909" s="151" t="s">
        <v>4877</v>
      </c>
    </row>
    <row r="2910" spans="1:1">
      <c r="A2910" s="151" t="s">
        <v>4878</v>
      </c>
    </row>
    <row r="2911" spans="1:1">
      <c r="A2911" s="151" t="s">
        <v>4879</v>
      </c>
    </row>
    <row r="2912" spans="1:1">
      <c r="A2912" s="151" t="s">
        <v>4880</v>
      </c>
    </row>
    <row r="2913" spans="1:1">
      <c r="A2913" s="151" t="s">
        <v>4881</v>
      </c>
    </row>
    <row r="2914" spans="1:1">
      <c r="A2914" s="151" t="s">
        <v>4882</v>
      </c>
    </row>
    <row r="2915" spans="1:1">
      <c r="A2915" s="151" t="s">
        <v>4883</v>
      </c>
    </row>
    <row r="2916" spans="1:1">
      <c r="A2916" s="151" t="s">
        <v>4884</v>
      </c>
    </row>
    <row r="2917" spans="1:1">
      <c r="A2917" s="151" t="s">
        <v>4885</v>
      </c>
    </row>
    <row r="2918" spans="1:1">
      <c r="A2918" s="151" t="s">
        <v>4886</v>
      </c>
    </row>
    <row r="2919" spans="1:1">
      <c r="A2919" s="151" t="s">
        <v>4887</v>
      </c>
    </row>
    <row r="2920" spans="1:1">
      <c r="A2920" s="151" t="s">
        <v>4888</v>
      </c>
    </row>
    <row r="2921" spans="1:1">
      <c r="A2921" s="151" t="s">
        <v>4889</v>
      </c>
    </row>
    <row r="2922" spans="1:1">
      <c r="A2922" s="151" t="s">
        <v>4890</v>
      </c>
    </row>
    <row r="2923" spans="1:1">
      <c r="A2923" s="151" t="s">
        <v>4891</v>
      </c>
    </row>
    <row r="2924" spans="1:1">
      <c r="A2924" s="151" t="s">
        <v>4892</v>
      </c>
    </row>
    <row r="2925" spans="1:1">
      <c r="A2925" s="151" t="s">
        <v>4893</v>
      </c>
    </row>
    <row r="2926" spans="1:1">
      <c r="A2926" s="151" t="s">
        <v>4894</v>
      </c>
    </row>
    <row r="2927" spans="1:1">
      <c r="A2927" s="151" t="s">
        <v>4895</v>
      </c>
    </row>
    <row r="2928" spans="1:1">
      <c r="A2928" s="151" t="s">
        <v>4896</v>
      </c>
    </row>
    <row r="2929" spans="1:1">
      <c r="A2929" s="151" t="s">
        <v>4897</v>
      </c>
    </row>
    <row r="2930" spans="1:1">
      <c r="A2930" s="151" t="s">
        <v>4898</v>
      </c>
    </row>
    <row r="2931" spans="1:1">
      <c r="A2931" s="151" t="s">
        <v>4899</v>
      </c>
    </row>
    <row r="2932" spans="1:1">
      <c r="A2932" s="151" t="s">
        <v>4900</v>
      </c>
    </row>
    <row r="2933" spans="1:1">
      <c r="A2933" s="151" t="s">
        <v>4901</v>
      </c>
    </row>
    <row r="2934" spans="1:1">
      <c r="A2934" s="151" t="s">
        <v>4902</v>
      </c>
    </row>
    <row r="2935" spans="1:1">
      <c r="A2935" s="151" t="s">
        <v>4903</v>
      </c>
    </row>
    <row r="2936" spans="1:1">
      <c r="A2936" s="151" t="s">
        <v>4904</v>
      </c>
    </row>
    <row r="2937" spans="1:1">
      <c r="A2937" s="151" t="s">
        <v>4905</v>
      </c>
    </row>
    <row r="2938" spans="1:1">
      <c r="A2938" s="151" t="s">
        <v>4906</v>
      </c>
    </row>
    <row r="2939" spans="1:1">
      <c r="A2939" s="151" t="s">
        <v>4907</v>
      </c>
    </row>
    <row r="2940" spans="1:1">
      <c r="A2940" s="151" t="s">
        <v>4908</v>
      </c>
    </row>
    <row r="2941" spans="1:1">
      <c r="A2941" s="151" t="s">
        <v>4909</v>
      </c>
    </row>
    <row r="2942" spans="1:1">
      <c r="A2942" s="151" t="s">
        <v>4910</v>
      </c>
    </row>
    <row r="2943" spans="1:1">
      <c r="A2943" s="151" t="s">
        <v>4911</v>
      </c>
    </row>
    <row r="2944" spans="1:1">
      <c r="A2944" s="151" t="s">
        <v>4912</v>
      </c>
    </row>
    <row r="2945" spans="1:1">
      <c r="A2945" s="151" t="s">
        <v>4913</v>
      </c>
    </row>
    <row r="2946" spans="1:1">
      <c r="A2946" s="151" t="s">
        <v>4914</v>
      </c>
    </row>
    <row r="2947" spans="1:1">
      <c r="A2947" s="151" t="s">
        <v>4915</v>
      </c>
    </row>
    <row r="2948" spans="1:1">
      <c r="A2948" s="151" t="s">
        <v>4916</v>
      </c>
    </row>
    <row r="2949" spans="1:1">
      <c r="A2949" s="151" t="s">
        <v>4917</v>
      </c>
    </row>
    <row r="2950" spans="1:1">
      <c r="A2950" s="151" t="s">
        <v>4918</v>
      </c>
    </row>
    <row r="2951" spans="1:1">
      <c r="A2951" s="151" t="s">
        <v>4919</v>
      </c>
    </row>
    <row r="2952" spans="1:1">
      <c r="A2952" s="151" t="s">
        <v>4920</v>
      </c>
    </row>
    <row r="2953" spans="1:1">
      <c r="A2953" s="151" t="s">
        <v>4921</v>
      </c>
    </row>
    <row r="2954" spans="1:1">
      <c r="A2954" s="151" t="s">
        <v>4922</v>
      </c>
    </row>
    <row r="2955" spans="1:1">
      <c r="A2955" s="151" t="s">
        <v>4923</v>
      </c>
    </row>
    <row r="2956" spans="1:1">
      <c r="A2956" s="151" t="s">
        <v>4924</v>
      </c>
    </row>
    <row r="2957" spans="1:1">
      <c r="A2957" s="151" t="s">
        <v>4925</v>
      </c>
    </row>
    <row r="2958" spans="1:1">
      <c r="A2958" s="151" t="s">
        <v>4926</v>
      </c>
    </row>
    <row r="2959" spans="1:1">
      <c r="A2959" s="151" t="s">
        <v>4927</v>
      </c>
    </row>
    <row r="2960" spans="1:1">
      <c r="A2960" s="151" t="s">
        <v>4928</v>
      </c>
    </row>
    <row r="2961" spans="1:1">
      <c r="A2961" s="151" t="s">
        <v>4929</v>
      </c>
    </row>
    <row r="2962" spans="1:1">
      <c r="A2962" s="151" t="s">
        <v>4930</v>
      </c>
    </row>
    <row r="2963" spans="1:1">
      <c r="A2963" s="151" t="s">
        <v>4931</v>
      </c>
    </row>
    <row r="2964" spans="1:1">
      <c r="A2964" s="151" t="s">
        <v>4932</v>
      </c>
    </row>
    <row r="2965" spans="1:1">
      <c r="A2965" s="151" t="s">
        <v>4933</v>
      </c>
    </row>
    <row r="2966" spans="1:1">
      <c r="A2966" s="151" t="s">
        <v>4934</v>
      </c>
    </row>
    <row r="2967" spans="1:1">
      <c r="A2967" s="151" t="s">
        <v>4935</v>
      </c>
    </row>
    <row r="2968" spans="1:1">
      <c r="A2968" s="151" t="s">
        <v>4936</v>
      </c>
    </row>
    <row r="2969" spans="1:1">
      <c r="A2969" s="151" t="s">
        <v>4937</v>
      </c>
    </row>
    <row r="2970" spans="1:1">
      <c r="A2970" s="151" t="s">
        <v>4938</v>
      </c>
    </row>
    <row r="2971" spans="1:1">
      <c r="A2971" s="151" t="s">
        <v>4939</v>
      </c>
    </row>
    <row r="2972" spans="1:1">
      <c r="A2972" s="151" t="s">
        <v>4940</v>
      </c>
    </row>
    <row r="2973" spans="1:1">
      <c r="A2973" s="151" t="s">
        <v>4941</v>
      </c>
    </row>
    <row r="2974" spans="1:1">
      <c r="A2974" s="151" t="s">
        <v>4942</v>
      </c>
    </row>
    <row r="2975" spans="1:1">
      <c r="A2975" s="151" t="s">
        <v>4943</v>
      </c>
    </row>
    <row r="2976" spans="1:1">
      <c r="A2976" s="151" t="s">
        <v>4944</v>
      </c>
    </row>
    <row r="2977" spans="1:1">
      <c r="A2977" s="151" t="s">
        <v>4945</v>
      </c>
    </row>
    <row r="2978" spans="1:1">
      <c r="A2978" s="151" t="s">
        <v>4946</v>
      </c>
    </row>
    <row r="2979" spans="1:1">
      <c r="A2979" s="151" t="s">
        <v>4947</v>
      </c>
    </row>
    <row r="2980" spans="1:1">
      <c r="A2980" s="151" t="s">
        <v>4948</v>
      </c>
    </row>
    <row r="2981" spans="1:1">
      <c r="A2981" s="151" t="s">
        <v>4949</v>
      </c>
    </row>
    <row r="2982" spans="1:1">
      <c r="A2982" s="151" t="s">
        <v>4950</v>
      </c>
    </row>
    <row r="2983" spans="1:1">
      <c r="A2983" s="151" t="s">
        <v>4951</v>
      </c>
    </row>
    <row r="2984" spans="1:1">
      <c r="A2984" s="151" t="s">
        <v>4952</v>
      </c>
    </row>
    <row r="2985" spans="1:1">
      <c r="A2985" s="151" t="s">
        <v>4953</v>
      </c>
    </row>
    <row r="2986" spans="1:1">
      <c r="A2986" s="151" t="s">
        <v>4954</v>
      </c>
    </row>
    <row r="2987" spans="1:1">
      <c r="A2987" s="151" t="s">
        <v>4955</v>
      </c>
    </row>
    <row r="2988" spans="1:1">
      <c r="A2988" s="151" t="s">
        <v>4956</v>
      </c>
    </row>
    <row r="2989" spans="1:1">
      <c r="A2989" s="151" t="s">
        <v>4957</v>
      </c>
    </row>
    <row r="2990" spans="1:1">
      <c r="A2990" s="151" t="s">
        <v>4958</v>
      </c>
    </row>
    <row r="2991" spans="1:1">
      <c r="A2991" s="151" t="s">
        <v>4959</v>
      </c>
    </row>
    <row r="2992" spans="1:1">
      <c r="A2992" s="151" t="s">
        <v>4960</v>
      </c>
    </row>
    <row r="2993" spans="1:1">
      <c r="A2993" s="151" t="s">
        <v>4961</v>
      </c>
    </row>
    <row r="2994" spans="1:1">
      <c r="A2994" s="151" t="s">
        <v>4962</v>
      </c>
    </row>
    <row r="2995" spans="1:1">
      <c r="A2995" s="151" t="s">
        <v>4963</v>
      </c>
    </row>
    <row r="2996" spans="1:1">
      <c r="A2996" s="151" t="s">
        <v>4964</v>
      </c>
    </row>
    <row r="2997" spans="1:1">
      <c r="A2997" s="151" t="s">
        <v>4965</v>
      </c>
    </row>
    <row r="2998" spans="1:1">
      <c r="A2998" s="151" t="s">
        <v>4966</v>
      </c>
    </row>
    <row r="2999" spans="1:1">
      <c r="A2999" s="151" t="s">
        <v>4967</v>
      </c>
    </row>
    <row r="3000" spans="1:1">
      <c r="A3000" s="151" t="s">
        <v>4968</v>
      </c>
    </row>
    <row r="3001" spans="1:1">
      <c r="A3001" s="151" t="s">
        <v>4969</v>
      </c>
    </row>
    <row r="3002" spans="1:1">
      <c r="A3002" s="151" t="s">
        <v>4970</v>
      </c>
    </row>
    <row r="3003" spans="1:1">
      <c r="A3003" s="151" t="s">
        <v>4971</v>
      </c>
    </row>
    <row r="3004" spans="1:1">
      <c r="A3004" s="151" t="s">
        <v>4972</v>
      </c>
    </row>
    <row r="3005" spans="1:1">
      <c r="A3005" s="151" t="s">
        <v>4973</v>
      </c>
    </row>
    <row r="3006" spans="1:1">
      <c r="A3006" s="151" t="s">
        <v>4974</v>
      </c>
    </row>
    <row r="3007" spans="1:1">
      <c r="A3007" s="151" t="s">
        <v>4975</v>
      </c>
    </row>
    <row r="3008" spans="1:1">
      <c r="A3008" s="151" t="s">
        <v>4976</v>
      </c>
    </row>
    <row r="3009" spans="1:1">
      <c r="A3009" s="151" t="s">
        <v>4977</v>
      </c>
    </row>
    <row r="3010" spans="1:1">
      <c r="A3010" s="151" t="s">
        <v>4978</v>
      </c>
    </row>
    <row r="3011" spans="1:1">
      <c r="A3011" s="151" t="s">
        <v>4979</v>
      </c>
    </row>
    <row r="3012" spans="1:1">
      <c r="A3012" s="151" t="s">
        <v>4980</v>
      </c>
    </row>
    <row r="3013" spans="1:1">
      <c r="A3013" s="151" t="s">
        <v>4981</v>
      </c>
    </row>
    <row r="3014" spans="1:1">
      <c r="A3014" s="151" t="s">
        <v>4982</v>
      </c>
    </row>
    <row r="3015" spans="1:1">
      <c r="A3015" s="151" t="s">
        <v>4983</v>
      </c>
    </row>
    <row r="3016" spans="1:1">
      <c r="A3016" s="151" t="s">
        <v>4984</v>
      </c>
    </row>
    <row r="3017" spans="1:1">
      <c r="A3017" s="151" t="s">
        <v>4985</v>
      </c>
    </row>
    <row r="3018" spans="1:1">
      <c r="A3018" s="151" t="s">
        <v>4986</v>
      </c>
    </row>
    <row r="3019" spans="1:1">
      <c r="A3019" s="151" t="s">
        <v>4987</v>
      </c>
    </row>
    <row r="3020" spans="1:1">
      <c r="A3020" s="151" t="s">
        <v>4988</v>
      </c>
    </row>
    <row r="3021" spans="1:1">
      <c r="A3021" s="151" t="s">
        <v>4989</v>
      </c>
    </row>
    <row r="3022" spans="1:1">
      <c r="A3022" s="151" t="s">
        <v>4990</v>
      </c>
    </row>
    <row r="3023" spans="1:1">
      <c r="A3023" s="151" t="s">
        <v>4991</v>
      </c>
    </row>
    <row r="3024" spans="1:1">
      <c r="A3024" s="151" t="s">
        <v>4992</v>
      </c>
    </row>
    <row r="3025" spans="1:1">
      <c r="A3025" s="151" t="s">
        <v>4993</v>
      </c>
    </row>
    <row r="3026" spans="1:1">
      <c r="A3026" s="151" t="s">
        <v>4994</v>
      </c>
    </row>
    <row r="3027" spans="1:1">
      <c r="A3027" s="151" t="s">
        <v>4995</v>
      </c>
    </row>
    <row r="3028" spans="1:1">
      <c r="A3028" s="151" t="s">
        <v>4996</v>
      </c>
    </row>
    <row r="3029" spans="1:1">
      <c r="A3029" s="151" t="s">
        <v>4997</v>
      </c>
    </row>
    <row r="3030" spans="1:1">
      <c r="A3030" s="151" t="s">
        <v>4998</v>
      </c>
    </row>
    <row r="3031" spans="1:1">
      <c r="A3031" s="151" t="s">
        <v>4999</v>
      </c>
    </row>
    <row r="3032" spans="1:1">
      <c r="A3032" s="151" t="s">
        <v>5000</v>
      </c>
    </row>
    <row r="3033" spans="1:1">
      <c r="A3033" s="151" t="s">
        <v>5001</v>
      </c>
    </row>
    <row r="3034" spans="1:1">
      <c r="A3034" s="151" t="s">
        <v>5002</v>
      </c>
    </row>
    <row r="3035" spans="1:1">
      <c r="A3035" s="151" t="s">
        <v>5003</v>
      </c>
    </row>
    <row r="3036" spans="1:1">
      <c r="A3036" s="151" t="s">
        <v>5004</v>
      </c>
    </row>
    <row r="3037" spans="1:1">
      <c r="A3037" s="151" t="s">
        <v>5005</v>
      </c>
    </row>
    <row r="3038" spans="1:1">
      <c r="A3038" s="151" t="s">
        <v>5006</v>
      </c>
    </row>
    <row r="3039" spans="1:1">
      <c r="A3039" s="151" t="s">
        <v>5007</v>
      </c>
    </row>
    <row r="3040" spans="1:1">
      <c r="A3040" s="151" t="s">
        <v>5008</v>
      </c>
    </row>
    <row r="3041" spans="1:1">
      <c r="A3041" s="151" t="s">
        <v>5009</v>
      </c>
    </row>
    <row r="3042" spans="1:1">
      <c r="A3042" s="151" t="s">
        <v>5010</v>
      </c>
    </row>
    <row r="3043" spans="1:1">
      <c r="A3043" s="151" t="s">
        <v>5011</v>
      </c>
    </row>
    <row r="3044" spans="1:1">
      <c r="A3044" s="151" t="s">
        <v>5012</v>
      </c>
    </row>
    <row r="3045" spans="1:1">
      <c r="A3045" s="151" t="s">
        <v>5013</v>
      </c>
    </row>
    <row r="3046" spans="1:1">
      <c r="A3046" s="151" t="s">
        <v>5014</v>
      </c>
    </row>
    <row r="3047" spans="1:1">
      <c r="A3047" s="151" t="s">
        <v>5015</v>
      </c>
    </row>
    <row r="3048" spans="1:1">
      <c r="A3048" s="151" t="s">
        <v>5016</v>
      </c>
    </row>
    <row r="3049" spans="1:1">
      <c r="A3049" s="151" t="s">
        <v>5017</v>
      </c>
    </row>
    <row r="3050" spans="1:1">
      <c r="A3050" s="151" t="s">
        <v>5018</v>
      </c>
    </row>
    <row r="3051" spans="1:1">
      <c r="A3051" s="151" t="s">
        <v>5019</v>
      </c>
    </row>
    <row r="3052" spans="1:1">
      <c r="A3052" s="151" t="s">
        <v>5020</v>
      </c>
    </row>
    <row r="3053" spans="1:1">
      <c r="A3053" s="151" t="s">
        <v>5021</v>
      </c>
    </row>
    <row r="3054" spans="1:1">
      <c r="A3054" s="151" t="s">
        <v>5022</v>
      </c>
    </row>
    <row r="3055" spans="1:1">
      <c r="A3055" s="151" t="s">
        <v>5023</v>
      </c>
    </row>
    <row r="3056" spans="1:1">
      <c r="A3056" s="151" t="s">
        <v>5024</v>
      </c>
    </row>
    <row r="3057" spans="1:1">
      <c r="A3057" s="151" t="s">
        <v>5025</v>
      </c>
    </row>
    <row r="3058" spans="1:1">
      <c r="A3058" s="151" t="s">
        <v>5026</v>
      </c>
    </row>
    <row r="3059" spans="1:1">
      <c r="A3059" s="151" t="s">
        <v>5027</v>
      </c>
    </row>
    <row r="3060" spans="1:1">
      <c r="A3060" s="151" t="s">
        <v>5028</v>
      </c>
    </row>
    <row r="3061" spans="1:1">
      <c r="A3061" s="151" t="s">
        <v>5029</v>
      </c>
    </row>
    <row r="3062" spans="1:1">
      <c r="A3062" s="151" t="s">
        <v>5030</v>
      </c>
    </row>
    <row r="3063" spans="1:1">
      <c r="A3063" s="151" t="s">
        <v>5031</v>
      </c>
    </row>
    <row r="3064" spans="1:1">
      <c r="A3064" s="151" t="s">
        <v>5032</v>
      </c>
    </row>
    <row r="3065" spans="1:1">
      <c r="A3065" s="151" t="s">
        <v>5033</v>
      </c>
    </row>
    <row r="3066" spans="1:1">
      <c r="A3066" s="151" t="s">
        <v>5034</v>
      </c>
    </row>
    <row r="3067" spans="1:1">
      <c r="A3067" s="151" t="s">
        <v>5035</v>
      </c>
    </row>
    <row r="3068" spans="1:1">
      <c r="A3068" s="151" t="s">
        <v>5036</v>
      </c>
    </row>
    <row r="3069" spans="1:1">
      <c r="A3069" s="151" t="s">
        <v>5037</v>
      </c>
    </row>
    <row r="3070" spans="1:1">
      <c r="A3070" s="151" t="s">
        <v>5038</v>
      </c>
    </row>
    <row r="3071" spans="1:1">
      <c r="A3071" s="151" t="s">
        <v>5039</v>
      </c>
    </row>
    <row r="3072" spans="1:1">
      <c r="A3072" s="151" t="s">
        <v>5040</v>
      </c>
    </row>
    <row r="3073" spans="1:1">
      <c r="A3073" s="151" t="s">
        <v>5041</v>
      </c>
    </row>
    <row r="3074" spans="1:1">
      <c r="A3074" s="151" t="s">
        <v>5042</v>
      </c>
    </row>
    <row r="3075" spans="1:1">
      <c r="A3075" s="151" t="s">
        <v>5043</v>
      </c>
    </row>
    <row r="3076" spans="1:1">
      <c r="A3076" s="151" t="s">
        <v>5044</v>
      </c>
    </row>
    <row r="3077" spans="1:1">
      <c r="A3077" s="151" t="s">
        <v>5045</v>
      </c>
    </row>
    <row r="3078" spans="1:1">
      <c r="A3078" s="151" t="s">
        <v>5046</v>
      </c>
    </row>
    <row r="3079" spans="1:1">
      <c r="A3079" s="151" t="s">
        <v>5047</v>
      </c>
    </row>
    <row r="3080" spans="1:1">
      <c r="A3080" s="151" t="s">
        <v>5048</v>
      </c>
    </row>
    <row r="3081" spans="1:1">
      <c r="A3081" s="151" t="s">
        <v>5049</v>
      </c>
    </row>
    <row r="3082" spans="1:1">
      <c r="A3082" s="151" t="s">
        <v>5050</v>
      </c>
    </row>
    <row r="3083" spans="1:1">
      <c r="A3083" s="151" t="s">
        <v>5051</v>
      </c>
    </row>
    <row r="3084" spans="1:1">
      <c r="A3084" s="151" t="s">
        <v>5052</v>
      </c>
    </row>
    <row r="3085" spans="1:1">
      <c r="A3085" s="151" t="s">
        <v>5053</v>
      </c>
    </row>
    <row r="3086" spans="1:1">
      <c r="A3086" s="151" t="s">
        <v>5054</v>
      </c>
    </row>
    <row r="3087" spans="1:1">
      <c r="A3087" s="151" t="s">
        <v>5055</v>
      </c>
    </row>
    <row r="3088" spans="1:1">
      <c r="A3088" s="151" t="s">
        <v>5056</v>
      </c>
    </row>
    <row r="3089" spans="1:1">
      <c r="A3089" s="151" t="s">
        <v>5057</v>
      </c>
    </row>
    <row r="3090" spans="1:1">
      <c r="A3090" s="151" t="s">
        <v>5058</v>
      </c>
    </row>
    <row r="3091" spans="1:1">
      <c r="A3091" s="151" t="s">
        <v>5059</v>
      </c>
    </row>
    <row r="3092" spans="1:1">
      <c r="A3092" s="151" t="s">
        <v>5060</v>
      </c>
    </row>
    <row r="3093" spans="1:1">
      <c r="A3093" s="151" t="s">
        <v>5061</v>
      </c>
    </row>
    <row r="3094" spans="1:1">
      <c r="A3094" s="151" t="s">
        <v>5062</v>
      </c>
    </row>
    <row r="3095" spans="1:1">
      <c r="A3095" s="151" t="s">
        <v>5063</v>
      </c>
    </row>
    <row r="3096" spans="1:1">
      <c r="A3096" s="151" t="s">
        <v>5064</v>
      </c>
    </row>
    <row r="3097" spans="1:1">
      <c r="A3097" s="151" t="s">
        <v>5065</v>
      </c>
    </row>
    <row r="3098" spans="1:1">
      <c r="A3098" s="151" t="s">
        <v>5066</v>
      </c>
    </row>
    <row r="3099" spans="1:1">
      <c r="A3099" s="151" t="s">
        <v>5067</v>
      </c>
    </row>
    <row r="3100" spans="1:1">
      <c r="A3100" s="151" t="s">
        <v>5068</v>
      </c>
    </row>
    <row r="3101" spans="1:1">
      <c r="A3101" s="151" t="s">
        <v>5069</v>
      </c>
    </row>
    <row r="3102" spans="1:1">
      <c r="A3102" s="151" t="s">
        <v>5070</v>
      </c>
    </row>
    <row r="3103" spans="1:1">
      <c r="A3103" s="151" t="s">
        <v>5071</v>
      </c>
    </row>
    <row r="3104" spans="1:1">
      <c r="A3104" s="151" t="s">
        <v>5072</v>
      </c>
    </row>
    <row r="3105" spans="1:1">
      <c r="A3105" s="151" t="s">
        <v>5073</v>
      </c>
    </row>
    <row r="3106" spans="1:1">
      <c r="A3106" s="151" t="s">
        <v>5074</v>
      </c>
    </row>
    <row r="3107" spans="1:1">
      <c r="A3107" s="151" t="s">
        <v>5075</v>
      </c>
    </row>
    <row r="3108" spans="1:1">
      <c r="A3108" s="151" t="s">
        <v>5076</v>
      </c>
    </row>
    <row r="3109" spans="1:1">
      <c r="A3109" s="151" t="s">
        <v>5077</v>
      </c>
    </row>
    <row r="3110" spans="1:1">
      <c r="A3110" s="151" t="s">
        <v>5078</v>
      </c>
    </row>
    <row r="3111" spans="1:1">
      <c r="A3111" s="151" t="s">
        <v>5079</v>
      </c>
    </row>
    <row r="3112" spans="1:1">
      <c r="A3112" s="151" t="s">
        <v>5080</v>
      </c>
    </row>
    <row r="3113" spans="1:1">
      <c r="A3113" s="151" t="s">
        <v>5081</v>
      </c>
    </row>
    <row r="3114" spans="1:1">
      <c r="A3114" s="151" t="s">
        <v>5082</v>
      </c>
    </row>
    <row r="3115" spans="1:1">
      <c r="A3115" s="151" t="s">
        <v>5083</v>
      </c>
    </row>
    <row r="3116" spans="1:1">
      <c r="A3116" s="151" t="s">
        <v>5084</v>
      </c>
    </row>
    <row r="3117" spans="1:1">
      <c r="A3117" s="151" t="s">
        <v>5085</v>
      </c>
    </row>
    <row r="3118" spans="1:1">
      <c r="A3118" s="151" t="s">
        <v>5086</v>
      </c>
    </row>
    <row r="3119" spans="1:1">
      <c r="A3119" s="151" t="s">
        <v>5087</v>
      </c>
    </row>
    <row r="3120" spans="1:1">
      <c r="A3120" s="151" t="s">
        <v>5088</v>
      </c>
    </row>
    <row r="3121" spans="1:1">
      <c r="A3121" s="151" t="s">
        <v>5089</v>
      </c>
    </row>
    <row r="3122" spans="1:1">
      <c r="A3122" s="151" t="s">
        <v>5090</v>
      </c>
    </row>
    <row r="3123" spans="1:1">
      <c r="A3123" s="151" t="s">
        <v>5091</v>
      </c>
    </row>
    <row r="3124" spans="1:1">
      <c r="A3124" s="151" t="s">
        <v>5092</v>
      </c>
    </row>
    <row r="3125" spans="1:1">
      <c r="A3125" s="151" t="s">
        <v>5093</v>
      </c>
    </row>
    <row r="3126" spans="1:1">
      <c r="A3126" s="151" t="s">
        <v>5094</v>
      </c>
    </row>
    <row r="3127" spans="1:1">
      <c r="A3127" s="151" t="s">
        <v>5095</v>
      </c>
    </row>
    <row r="3128" spans="1:1">
      <c r="A3128" s="151" t="s">
        <v>5096</v>
      </c>
    </row>
    <row r="3129" spans="1:1">
      <c r="A3129" s="151" t="s">
        <v>5097</v>
      </c>
    </row>
    <row r="3130" spans="1:1">
      <c r="A3130" s="151" t="s">
        <v>5098</v>
      </c>
    </row>
    <row r="3131" spans="1:1">
      <c r="A3131" s="151" t="s">
        <v>5099</v>
      </c>
    </row>
    <row r="3132" spans="1:1">
      <c r="A3132" s="151" t="s">
        <v>5100</v>
      </c>
    </row>
    <row r="3133" spans="1:1">
      <c r="A3133" s="151" t="s">
        <v>5101</v>
      </c>
    </row>
    <row r="3134" spans="1:1">
      <c r="A3134" s="151" t="s">
        <v>5102</v>
      </c>
    </row>
    <row r="3135" spans="1:1">
      <c r="A3135" s="151" t="s">
        <v>5103</v>
      </c>
    </row>
    <row r="3136" spans="1:1">
      <c r="A3136" s="151" t="s">
        <v>5104</v>
      </c>
    </row>
    <row r="3137" spans="1:1">
      <c r="A3137" s="151" t="s">
        <v>5105</v>
      </c>
    </row>
    <row r="3138" spans="1:1">
      <c r="A3138" s="151" t="s">
        <v>5106</v>
      </c>
    </row>
    <row r="3139" spans="1:1">
      <c r="A3139" s="151" t="s">
        <v>5107</v>
      </c>
    </row>
    <row r="3140" spans="1:1">
      <c r="A3140" s="151" t="s">
        <v>5108</v>
      </c>
    </row>
    <row r="3141" spans="1:1">
      <c r="A3141" s="151" t="s">
        <v>5109</v>
      </c>
    </row>
    <row r="3142" spans="1:1">
      <c r="A3142" s="151" t="s">
        <v>5110</v>
      </c>
    </row>
    <row r="3143" spans="1:1">
      <c r="A3143" s="151" t="s">
        <v>5111</v>
      </c>
    </row>
    <row r="3144" spans="1:1">
      <c r="A3144" s="151" t="s">
        <v>5112</v>
      </c>
    </row>
    <row r="3145" spans="1:1">
      <c r="A3145" s="151" t="s">
        <v>5113</v>
      </c>
    </row>
    <row r="3146" spans="1:1">
      <c r="A3146" s="151" t="s">
        <v>5114</v>
      </c>
    </row>
    <row r="3147" spans="1:1">
      <c r="A3147" s="151" t="s">
        <v>5115</v>
      </c>
    </row>
    <row r="3148" spans="1:1">
      <c r="A3148" s="151" t="s">
        <v>5116</v>
      </c>
    </row>
    <row r="3149" spans="1:1">
      <c r="A3149" s="151" t="s">
        <v>5117</v>
      </c>
    </row>
    <row r="3150" spans="1:1">
      <c r="A3150" s="151" t="s">
        <v>5118</v>
      </c>
    </row>
    <row r="3151" spans="1:1">
      <c r="A3151" s="151" t="s">
        <v>5119</v>
      </c>
    </row>
    <row r="3152" spans="1:1">
      <c r="A3152" s="151" t="s">
        <v>5120</v>
      </c>
    </row>
    <row r="3153" spans="1:1">
      <c r="A3153" s="151" t="s">
        <v>5121</v>
      </c>
    </row>
    <row r="3154" spans="1:1">
      <c r="A3154" s="151" t="s">
        <v>5122</v>
      </c>
    </row>
    <row r="3155" spans="1:1">
      <c r="A3155" s="151" t="s">
        <v>5123</v>
      </c>
    </row>
    <row r="3156" spans="1:1">
      <c r="A3156" s="151" t="s">
        <v>5124</v>
      </c>
    </row>
    <row r="3157" spans="1:1">
      <c r="A3157" s="151" t="s">
        <v>5125</v>
      </c>
    </row>
    <row r="3158" spans="1:1">
      <c r="A3158" s="151" t="s">
        <v>5126</v>
      </c>
    </row>
    <row r="3159" spans="1:1">
      <c r="A3159" s="151" t="s">
        <v>5127</v>
      </c>
    </row>
    <row r="3160" spans="1:1">
      <c r="A3160" s="151" t="s">
        <v>5128</v>
      </c>
    </row>
    <row r="3161" spans="1:1">
      <c r="A3161" s="151" t="s">
        <v>5129</v>
      </c>
    </row>
    <row r="3162" spans="1:1">
      <c r="A3162" s="151" t="s">
        <v>5130</v>
      </c>
    </row>
    <row r="3163" spans="1:1">
      <c r="A3163" s="151" t="s">
        <v>5131</v>
      </c>
    </row>
    <row r="3164" spans="1:1">
      <c r="A3164" s="151" t="s">
        <v>5132</v>
      </c>
    </row>
    <row r="3165" spans="1:1">
      <c r="A3165" s="151" t="s">
        <v>5133</v>
      </c>
    </row>
    <row r="3166" spans="1:1">
      <c r="A3166" s="151" t="s">
        <v>5134</v>
      </c>
    </row>
    <row r="3167" spans="1:1">
      <c r="A3167" s="151" t="s">
        <v>5135</v>
      </c>
    </row>
    <row r="3168" spans="1:1">
      <c r="A3168" s="151" t="s">
        <v>5136</v>
      </c>
    </row>
    <row r="3169" spans="1:1">
      <c r="A3169" s="151" t="s">
        <v>5137</v>
      </c>
    </row>
    <row r="3170" spans="1:1">
      <c r="A3170" s="151" t="s">
        <v>5138</v>
      </c>
    </row>
    <row r="3171" spans="1:1">
      <c r="A3171" s="151" t="s">
        <v>5139</v>
      </c>
    </row>
    <row r="3172" spans="1:1">
      <c r="A3172" s="151" t="s">
        <v>5140</v>
      </c>
    </row>
    <row r="3173" spans="1:1">
      <c r="A3173" s="151" t="s">
        <v>5141</v>
      </c>
    </row>
    <row r="3174" spans="1:1">
      <c r="A3174" s="151" t="s">
        <v>5142</v>
      </c>
    </row>
    <row r="3175" spans="1:1">
      <c r="A3175" s="151" t="s">
        <v>5143</v>
      </c>
    </row>
    <row r="3176" spans="1:1">
      <c r="A3176" s="151" t="s">
        <v>5144</v>
      </c>
    </row>
    <row r="3177" spans="1:1">
      <c r="A3177" s="151" t="s">
        <v>5145</v>
      </c>
    </row>
    <row r="3178" spans="1:1">
      <c r="A3178" s="151" t="s">
        <v>5146</v>
      </c>
    </row>
    <row r="3179" spans="1:1">
      <c r="A3179" s="151" t="s">
        <v>5147</v>
      </c>
    </row>
    <row r="3180" spans="1:1">
      <c r="A3180" s="151" t="s">
        <v>5148</v>
      </c>
    </row>
    <row r="3181" spans="1:1">
      <c r="A3181" s="151" t="s">
        <v>5149</v>
      </c>
    </row>
    <row r="3182" spans="1:1">
      <c r="A3182" s="151" t="s">
        <v>5150</v>
      </c>
    </row>
    <row r="3183" spans="1:1">
      <c r="A3183" s="151" t="s">
        <v>5151</v>
      </c>
    </row>
    <row r="3184" spans="1:1">
      <c r="A3184" s="151" t="s">
        <v>5152</v>
      </c>
    </row>
    <row r="3185" spans="1:1">
      <c r="A3185" s="151" t="s">
        <v>5153</v>
      </c>
    </row>
    <row r="3186" spans="1:1">
      <c r="A3186" s="151" t="s">
        <v>5154</v>
      </c>
    </row>
    <row r="3187" spans="1:1">
      <c r="A3187" s="151" t="s">
        <v>5155</v>
      </c>
    </row>
    <row r="3188" spans="1:1">
      <c r="A3188" s="151" t="s">
        <v>5156</v>
      </c>
    </row>
    <row r="3189" spans="1:1">
      <c r="A3189" s="151" t="s">
        <v>5157</v>
      </c>
    </row>
    <row r="3190" spans="1:1">
      <c r="A3190" s="151" t="s">
        <v>5158</v>
      </c>
    </row>
    <row r="3191" spans="1:1">
      <c r="A3191" s="151" t="s">
        <v>5159</v>
      </c>
    </row>
    <row r="3192" spans="1:1">
      <c r="A3192" s="151" t="s">
        <v>5160</v>
      </c>
    </row>
    <row r="3193" spans="1:1">
      <c r="A3193" s="151" t="s">
        <v>5161</v>
      </c>
    </row>
    <row r="3194" spans="1:1">
      <c r="A3194" s="151" t="s">
        <v>5162</v>
      </c>
    </row>
    <row r="3195" spans="1:1">
      <c r="A3195" s="151" t="s">
        <v>5163</v>
      </c>
    </row>
    <row r="3196" spans="1:1">
      <c r="A3196" s="151" t="s">
        <v>5164</v>
      </c>
    </row>
    <row r="3197" spans="1:1">
      <c r="A3197" s="151" t="s">
        <v>5165</v>
      </c>
    </row>
    <row r="3198" spans="1:1">
      <c r="A3198" s="151" t="s">
        <v>5166</v>
      </c>
    </row>
    <row r="3199" spans="1:1">
      <c r="A3199" s="151" t="s">
        <v>5167</v>
      </c>
    </row>
    <row r="3200" spans="1:1">
      <c r="A3200" s="151" t="s">
        <v>5168</v>
      </c>
    </row>
    <row r="3201" spans="1:1">
      <c r="A3201" s="151" t="s">
        <v>5169</v>
      </c>
    </row>
    <row r="3202" spans="1:1">
      <c r="A3202" s="151" t="s">
        <v>5170</v>
      </c>
    </row>
    <row r="3203" spans="1:1">
      <c r="A3203" s="151" t="s">
        <v>5171</v>
      </c>
    </row>
    <row r="3204" spans="1:1">
      <c r="A3204" s="151" t="s">
        <v>5172</v>
      </c>
    </row>
    <row r="3205" spans="1:1">
      <c r="A3205" s="151" t="s">
        <v>5173</v>
      </c>
    </row>
    <row r="3206" spans="1:1">
      <c r="A3206" s="151" t="s">
        <v>5174</v>
      </c>
    </row>
    <row r="3207" spans="1:1">
      <c r="A3207" s="151" t="s">
        <v>5175</v>
      </c>
    </row>
    <row r="3208" spans="1:1">
      <c r="A3208" s="151" t="s">
        <v>5176</v>
      </c>
    </row>
    <row r="3209" spans="1:1">
      <c r="A3209" s="151" t="s">
        <v>5177</v>
      </c>
    </row>
    <row r="3210" spans="1:1">
      <c r="A3210" s="151" t="s">
        <v>5178</v>
      </c>
    </row>
    <row r="3211" spans="1:1">
      <c r="A3211" s="151" t="s">
        <v>5179</v>
      </c>
    </row>
    <row r="3212" spans="1:1">
      <c r="A3212" s="151" t="s">
        <v>5180</v>
      </c>
    </row>
    <row r="3213" spans="1:1">
      <c r="A3213" s="151" t="s">
        <v>5181</v>
      </c>
    </row>
    <row r="3214" spans="1:1">
      <c r="A3214" s="151" t="s">
        <v>5182</v>
      </c>
    </row>
    <row r="3215" spans="1:1">
      <c r="A3215" s="151" t="s">
        <v>5183</v>
      </c>
    </row>
    <row r="3216" spans="1:1">
      <c r="A3216" s="151" t="s">
        <v>5184</v>
      </c>
    </row>
    <row r="3217" spans="1:1">
      <c r="A3217" s="151" t="s">
        <v>5185</v>
      </c>
    </row>
    <row r="3218" spans="1:1">
      <c r="A3218" s="151" t="s">
        <v>5186</v>
      </c>
    </row>
    <row r="3219" spans="1:1">
      <c r="A3219" s="151" t="s">
        <v>5187</v>
      </c>
    </row>
    <row r="3220" spans="1:1">
      <c r="A3220" s="151" t="s">
        <v>5188</v>
      </c>
    </row>
    <row r="3221" spans="1:1">
      <c r="A3221" s="151" t="s">
        <v>5189</v>
      </c>
    </row>
    <row r="3222" spans="1:1">
      <c r="A3222" s="151" t="s">
        <v>5190</v>
      </c>
    </row>
    <row r="3223" spans="1:1">
      <c r="A3223" s="151" t="s">
        <v>5191</v>
      </c>
    </row>
    <row r="3224" spans="1:1">
      <c r="A3224" s="151" t="s">
        <v>5192</v>
      </c>
    </row>
    <row r="3225" spans="1:1">
      <c r="A3225" s="151" t="s">
        <v>5193</v>
      </c>
    </row>
    <row r="3226" spans="1:1">
      <c r="A3226" s="151" t="s">
        <v>5194</v>
      </c>
    </row>
    <row r="3227" spans="1:1">
      <c r="A3227" s="151" t="s">
        <v>5195</v>
      </c>
    </row>
    <row r="3228" spans="1:1">
      <c r="A3228" s="151" t="s">
        <v>5196</v>
      </c>
    </row>
    <row r="3229" spans="1:1">
      <c r="A3229" s="151" t="s">
        <v>5197</v>
      </c>
    </row>
    <row r="3230" spans="1:1">
      <c r="A3230" s="151" t="s">
        <v>5198</v>
      </c>
    </row>
    <row r="3231" spans="1:1">
      <c r="A3231" s="151" t="s">
        <v>5199</v>
      </c>
    </row>
    <row r="3232" spans="1:1">
      <c r="A3232" s="151" t="s">
        <v>5200</v>
      </c>
    </row>
    <row r="3233" spans="1:1">
      <c r="A3233" s="151" t="s">
        <v>5201</v>
      </c>
    </row>
    <row r="3234" spans="1:1">
      <c r="A3234" s="151" t="s">
        <v>5202</v>
      </c>
    </row>
    <row r="3235" spans="1:1">
      <c r="A3235" s="151" t="s">
        <v>5203</v>
      </c>
    </row>
    <row r="3236" spans="1:1">
      <c r="A3236" s="151" t="s">
        <v>5204</v>
      </c>
    </row>
    <row r="3237" spans="1:1">
      <c r="A3237" s="151" t="s">
        <v>5205</v>
      </c>
    </row>
    <row r="3238" spans="1:1">
      <c r="A3238" s="151" t="s">
        <v>5206</v>
      </c>
    </row>
    <row r="3239" spans="1:1">
      <c r="A3239" s="151" t="s">
        <v>5207</v>
      </c>
    </row>
    <row r="3240" spans="1:1">
      <c r="A3240" s="151" t="s">
        <v>5208</v>
      </c>
    </row>
    <row r="3241" spans="1:1">
      <c r="A3241" s="151" t="s">
        <v>5209</v>
      </c>
    </row>
    <row r="3242" spans="1:1">
      <c r="A3242" s="151" t="s">
        <v>5210</v>
      </c>
    </row>
    <row r="3243" spans="1:1">
      <c r="A3243" s="151" t="s">
        <v>5211</v>
      </c>
    </row>
    <row r="3244" spans="1:1">
      <c r="A3244" s="151" t="s">
        <v>5212</v>
      </c>
    </row>
    <row r="3245" spans="1:1">
      <c r="A3245" s="151" t="s">
        <v>5213</v>
      </c>
    </row>
    <row r="3246" spans="1:1">
      <c r="A3246" s="151" t="s">
        <v>5214</v>
      </c>
    </row>
    <row r="3247" spans="1:1">
      <c r="A3247" s="151" t="s">
        <v>5215</v>
      </c>
    </row>
    <row r="3248" spans="1:1">
      <c r="A3248" s="151" t="s">
        <v>5216</v>
      </c>
    </row>
    <row r="3249" spans="1:1">
      <c r="A3249" s="151" t="s">
        <v>5217</v>
      </c>
    </row>
    <row r="3250" spans="1:1">
      <c r="A3250" s="151" t="s">
        <v>5218</v>
      </c>
    </row>
    <row r="3251" spans="1:1">
      <c r="A3251" s="151" t="s">
        <v>5219</v>
      </c>
    </row>
    <row r="3252" spans="1:1">
      <c r="A3252" s="151" t="s">
        <v>5220</v>
      </c>
    </row>
    <row r="3253" spans="1:1">
      <c r="A3253" s="151" t="s">
        <v>5221</v>
      </c>
    </row>
    <row r="3254" spans="1:1">
      <c r="A3254" s="151" t="s">
        <v>5222</v>
      </c>
    </row>
    <row r="3255" spans="1:1">
      <c r="A3255" s="151" t="s">
        <v>5223</v>
      </c>
    </row>
    <row r="3256" spans="1:1">
      <c r="A3256" s="151" t="s">
        <v>5224</v>
      </c>
    </row>
    <row r="3257" spans="1:1">
      <c r="A3257" s="151" t="s">
        <v>5225</v>
      </c>
    </row>
    <row r="3258" spans="1:1">
      <c r="A3258" s="151" t="s">
        <v>5226</v>
      </c>
    </row>
    <row r="3259" spans="1:1">
      <c r="A3259" s="151" t="s">
        <v>5227</v>
      </c>
    </row>
    <row r="3260" spans="1:1">
      <c r="A3260" s="151" t="s">
        <v>5228</v>
      </c>
    </row>
    <row r="3261" spans="1:1">
      <c r="A3261" s="151" t="s">
        <v>5229</v>
      </c>
    </row>
    <row r="3262" spans="1:1">
      <c r="A3262" s="151" t="s">
        <v>5230</v>
      </c>
    </row>
    <row r="3263" spans="1:1">
      <c r="A3263" s="151" t="s">
        <v>5231</v>
      </c>
    </row>
    <row r="3264" spans="1:1">
      <c r="A3264" s="151" t="s">
        <v>5232</v>
      </c>
    </row>
    <row r="3265" spans="1:1">
      <c r="A3265" s="151" t="s">
        <v>5233</v>
      </c>
    </row>
    <row r="3266" spans="1:1">
      <c r="A3266" s="151" t="s">
        <v>5234</v>
      </c>
    </row>
    <row r="3267" spans="1:1">
      <c r="A3267" s="151" t="s">
        <v>5235</v>
      </c>
    </row>
    <row r="3268" spans="1:1">
      <c r="A3268" s="151" t="s">
        <v>5236</v>
      </c>
    </row>
    <row r="3269" spans="1:1">
      <c r="A3269" s="151" t="s">
        <v>5237</v>
      </c>
    </row>
    <row r="3270" spans="1:1">
      <c r="A3270" s="151" t="s">
        <v>5238</v>
      </c>
    </row>
    <row r="3271" spans="1:1">
      <c r="A3271" s="151" t="s">
        <v>5239</v>
      </c>
    </row>
    <row r="3272" spans="1:1">
      <c r="A3272" s="151" t="s">
        <v>5240</v>
      </c>
    </row>
    <row r="3273" spans="1:1">
      <c r="A3273" s="151" t="s">
        <v>5241</v>
      </c>
    </row>
    <row r="3274" spans="1:1">
      <c r="A3274" s="151" t="s">
        <v>5242</v>
      </c>
    </row>
    <row r="3275" spans="1:1">
      <c r="A3275" s="151" t="s">
        <v>5243</v>
      </c>
    </row>
    <row r="3276" spans="1:1">
      <c r="A3276" s="151" t="s">
        <v>5244</v>
      </c>
    </row>
    <row r="3277" spans="1:1">
      <c r="A3277" s="151" t="s">
        <v>5245</v>
      </c>
    </row>
    <row r="3278" spans="1:1">
      <c r="A3278" s="151" t="s">
        <v>5246</v>
      </c>
    </row>
    <row r="3279" spans="1:1">
      <c r="A3279" s="151" t="s">
        <v>5247</v>
      </c>
    </row>
    <row r="3280" spans="1:1">
      <c r="A3280" s="151" t="s">
        <v>5248</v>
      </c>
    </row>
    <row r="3281" spans="1:1">
      <c r="A3281" s="151" t="s">
        <v>5249</v>
      </c>
    </row>
    <row r="3282" spans="1:1">
      <c r="A3282" s="151" t="s">
        <v>5250</v>
      </c>
    </row>
    <row r="3283" spans="1:1">
      <c r="A3283" s="151" t="s">
        <v>5251</v>
      </c>
    </row>
    <row r="3284" spans="1:1">
      <c r="A3284" s="151" t="s">
        <v>5252</v>
      </c>
    </row>
    <row r="3285" spans="1:1">
      <c r="A3285" s="151" t="s">
        <v>5253</v>
      </c>
    </row>
    <row r="3286" spans="1:1">
      <c r="A3286" s="151" t="s">
        <v>5254</v>
      </c>
    </row>
    <row r="3287" spans="1:1">
      <c r="A3287" s="151" t="s">
        <v>5255</v>
      </c>
    </row>
    <row r="3288" spans="1:1">
      <c r="A3288" s="151" t="s">
        <v>5256</v>
      </c>
    </row>
    <row r="3289" spans="1:1">
      <c r="A3289" s="151" t="s">
        <v>5257</v>
      </c>
    </row>
    <row r="3290" spans="1:1">
      <c r="A3290" s="151" t="s">
        <v>5258</v>
      </c>
    </row>
    <row r="3291" spans="1:1">
      <c r="A3291" s="151" t="s">
        <v>5259</v>
      </c>
    </row>
    <row r="3292" spans="1:1">
      <c r="A3292" s="151" t="s">
        <v>5260</v>
      </c>
    </row>
    <row r="3293" spans="1:1">
      <c r="A3293" s="151" t="s">
        <v>5261</v>
      </c>
    </row>
    <row r="3294" spans="1:1">
      <c r="A3294" s="151" t="s">
        <v>5262</v>
      </c>
    </row>
    <row r="3295" spans="1:1">
      <c r="A3295" s="151" t="s">
        <v>5263</v>
      </c>
    </row>
    <row r="3296" spans="1:1">
      <c r="A3296" s="151" t="s">
        <v>5264</v>
      </c>
    </row>
    <row r="3297" spans="1:1">
      <c r="A3297" s="151" t="s">
        <v>5265</v>
      </c>
    </row>
    <row r="3298" spans="1:1">
      <c r="A3298" s="151" t="s">
        <v>5266</v>
      </c>
    </row>
    <row r="3299" spans="1:1">
      <c r="A3299" s="151" t="s">
        <v>5267</v>
      </c>
    </row>
    <row r="3300" spans="1:1">
      <c r="A3300" s="151" t="s">
        <v>5268</v>
      </c>
    </row>
    <row r="3301" spans="1:1">
      <c r="A3301" s="151" t="s">
        <v>5269</v>
      </c>
    </row>
    <row r="3302" spans="1:1">
      <c r="A3302" s="151" t="s">
        <v>5270</v>
      </c>
    </row>
    <row r="3303" spans="1:1">
      <c r="A3303" s="151" t="s">
        <v>5271</v>
      </c>
    </row>
    <row r="3304" spans="1:1">
      <c r="A3304" s="151" t="s">
        <v>5272</v>
      </c>
    </row>
    <row r="3305" spans="1:1">
      <c r="A3305" s="151" t="s">
        <v>5273</v>
      </c>
    </row>
    <row r="3306" spans="1:1">
      <c r="A3306" s="151" t="s">
        <v>5274</v>
      </c>
    </row>
    <row r="3307" spans="1:1">
      <c r="A3307" s="151" t="s">
        <v>5275</v>
      </c>
    </row>
    <row r="3308" spans="1:1">
      <c r="A3308" s="151" t="s">
        <v>5276</v>
      </c>
    </row>
    <row r="3309" spans="1:1">
      <c r="A3309" s="151" t="s">
        <v>5277</v>
      </c>
    </row>
    <row r="3310" spans="1:1">
      <c r="A3310" s="151" t="s">
        <v>5278</v>
      </c>
    </row>
    <row r="3311" spans="1:1">
      <c r="A3311" s="151" t="s">
        <v>5279</v>
      </c>
    </row>
    <row r="3312" spans="1:1">
      <c r="A3312" s="151" t="s">
        <v>5280</v>
      </c>
    </row>
    <row r="3313" spans="1:1">
      <c r="A3313" s="151" t="s">
        <v>5281</v>
      </c>
    </row>
    <row r="3314" spans="1:1">
      <c r="A3314" s="151" t="s">
        <v>5282</v>
      </c>
    </row>
    <row r="3315" spans="1:1">
      <c r="A3315" s="151" t="s">
        <v>5283</v>
      </c>
    </row>
    <row r="3316" spans="1:1">
      <c r="A3316" s="151" t="s">
        <v>5284</v>
      </c>
    </row>
    <row r="3317" spans="1:1">
      <c r="A3317" s="151" t="s">
        <v>5285</v>
      </c>
    </row>
    <row r="3318" spans="1:1">
      <c r="A3318" s="151" t="s">
        <v>5286</v>
      </c>
    </row>
    <row r="3319" spans="1:1">
      <c r="A3319" s="151" t="s">
        <v>5287</v>
      </c>
    </row>
    <row r="3320" spans="1:1">
      <c r="A3320" s="151" t="s">
        <v>5288</v>
      </c>
    </row>
    <row r="3321" spans="1:1">
      <c r="A3321" s="151" t="s">
        <v>5289</v>
      </c>
    </row>
    <row r="3322" spans="1:1">
      <c r="A3322" s="151" t="s">
        <v>5290</v>
      </c>
    </row>
    <row r="3323" spans="1:1">
      <c r="A3323" s="151" t="s">
        <v>5291</v>
      </c>
    </row>
    <row r="3324" spans="1:1">
      <c r="A3324" s="151" t="s">
        <v>5292</v>
      </c>
    </row>
    <row r="3325" spans="1:1">
      <c r="A3325" s="151" t="s">
        <v>5293</v>
      </c>
    </row>
    <row r="3326" spans="1:1">
      <c r="A3326" s="151" t="s">
        <v>5294</v>
      </c>
    </row>
    <row r="3327" spans="1:1">
      <c r="A3327" s="151" t="s">
        <v>5295</v>
      </c>
    </row>
    <row r="3328" spans="1:1">
      <c r="A3328" s="151" t="s">
        <v>5296</v>
      </c>
    </row>
    <row r="3329" spans="1:1">
      <c r="A3329" s="151" t="s">
        <v>5297</v>
      </c>
    </row>
    <row r="3330" spans="1:1">
      <c r="A3330" s="151" t="s">
        <v>5298</v>
      </c>
    </row>
    <row r="3331" spans="1:1">
      <c r="A3331" s="151" t="s">
        <v>5299</v>
      </c>
    </row>
    <row r="3332" spans="1:1">
      <c r="A3332" s="151" t="s">
        <v>5300</v>
      </c>
    </row>
    <row r="3333" spans="1:1">
      <c r="A3333" s="151" t="s">
        <v>5301</v>
      </c>
    </row>
    <row r="3334" spans="1:1">
      <c r="A3334" s="151" t="s">
        <v>5302</v>
      </c>
    </row>
    <row r="3335" spans="1:1">
      <c r="A3335" s="151" t="s">
        <v>5303</v>
      </c>
    </row>
    <row r="3336" spans="1:1">
      <c r="A3336" s="151" t="s">
        <v>5304</v>
      </c>
    </row>
    <row r="3337" spans="1:1">
      <c r="A3337" s="151" t="s">
        <v>5305</v>
      </c>
    </row>
    <row r="3338" spans="1:1">
      <c r="A3338" s="151" t="s">
        <v>5306</v>
      </c>
    </row>
    <row r="3339" spans="1:1">
      <c r="A3339" s="151" t="s">
        <v>5307</v>
      </c>
    </row>
    <row r="3340" spans="1:1">
      <c r="A3340" s="151" t="s">
        <v>5308</v>
      </c>
    </row>
    <row r="3341" spans="1:1">
      <c r="A3341" s="151" t="s">
        <v>5309</v>
      </c>
    </row>
    <row r="3342" spans="1:1">
      <c r="A3342" s="151" t="s">
        <v>5310</v>
      </c>
    </row>
    <row r="3343" spans="1:1">
      <c r="A3343" s="151" t="s">
        <v>5311</v>
      </c>
    </row>
    <row r="3344" spans="1:1">
      <c r="A3344" s="151" t="s">
        <v>5312</v>
      </c>
    </row>
    <row r="3345" spans="1:1">
      <c r="A3345" s="151" t="s">
        <v>5313</v>
      </c>
    </row>
    <row r="3346" spans="1:1">
      <c r="A3346" s="151" t="s">
        <v>5314</v>
      </c>
    </row>
    <row r="3347" spans="1:1">
      <c r="A3347" s="151" t="s">
        <v>5315</v>
      </c>
    </row>
    <row r="3348" spans="1:1">
      <c r="A3348" s="151" t="s">
        <v>5316</v>
      </c>
    </row>
    <row r="3349" spans="1:1">
      <c r="A3349" s="151" t="s">
        <v>5317</v>
      </c>
    </row>
    <row r="3350" spans="1:1">
      <c r="A3350" s="151" t="s">
        <v>5318</v>
      </c>
    </row>
    <row r="3351" spans="1:1">
      <c r="A3351" s="151" t="s">
        <v>5319</v>
      </c>
    </row>
    <row r="3352" spans="1:1">
      <c r="A3352" s="151" t="s">
        <v>5320</v>
      </c>
    </row>
    <row r="3353" spans="1:1">
      <c r="A3353" s="151" t="s">
        <v>5321</v>
      </c>
    </row>
    <row r="3354" spans="1:1">
      <c r="A3354" s="151" t="s">
        <v>5322</v>
      </c>
    </row>
    <row r="3355" spans="1:1">
      <c r="A3355" s="151" t="s">
        <v>5323</v>
      </c>
    </row>
    <row r="3356" spans="1:1">
      <c r="A3356" s="151" t="s">
        <v>5324</v>
      </c>
    </row>
    <row r="3357" spans="1:1">
      <c r="A3357" s="151" t="s">
        <v>5325</v>
      </c>
    </row>
    <row r="3358" spans="1:1">
      <c r="A3358" s="151" t="s">
        <v>5326</v>
      </c>
    </row>
    <row r="3359" spans="1:1">
      <c r="A3359" s="151" t="s">
        <v>5327</v>
      </c>
    </row>
    <row r="3360" spans="1:1">
      <c r="A3360" s="151" t="s">
        <v>5328</v>
      </c>
    </row>
    <row r="3361" spans="1:1">
      <c r="A3361" s="151" t="s">
        <v>5329</v>
      </c>
    </row>
    <row r="3362" spans="1:1">
      <c r="A3362" s="151" t="s">
        <v>5330</v>
      </c>
    </row>
    <row r="3363" spans="1:1">
      <c r="A3363" s="151" t="s">
        <v>5331</v>
      </c>
    </row>
    <row r="3364" spans="1:1">
      <c r="A3364" s="151" t="s">
        <v>5332</v>
      </c>
    </row>
    <row r="3365" spans="1:1">
      <c r="A3365" s="151" t="s">
        <v>5333</v>
      </c>
    </row>
    <row r="3366" spans="1:1">
      <c r="A3366" s="151" t="s">
        <v>5334</v>
      </c>
    </row>
    <row r="3367" spans="1:1">
      <c r="A3367" s="151" t="s">
        <v>5335</v>
      </c>
    </row>
    <row r="3368" spans="1:1">
      <c r="A3368" s="151" t="s">
        <v>5336</v>
      </c>
    </row>
    <row r="3369" spans="1:1">
      <c r="A3369" s="151" t="s">
        <v>5337</v>
      </c>
    </row>
    <row r="3370" spans="1:1">
      <c r="A3370" s="151" t="s">
        <v>5338</v>
      </c>
    </row>
    <row r="3371" spans="1:1">
      <c r="A3371" s="151" t="s">
        <v>5339</v>
      </c>
    </row>
    <row r="3372" spans="1:1">
      <c r="A3372" s="151" t="s">
        <v>5340</v>
      </c>
    </row>
    <row r="3373" spans="1:1">
      <c r="A3373" s="151" t="s">
        <v>5341</v>
      </c>
    </row>
    <row r="3374" spans="1:1">
      <c r="A3374" s="151" t="s">
        <v>5342</v>
      </c>
    </row>
    <row r="3375" spans="1:1">
      <c r="A3375" s="151" t="s">
        <v>5343</v>
      </c>
    </row>
    <row r="3376" spans="1:1">
      <c r="A3376" s="151" t="s">
        <v>5344</v>
      </c>
    </row>
    <row r="3377" spans="1:1">
      <c r="A3377" s="151" t="s">
        <v>5345</v>
      </c>
    </row>
    <row r="3378" spans="1:1">
      <c r="A3378" s="151" t="s">
        <v>5346</v>
      </c>
    </row>
    <row r="3379" spans="1:1">
      <c r="A3379" s="151" t="s">
        <v>5347</v>
      </c>
    </row>
    <row r="3380" spans="1:1">
      <c r="A3380" s="151" t="s">
        <v>5348</v>
      </c>
    </row>
    <row r="3381" spans="1:1">
      <c r="A3381" s="151" t="s">
        <v>5349</v>
      </c>
    </row>
    <row r="3382" spans="1:1">
      <c r="A3382" s="151" t="s">
        <v>5350</v>
      </c>
    </row>
    <row r="3383" spans="1:1">
      <c r="A3383" s="151" t="s">
        <v>5351</v>
      </c>
    </row>
    <row r="3384" spans="1:1">
      <c r="A3384" s="151" t="s">
        <v>5352</v>
      </c>
    </row>
    <row r="3385" spans="1:1">
      <c r="A3385" s="151" t="s">
        <v>5353</v>
      </c>
    </row>
    <row r="3386" spans="1:1">
      <c r="A3386" s="151" t="s">
        <v>5354</v>
      </c>
    </row>
    <row r="3387" spans="1:1">
      <c r="A3387" s="151" t="s">
        <v>5355</v>
      </c>
    </row>
    <row r="3388" spans="1:1">
      <c r="A3388" s="151" t="s">
        <v>5356</v>
      </c>
    </row>
    <row r="3389" spans="1:1">
      <c r="A3389" s="151" t="s">
        <v>5357</v>
      </c>
    </row>
    <row r="3390" spans="1:1">
      <c r="A3390" s="151" t="s">
        <v>5358</v>
      </c>
    </row>
    <row r="3391" spans="1:1">
      <c r="A3391" s="151" t="s">
        <v>5359</v>
      </c>
    </row>
    <row r="3392" spans="1:1">
      <c r="A3392" s="151" t="s">
        <v>5360</v>
      </c>
    </row>
    <row r="3393" spans="1:1">
      <c r="A3393" s="151" t="s">
        <v>5361</v>
      </c>
    </row>
    <row r="3394" spans="1:1">
      <c r="A3394" s="151" t="s">
        <v>5362</v>
      </c>
    </row>
    <row r="3395" spans="1:1">
      <c r="A3395" s="151" t="s">
        <v>5363</v>
      </c>
    </row>
    <row r="3396" spans="1:1">
      <c r="A3396" s="151" t="s">
        <v>5364</v>
      </c>
    </row>
    <row r="3397" spans="1:1">
      <c r="A3397" s="151" t="s">
        <v>5365</v>
      </c>
    </row>
    <row r="3398" spans="1:1">
      <c r="A3398" s="151" t="s">
        <v>5366</v>
      </c>
    </row>
    <row r="3399" spans="1:1">
      <c r="A3399" s="151" t="s">
        <v>5367</v>
      </c>
    </row>
    <row r="3400" spans="1:1">
      <c r="A3400" s="151" t="s">
        <v>5368</v>
      </c>
    </row>
    <row r="3401" spans="1:1">
      <c r="A3401" s="151" t="s">
        <v>5369</v>
      </c>
    </row>
    <row r="3402" spans="1:1">
      <c r="A3402" s="151" t="s">
        <v>5370</v>
      </c>
    </row>
    <row r="3403" spans="1:1">
      <c r="A3403" s="151" t="s">
        <v>5371</v>
      </c>
    </row>
    <row r="3404" spans="1:1">
      <c r="A3404" s="151" t="s">
        <v>5372</v>
      </c>
    </row>
    <row r="3405" spans="1:1">
      <c r="A3405" s="151" t="s">
        <v>5373</v>
      </c>
    </row>
    <row r="3406" spans="1:1">
      <c r="A3406" s="151" t="s">
        <v>5374</v>
      </c>
    </row>
    <row r="3407" spans="1:1">
      <c r="A3407" s="151" t="s">
        <v>5375</v>
      </c>
    </row>
    <row r="3408" spans="1:1">
      <c r="A3408" s="151" t="s">
        <v>5376</v>
      </c>
    </row>
    <row r="3409" spans="1:1">
      <c r="A3409" s="151" t="s">
        <v>5377</v>
      </c>
    </row>
    <row r="3410" spans="1:1">
      <c r="A3410" s="151" t="s">
        <v>5378</v>
      </c>
    </row>
    <row r="3411" spans="1:1">
      <c r="A3411" s="151" t="s">
        <v>5379</v>
      </c>
    </row>
    <row r="3412" spans="1:1">
      <c r="A3412" s="151" t="s">
        <v>5380</v>
      </c>
    </row>
    <row r="3413" spans="1:1">
      <c r="A3413" s="151" t="s">
        <v>5381</v>
      </c>
    </row>
    <row r="3414" spans="1:1">
      <c r="A3414" s="151" t="s">
        <v>5382</v>
      </c>
    </row>
    <row r="3415" spans="1:1">
      <c r="A3415" s="151" t="s">
        <v>5383</v>
      </c>
    </row>
    <row r="3416" spans="1:1">
      <c r="A3416" s="151" t="s">
        <v>5384</v>
      </c>
    </row>
    <row r="3417" spans="1:1">
      <c r="A3417" s="151" t="s">
        <v>5385</v>
      </c>
    </row>
    <row r="3418" spans="1:1">
      <c r="A3418" s="151" t="s">
        <v>5386</v>
      </c>
    </row>
    <row r="3419" spans="1:1">
      <c r="A3419" s="151" t="s">
        <v>5387</v>
      </c>
    </row>
    <row r="3420" spans="1:1">
      <c r="A3420" s="151" t="s">
        <v>5388</v>
      </c>
    </row>
    <row r="3421" spans="1:1">
      <c r="A3421" s="151" t="s">
        <v>5389</v>
      </c>
    </row>
    <row r="3422" spans="1:1">
      <c r="A3422" s="151" t="s">
        <v>5390</v>
      </c>
    </row>
    <row r="3423" spans="1:1">
      <c r="A3423" s="151" t="s">
        <v>5391</v>
      </c>
    </row>
    <row r="3424" spans="1:1">
      <c r="A3424" s="151" t="s">
        <v>5392</v>
      </c>
    </row>
    <row r="3425" spans="1:1">
      <c r="A3425" s="151" t="s">
        <v>5393</v>
      </c>
    </row>
    <row r="3426" spans="1:1">
      <c r="A3426" s="151" t="s">
        <v>5394</v>
      </c>
    </row>
    <row r="3427" spans="1:1">
      <c r="A3427" s="151" t="s">
        <v>5395</v>
      </c>
    </row>
    <row r="3428" spans="1:1">
      <c r="A3428" s="151" t="s">
        <v>5396</v>
      </c>
    </row>
    <row r="3429" spans="1:1">
      <c r="A3429" s="151" t="s">
        <v>5397</v>
      </c>
    </row>
    <row r="3430" spans="1:1">
      <c r="A3430" s="151" t="s">
        <v>5398</v>
      </c>
    </row>
    <row r="3431" spans="1:1">
      <c r="A3431" s="151" t="s">
        <v>5399</v>
      </c>
    </row>
    <row r="3432" spans="1:1">
      <c r="A3432" s="151" t="s">
        <v>5400</v>
      </c>
    </row>
    <row r="3433" spans="1:1">
      <c r="A3433" s="151" t="s">
        <v>5401</v>
      </c>
    </row>
    <row r="3434" spans="1:1">
      <c r="A3434" s="151" t="s">
        <v>5402</v>
      </c>
    </row>
    <row r="3435" spans="1:1">
      <c r="A3435" s="151" t="s">
        <v>5403</v>
      </c>
    </row>
    <row r="3436" spans="1:1">
      <c r="A3436" s="151" t="s">
        <v>5404</v>
      </c>
    </row>
    <row r="3437" spans="1:1">
      <c r="A3437" s="151" t="s">
        <v>5405</v>
      </c>
    </row>
    <row r="3438" spans="1:1">
      <c r="A3438" s="151" t="s">
        <v>5406</v>
      </c>
    </row>
    <row r="3439" spans="1:1">
      <c r="A3439" s="151" t="s">
        <v>5407</v>
      </c>
    </row>
    <row r="3440" spans="1:1">
      <c r="A3440" s="151" t="s">
        <v>5408</v>
      </c>
    </row>
    <row r="3441" spans="1:1">
      <c r="A3441" s="151" t="s">
        <v>5409</v>
      </c>
    </row>
    <row r="3442" spans="1:1">
      <c r="A3442" s="151" t="s">
        <v>5410</v>
      </c>
    </row>
    <row r="3443" spans="1:1">
      <c r="A3443" s="151" t="s">
        <v>5411</v>
      </c>
    </row>
    <row r="3444" spans="1:1">
      <c r="A3444" s="151" t="s">
        <v>5412</v>
      </c>
    </row>
    <row r="3445" spans="1:1">
      <c r="A3445" s="151" t="s">
        <v>5413</v>
      </c>
    </row>
    <row r="3446" spans="1:1">
      <c r="A3446" s="151" t="s">
        <v>5414</v>
      </c>
    </row>
    <row r="3447" spans="1:1">
      <c r="A3447" s="151" t="s">
        <v>5415</v>
      </c>
    </row>
    <row r="3448" spans="1:1">
      <c r="A3448" s="151" t="s">
        <v>5416</v>
      </c>
    </row>
    <row r="3449" spans="1:1">
      <c r="A3449" s="151" t="s">
        <v>5417</v>
      </c>
    </row>
    <row r="3450" spans="1:1">
      <c r="A3450" s="151" t="s">
        <v>5418</v>
      </c>
    </row>
    <row r="3451" spans="1:1">
      <c r="A3451" s="151" t="s">
        <v>5419</v>
      </c>
    </row>
    <row r="3452" spans="1:1">
      <c r="A3452" s="151" t="s">
        <v>5420</v>
      </c>
    </row>
    <row r="3453" spans="1:1">
      <c r="A3453" s="151" t="s">
        <v>5421</v>
      </c>
    </row>
    <row r="3454" spans="1:1">
      <c r="A3454" s="151" t="s">
        <v>5422</v>
      </c>
    </row>
    <row r="3455" spans="1:1">
      <c r="A3455" s="151" t="s">
        <v>5423</v>
      </c>
    </row>
    <row r="3456" spans="1:1">
      <c r="A3456" s="151" t="s">
        <v>5424</v>
      </c>
    </row>
    <row r="3457" spans="1:1">
      <c r="A3457" s="151" t="s">
        <v>5425</v>
      </c>
    </row>
    <row r="3458" spans="1:1">
      <c r="A3458" s="151" t="s">
        <v>5426</v>
      </c>
    </row>
    <row r="3459" spans="1:1">
      <c r="A3459" s="151" t="s">
        <v>5427</v>
      </c>
    </row>
    <row r="3460" spans="1:1">
      <c r="A3460" s="151" t="s">
        <v>5428</v>
      </c>
    </row>
    <row r="3461" spans="1:1">
      <c r="A3461" s="151" t="s">
        <v>5429</v>
      </c>
    </row>
    <row r="3462" spans="1:1">
      <c r="A3462" s="151" t="s">
        <v>5430</v>
      </c>
    </row>
    <row r="3463" spans="1:1">
      <c r="A3463" s="151" t="s">
        <v>5431</v>
      </c>
    </row>
    <row r="3464" spans="1:1">
      <c r="A3464" s="151" t="s">
        <v>5432</v>
      </c>
    </row>
    <row r="3465" spans="1:1">
      <c r="A3465" s="151" t="s">
        <v>5433</v>
      </c>
    </row>
    <row r="3466" spans="1:1">
      <c r="A3466" s="151" t="s">
        <v>5434</v>
      </c>
    </row>
    <row r="3467" spans="1:1">
      <c r="A3467" s="151" t="s">
        <v>5435</v>
      </c>
    </row>
    <row r="3468" spans="1:1">
      <c r="A3468" s="151" t="s">
        <v>5436</v>
      </c>
    </row>
    <row r="3469" spans="1:1">
      <c r="A3469" s="151" t="s">
        <v>5437</v>
      </c>
    </row>
    <row r="3470" spans="1:1">
      <c r="A3470" s="151" t="s">
        <v>5438</v>
      </c>
    </row>
    <row r="3471" spans="1:1">
      <c r="A3471" s="151" t="s">
        <v>5439</v>
      </c>
    </row>
    <row r="3472" spans="1:1">
      <c r="A3472" s="151" t="s">
        <v>5440</v>
      </c>
    </row>
    <row r="3473" spans="1:1">
      <c r="A3473" s="151" t="s">
        <v>5441</v>
      </c>
    </row>
    <row r="3474" spans="1:1">
      <c r="A3474" s="151" t="s">
        <v>5442</v>
      </c>
    </row>
    <row r="3475" spans="1:1">
      <c r="A3475" s="151" t="s">
        <v>5443</v>
      </c>
    </row>
    <row r="3476" spans="1:1">
      <c r="A3476" s="151" t="s">
        <v>5444</v>
      </c>
    </row>
    <row r="3477" spans="1:1">
      <c r="A3477" s="151" t="s">
        <v>5445</v>
      </c>
    </row>
    <row r="3478" spans="1:1">
      <c r="A3478" s="151" t="s">
        <v>5446</v>
      </c>
    </row>
    <row r="3479" spans="1:1">
      <c r="A3479" s="151" t="s">
        <v>5447</v>
      </c>
    </row>
    <row r="3480" spans="1:1">
      <c r="A3480" s="151" t="s">
        <v>5448</v>
      </c>
    </row>
    <row r="3481" spans="1:1">
      <c r="A3481" s="151" t="s">
        <v>5449</v>
      </c>
    </row>
    <row r="3482" spans="1:1">
      <c r="A3482" s="151" t="s">
        <v>5450</v>
      </c>
    </row>
    <row r="3483" spans="1:1">
      <c r="A3483" s="151" t="s">
        <v>5451</v>
      </c>
    </row>
    <row r="3484" spans="1:1">
      <c r="A3484" s="151" t="s">
        <v>5452</v>
      </c>
    </row>
    <row r="3485" spans="1:1">
      <c r="A3485" s="151" t="s">
        <v>5453</v>
      </c>
    </row>
    <row r="3486" spans="1:1">
      <c r="A3486" s="151" t="s">
        <v>5454</v>
      </c>
    </row>
    <row r="3487" spans="1:1">
      <c r="A3487" s="151" t="s">
        <v>5455</v>
      </c>
    </row>
    <row r="3488" spans="1:1">
      <c r="A3488" s="151" t="s">
        <v>5456</v>
      </c>
    </row>
    <row r="3489" spans="1:1">
      <c r="A3489" s="151" t="s">
        <v>5457</v>
      </c>
    </row>
    <row r="3490" spans="1:1">
      <c r="A3490" s="151" t="s">
        <v>5458</v>
      </c>
    </row>
    <row r="3491" spans="1:1">
      <c r="A3491" s="151" t="s">
        <v>5459</v>
      </c>
    </row>
    <row r="3492" spans="1:1">
      <c r="A3492" s="151" t="s">
        <v>5460</v>
      </c>
    </row>
    <row r="3493" spans="1:1">
      <c r="A3493" s="151" t="s">
        <v>5461</v>
      </c>
    </row>
    <row r="3494" spans="1:1">
      <c r="A3494" s="151" t="s">
        <v>5462</v>
      </c>
    </row>
    <row r="3495" spans="1:1">
      <c r="A3495" s="151" t="s">
        <v>5463</v>
      </c>
    </row>
    <row r="3496" spans="1:1">
      <c r="A3496" s="151" t="s">
        <v>5464</v>
      </c>
    </row>
    <row r="3497" spans="1:1">
      <c r="A3497" s="151" t="s">
        <v>5465</v>
      </c>
    </row>
    <row r="3498" spans="1:1">
      <c r="A3498" s="151" t="s">
        <v>5466</v>
      </c>
    </row>
    <row r="3499" spans="1:1">
      <c r="A3499" s="151" t="s">
        <v>5467</v>
      </c>
    </row>
    <row r="3500" spans="1:1">
      <c r="A3500" s="151" t="s">
        <v>5468</v>
      </c>
    </row>
    <row r="3501" spans="1:1">
      <c r="A3501" s="151" t="s">
        <v>5469</v>
      </c>
    </row>
    <row r="3502" spans="1:1">
      <c r="A3502" s="151" t="s">
        <v>5470</v>
      </c>
    </row>
    <row r="3503" spans="1:1">
      <c r="A3503" s="151" t="s">
        <v>5471</v>
      </c>
    </row>
    <row r="3504" spans="1:1">
      <c r="A3504" s="151" t="s">
        <v>5472</v>
      </c>
    </row>
    <row r="3505" spans="1:1">
      <c r="A3505" s="151" t="s">
        <v>5473</v>
      </c>
    </row>
    <row r="3506" spans="1:1">
      <c r="A3506" s="151" t="s">
        <v>5474</v>
      </c>
    </row>
    <row r="3507" spans="1:1">
      <c r="A3507" s="151" t="s">
        <v>5475</v>
      </c>
    </row>
    <row r="3508" spans="1:1">
      <c r="A3508" s="151" t="s">
        <v>5476</v>
      </c>
    </row>
    <row r="3509" spans="1:1">
      <c r="A3509" s="151" t="s">
        <v>5477</v>
      </c>
    </row>
    <row r="3510" spans="1:1">
      <c r="A3510" s="151" t="s">
        <v>5478</v>
      </c>
    </row>
    <row r="3511" spans="1:1">
      <c r="A3511" s="151" t="s">
        <v>5479</v>
      </c>
    </row>
    <row r="3512" spans="1:1">
      <c r="A3512" s="151" t="s">
        <v>5480</v>
      </c>
    </row>
    <row r="3513" spans="1:1">
      <c r="A3513" s="151" t="s">
        <v>5481</v>
      </c>
    </row>
    <row r="3514" spans="1:1">
      <c r="A3514" s="151" t="s">
        <v>5482</v>
      </c>
    </row>
    <row r="3515" spans="1:1">
      <c r="A3515" s="151" t="s">
        <v>5483</v>
      </c>
    </row>
    <row r="3516" spans="1:1">
      <c r="A3516" s="151" t="s">
        <v>5484</v>
      </c>
    </row>
    <row r="3517" spans="1:1">
      <c r="A3517" s="151" t="s">
        <v>5485</v>
      </c>
    </row>
    <row r="3518" spans="1:1">
      <c r="A3518" s="151" t="s">
        <v>5486</v>
      </c>
    </row>
    <row r="3519" spans="1:1">
      <c r="A3519" s="151" t="s">
        <v>5487</v>
      </c>
    </row>
    <row r="3520" spans="1:1">
      <c r="A3520" s="151" t="s">
        <v>5488</v>
      </c>
    </row>
    <row r="3521" spans="1:1">
      <c r="A3521" s="151" t="s">
        <v>5489</v>
      </c>
    </row>
    <row r="3522" spans="1:1">
      <c r="A3522" s="151" t="s">
        <v>5490</v>
      </c>
    </row>
    <row r="3523" spans="1:1">
      <c r="A3523" s="151" t="s">
        <v>5491</v>
      </c>
    </row>
    <row r="3524" spans="1:1">
      <c r="A3524" s="151" t="s">
        <v>5492</v>
      </c>
    </row>
    <row r="3525" spans="1:1">
      <c r="A3525" s="151" t="s">
        <v>5493</v>
      </c>
    </row>
    <row r="3526" spans="1:1">
      <c r="A3526" s="151" t="s">
        <v>5494</v>
      </c>
    </row>
    <row r="3527" spans="1:1">
      <c r="A3527" s="151" t="s">
        <v>5495</v>
      </c>
    </row>
    <row r="3528" spans="1:1">
      <c r="A3528" s="151" t="s">
        <v>5496</v>
      </c>
    </row>
    <row r="3529" spans="1:1">
      <c r="A3529" s="151" t="s">
        <v>5497</v>
      </c>
    </row>
    <row r="3530" spans="1:1">
      <c r="A3530" s="151" t="s">
        <v>5498</v>
      </c>
    </row>
    <row r="3531" spans="1:1">
      <c r="A3531" s="151" t="s">
        <v>5499</v>
      </c>
    </row>
    <row r="3532" spans="1:1">
      <c r="A3532" s="151" t="s">
        <v>5500</v>
      </c>
    </row>
    <row r="3533" spans="1:1">
      <c r="A3533" s="151" t="s">
        <v>5501</v>
      </c>
    </row>
    <row r="3534" spans="1:1">
      <c r="A3534" s="151" t="s">
        <v>5502</v>
      </c>
    </row>
    <row r="3535" spans="1:1">
      <c r="A3535" s="151" t="s">
        <v>5503</v>
      </c>
    </row>
    <row r="3536" spans="1:1">
      <c r="A3536" s="151" t="s">
        <v>5504</v>
      </c>
    </row>
    <row r="3537" spans="1:1">
      <c r="A3537" s="151" t="s">
        <v>5505</v>
      </c>
    </row>
    <row r="3538" spans="1:1">
      <c r="A3538" s="151" t="s">
        <v>5506</v>
      </c>
    </row>
    <row r="3539" spans="1:1">
      <c r="A3539" s="151" t="s">
        <v>5507</v>
      </c>
    </row>
    <row r="3540" spans="1:1">
      <c r="A3540" s="151" t="s">
        <v>5508</v>
      </c>
    </row>
    <row r="3541" spans="1:1">
      <c r="A3541" s="151" t="s">
        <v>5509</v>
      </c>
    </row>
    <row r="3542" spans="1:1">
      <c r="A3542" s="151" t="s">
        <v>5510</v>
      </c>
    </row>
    <row r="3543" spans="1:1">
      <c r="A3543" s="151" t="s">
        <v>5511</v>
      </c>
    </row>
    <row r="3544" spans="1:1">
      <c r="A3544" s="151" t="s">
        <v>5512</v>
      </c>
    </row>
    <row r="3545" spans="1:1">
      <c r="A3545" s="151" t="s">
        <v>5513</v>
      </c>
    </row>
    <row r="3546" spans="1:1">
      <c r="A3546" s="151" t="s">
        <v>5514</v>
      </c>
    </row>
    <row r="3547" spans="1:1">
      <c r="A3547" s="151" t="s">
        <v>5515</v>
      </c>
    </row>
    <row r="3548" spans="1:1">
      <c r="A3548" s="151" t="s">
        <v>5516</v>
      </c>
    </row>
    <row r="3549" spans="1:1">
      <c r="A3549" s="151" t="s">
        <v>5517</v>
      </c>
    </row>
    <row r="3550" spans="1:1">
      <c r="A3550" s="151" t="s">
        <v>5518</v>
      </c>
    </row>
    <row r="3551" spans="1:1">
      <c r="A3551" s="151" t="s">
        <v>5519</v>
      </c>
    </row>
    <row r="3552" spans="1:1">
      <c r="A3552" s="151" t="s">
        <v>5520</v>
      </c>
    </row>
    <row r="3553" spans="1:1">
      <c r="A3553" s="151" t="s">
        <v>5521</v>
      </c>
    </row>
    <row r="3554" spans="1:1">
      <c r="A3554" s="151" t="s">
        <v>5522</v>
      </c>
    </row>
    <row r="3555" spans="1:1">
      <c r="A3555" s="151" t="s">
        <v>5523</v>
      </c>
    </row>
    <row r="3556" spans="1:1">
      <c r="A3556" s="151" t="s">
        <v>5524</v>
      </c>
    </row>
    <row r="3557" spans="1:1">
      <c r="A3557" s="151" t="s">
        <v>5525</v>
      </c>
    </row>
    <row r="3558" spans="1:1">
      <c r="A3558" s="151" t="s">
        <v>5526</v>
      </c>
    </row>
    <row r="3559" spans="1:1">
      <c r="A3559" s="151" t="s">
        <v>5527</v>
      </c>
    </row>
    <row r="3560" spans="1:1">
      <c r="A3560" s="151" t="s">
        <v>5528</v>
      </c>
    </row>
    <row r="3561" spans="1:1">
      <c r="A3561" s="151" t="s">
        <v>5529</v>
      </c>
    </row>
    <row r="3562" spans="1:1">
      <c r="A3562" s="151" t="s">
        <v>5530</v>
      </c>
    </row>
    <row r="3563" spans="1:1">
      <c r="A3563" s="151" t="s">
        <v>5531</v>
      </c>
    </row>
    <row r="3564" spans="1:1">
      <c r="A3564" s="151" t="s">
        <v>5532</v>
      </c>
    </row>
    <row r="3565" spans="1:1">
      <c r="A3565" s="151" t="s">
        <v>5533</v>
      </c>
    </row>
    <row r="3566" spans="1:1">
      <c r="A3566" s="151" t="s">
        <v>5534</v>
      </c>
    </row>
    <row r="3567" spans="1:1">
      <c r="A3567" s="151" t="s">
        <v>5535</v>
      </c>
    </row>
    <row r="3568" spans="1:1">
      <c r="A3568" s="151" t="s">
        <v>5536</v>
      </c>
    </row>
    <row r="3569" spans="1:1">
      <c r="A3569" s="151" t="s">
        <v>5537</v>
      </c>
    </row>
    <row r="3570" spans="1:1">
      <c r="A3570" s="151" t="s">
        <v>5538</v>
      </c>
    </row>
    <row r="3571" spans="1:1">
      <c r="A3571" s="151" t="s">
        <v>5539</v>
      </c>
    </row>
    <row r="3572" spans="1:1">
      <c r="A3572" s="151" t="s">
        <v>5540</v>
      </c>
    </row>
    <row r="3573" spans="1:1">
      <c r="A3573" s="151" t="s">
        <v>5541</v>
      </c>
    </row>
    <row r="3574" spans="1:1">
      <c r="A3574" s="151" t="s">
        <v>5542</v>
      </c>
    </row>
    <row r="3575" spans="1:1">
      <c r="A3575" s="151" t="s">
        <v>5543</v>
      </c>
    </row>
    <row r="3576" spans="1:1">
      <c r="A3576" s="151" t="s">
        <v>5544</v>
      </c>
    </row>
    <row r="3577" spans="1:1">
      <c r="A3577" s="151" t="s">
        <v>5545</v>
      </c>
    </row>
    <row r="3578" spans="1:1">
      <c r="A3578" s="151" t="s">
        <v>5546</v>
      </c>
    </row>
    <row r="3579" spans="1:1">
      <c r="A3579" s="151" t="s">
        <v>5547</v>
      </c>
    </row>
    <row r="3580" spans="1:1">
      <c r="A3580" s="151" t="s">
        <v>5548</v>
      </c>
    </row>
    <row r="3581" spans="1:1">
      <c r="A3581" s="151" t="s">
        <v>5549</v>
      </c>
    </row>
    <row r="3582" spans="1:1">
      <c r="A3582" s="151" t="s">
        <v>5550</v>
      </c>
    </row>
    <row r="3583" spans="1:1">
      <c r="A3583" s="151" t="s">
        <v>5551</v>
      </c>
    </row>
    <row r="3584" spans="1:1">
      <c r="A3584" s="151" t="s">
        <v>5552</v>
      </c>
    </row>
    <row r="3585" spans="1:1">
      <c r="A3585" s="151" t="s">
        <v>5553</v>
      </c>
    </row>
    <row r="3586" spans="1:1">
      <c r="A3586" s="151" t="s">
        <v>5554</v>
      </c>
    </row>
    <row r="3587" spans="1:1">
      <c r="A3587" s="151" t="s">
        <v>5555</v>
      </c>
    </row>
    <row r="3588" spans="1:1">
      <c r="A3588" s="151" t="s">
        <v>5556</v>
      </c>
    </row>
    <row r="3589" spans="1:1">
      <c r="A3589" s="151" t="s">
        <v>5557</v>
      </c>
    </row>
    <row r="3590" spans="1:1">
      <c r="A3590" s="151" t="s">
        <v>5558</v>
      </c>
    </row>
    <row r="3591" spans="1:1">
      <c r="A3591" s="151" t="s">
        <v>5559</v>
      </c>
    </row>
    <row r="3592" spans="1:1">
      <c r="A3592" s="151" t="s">
        <v>5560</v>
      </c>
    </row>
    <row r="3593" spans="1:1">
      <c r="A3593" s="151" t="s">
        <v>5561</v>
      </c>
    </row>
    <row r="3594" spans="1:1">
      <c r="A3594" s="151" t="s">
        <v>5562</v>
      </c>
    </row>
    <row r="3595" spans="1:1">
      <c r="A3595" s="151" t="s">
        <v>5563</v>
      </c>
    </row>
    <row r="3596" spans="1:1">
      <c r="A3596" s="151" t="s">
        <v>5564</v>
      </c>
    </row>
    <row r="3597" spans="1:1">
      <c r="A3597" s="151" t="s">
        <v>5565</v>
      </c>
    </row>
    <row r="3598" spans="1:1">
      <c r="A3598" s="151" t="s">
        <v>5566</v>
      </c>
    </row>
    <row r="3599" spans="1:1">
      <c r="A3599" s="151" t="s">
        <v>5567</v>
      </c>
    </row>
    <row r="3600" spans="1:1">
      <c r="A3600" s="151" t="s">
        <v>5568</v>
      </c>
    </row>
    <row r="3601" spans="1:1">
      <c r="A3601" s="151" t="s">
        <v>5569</v>
      </c>
    </row>
    <row r="3602" spans="1:1">
      <c r="A3602" s="151" t="s">
        <v>5570</v>
      </c>
    </row>
    <row r="3603" spans="1:1">
      <c r="A3603" s="151" t="s">
        <v>5571</v>
      </c>
    </row>
    <row r="3604" spans="1:1">
      <c r="A3604" s="151" t="s">
        <v>5572</v>
      </c>
    </row>
    <row r="3605" spans="1:1">
      <c r="A3605" s="151" t="s">
        <v>5573</v>
      </c>
    </row>
    <row r="3606" spans="1:1">
      <c r="A3606" s="151" t="s">
        <v>5574</v>
      </c>
    </row>
    <row r="3607" spans="1:1">
      <c r="A3607" s="151" t="s">
        <v>5575</v>
      </c>
    </row>
    <row r="3608" spans="1:1">
      <c r="A3608" s="151" t="s">
        <v>5576</v>
      </c>
    </row>
    <row r="3609" spans="1:1">
      <c r="A3609" s="151" t="s">
        <v>5577</v>
      </c>
    </row>
    <row r="3610" spans="1:1">
      <c r="A3610" s="151" t="s">
        <v>5578</v>
      </c>
    </row>
    <row r="3611" spans="1:1">
      <c r="A3611" s="151" t="s">
        <v>5579</v>
      </c>
    </row>
    <row r="3612" spans="1:1">
      <c r="A3612" s="151" t="s">
        <v>5580</v>
      </c>
    </row>
    <row r="3613" spans="1:1">
      <c r="A3613" s="151" t="s">
        <v>5581</v>
      </c>
    </row>
    <row r="3614" spans="1:1">
      <c r="A3614" s="151" t="s">
        <v>5582</v>
      </c>
    </row>
    <row r="3615" spans="1:1">
      <c r="A3615" s="151" t="s">
        <v>5583</v>
      </c>
    </row>
    <row r="3616" spans="1:1">
      <c r="A3616" s="151" t="s">
        <v>5584</v>
      </c>
    </row>
    <row r="3617" spans="1:1">
      <c r="A3617" s="151" t="s">
        <v>5585</v>
      </c>
    </row>
    <row r="3618" spans="1:1">
      <c r="A3618" s="151" t="s">
        <v>5586</v>
      </c>
    </row>
    <row r="3619" spans="1:1">
      <c r="A3619" s="151" t="s">
        <v>5587</v>
      </c>
    </row>
    <row r="3620" spans="1:1">
      <c r="A3620" s="151" t="s">
        <v>5588</v>
      </c>
    </row>
    <row r="3621" spans="1:1">
      <c r="A3621" s="151" t="s">
        <v>5589</v>
      </c>
    </row>
    <row r="3622" spans="1:1">
      <c r="A3622" s="151" t="s">
        <v>5590</v>
      </c>
    </row>
    <row r="3623" spans="1:1">
      <c r="A3623" s="151" t="s">
        <v>5591</v>
      </c>
    </row>
    <row r="3624" spans="1:1">
      <c r="A3624" s="151" t="s">
        <v>5592</v>
      </c>
    </row>
    <row r="3625" spans="1:1">
      <c r="A3625" s="151" t="s">
        <v>5593</v>
      </c>
    </row>
    <row r="3626" spans="1:1">
      <c r="A3626" s="151" t="s">
        <v>5594</v>
      </c>
    </row>
    <row r="3627" spans="1:1">
      <c r="A3627" s="151" t="s">
        <v>5595</v>
      </c>
    </row>
    <row r="3628" spans="1:1">
      <c r="A3628" s="151" t="s">
        <v>5596</v>
      </c>
    </row>
    <row r="3629" spans="1:1">
      <c r="A3629" s="151" t="s">
        <v>5597</v>
      </c>
    </row>
    <row r="3630" spans="1:1">
      <c r="A3630" s="151" t="s">
        <v>5598</v>
      </c>
    </row>
    <row r="3631" spans="1:1">
      <c r="A3631" s="151" t="s">
        <v>5599</v>
      </c>
    </row>
    <row r="3632" spans="1:1">
      <c r="A3632" s="151" t="s">
        <v>5600</v>
      </c>
    </row>
    <row r="3633" spans="1:1">
      <c r="A3633" s="151" t="s">
        <v>5601</v>
      </c>
    </row>
    <row r="3634" spans="1:1">
      <c r="A3634" s="151" t="s">
        <v>5602</v>
      </c>
    </row>
    <row r="3635" spans="1:1">
      <c r="A3635" s="151" t="s">
        <v>5603</v>
      </c>
    </row>
    <row r="3636" spans="1:1">
      <c r="A3636" s="151" t="s">
        <v>5604</v>
      </c>
    </row>
    <row r="3637" spans="1:1">
      <c r="A3637" s="151" t="s">
        <v>5605</v>
      </c>
    </row>
    <row r="3638" spans="1:1">
      <c r="A3638" s="151" t="s">
        <v>5606</v>
      </c>
    </row>
    <row r="3639" spans="1:1">
      <c r="A3639" s="151" t="s">
        <v>5607</v>
      </c>
    </row>
    <row r="3640" spans="1:1">
      <c r="A3640" s="151" t="s">
        <v>5608</v>
      </c>
    </row>
    <row r="3641" spans="1:1">
      <c r="A3641" s="151" t="s">
        <v>5609</v>
      </c>
    </row>
    <row r="3642" spans="1:1">
      <c r="A3642" s="151" t="s">
        <v>5610</v>
      </c>
    </row>
    <row r="3643" spans="1:1">
      <c r="A3643" s="151" t="s">
        <v>5611</v>
      </c>
    </row>
    <row r="3644" spans="1:1">
      <c r="A3644" s="151" t="s">
        <v>5612</v>
      </c>
    </row>
    <row r="3645" spans="1:1">
      <c r="A3645" s="151" t="s">
        <v>5613</v>
      </c>
    </row>
    <row r="3646" spans="1:1">
      <c r="A3646" s="151" t="s">
        <v>5614</v>
      </c>
    </row>
    <row r="3647" spans="1:1">
      <c r="A3647" s="151" t="s">
        <v>5615</v>
      </c>
    </row>
    <row r="3648" spans="1:1">
      <c r="A3648" s="151" t="s">
        <v>5616</v>
      </c>
    </row>
    <row r="3649" spans="1:1">
      <c r="A3649" s="151" t="s">
        <v>5617</v>
      </c>
    </row>
    <row r="3650" spans="1:1">
      <c r="A3650" s="151" t="s">
        <v>5618</v>
      </c>
    </row>
    <row r="3651" spans="1:1">
      <c r="A3651" s="151" t="s">
        <v>5619</v>
      </c>
    </row>
    <row r="3652" spans="1:1">
      <c r="A3652" s="151" t="s">
        <v>5620</v>
      </c>
    </row>
    <row r="3653" spans="1:1">
      <c r="A3653" s="151" t="s">
        <v>5621</v>
      </c>
    </row>
    <row r="3654" spans="1:1">
      <c r="A3654" s="151" t="s">
        <v>5622</v>
      </c>
    </row>
    <row r="3655" spans="1:1">
      <c r="A3655" s="151" t="s">
        <v>5623</v>
      </c>
    </row>
    <row r="3656" spans="1:1">
      <c r="A3656" s="151" t="s">
        <v>5624</v>
      </c>
    </row>
    <row r="3657" spans="1:1">
      <c r="A3657" s="151" t="s">
        <v>5625</v>
      </c>
    </row>
    <row r="3658" spans="1:1">
      <c r="A3658" s="151" t="s">
        <v>5626</v>
      </c>
    </row>
    <row r="3659" spans="1:1">
      <c r="A3659" s="151" t="s">
        <v>5627</v>
      </c>
    </row>
    <row r="3660" spans="1:1">
      <c r="A3660" s="151" t="s">
        <v>5628</v>
      </c>
    </row>
    <row r="3661" spans="1:1">
      <c r="A3661" s="151" t="s">
        <v>5629</v>
      </c>
    </row>
    <row r="3662" spans="1:1">
      <c r="A3662" s="151" t="s">
        <v>5630</v>
      </c>
    </row>
    <row r="3663" spans="1:1">
      <c r="A3663" s="151" t="s">
        <v>5631</v>
      </c>
    </row>
    <row r="3664" spans="1:1">
      <c r="A3664" s="151" t="s">
        <v>5632</v>
      </c>
    </row>
    <row r="3665" spans="1:1">
      <c r="A3665" s="151" t="s">
        <v>5633</v>
      </c>
    </row>
    <row r="3666" spans="1:1">
      <c r="A3666" s="151" t="s">
        <v>5634</v>
      </c>
    </row>
    <row r="3667" spans="1:1">
      <c r="A3667" s="151" t="s">
        <v>5635</v>
      </c>
    </row>
    <row r="3668" spans="1:1">
      <c r="A3668" s="151" t="s">
        <v>5636</v>
      </c>
    </row>
    <row r="3669" spans="1:1">
      <c r="A3669" s="151" t="s">
        <v>5637</v>
      </c>
    </row>
    <row r="3670" spans="1:1">
      <c r="A3670" s="151" t="s">
        <v>5638</v>
      </c>
    </row>
    <row r="3671" spans="1:1">
      <c r="A3671" s="151" t="s">
        <v>5639</v>
      </c>
    </row>
    <row r="3672" spans="1:1">
      <c r="A3672" s="151" t="s">
        <v>5640</v>
      </c>
    </row>
    <row r="3673" spans="1:1">
      <c r="A3673" s="151" t="s">
        <v>5641</v>
      </c>
    </row>
    <row r="3674" spans="1:1">
      <c r="A3674" s="151" t="s">
        <v>5642</v>
      </c>
    </row>
    <row r="3675" spans="1:1">
      <c r="A3675" s="151" t="s">
        <v>5643</v>
      </c>
    </row>
    <row r="3676" spans="1:1">
      <c r="A3676" s="151" t="s">
        <v>5644</v>
      </c>
    </row>
    <row r="3677" spans="1:1">
      <c r="A3677" s="151" t="s">
        <v>5645</v>
      </c>
    </row>
    <row r="3678" spans="1:1">
      <c r="A3678" s="151" t="s">
        <v>5646</v>
      </c>
    </row>
    <row r="3679" spans="1:1">
      <c r="A3679" s="151" t="s">
        <v>5647</v>
      </c>
    </row>
    <row r="3680" spans="1:1">
      <c r="A3680" s="151" t="s">
        <v>5648</v>
      </c>
    </row>
    <row r="3681" spans="1:1">
      <c r="A3681" s="151" t="s">
        <v>5649</v>
      </c>
    </row>
    <row r="3682" spans="1:1">
      <c r="A3682" s="151" t="s">
        <v>5650</v>
      </c>
    </row>
    <row r="3683" spans="1:1">
      <c r="A3683" s="151" t="s">
        <v>5651</v>
      </c>
    </row>
    <row r="3684" spans="1:1">
      <c r="A3684" s="151" t="s">
        <v>5652</v>
      </c>
    </row>
    <row r="3685" spans="1:1">
      <c r="A3685" s="151" t="s">
        <v>5653</v>
      </c>
    </row>
    <row r="3686" spans="1:1">
      <c r="A3686" s="151" t="s">
        <v>5654</v>
      </c>
    </row>
    <row r="3687" spans="1:1">
      <c r="A3687" s="151" t="s">
        <v>5655</v>
      </c>
    </row>
    <row r="3688" spans="1:1">
      <c r="A3688" s="151" t="s">
        <v>5656</v>
      </c>
    </row>
    <row r="3689" spans="1:1">
      <c r="A3689" s="151" t="s">
        <v>5657</v>
      </c>
    </row>
    <row r="3690" spans="1:1">
      <c r="A3690" s="151" t="s">
        <v>5658</v>
      </c>
    </row>
    <row r="3691" spans="1:1">
      <c r="A3691" s="151" t="s">
        <v>5659</v>
      </c>
    </row>
    <row r="3692" spans="1:1">
      <c r="A3692" s="151" t="s">
        <v>5660</v>
      </c>
    </row>
    <row r="3693" spans="1:1">
      <c r="A3693" s="151" t="s">
        <v>5661</v>
      </c>
    </row>
    <row r="3694" spans="1:1">
      <c r="A3694" s="151" t="s">
        <v>5662</v>
      </c>
    </row>
    <row r="3695" spans="1:1">
      <c r="A3695" s="151" t="s">
        <v>5663</v>
      </c>
    </row>
    <row r="3696" spans="1:1">
      <c r="A3696" s="151" t="s">
        <v>5664</v>
      </c>
    </row>
    <row r="3697" spans="1:1">
      <c r="A3697" s="151" t="s">
        <v>5665</v>
      </c>
    </row>
    <row r="3698" spans="1:1">
      <c r="A3698" s="151" t="s">
        <v>5666</v>
      </c>
    </row>
    <row r="3699" spans="1:1">
      <c r="A3699" s="151" t="s">
        <v>5667</v>
      </c>
    </row>
    <row r="3700" spans="1:1">
      <c r="A3700" s="151" t="s">
        <v>5668</v>
      </c>
    </row>
    <row r="3701" spans="1:1">
      <c r="A3701" s="151" t="s">
        <v>5669</v>
      </c>
    </row>
    <row r="3702" spans="1:1">
      <c r="A3702" s="151" t="s">
        <v>5670</v>
      </c>
    </row>
    <row r="3703" spans="1:1">
      <c r="A3703" s="151" t="s">
        <v>5671</v>
      </c>
    </row>
    <row r="3704" spans="1:1">
      <c r="A3704" s="151" t="s">
        <v>5672</v>
      </c>
    </row>
    <row r="3705" spans="1:1">
      <c r="A3705" s="151" t="s">
        <v>5673</v>
      </c>
    </row>
    <row r="3706" spans="1:1">
      <c r="A3706" s="151" t="s">
        <v>5674</v>
      </c>
    </row>
    <row r="3707" spans="1:1">
      <c r="A3707" s="151" t="s">
        <v>5675</v>
      </c>
    </row>
    <row r="3708" spans="1:1">
      <c r="A3708" s="151" t="s">
        <v>5676</v>
      </c>
    </row>
    <row r="3709" spans="1:1">
      <c r="A3709" s="151" t="s">
        <v>5677</v>
      </c>
    </row>
    <row r="3710" spans="1:1">
      <c r="A3710" s="151" t="s">
        <v>5678</v>
      </c>
    </row>
    <row r="3711" spans="1:1">
      <c r="A3711" s="151" t="s">
        <v>5679</v>
      </c>
    </row>
    <row r="3712" spans="1:1">
      <c r="A3712" s="151" t="s">
        <v>5680</v>
      </c>
    </row>
    <row r="3713" spans="1:1">
      <c r="A3713" s="151" t="s">
        <v>5681</v>
      </c>
    </row>
    <row r="3714" spans="1:1">
      <c r="A3714" s="151" t="s">
        <v>5682</v>
      </c>
    </row>
    <row r="3715" spans="1:1">
      <c r="A3715" s="151" t="s">
        <v>5683</v>
      </c>
    </row>
    <row r="3716" spans="1:1">
      <c r="A3716" s="151" t="s">
        <v>5684</v>
      </c>
    </row>
    <row r="3717" spans="1:1">
      <c r="A3717" s="151" t="s">
        <v>5685</v>
      </c>
    </row>
    <row r="3718" spans="1:1">
      <c r="A3718" s="151" t="s">
        <v>5686</v>
      </c>
    </row>
    <row r="3719" spans="1:1">
      <c r="A3719" s="151" t="s">
        <v>5687</v>
      </c>
    </row>
    <row r="3720" spans="1:1">
      <c r="A3720" s="151" t="s">
        <v>5688</v>
      </c>
    </row>
    <row r="3721" spans="1:1">
      <c r="A3721" s="151" t="s">
        <v>5689</v>
      </c>
    </row>
    <row r="3722" spans="1:1">
      <c r="A3722" s="151" t="s">
        <v>5690</v>
      </c>
    </row>
    <row r="3723" spans="1:1">
      <c r="A3723" s="151" t="s">
        <v>5691</v>
      </c>
    </row>
    <row r="3724" spans="1:1">
      <c r="A3724" s="151" t="s">
        <v>5692</v>
      </c>
    </row>
    <row r="3725" spans="1:1">
      <c r="A3725" s="151" t="s">
        <v>5693</v>
      </c>
    </row>
    <row r="3726" spans="1:1">
      <c r="A3726" s="151" t="s">
        <v>5694</v>
      </c>
    </row>
    <row r="3727" spans="1:1">
      <c r="A3727" s="151" t="s">
        <v>5695</v>
      </c>
    </row>
    <row r="3728" spans="1:1">
      <c r="A3728" s="151" t="s">
        <v>5696</v>
      </c>
    </row>
    <row r="3729" spans="1:1">
      <c r="A3729" s="151" t="s">
        <v>5697</v>
      </c>
    </row>
    <row r="3730" spans="1:1">
      <c r="A3730" s="151" t="s">
        <v>5698</v>
      </c>
    </row>
    <row r="3731" spans="1:1">
      <c r="A3731" s="151" t="s">
        <v>5699</v>
      </c>
    </row>
    <row r="3732" spans="1:1">
      <c r="A3732" s="151" t="s">
        <v>5700</v>
      </c>
    </row>
    <row r="3733" spans="1:1">
      <c r="A3733" s="151" t="s">
        <v>5701</v>
      </c>
    </row>
    <row r="3734" spans="1:1">
      <c r="A3734" s="151" t="s">
        <v>5702</v>
      </c>
    </row>
    <row r="3735" spans="1:1">
      <c r="A3735" s="151" t="s">
        <v>5703</v>
      </c>
    </row>
    <row r="3736" spans="1:1">
      <c r="A3736" s="151" t="s">
        <v>5704</v>
      </c>
    </row>
    <row r="3737" spans="1:1">
      <c r="A3737" s="151" t="s">
        <v>5705</v>
      </c>
    </row>
    <row r="3738" spans="1:1">
      <c r="A3738" s="151" t="s">
        <v>5706</v>
      </c>
    </row>
    <row r="3739" spans="1:1">
      <c r="A3739" s="151" t="s">
        <v>5707</v>
      </c>
    </row>
    <row r="3740" spans="1:1">
      <c r="A3740" s="151" t="s">
        <v>5708</v>
      </c>
    </row>
    <row r="3741" spans="1:1">
      <c r="A3741" s="151" t="s">
        <v>5709</v>
      </c>
    </row>
    <row r="3742" spans="1:1">
      <c r="A3742" s="151" t="s">
        <v>5710</v>
      </c>
    </row>
    <row r="3743" spans="1:1">
      <c r="A3743" s="151" t="s">
        <v>5711</v>
      </c>
    </row>
    <row r="3744" spans="1:1">
      <c r="A3744" s="151" t="s">
        <v>5712</v>
      </c>
    </row>
    <row r="3745" spans="1:1">
      <c r="A3745" s="151" t="s">
        <v>5713</v>
      </c>
    </row>
    <row r="3746" spans="1:1">
      <c r="A3746" s="151" t="s">
        <v>5714</v>
      </c>
    </row>
    <row r="3747" spans="1:1">
      <c r="A3747" s="151" t="s">
        <v>5715</v>
      </c>
    </row>
    <row r="3748" spans="1:1">
      <c r="A3748" s="151" t="s">
        <v>5716</v>
      </c>
    </row>
    <row r="3749" spans="1:1">
      <c r="A3749" s="151" t="s">
        <v>5717</v>
      </c>
    </row>
    <row r="3750" spans="1:1">
      <c r="A3750" s="151" t="s">
        <v>5718</v>
      </c>
    </row>
    <row r="3751" spans="1:1">
      <c r="A3751" s="151" t="s">
        <v>5719</v>
      </c>
    </row>
    <row r="3752" spans="1:1">
      <c r="A3752" s="151" t="s">
        <v>5720</v>
      </c>
    </row>
    <row r="3753" spans="1:1">
      <c r="A3753" s="151" t="s">
        <v>5721</v>
      </c>
    </row>
    <row r="3754" spans="1:1">
      <c r="A3754" s="151" t="s">
        <v>5722</v>
      </c>
    </row>
    <row r="3755" spans="1:1">
      <c r="A3755" s="151" t="s">
        <v>5723</v>
      </c>
    </row>
    <row r="3756" spans="1:1">
      <c r="A3756" s="151" t="s">
        <v>5724</v>
      </c>
    </row>
    <row r="3757" spans="1:1">
      <c r="A3757" s="151" t="s">
        <v>5725</v>
      </c>
    </row>
    <row r="3758" spans="1:1">
      <c r="A3758" s="151" t="s">
        <v>5726</v>
      </c>
    </row>
    <row r="3759" spans="1:1">
      <c r="A3759" s="151" t="s">
        <v>5727</v>
      </c>
    </row>
    <row r="3760" spans="1:1">
      <c r="A3760" s="151" t="s">
        <v>5728</v>
      </c>
    </row>
    <row r="3761" spans="1:1">
      <c r="A3761" s="151" t="s">
        <v>5729</v>
      </c>
    </row>
    <row r="3762" spans="1:1">
      <c r="A3762" s="151" t="s">
        <v>5730</v>
      </c>
    </row>
    <row r="3763" spans="1:1">
      <c r="A3763" s="151" t="s">
        <v>5731</v>
      </c>
    </row>
    <row r="3764" spans="1:1">
      <c r="A3764" s="151" t="s">
        <v>5732</v>
      </c>
    </row>
    <row r="3765" spans="1:1">
      <c r="A3765" s="151" t="s">
        <v>5733</v>
      </c>
    </row>
    <row r="3766" spans="1:1">
      <c r="A3766" s="151" t="s">
        <v>5734</v>
      </c>
    </row>
    <row r="3767" spans="1:1">
      <c r="A3767" s="151" t="s">
        <v>5735</v>
      </c>
    </row>
    <row r="3768" spans="1:1">
      <c r="A3768" s="151" t="s">
        <v>5736</v>
      </c>
    </row>
    <row r="3769" spans="1:1">
      <c r="A3769" s="151" t="s">
        <v>5737</v>
      </c>
    </row>
    <row r="3770" spans="1:1">
      <c r="A3770" s="151" t="s">
        <v>5738</v>
      </c>
    </row>
    <row r="3771" spans="1:1">
      <c r="A3771" s="151" t="s">
        <v>5739</v>
      </c>
    </row>
    <row r="3772" spans="1:1">
      <c r="A3772" s="151" t="s">
        <v>5740</v>
      </c>
    </row>
    <row r="3773" spans="1:1">
      <c r="A3773" s="151" t="s">
        <v>5741</v>
      </c>
    </row>
    <row r="3774" spans="1:1">
      <c r="A3774" s="151" t="s">
        <v>5742</v>
      </c>
    </row>
    <row r="3775" spans="1:1">
      <c r="A3775" s="151" t="s">
        <v>5743</v>
      </c>
    </row>
    <row r="3776" spans="1:1">
      <c r="A3776" s="151" t="s">
        <v>5744</v>
      </c>
    </row>
    <row r="3777" spans="1:1">
      <c r="A3777" s="151" t="s">
        <v>5745</v>
      </c>
    </row>
    <row r="3778" spans="1:1">
      <c r="A3778" s="151" t="s">
        <v>5746</v>
      </c>
    </row>
    <row r="3779" spans="1:1">
      <c r="A3779" s="151" t="s">
        <v>5747</v>
      </c>
    </row>
    <row r="3780" spans="1:1">
      <c r="A3780" s="151" t="s">
        <v>5748</v>
      </c>
    </row>
    <row r="3781" spans="1:1">
      <c r="A3781" s="151" t="s">
        <v>5749</v>
      </c>
    </row>
    <row r="3782" spans="1:1">
      <c r="A3782" s="151" t="s">
        <v>5750</v>
      </c>
    </row>
    <row r="3783" spans="1:1">
      <c r="A3783" s="151" t="s">
        <v>5751</v>
      </c>
    </row>
    <row r="3784" spans="1:1">
      <c r="A3784" s="151" t="s">
        <v>5752</v>
      </c>
    </row>
    <row r="3785" spans="1:1">
      <c r="A3785" s="151" t="s">
        <v>5753</v>
      </c>
    </row>
    <row r="3786" spans="1:1">
      <c r="A3786" s="151" t="s">
        <v>5754</v>
      </c>
    </row>
    <row r="3787" spans="1:1">
      <c r="A3787" s="151" t="s">
        <v>5755</v>
      </c>
    </row>
    <row r="3788" spans="1:1">
      <c r="A3788" s="151" t="s">
        <v>5756</v>
      </c>
    </row>
    <row r="3789" spans="1:1">
      <c r="A3789" s="151" t="s">
        <v>5757</v>
      </c>
    </row>
    <row r="3790" spans="1:1">
      <c r="A3790" s="151" t="s">
        <v>5758</v>
      </c>
    </row>
    <row r="3791" spans="1:1">
      <c r="A3791" s="151" t="s">
        <v>5759</v>
      </c>
    </row>
    <row r="3792" spans="1:1">
      <c r="A3792" s="151" t="s">
        <v>5760</v>
      </c>
    </row>
    <row r="3793" spans="1:1">
      <c r="A3793" s="151" t="s">
        <v>5761</v>
      </c>
    </row>
    <row r="3794" spans="1:1">
      <c r="A3794" s="151" t="s">
        <v>5762</v>
      </c>
    </row>
    <row r="3795" spans="1:1">
      <c r="A3795" s="151" t="s">
        <v>5763</v>
      </c>
    </row>
    <row r="3796" spans="1:1">
      <c r="A3796" s="151" t="s">
        <v>5764</v>
      </c>
    </row>
    <row r="3797" spans="1:1">
      <c r="A3797" s="151" t="s">
        <v>5765</v>
      </c>
    </row>
    <row r="3798" spans="1:1">
      <c r="A3798" s="151" t="s">
        <v>5766</v>
      </c>
    </row>
    <row r="3799" spans="1:1">
      <c r="A3799" s="151" t="s">
        <v>5767</v>
      </c>
    </row>
    <row r="3800" spans="1:1">
      <c r="A3800" s="151" t="s">
        <v>5768</v>
      </c>
    </row>
    <row r="3801" spans="1:1">
      <c r="A3801" s="151" t="s">
        <v>5769</v>
      </c>
    </row>
    <row r="3802" spans="1:1">
      <c r="A3802" s="151" t="s">
        <v>5770</v>
      </c>
    </row>
    <row r="3803" spans="1:1">
      <c r="A3803" s="151" t="s">
        <v>5771</v>
      </c>
    </row>
    <row r="3804" spans="1:1">
      <c r="A3804" s="151" t="s">
        <v>5772</v>
      </c>
    </row>
    <row r="3805" spans="1:1">
      <c r="A3805" s="151" t="s">
        <v>5773</v>
      </c>
    </row>
    <row r="3806" spans="1:1">
      <c r="A3806" s="151" t="s">
        <v>5774</v>
      </c>
    </row>
    <row r="3807" spans="1:1">
      <c r="A3807" s="151" t="s">
        <v>5775</v>
      </c>
    </row>
    <row r="3808" spans="1:1">
      <c r="A3808" s="151" t="s">
        <v>5776</v>
      </c>
    </row>
    <row r="3809" spans="1:1">
      <c r="A3809" s="151" t="s">
        <v>5777</v>
      </c>
    </row>
    <row r="3810" spans="1:1">
      <c r="A3810" s="151" t="s">
        <v>5778</v>
      </c>
    </row>
    <row r="3811" spans="1:1">
      <c r="A3811" s="151" t="s">
        <v>5779</v>
      </c>
    </row>
    <row r="3812" spans="1:1">
      <c r="A3812" s="151" t="s">
        <v>5780</v>
      </c>
    </row>
    <row r="3813" spans="1:1">
      <c r="A3813" s="151" t="s">
        <v>5781</v>
      </c>
    </row>
    <row r="3814" spans="1:1">
      <c r="A3814" s="151" t="s">
        <v>5782</v>
      </c>
    </row>
    <row r="3815" spans="1:1">
      <c r="A3815" s="151" t="s">
        <v>5783</v>
      </c>
    </row>
    <row r="3816" spans="1:1">
      <c r="A3816" s="151" t="s">
        <v>5784</v>
      </c>
    </row>
    <row r="3817" spans="1:1">
      <c r="A3817" s="151" t="s">
        <v>5785</v>
      </c>
    </row>
    <row r="3818" spans="1:1">
      <c r="A3818" s="151" t="s">
        <v>5786</v>
      </c>
    </row>
    <row r="3819" spans="1:1">
      <c r="A3819" s="151" t="s">
        <v>5787</v>
      </c>
    </row>
    <row r="3820" spans="1:1">
      <c r="A3820" s="151" t="s">
        <v>5788</v>
      </c>
    </row>
    <row r="3821" spans="1:1">
      <c r="A3821" s="151" t="s">
        <v>5789</v>
      </c>
    </row>
    <row r="3822" spans="1:1">
      <c r="A3822" s="151" t="s">
        <v>5790</v>
      </c>
    </row>
    <row r="3823" spans="1:1">
      <c r="A3823" s="151" t="s">
        <v>5791</v>
      </c>
    </row>
    <row r="3824" spans="1:1">
      <c r="A3824" s="151" t="s">
        <v>5792</v>
      </c>
    </row>
    <row r="3825" spans="1:1">
      <c r="A3825" s="151" t="s">
        <v>5793</v>
      </c>
    </row>
    <row r="3826" spans="1:1">
      <c r="A3826" s="151" t="s">
        <v>5794</v>
      </c>
    </row>
    <row r="3827" spans="1:1">
      <c r="A3827" s="151" t="s">
        <v>5795</v>
      </c>
    </row>
    <row r="3828" spans="1:1">
      <c r="A3828" s="151" t="s">
        <v>5796</v>
      </c>
    </row>
    <row r="3829" spans="1:1">
      <c r="A3829" s="151" t="s">
        <v>5797</v>
      </c>
    </row>
    <row r="3830" spans="1:1">
      <c r="A3830" s="151" t="s">
        <v>5798</v>
      </c>
    </row>
    <row r="3831" spans="1:1">
      <c r="A3831" s="151" t="s">
        <v>5799</v>
      </c>
    </row>
    <row r="3832" spans="1:1">
      <c r="A3832" s="151" t="s">
        <v>5800</v>
      </c>
    </row>
    <row r="3833" spans="1:1">
      <c r="A3833" s="151" t="s">
        <v>5801</v>
      </c>
    </row>
    <row r="3834" spans="1:1">
      <c r="A3834" s="151" t="s">
        <v>5802</v>
      </c>
    </row>
    <row r="3835" spans="1:1">
      <c r="A3835" s="151" t="s">
        <v>5803</v>
      </c>
    </row>
    <row r="3836" spans="1:1">
      <c r="A3836" s="151" t="s">
        <v>5804</v>
      </c>
    </row>
    <row r="3837" spans="1:1">
      <c r="A3837" s="151" t="s">
        <v>5805</v>
      </c>
    </row>
    <row r="3838" spans="1:1">
      <c r="A3838" s="151" t="s">
        <v>5806</v>
      </c>
    </row>
    <row r="3839" spans="1:1">
      <c r="A3839" s="151" t="s">
        <v>5807</v>
      </c>
    </row>
    <row r="3840" spans="1:1">
      <c r="A3840" s="151" t="s">
        <v>5808</v>
      </c>
    </row>
    <row r="3841" spans="1:1">
      <c r="A3841" s="151" t="s">
        <v>5809</v>
      </c>
    </row>
    <row r="3842" spans="1:1">
      <c r="A3842" s="151" t="s">
        <v>5810</v>
      </c>
    </row>
    <row r="3843" spans="1:1">
      <c r="A3843" s="151" t="s">
        <v>5811</v>
      </c>
    </row>
    <row r="3844" spans="1:1">
      <c r="A3844" s="151" t="s">
        <v>5812</v>
      </c>
    </row>
    <row r="3845" spans="1:1">
      <c r="A3845" s="151" t="s">
        <v>5813</v>
      </c>
    </row>
    <row r="3846" spans="1:1">
      <c r="A3846" s="151" t="s">
        <v>5814</v>
      </c>
    </row>
    <row r="3847" spans="1:1">
      <c r="A3847" s="151" t="s">
        <v>5815</v>
      </c>
    </row>
    <row r="3848" spans="1:1">
      <c r="A3848" s="151" t="s">
        <v>5816</v>
      </c>
    </row>
    <row r="3849" spans="1:1">
      <c r="A3849" s="151" t="s">
        <v>5817</v>
      </c>
    </row>
    <row r="3850" spans="1:1">
      <c r="A3850" s="151" t="s">
        <v>5818</v>
      </c>
    </row>
    <row r="3851" spans="1:1">
      <c r="A3851" s="151" t="s">
        <v>5819</v>
      </c>
    </row>
    <row r="3852" spans="1:1">
      <c r="A3852" s="151" t="s">
        <v>5820</v>
      </c>
    </row>
    <row r="3853" spans="1:1">
      <c r="A3853" s="151" t="s">
        <v>5821</v>
      </c>
    </row>
    <row r="3854" spans="1:1">
      <c r="A3854" s="151" t="s">
        <v>5822</v>
      </c>
    </row>
    <row r="3855" spans="1:1">
      <c r="A3855" s="151" t="s">
        <v>5823</v>
      </c>
    </row>
    <row r="3856" spans="1:1">
      <c r="A3856" s="151" t="s">
        <v>5824</v>
      </c>
    </row>
    <row r="3857" spans="1:1">
      <c r="A3857" s="151" t="s">
        <v>5825</v>
      </c>
    </row>
    <row r="3858" spans="1:1">
      <c r="A3858" s="151" t="s">
        <v>5826</v>
      </c>
    </row>
    <row r="3859" spans="1:1">
      <c r="A3859" s="151" t="s">
        <v>5827</v>
      </c>
    </row>
    <row r="3860" spans="1:1">
      <c r="A3860" s="151" t="s">
        <v>5828</v>
      </c>
    </row>
    <row r="3861" spans="1:1">
      <c r="A3861" s="151" t="s">
        <v>5829</v>
      </c>
    </row>
    <row r="3862" spans="1:1">
      <c r="A3862" s="151" t="s">
        <v>5830</v>
      </c>
    </row>
    <row r="3863" spans="1:1">
      <c r="A3863" s="151" t="s">
        <v>5831</v>
      </c>
    </row>
    <row r="3864" spans="1:1">
      <c r="A3864" s="151" t="s">
        <v>5832</v>
      </c>
    </row>
    <row r="3865" spans="1:1">
      <c r="A3865" s="151" t="s">
        <v>5833</v>
      </c>
    </row>
    <row r="3866" spans="1:1">
      <c r="A3866" s="151" t="s">
        <v>5834</v>
      </c>
    </row>
    <row r="3867" spans="1:1">
      <c r="A3867" s="151" t="s">
        <v>5835</v>
      </c>
    </row>
    <row r="3868" spans="1:1">
      <c r="A3868" s="151" t="s">
        <v>5836</v>
      </c>
    </row>
    <row r="3869" spans="1:1">
      <c r="A3869" s="151" t="s">
        <v>5837</v>
      </c>
    </row>
    <row r="3870" spans="1:1">
      <c r="A3870" s="151" t="s">
        <v>5838</v>
      </c>
    </row>
    <row r="3871" spans="1:1">
      <c r="A3871" s="151" t="s">
        <v>5839</v>
      </c>
    </row>
    <row r="3872" spans="1:1">
      <c r="A3872" s="151" t="s">
        <v>5840</v>
      </c>
    </row>
    <row r="3873" spans="1:1">
      <c r="A3873" s="151" t="s">
        <v>5841</v>
      </c>
    </row>
    <row r="3874" spans="1:1">
      <c r="A3874" s="151" t="s">
        <v>5842</v>
      </c>
    </row>
    <row r="3875" spans="1:1">
      <c r="A3875" s="151" t="s">
        <v>5843</v>
      </c>
    </row>
    <row r="3876" spans="1:1">
      <c r="A3876" s="151" t="s">
        <v>5844</v>
      </c>
    </row>
    <row r="3877" spans="1:1">
      <c r="A3877" s="151" t="s">
        <v>5845</v>
      </c>
    </row>
    <row r="3878" spans="1:1">
      <c r="A3878" s="151" t="s">
        <v>5846</v>
      </c>
    </row>
    <row r="3879" spans="1:1">
      <c r="A3879" s="151" t="s">
        <v>5847</v>
      </c>
    </row>
    <row r="3880" spans="1:1">
      <c r="A3880" s="151" t="s">
        <v>5848</v>
      </c>
    </row>
    <row r="3881" spans="1:1">
      <c r="A3881" s="151" t="s">
        <v>5849</v>
      </c>
    </row>
    <row r="3882" spans="1:1">
      <c r="A3882" s="151" t="s">
        <v>5850</v>
      </c>
    </row>
    <row r="3883" spans="1:1">
      <c r="A3883" s="151" t="s">
        <v>5851</v>
      </c>
    </row>
    <row r="3884" spans="1:1">
      <c r="A3884" s="151" t="s">
        <v>5852</v>
      </c>
    </row>
    <row r="3885" spans="1:1">
      <c r="A3885" s="151" t="s">
        <v>5853</v>
      </c>
    </row>
    <row r="3886" spans="1:1">
      <c r="A3886" s="151" t="s">
        <v>5854</v>
      </c>
    </row>
    <row r="3887" spans="1:1">
      <c r="A3887" s="151" t="s">
        <v>5855</v>
      </c>
    </row>
    <row r="3888" spans="1:1">
      <c r="A3888" s="151" t="s">
        <v>5856</v>
      </c>
    </row>
    <row r="3889" spans="1:1">
      <c r="A3889" s="151" t="s">
        <v>5857</v>
      </c>
    </row>
    <row r="3890" spans="1:1">
      <c r="A3890" s="151" t="s">
        <v>5858</v>
      </c>
    </row>
    <row r="3891" spans="1:1">
      <c r="A3891" s="151" t="s">
        <v>5859</v>
      </c>
    </row>
    <row r="3892" spans="1:1">
      <c r="A3892" s="151" t="s">
        <v>5860</v>
      </c>
    </row>
    <row r="3893" spans="1:1">
      <c r="A3893" s="151" t="s">
        <v>5861</v>
      </c>
    </row>
    <row r="3894" spans="1:1">
      <c r="A3894" s="151" t="s">
        <v>5862</v>
      </c>
    </row>
    <row r="3895" spans="1:1">
      <c r="A3895" s="151" t="s">
        <v>5863</v>
      </c>
    </row>
    <row r="3896" spans="1:1">
      <c r="A3896" s="151" t="s">
        <v>5864</v>
      </c>
    </row>
    <row r="3897" spans="1:1">
      <c r="A3897" s="151" t="s">
        <v>5865</v>
      </c>
    </row>
    <row r="3898" spans="1:1">
      <c r="A3898" s="151" t="s">
        <v>5866</v>
      </c>
    </row>
    <row r="3899" spans="1:1">
      <c r="A3899" s="151" t="s">
        <v>5867</v>
      </c>
    </row>
    <row r="3900" spans="1:1">
      <c r="A3900" s="151" t="s">
        <v>5868</v>
      </c>
    </row>
    <row r="3901" spans="1:1">
      <c r="A3901" s="151" t="s">
        <v>5869</v>
      </c>
    </row>
    <row r="3902" spans="1:1">
      <c r="A3902" s="151" t="s">
        <v>5870</v>
      </c>
    </row>
    <row r="3903" spans="1:1">
      <c r="A3903" s="151" t="s">
        <v>5871</v>
      </c>
    </row>
    <row r="3904" spans="1:1">
      <c r="A3904" s="151" t="s">
        <v>5872</v>
      </c>
    </row>
    <row r="3905" spans="1:1">
      <c r="A3905" s="151" t="s">
        <v>5873</v>
      </c>
    </row>
    <row r="3906" spans="1:1">
      <c r="A3906" s="151" t="s">
        <v>5874</v>
      </c>
    </row>
    <row r="3907" spans="1:1">
      <c r="A3907" s="151" t="s">
        <v>5875</v>
      </c>
    </row>
    <row r="3908" spans="1:1">
      <c r="A3908" s="151" t="s">
        <v>5876</v>
      </c>
    </row>
    <row r="3909" spans="1:1">
      <c r="A3909" s="151" t="s">
        <v>5877</v>
      </c>
    </row>
    <row r="3910" spans="1:1">
      <c r="A3910" s="151" t="s">
        <v>5878</v>
      </c>
    </row>
    <row r="3911" spans="1:1">
      <c r="A3911" s="151" t="s">
        <v>5879</v>
      </c>
    </row>
    <row r="3912" spans="1:1">
      <c r="A3912" s="151" t="s">
        <v>5880</v>
      </c>
    </row>
    <row r="3913" spans="1:1">
      <c r="A3913" s="151" t="s">
        <v>5881</v>
      </c>
    </row>
    <row r="3914" spans="1:1">
      <c r="A3914" s="151" t="s">
        <v>5882</v>
      </c>
    </row>
    <row r="3915" spans="1:1">
      <c r="A3915" s="151" t="s">
        <v>5883</v>
      </c>
    </row>
    <row r="3916" spans="1:1">
      <c r="A3916" s="151" t="s">
        <v>5884</v>
      </c>
    </row>
    <row r="3917" spans="1:1">
      <c r="A3917" s="151" t="s">
        <v>5885</v>
      </c>
    </row>
    <row r="3918" spans="1:1">
      <c r="A3918" s="151" t="s">
        <v>5886</v>
      </c>
    </row>
    <row r="3919" spans="1:1">
      <c r="A3919" s="151" t="s">
        <v>5887</v>
      </c>
    </row>
    <row r="3920" spans="1:1">
      <c r="A3920" s="151" t="s">
        <v>5888</v>
      </c>
    </row>
    <row r="3921" spans="1:1">
      <c r="A3921" s="151" t="s">
        <v>5889</v>
      </c>
    </row>
    <row r="3922" spans="1:1">
      <c r="A3922" s="151" t="s">
        <v>5890</v>
      </c>
    </row>
    <row r="3923" spans="1:1">
      <c r="A3923" s="151" t="s">
        <v>5891</v>
      </c>
    </row>
    <row r="3924" spans="1:1">
      <c r="A3924" s="151" t="s">
        <v>5892</v>
      </c>
    </row>
    <row r="3925" spans="1:1">
      <c r="A3925" s="151" t="s">
        <v>5893</v>
      </c>
    </row>
    <row r="3926" spans="1:1">
      <c r="A3926" s="151" t="s">
        <v>5894</v>
      </c>
    </row>
    <row r="3927" spans="1:1">
      <c r="A3927" s="151" t="s">
        <v>5895</v>
      </c>
    </row>
    <row r="3928" spans="1:1">
      <c r="A3928" s="151" t="s">
        <v>5896</v>
      </c>
    </row>
    <row r="3929" spans="1:1">
      <c r="A3929" s="151" t="s">
        <v>5897</v>
      </c>
    </row>
    <row r="3930" spans="1:1">
      <c r="A3930" s="151" t="s">
        <v>5898</v>
      </c>
    </row>
    <row r="3931" spans="1:1">
      <c r="A3931" s="151" t="s">
        <v>5899</v>
      </c>
    </row>
    <row r="3932" spans="1:1">
      <c r="A3932" s="151" t="s">
        <v>5900</v>
      </c>
    </row>
    <row r="3933" spans="1:1">
      <c r="A3933" s="151" t="s">
        <v>5901</v>
      </c>
    </row>
    <row r="3934" spans="1:1">
      <c r="A3934" s="151" t="s">
        <v>5902</v>
      </c>
    </row>
    <row r="3935" spans="1:1">
      <c r="A3935" s="151" t="s">
        <v>5903</v>
      </c>
    </row>
    <row r="3936" spans="1:1">
      <c r="A3936" s="151" t="s">
        <v>5904</v>
      </c>
    </row>
    <row r="3937" spans="1:1">
      <c r="A3937" s="151" t="s">
        <v>5905</v>
      </c>
    </row>
    <row r="3938" spans="1:1">
      <c r="A3938" s="151" t="s">
        <v>5906</v>
      </c>
    </row>
    <row r="3939" spans="1:1">
      <c r="A3939" s="151" t="s">
        <v>5907</v>
      </c>
    </row>
    <row r="3940" spans="1:1">
      <c r="A3940" s="151" t="s">
        <v>5908</v>
      </c>
    </row>
    <row r="3941" spans="1:1">
      <c r="A3941" s="151" t="s">
        <v>5909</v>
      </c>
    </row>
    <row r="3942" spans="1:1">
      <c r="A3942" s="151" t="s">
        <v>5910</v>
      </c>
    </row>
    <row r="3943" spans="1:1">
      <c r="A3943" s="151" t="s">
        <v>5911</v>
      </c>
    </row>
    <row r="3944" spans="1:1">
      <c r="A3944" s="151" t="s">
        <v>5912</v>
      </c>
    </row>
    <row r="3945" spans="1:1">
      <c r="A3945" s="151" t="s">
        <v>5913</v>
      </c>
    </row>
    <row r="3946" spans="1:1">
      <c r="A3946" s="151" t="s">
        <v>5914</v>
      </c>
    </row>
    <row r="3947" spans="1:1">
      <c r="A3947" s="151" t="s">
        <v>5915</v>
      </c>
    </row>
    <row r="3948" spans="1:1">
      <c r="A3948" s="151" t="s">
        <v>5916</v>
      </c>
    </row>
    <row r="3949" spans="1:1">
      <c r="A3949" s="151" t="s">
        <v>5917</v>
      </c>
    </row>
    <row r="3950" spans="1:1">
      <c r="A3950" s="151" t="s">
        <v>5918</v>
      </c>
    </row>
    <row r="3951" spans="1:1">
      <c r="A3951" s="151" t="s">
        <v>5919</v>
      </c>
    </row>
    <row r="3952" spans="1:1">
      <c r="A3952" s="151" t="s">
        <v>5920</v>
      </c>
    </row>
    <row r="3953" spans="1:1">
      <c r="A3953" s="151" t="s">
        <v>5921</v>
      </c>
    </row>
    <row r="3954" spans="1:1">
      <c r="A3954" s="151" t="s">
        <v>5922</v>
      </c>
    </row>
    <row r="3955" spans="1:1">
      <c r="A3955" s="151" t="s">
        <v>5923</v>
      </c>
    </row>
    <row r="3956" spans="1:1">
      <c r="A3956" s="151" t="s">
        <v>5924</v>
      </c>
    </row>
    <row r="3957" spans="1:1">
      <c r="A3957" s="151" t="s">
        <v>5925</v>
      </c>
    </row>
    <row r="3958" spans="1:1">
      <c r="A3958" s="151" t="s">
        <v>5926</v>
      </c>
    </row>
    <row r="3959" spans="1:1">
      <c r="A3959" s="151" t="s">
        <v>5927</v>
      </c>
    </row>
    <row r="3960" spans="1:1">
      <c r="A3960" s="151" t="s">
        <v>5928</v>
      </c>
    </row>
    <row r="3961" spans="1:1">
      <c r="A3961" s="151" t="s">
        <v>5929</v>
      </c>
    </row>
    <row r="3962" spans="1:1">
      <c r="A3962" s="151" t="s">
        <v>5930</v>
      </c>
    </row>
    <row r="3963" spans="1:1">
      <c r="A3963" s="151" t="s">
        <v>5931</v>
      </c>
    </row>
    <row r="3964" spans="1:1">
      <c r="A3964" s="151" t="s">
        <v>5932</v>
      </c>
    </row>
    <row r="3965" spans="1:1">
      <c r="A3965" s="151" t="s">
        <v>5933</v>
      </c>
    </row>
    <row r="3966" spans="1:1">
      <c r="A3966" s="151" t="s">
        <v>5934</v>
      </c>
    </row>
    <row r="3967" spans="1:1">
      <c r="A3967" s="151" t="s">
        <v>5935</v>
      </c>
    </row>
    <row r="3968" spans="1:1">
      <c r="A3968" s="151" t="s">
        <v>5936</v>
      </c>
    </row>
    <row r="3969" spans="1:1">
      <c r="A3969" s="151" t="s">
        <v>5937</v>
      </c>
    </row>
    <row r="3970" spans="1:1">
      <c r="A3970" s="151" t="s">
        <v>5938</v>
      </c>
    </row>
    <row r="3971" spans="1:1">
      <c r="A3971" s="151" t="s">
        <v>5939</v>
      </c>
    </row>
    <row r="3972" spans="1:1">
      <c r="A3972" s="151" t="s">
        <v>5940</v>
      </c>
    </row>
    <row r="3973" spans="1:1">
      <c r="A3973" s="151" t="s">
        <v>5941</v>
      </c>
    </row>
    <row r="3974" spans="1:1">
      <c r="A3974" s="151" t="s">
        <v>5942</v>
      </c>
    </row>
    <row r="3975" spans="1:1">
      <c r="A3975" s="151" t="s">
        <v>5943</v>
      </c>
    </row>
    <row r="3976" spans="1:1">
      <c r="A3976" s="151" t="s">
        <v>5944</v>
      </c>
    </row>
    <row r="3977" spans="1:1">
      <c r="A3977" s="151" t="s">
        <v>5945</v>
      </c>
    </row>
    <row r="3978" spans="1:1">
      <c r="A3978" s="151" t="s">
        <v>5946</v>
      </c>
    </row>
    <row r="3979" spans="1:1">
      <c r="A3979" s="151" t="s">
        <v>5947</v>
      </c>
    </row>
    <row r="3980" spans="1:1">
      <c r="A3980" s="151" t="s">
        <v>5948</v>
      </c>
    </row>
    <row r="3981" spans="1:1">
      <c r="A3981" s="151" t="s">
        <v>5949</v>
      </c>
    </row>
    <row r="3982" spans="1:1">
      <c r="A3982" s="151" t="s">
        <v>5950</v>
      </c>
    </row>
    <row r="3983" spans="1:1">
      <c r="A3983" s="151" t="s">
        <v>5951</v>
      </c>
    </row>
    <row r="3984" spans="1:1">
      <c r="A3984" s="151" t="s">
        <v>5952</v>
      </c>
    </row>
    <row r="3985" spans="1:1">
      <c r="A3985" s="151" t="s">
        <v>5953</v>
      </c>
    </row>
    <row r="3986" spans="1:1">
      <c r="A3986" s="151" t="s">
        <v>5954</v>
      </c>
    </row>
    <row r="3987" spans="1:1">
      <c r="A3987" s="151" t="s">
        <v>5955</v>
      </c>
    </row>
    <row r="3988" spans="1:1">
      <c r="A3988" s="151" t="s">
        <v>5956</v>
      </c>
    </row>
    <row r="3989" spans="1:1">
      <c r="A3989" s="151" t="s">
        <v>5957</v>
      </c>
    </row>
    <row r="3990" spans="1:1">
      <c r="A3990" s="151" t="s">
        <v>5958</v>
      </c>
    </row>
    <row r="3991" spans="1:1">
      <c r="A3991" s="151" t="s">
        <v>5959</v>
      </c>
    </row>
    <row r="3992" spans="1:1">
      <c r="A3992" s="151" t="s">
        <v>5960</v>
      </c>
    </row>
    <row r="3993" spans="1:1">
      <c r="A3993" s="151" t="s">
        <v>5961</v>
      </c>
    </row>
    <row r="3994" spans="1:1">
      <c r="A3994" s="151" t="s">
        <v>5962</v>
      </c>
    </row>
    <row r="3995" spans="1:1">
      <c r="A3995" s="151" t="s">
        <v>5963</v>
      </c>
    </row>
    <row r="3996" spans="1:1">
      <c r="A3996" s="151" t="s">
        <v>5964</v>
      </c>
    </row>
    <row r="3997" spans="1:1">
      <c r="A3997" s="151" t="s">
        <v>5965</v>
      </c>
    </row>
    <row r="3998" spans="1:1">
      <c r="A3998" s="151" t="s">
        <v>5966</v>
      </c>
    </row>
    <row r="3999" spans="1:1">
      <c r="A3999" s="151" t="s">
        <v>5967</v>
      </c>
    </row>
    <row r="4000" spans="1:1">
      <c r="A4000" s="151" t="s">
        <v>5968</v>
      </c>
    </row>
    <row r="4001" spans="1:1">
      <c r="A4001" s="151" t="s">
        <v>5969</v>
      </c>
    </row>
    <row r="4002" spans="1:1">
      <c r="A4002" s="151" t="s">
        <v>5970</v>
      </c>
    </row>
    <row r="4003" spans="1:1">
      <c r="A4003" s="151" t="s">
        <v>5971</v>
      </c>
    </row>
    <row r="4004" spans="1:1">
      <c r="A4004" s="151" t="s">
        <v>5972</v>
      </c>
    </row>
    <row r="4005" spans="1:1">
      <c r="A4005" s="151" t="s">
        <v>5973</v>
      </c>
    </row>
    <row r="4006" spans="1:1">
      <c r="A4006" s="151" t="s">
        <v>5974</v>
      </c>
    </row>
    <row r="4007" spans="1:1">
      <c r="A4007" s="151" t="s">
        <v>5975</v>
      </c>
    </row>
    <row r="4008" spans="1:1">
      <c r="A4008" s="151" t="s">
        <v>5976</v>
      </c>
    </row>
    <row r="4009" spans="1:1">
      <c r="A4009" s="151" t="s">
        <v>5977</v>
      </c>
    </row>
    <row r="4010" spans="1:1">
      <c r="A4010" s="151" t="s">
        <v>5978</v>
      </c>
    </row>
    <row r="4011" spans="1:1">
      <c r="A4011" s="151" t="s">
        <v>5979</v>
      </c>
    </row>
    <row r="4012" spans="1:1">
      <c r="A4012" s="151" t="s">
        <v>5980</v>
      </c>
    </row>
    <row r="4013" spans="1:1">
      <c r="A4013" s="151" t="s">
        <v>5981</v>
      </c>
    </row>
    <row r="4014" spans="1:1">
      <c r="A4014" s="151" t="s">
        <v>5982</v>
      </c>
    </row>
    <row r="4015" spans="1:1">
      <c r="A4015" s="151" t="s">
        <v>5983</v>
      </c>
    </row>
    <row r="4016" spans="1:1">
      <c r="A4016" s="151" t="s">
        <v>5984</v>
      </c>
    </row>
    <row r="4017" spans="1:1">
      <c r="A4017" s="151" t="s">
        <v>5985</v>
      </c>
    </row>
    <row r="4018" spans="1:1">
      <c r="A4018" s="151" t="s">
        <v>5986</v>
      </c>
    </row>
    <row r="4019" spans="1:1">
      <c r="A4019" s="151" t="s">
        <v>5987</v>
      </c>
    </row>
    <row r="4020" spans="1:1">
      <c r="A4020" s="151" t="s">
        <v>5988</v>
      </c>
    </row>
    <row r="4021" spans="1:1">
      <c r="A4021" s="151" t="s">
        <v>5989</v>
      </c>
    </row>
    <row r="4022" spans="1:1">
      <c r="A4022" s="151" t="s">
        <v>5990</v>
      </c>
    </row>
    <row r="4023" spans="1:1">
      <c r="A4023" s="151" t="s">
        <v>5991</v>
      </c>
    </row>
    <row r="4024" spans="1:1">
      <c r="A4024" s="151" t="s">
        <v>5992</v>
      </c>
    </row>
    <row r="4025" spans="1:1">
      <c r="A4025" s="151" t="s">
        <v>5993</v>
      </c>
    </row>
    <row r="4026" spans="1:1">
      <c r="A4026" s="151" t="s">
        <v>5994</v>
      </c>
    </row>
    <row r="4027" spans="1:1">
      <c r="A4027" s="151" t="s">
        <v>5995</v>
      </c>
    </row>
    <row r="4028" spans="1:1">
      <c r="A4028" s="151" t="s">
        <v>5996</v>
      </c>
    </row>
    <row r="4029" spans="1:1">
      <c r="A4029" s="151" t="s">
        <v>5997</v>
      </c>
    </row>
    <row r="4030" spans="1:1">
      <c r="A4030" s="151" t="s">
        <v>5998</v>
      </c>
    </row>
    <row r="4031" spans="1:1">
      <c r="A4031" s="151" t="s">
        <v>5999</v>
      </c>
    </row>
    <row r="4032" spans="1:1">
      <c r="A4032" s="151" t="s">
        <v>6000</v>
      </c>
    </row>
    <row r="4033" spans="1:1">
      <c r="A4033" s="151" t="s">
        <v>6001</v>
      </c>
    </row>
    <row r="4034" spans="1:1">
      <c r="A4034" s="151" t="s">
        <v>6002</v>
      </c>
    </row>
    <row r="4035" spans="1:1">
      <c r="A4035" s="151" t="s">
        <v>6003</v>
      </c>
    </row>
    <row r="4036" spans="1:1">
      <c r="A4036" s="151" t="s">
        <v>6004</v>
      </c>
    </row>
    <row r="4037" spans="1:1">
      <c r="A4037" s="151" t="s">
        <v>6005</v>
      </c>
    </row>
    <row r="4038" spans="1:1">
      <c r="A4038" s="151" t="s">
        <v>6006</v>
      </c>
    </row>
    <row r="4039" spans="1:1">
      <c r="A4039" s="151" t="s">
        <v>6007</v>
      </c>
    </row>
    <row r="4040" spans="1:1">
      <c r="A4040" s="151" t="s">
        <v>6008</v>
      </c>
    </row>
    <row r="4041" spans="1:1">
      <c r="A4041" s="151" t="s">
        <v>6009</v>
      </c>
    </row>
    <row r="4042" spans="1:1">
      <c r="A4042" s="151" t="s">
        <v>6010</v>
      </c>
    </row>
    <row r="4043" spans="1:1">
      <c r="A4043" s="151" t="s">
        <v>6011</v>
      </c>
    </row>
    <row r="4044" spans="1:1">
      <c r="A4044" s="151" t="s">
        <v>6012</v>
      </c>
    </row>
    <row r="4045" spans="1:1">
      <c r="A4045" s="151" t="s">
        <v>6013</v>
      </c>
    </row>
    <row r="4046" spans="1:1">
      <c r="A4046" s="151" t="s">
        <v>6014</v>
      </c>
    </row>
    <row r="4047" spans="1:1">
      <c r="A4047" s="151" t="s">
        <v>6015</v>
      </c>
    </row>
    <row r="4048" spans="1:1">
      <c r="A4048" s="151" t="s">
        <v>6016</v>
      </c>
    </row>
    <row r="4049" spans="1:1">
      <c r="A4049" s="151" t="s">
        <v>6017</v>
      </c>
    </row>
    <row r="4050" spans="1:1">
      <c r="A4050" s="151" t="s">
        <v>6018</v>
      </c>
    </row>
    <row r="4051" spans="1:1">
      <c r="A4051" s="151" t="s">
        <v>6019</v>
      </c>
    </row>
    <row r="4052" spans="1:1">
      <c r="A4052" s="151" t="s">
        <v>6020</v>
      </c>
    </row>
    <row r="4053" spans="1:1">
      <c r="A4053" s="151" t="s">
        <v>6021</v>
      </c>
    </row>
    <row r="4054" spans="1:1">
      <c r="A4054" s="151" t="s">
        <v>6022</v>
      </c>
    </row>
    <row r="4055" spans="1:1">
      <c r="A4055" s="151" t="s">
        <v>6023</v>
      </c>
    </row>
    <row r="4056" spans="1:1">
      <c r="A4056" s="151" t="s">
        <v>6024</v>
      </c>
    </row>
    <row r="4057" spans="1:1">
      <c r="A4057" s="151" t="s">
        <v>6025</v>
      </c>
    </row>
    <row r="4058" spans="1:1">
      <c r="A4058" s="151" t="s">
        <v>6026</v>
      </c>
    </row>
    <row r="4059" spans="1:1">
      <c r="A4059" s="151" t="s">
        <v>6027</v>
      </c>
    </row>
    <row r="4060" spans="1:1">
      <c r="A4060" s="151" t="s">
        <v>6028</v>
      </c>
    </row>
    <row r="4061" spans="1:1">
      <c r="A4061" s="151" t="s">
        <v>6029</v>
      </c>
    </row>
    <row r="4062" spans="1:1">
      <c r="A4062" s="151" t="s">
        <v>6030</v>
      </c>
    </row>
    <row r="4063" spans="1:1">
      <c r="A4063" s="151" t="s">
        <v>6031</v>
      </c>
    </row>
    <row r="4064" spans="1:1">
      <c r="A4064" s="151" t="s">
        <v>6032</v>
      </c>
    </row>
    <row r="4065" spans="1:1">
      <c r="A4065" s="151" t="s">
        <v>6033</v>
      </c>
    </row>
    <row r="4066" spans="1:1">
      <c r="A4066" s="151" t="s">
        <v>6034</v>
      </c>
    </row>
    <row r="4067" spans="1:1">
      <c r="A4067" s="151" t="s">
        <v>6035</v>
      </c>
    </row>
    <row r="4068" spans="1:1">
      <c r="A4068" s="151" t="s">
        <v>6036</v>
      </c>
    </row>
    <row r="4069" spans="1:1">
      <c r="A4069" s="151" t="s">
        <v>6037</v>
      </c>
    </row>
    <row r="4070" spans="1:1">
      <c r="A4070" s="151" t="s">
        <v>6038</v>
      </c>
    </row>
    <row r="4071" spans="1:1">
      <c r="A4071" s="151" t="s">
        <v>6039</v>
      </c>
    </row>
    <row r="4072" spans="1:1">
      <c r="A4072" s="151" t="s">
        <v>6040</v>
      </c>
    </row>
    <row r="4073" spans="1:1">
      <c r="A4073" s="151" t="s">
        <v>6041</v>
      </c>
    </row>
    <row r="4074" spans="1:1">
      <c r="A4074" s="151" t="s">
        <v>6042</v>
      </c>
    </row>
    <row r="4075" spans="1:1">
      <c r="A4075" s="151" t="s">
        <v>6043</v>
      </c>
    </row>
    <row r="4076" spans="1:1">
      <c r="A4076" s="151" t="s">
        <v>6044</v>
      </c>
    </row>
    <row r="4077" spans="1:1">
      <c r="A4077" s="151" t="s">
        <v>6045</v>
      </c>
    </row>
    <row r="4078" spans="1:1">
      <c r="A4078" s="151" t="s">
        <v>6046</v>
      </c>
    </row>
    <row r="4079" spans="1:1">
      <c r="A4079" s="151" t="s">
        <v>6047</v>
      </c>
    </row>
    <row r="4080" spans="1:1">
      <c r="A4080" s="151" t="s">
        <v>6048</v>
      </c>
    </row>
    <row r="4081" spans="1:1">
      <c r="A4081" s="151" t="s">
        <v>6049</v>
      </c>
    </row>
    <row r="4082" spans="1:1">
      <c r="A4082" s="151" t="s">
        <v>6050</v>
      </c>
    </row>
    <row r="4083" spans="1:1">
      <c r="A4083" s="151" t="s">
        <v>6051</v>
      </c>
    </row>
    <row r="4084" spans="1:1">
      <c r="A4084" s="151" t="s">
        <v>6052</v>
      </c>
    </row>
    <row r="4085" spans="1:1">
      <c r="A4085" s="151" t="s">
        <v>6053</v>
      </c>
    </row>
    <row r="4086" spans="1:1">
      <c r="A4086" s="151" t="s">
        <v>6054</v>
      </c>
    </row>
    <row r="4087" spans="1:1">
      <c r="A4087" s="151" t="s">
        <v>6055</v>
      </c>
    </row>
    <row r="4088" spans="1:1">
      <c r="A4088" s="151" t="s">
        <v>6056</v>
      </c>
    </row>
    <row r="4089" spans="1:1">
      <c r="A4089" s="151" t="s">
        <v>6057</v>
      </c>
    </row>
    <row r="4090" spans="1:1">
      <c r="A4090" s="151" t="s">
        <v>6058</v>
      </c>
    </row>
    <row r="4091" spans="1:1">
      <c r="A4091" s="151" t="s">
        <v>6059</v>
      </c>
    </row>
    <row r="4092" spans="1:1">
      <c r="A4092" s="151" t="s">
        <v>6060</v>
      </c>
    </row>
    <row r="4093" spans="1:1">
      <c r="A4093" s="151" t="s">
        <v>6061</v>
      </c>
    </row>
    <row r="4094" spans="1:1">
      <c r="A4094" s="151" t="s">
        <v>6062</v>
      </c>
    </row>
    <row r="4095" spans="1:1">
      <c r="A4095" s="151" t="s">
        <v>6063</v>
      </c>
    </row>
    <row r="4096" spans="1:1">
      <c r="A4096" s="151" t="s">
        <v>6064</v>
      </c>
    </row>
    <row r="4097" spans="1:1">
      <c r="A4097" s="151" t="s">
        <v>6065</v>
      </c>
    </row>
    <row r="4098" spans="1:1">
      <c r="A4098" s="151" t="s">
        <v>6066</v>
      </c>
    </row>
    <row r="4099" spans="1:1">
      <c r="A4099" s="151" t="s">
        <v>6067</v>
      </c>
    </row>
    <row r="4100" spans="1:1">
      <c r="A4100" s="151" t="s">
        <v>6068</v>
      </c>
    </row>
    <row r="4101" spans="1:1">
      <c r="A4101" s="151" t="s">
        <v>6069</v>
      </c>
    </row>
    <row r="4102" spans="1:1">
      <c r="A4102" s="151" t="s">
        <v>6070</v>
      </c>
    </row>
    <row r="4103" spans="1:1">
      <c r="A4103" s="151" t="s">
        <v>6071</v>
      </c>
    </row>
    <row r="4104" spans="1:1">
      <c r="A4104" s="151" t="s">
        <v>6072</v>
      </c>
    </row>
    <row r="4105" spans="1:1">
      <c r="A4105" s="151" t="s">
        <v>6073</v>
      </c>
    </row>
    <row r="4106" spans="1:1">
      <c r="A4106" s="151" t="s">
        <v>6074</v>
      </c>
    </row>
    <row r="4107" spans="1:1">
      <c r="A4107" s="151" t="s">
        <v>6075</v>
      </c>
    </row>
    <row r="4108" spans="1:1">
      <c r="A4108" s="151" t="s">
        <v>6076</v>
      </c>
    </row>
    <row r="4109" spans="1:1">
      <c r="A4109" s="151" t="s">
        <v>6077</v>
      </c>
    </row>
    <row r="4110" spans="1:1">
      <c r="A4110" s="151" t="s">
        <v>6078</v>
      </c>
    </row>
    <row r="4111" spans="1:1">
      <c r="A4111" s="151" t="s">
        <v>6079</v>
      </c>
    </row>
    <row r="4112" spans="1:1">
      <c r="A4112" s="151" t="s">
        <v>6080</v>
      </c>
    </row>
    <row r="4113" spans="1:1">
      <c r="A4113" s="151" t="s">
        <v>6081</v>
      </c>
    </row>
    <row r="4114" spans="1:1">
      <c r="A4114" s="151" t="s">
        <v>6082</v>
      </c>
    </row>
    <row r="4115" spans="1:1">
      <c r="A4115" s="151" t="s">
        <v>6083</v>
      </c>
    </row>
    <row r="4116" spans="1:1">
      <c r="A4116" s="151" t="s">
        <v>6084</v>
      </c>
    </row>
    <row r="4117" spans="1:1">
      <c r="A4117" s="151" t="s">
        <v>6085</v>
      </c>
    </row>
    <row r="4118" spans="1:1">
      <c r="A4118" s="151" t="s">
        <v>6086</v>
      </c>
    </row>
    <row r="4119" spans="1:1">
      <c r="A4119" s="151" t="s">
        <v>6087</v>
      </c>
    </row>
    <row r="4120" spans="1:1">
      <c r="A4120" s="151" t="s">
        <v>6088</v>
      </c>
    </row>
    <row r="4121" spans="1:1">
      <c r="A4121" s="151" t="s">
        <v>6089</v>
      </c>
    </row>
    <row r="4122" spans="1:1">
      <c r="A4122" s="151" t="s">
        <v>6090</v>
      </c>
    </row>
    <row r="4123" spans="1:1">
      <c r="A4123" s="151" t="s">
        <v>6091</v>
      </c>
    </row>
    <row r="4124" spans="1:1">
      <c r="A4124" s="151" t="s">
        <v>6092</v>
      </c>
    </row>
    <row r="4125" spans="1:1">
      <c r="A4125" s="151" t="s">
        <v>6093</v>
      </c>
    </row>
    <row r="4126" spans="1:1">
      <c r="A4126" s="151" t="s">
        <v>6094</v>
      </c>
    </row>
    <row r="4127" spans="1:1">
      <c r="A4127" s="151" t="s">
        <v>6095</v>
      </c>
    </row>
    <row r="4128" spans="1:1">
      <c r="A4128" s="151" t="s">
        <v>6096</v>
      </c>
    </row>
    <row r="4129" spans="1:1">
      <c r="A4129" s="151" t="s">
        <v>6097</v>
      </c>
    </row>
    <row r="4130" spans="1:1">
      <c r="A4130" s="151" t="s">
        <v>6098</v>
      </c>
    </row>
    <row r="4131" spans="1:1">
      <c r="A4131" s="151" t="s">
        <v>6099</v>
      </c>
    </row>
    <row r="4132" spans="1:1">
      <c r="A4132" s="151" t="s">
        <v>6100</v>
      </c>
    </row>
    <row r="4133" spans="1:1">
      <c r="A4133" s="151" t="s">
        <v>6101</v>
      </c>
    </row>
    <row r="4134" spans="1:1">
      <c r="A4134" s="151" t="s">
        <v>6102</v>
      </c>
    </row>
    <row r="4135" spans="1:1">
      <c r="A4135" s="151" t="s">
        <v>6103</v>
      </c>
    </row>
    <row r="4136" spans="1:1">
      <c r="A4136" s="151" t="s">
        <v>6104</v>
      </c>
    </row>
    <row r="4137" spans="1:1">
      <c r="A4137" s="151" t="s">
        <v>6105</v>
      </c>
    </row>
    <row r="4138" spans="1:1">
      <c r="A4138" s="151" t="s">
        <v>6106</v>
      </c>
    </row>
    <row r="4139" spans="1:1">
      <c r="A4139" s="151" t="s">
        <v>6107</v>
      </c>
    </row>
    <row r="4140" spans="1:1">
      <c r="A4140" s="151" t="s">
        <v>6108</v>
      </c>
    </row>
    <row r="4141" spans="1:1">
      <c r="A4141" s="151" t="s">
        <v>6109</v>
      </c>
    </row>
    <row r="4142" spans="1:1">
      <c r="A4142" s="151" t="s">
        <v>6110</v>
      </c>
    </row>
    <row r="4143" spans="1:1">
      <c r="A4143" s="151" t="s">
        <v>6111</v>
      </c>
    </row>
    <row r="4144" spans="1:1">
      <c r="A4144" s="151" t="s">
        <v>6112</v>
      </c>
    </row>
    <row r="4145" spans="1:1">
      <c r="A4145" s="151" t="s">
        <v>6113</v>
      </c>
    </row>
    <row r="4146" spans="1:1">
      <c r="A4146" s="151" t="s">
        <v>6114</v>
      </c>
    </row>
    <row r="4147" spans="1:1">
      <c r="A4147" s="151" t="s">
        <v>6115</v>
      </c>
    </row>
    <row r="4148" spans="1:1">
      <c r="A4148" s="151" t="s">
        <v>6116</v>
      </c>
    </row>
    <row r="4149" spans="1:1">
      <c r="A4149" s="151" t="s">
        <v>6117</v>
      </c>
    </row>
    <row r="4150" spans="1:1">
      <c r="A4150" s="151" t="s">
        <v>6118</v>
      </c>
    </row>
    <row r="4151" spans="1:1">
      <c r="A4151" s="151" t="s">
        <v>6119</v>
      </c>
    </row>
    <row r="4152" spans="1:1">
      <c r="A4152" s="151" t="s">
        <v>6120</v>
      </c>
    </row>
    <row r="4153" spans="1:1">
      <c r="A4153" s="151" t="s">
        <v>6121</v>
      </c>
    </row>
    <row r="4154" spans="1:1">
      <c r="A4154" s="151" t="s">
        <v>6122</v>
      </c>
    </row>
    <row r="4155" spans="1:1">
      <c r="A4155" s="151" t="s">
        <v>6123</v>
      </c>
    </row>
    <row r="4156" spans="1:1">
      <c r="A4156" s="151" t="s">
        <v>6124</v>
      </c>
    </row>
    <row r="4157" spans="1:1">
      <c r="A4157" s="151" t="s">
        <v>6125</v>
      </c>
    </row>
    <row r="4158" spans="1:1">
      <c r="A4158" s="151" t="s">
        <v>6126</v>
      </c>
    </row>
    <row r="4159" spans="1:1">
      <c r="A4159" s="151" t="s">
        <v>6127</v>
      </c>
    </row>
    <row r="4160" spans="1:1">
      <c r="A4160" s="151" t="s">
        <v>6128</v>
      </c>
    </row>
    <row r="4161" spans="1:1">
      <c r="A4161" s="151" t="s">
        <v>6129</v>
      </c>
    </row>
    <row r="4162" spans="1:1">
      <c r="A4162" s="151" t="s">
        <v>6130</v>
      </c>
    </row>
    <row r="4163" spans="1:1">
      <c r="A4163" s="151" t="s">
        <v>6131</v>
      </c>
    </row>
    <row r="4164" spans="1:1">
      <c r="A4164" s="151" t="s">
        <v>6132</v>
      </c>
    </row>
    <row r="4165" spans="1:1">
      <c r="A4165" s="151" t="s">
        <v>6133</v>
      </c>
    </row>
    <row r="4166" spans="1:1">
      <c r="A4166" s="151" t="s">
        <v>6134</v>
      </c>
    </row>
    <row r="4167" spans="1:1">
      <c r="A4167" s="151" t="s">
        <v>6135</v>
      </c>
    </row>
    <row r="4168" spans="1:1">
      <c r="A4168" s="151" t="s">
        <v>6136</v>
      </c>
    </row>
    <row r="4169" spans="1:1">
      <c r="A4169" s="151" t="s">
        <v>6137</v>
      </c>
    </row>
    <row r="4170" spans="1:1">
      <c r="A4170" s="151" t="s">
        <v>6138</v>
      </c>
    </row>
    <row r="4171" spans="1:1">
      <c r="A4171" s="151" t="s">
        <v>6139</v>
      </c>
    </row>
    <row r="4172" spans="1:1">
      <c r="A4172" s="151" t="s">
        <v>6140</v>
      </c>
    </row>
    <row r="4173" spans="1:1">
      <c r="A4173" s="151" t="s">
        <v>6141</v>
      </c>
    </row>
    <row r="4174" spans="1:1">
      <c r="A4174" s="151" t="s">
        <v>6142</v>
      </c>
    </row>
    <row r="4175" spans="1:1">
      <c r="A4175" s="151" t="s">
        <v>6143</v>
      </c>
    </row>
    <row r="4176" spans="1:1">
      <c r="A4176" s="151" t="s">
        <v>6144</v>
      </c>
    </row>
    <row r="4177" spans="1:1">
      <c r="A4177" s="151" t="s">
        <v>6145</v>
      </c>
    </row>
    <row r="4178" spans="1:1">
      <c r="A4178" s="151" t="s">
        <v>6146</v>
      </c>
    </row>
    <row r="4179" spans="1:1">
      <c r="A4179" s="151" t="s">
        <v>6147</v>
      </c>
    </row>
    <row r="4180" spans="1:1">
      <c r="A4180" s="151" t="s">
        <v>6148</v>
      </c>
    </row>
    <row r="4181" spans="1:1">
      <c r="A4181" s="151" t="s">
        <v>6149</v>
      </c>
    </row>
    <row r="4182" spans="1:1">
      <c r="A4182" s="151" t="s">
        <v>6150</v>
      </c>
    </row>
    <row r="4183" spans="1:1">
      <c r="A4183" s="151" t="s">
        <v>6151</v>
      </c>
    </row>
    <row r="4184" spans="1:1">
      <c r="A4184" s="151" t="s">
        <v>6152</v>
      </c>
    </row>
    <row r="4185" spans="1:1">
      <c r="A4185" s="151" t="s">
        <v>6153</v>
      </c>
    </row>
    <row r="4186" spans="1:1">
      <c r="A4186" s="151" t="s">
        <v>6154</v>
      </c>
    </row>
    <row r="4187" spans="1:1">
      <c r="A4187" s="151" t="s">
        <v>6155</v>
      </c>
    </row>
    <row r="4188" spans="1:1">
      <c r="A4188" s="151" t="s">
        <v>6156</v>
      </c>
    </row>
    <row r="4189" spans="1:1">
      <c r="A4189" s="151" t="s">
        <v>6157</v>
      </c>
    </row>
    <row r="4190" spans="1:1">
      <c r="A4190" s="151" t="s">
        <v>6158</v>
      </c>
    </row>
    <row r="4191" spans="1:1">
      <c r="A4191" s="151" t="s">
        <v>6159</v>
      </c>
    </row>
    <row r="4192" spans="1:1">
      <c r="A4192" s="151" t="s">
        <v>6160</v>
      </c>
    </row>
    <row r="4193" spans="1:1">
      <c r="A4193" s="151" t="s">
        <v>6161</v>
      </c>
    </row>
    <row r="4194" spans="1:1">
      <c r="A4194" s="151" t="s">
        <v>6162</v>
      </c>
    </row>
    <row r="4195" spans="1:1">
      <c r="A4195" s="151" t="s">
        <v>6163</v>
      </c>
    </row>
    <row r="4196" spans="1:1">
      <c r="A4196" s="151" t="s">
        <v>6164</v>
      </c>
    </row>
    <row r="4197" spans="1:1">
      <c r="A4197" s="151" t="s">
        <v>6165</v>
      </c>
    </row>
    <row r="4198" spans="1:1">
      <c r="A4198" s="151" t="s">
        <v>6166</v>
      </c>
    </row>
    <row r="4199" spans="1:1">
      <c r="A4199" s="151" t="s">
        <v>6167</v>
      </c>
    </row>
    <row r="4200" spans="1:1">
      <c r="A4200" s="151" t="s">
        <v>6168</v>
      </c>
    </row>
    <row r="4201" spans="1:1">
      <c r="A4201" s="151" t="s">
        <v>6169</v>
      </c>
    </row>
    <row r="4202" spans="1:1">
      <c r="A4202" s="151" t="s">
        <v>6170</v>
      </c>
    </row>
    <row r="4203" spans="1:1">
      <c r="A4203" s="151" t="s">
        <v>6171</v>
      </c>
    </row>
    <row r="4204" spans="1:1">
      <c r="A4204" s="151" t="s">
        <v>6172</v>
      </c>
    </row>
    <row r="4205" spans="1:1">
      <c r="A4205" s="151" t="s">
        <v>6173</v>
      </c>
    </row>
    <row r="4206" spans="1:1">
      <c r="A4206" s="151" t="s">
        <v>6174</v>
      </c>
    </row>
    <row r="4207" spans="1:1">
      <c r="A4207" s="151" t="s">
        <v>6175</v>
      </c>
    </row>
    <row r="4208" spans="1:1">
      <c r="A4208" s="151" t="s">
        <v>6176</v>
      </c>
    </row>
    <row r="4209" spans="1:1">
      <c r="A4209" s="151" t="s">
        <v>6177</v>
      </c>
    </row>
    <row r="4210" spans="1:1">
      <c r="A4210" s="151" t="s">
        <v>6178</v>
      </c>
    </row>
    <row r="4211" spans="1:1">
      <c r="A4211" s="151" t="s">
        <v>6179</v>
      </c>
    </row>
    <row r="4212" spans="1:1">
      <c r="A4212" s="151" t="s">
        <v>6180</v>
      </c>
    </row>
    <row r="4213" spans="1:1">
      <c r="A4213" s="151" t="s">
        <v>6181</v>
      </c>
    </row>
    <row r="4214" spans="1:1">
      <c r="A4214" s="151" t="s">
        <v>6182</v>
      </c>
    </row>
    <row r="4215" spans="1:1">
      <c r="A4215" s="151" t="s">
        <v>6183</v>
      </c>
    </row>
    <row r="4216" spans="1:1">
      <c r="A4216" s="151" t="s">
        <v>6184</v>
      </c>
    </row>
    <row r="4217" spans="1:1">
      <c r="A4217" s="151" t="s">
        <v>6185</v>
      </c>
    </row>
    <row r="4218" spans="1:1">
      <c r="A4218" s="151" t="s">
        <v>6186</v>
      </c>
    </row>
    <row r="4219" spans="1:1">
      <c r="A4219" s="151" t="s">
        <v>6187</v>
      </c>
    </row>
    <row r="4220" spans="1:1">
      <c r="A4220" s="151" t="s">
        <v>6188</v>
      </c>
    </row>
    <row r="4221" spans="1:1">
      <c r="A4221" s="151" t="s">
        <v>6189</v>
      </c>
    </row>
    <row r="4222" spans="1:1">
      <c r="A4222" s="151" t="s">
        <v>6190</v>
      </c>
    </row>
    <row r="4223" spans="1:1">
      <c r="A4223" s="151" t="s">
        <v>6191</v>
      </c>
    </row>
    <row r="4224" spans="1:1">
      <c r="A4224" s="151" t="s">
        <v>6192</v>
      </c>
    </row>
    <row r="4225" spans="1:1">
      <c r="A4225" s="151" t="s">
        <v>6193</v>
      </c>
    </row>
    <row r="4226" spans="1:1">
      <c r="A4226" s="151" t="s">
        <v>6194</v>
      </c>
    </row>
    <row r="4227" spans="1:1">
      <c r="A4227" s="151" t="s">
        <v>6195</v>
      </c>
    </row>
    <row r="4228" spans="1:1">
      <c r="A4228" s="151" t="s">
        <v>6196</v>
      </c>
    </row>
    <row r="4229" spans="1:1">
      <c r="A4229" s="151" t="s">
        <v>6197</v>
      </c>
    </row>
    <row r="4230" spans="1:1">
      <c r="A4230" s="151" t="s">
        <v>6198</v>
      </c>
    </row>
    <row r="4231" spans="1:1">
      <c r="A4231" s="151" t="s">
        <v>6199</v>
      </c>
    </row>
    <row r="4232" spans="1:1">
      <c r="A4232" s="151" t="s">
        <v>6200</v>
      </c>
    </row>
    <row r="4233" spans="1:1">
      <c r="A4233" s="151" t="s">
        <v>6201</v>
      </c>
    </row>
    <row r="4234" spans="1:1">
      <c r="A4234" s="151" t="s">
        <v>6202</v>
      </c>
    </row>
    <row r="4235" spans="1:1">
      <c r="A4235" s="151" t="s">
        <v>6203</v>
      </c>
    </row>
    <row r="4236" spans="1:1">
      <c r="A4236" s="151" t="s">
        <v>6204</v>
      </c>
    </row>
    <row r="4237" spans="1:1">
      <c r="A4237" s="151" t="s">
        <v>6205</v>
      </c>
    </row>
    <row r="4238" spans="1:1">
      <c r="A4238" s="151" t="s">
        <v>6206</v>
      </c>
    </row>
    <row r="4239" spans="1:1">
      <c r="A4239" s="151" t="s">
        <v>6207</v>
      </c>
    </row>
    <row r="4240" spans="1:1">
      <c r="A4240" s="151" t="s">
        <v>6208</v>
      </c>
    </row>
    <row r="4241" spans="1:1">
      <c r="A4241" s="151" t="s">
        <v>6209</v>
      </c>
    </row>
    <row r="4242" spans="1:1">
      <c r="A4242" s="151" t="s">
        <v>6210</v>
      </c>
    </row>
    <row r="4243" spans="1:1">
      <c r="A4243" s="151" t="s">
        <v>6211</v>
      </c>
    </row>
    <row r="4244" spans="1:1">
      <c r="A4244" s="151" t="s">
        <v>6212</v>
      </c>
    </row>
    <row r="4245" spans="1:1">
      <c r="A4245" s="151" t="s">
        <v>6213</v>
      </c>
    </row>
    <row r="4246" spans="1:1">
      <c r="A4246" s="151" t="s">
        <v>6214</v>
      </c>
    </row>
    <row r="4247" spans="1:1">
      <c r="A4247" s="151" t="s">
        <v>6215</v>
      </c>
    </row>
    <row r="4248" spans="1:1">
      <c r="A4248" s="151" t="s">
        <v>6216</v>
      </c>
    </row>
    <row r="4249" spans="1:1">
      <c r="A4249" s="151" t="s">
        <v>6217</v>
      </c>
    </row>
    <row r="4250" spans="1:1">
      <c r="A4250" s="151" t="s">
        <v>6218</v>
      </c>
    </row>
    <row r="4251" spans="1:1">
      <c r="A4251" s="151" t="s">
        <v>6219</v>
      </c>
    </row>
    <row r="4252" spans="1:1">
      <c r="A4252" s="151" t="s">
        <v>6220</v>
      </c>
    </row>
    <row r="4253" spans="1:1">
      <c r="A4253" s="151" t="s">
        <v>6221</v>
      </c>
    </row>
    <row r="4254" spans="1:1">
      <c r="A4254" s="151" t="s">
        <v>6222</v>
      </c>
    </row>
    <row r="4255" spans="1:1">
      <c r="A4255" s="151" t="s">
        <v>6223</v>
      </c>
    </row>
    <row r="4256" spans="1:1">
      <c r="A4256" s="151" t="s">
        <v>6224</v>
      </c>
    </row>
    <row r="4257" spans="1:1">
      <c r="A4257" s="151" t="s">
        <v>6225</v>
      </c>
    </row>
    <row r="4258" spans="1:1">
      <c r="A4258" s="151" t="s">
        <v>6226</v>
      </c>
    </row>
    <row r="4259" spans="1:1">
      <c r="A4259" s="151" t="s">
        <v>6227</v>
      </c>
    </row>
    <row r="4260" spans="1:1">
      <c r="A4260" s="151" t="s">
        <v>6228</v>
      </c>
    </row>
    <row r="4261" spans="1:1">
      <c r="A4261" s="151" t="s">
        <v>6229</v>
      </c>
    </row>
    <row r="4262" spans="1:1">
      <c r="A4262" s="151" t="s">
        <v>6230</v>
      </c>
    </row>
    <row r="4263" spans="1:1">
      <c r="A4263" s="151" t="s">
        <v>6231</v>
      </c>
    </row>
    <row r="4264" spans="1:1">
      <c r="A4264" s="151" t="s">
        <v>6232</v>
      </c>
    </row>
    <row r="4265" spans="1:1">
      <c r="A4265" s="151" t="s">
        <v>6233</v>
      </c>
    </row>
    <row r="4266" spans="1:1">
      <c r="A4266" s="151" t="s">
        <v>6234</v>
      </c>
    </row>
    <row r="4267" spans="1:1">
      <c r="A4267" s="151" t="s">
        <v>6235</v>
      </c>
    </row>
    <row r="4268" spans="1:1">
      <c r="A4268" s="151" t="s">
        <v>6236</v>
      </c>
    </row>
    <row r="4269" spans="1:1">
      <c r="A4269" s="151" t="s">
        <v>6237</v>
      </c>
    </row>
    <row r="4270" spans="1:1">
      <c r="A4270" s="151" t="s">
        <v>6238</v>
      </c>
    </row>
    <row r="4271" spans="1:1">
      <c r="A4271" s="151" t="s">
        <v>6239</v>
      </c>
    </row>
    <row r="4272" spans="1:1">
      <c r="A4272" s="151" t="s">
        <v>6240</v>
      </c>
    </row>
    <row r="4273" spans="1:1">
      <c r="A4273" s="151" t="s">
        <v>6241</v>
      </c>
    </row>
    <row r="4274" spans="1:1">
      <c r="A4274" s="151" t="s">
        <v>6242</v>
      </c>
    </row>
    <row r="4275" spans="1:1">
      <c r="A4275" s="151" t="s">
        <v>6243</v>
      </c>
    </row>
    <row r="4276" spans="1:1">
      <c r="A4276" s="151" t="s">
        <v>6244</v>
      </c>
    </row>
    <row r="4277" spans="1:1">
      <c r="A4277" s="151" t="s">
        <v>6245</v>
      </c>
    </row>
    <row r="4278" spans="1:1">
      <c r="A4278" s="151" t="s">
        <v>6246</v>
      </c>
    </row>
    <row r="4279" spans="1:1">
      <c r="A4279" s="151" t="s">
        <v>6247</v>
      </c>
    </row>
    <row r="4280" spans="1:1">
      <c r="A4280" s="151" t="s">
        <v>6248</v>
      </c>
    </row>
    <row r="4281" spans="1:1">
      <c r="A4281" s="151" t="s">
        <v>6249</v>
      </c>
    </row>
    <row r="4282" spans="1:1">
      <c r="A4282" s="151" t="s">
        <v>6250</v>
      </c>
    </row>
    <row r="4283" spans="1:1">
      <c r="A4283" s="151" t="s">
        <v>6251</v>
      </c>
    </row>
    <row r="4284" spans="1:1">
      <c r="A4284" s="151" t="s">
        <v>6252</v>
      </c>
    </row>
    <row r="4285" spans="1:1">
      <c r="A4285" s="151" t="s">
        <v>6253</v>
      </c>
    </row>
    <row r="4286" spans="1:1">
      <c r="A4286" s="151" t="s">
        <v>6254</v>
      </c>
    </row>
    <row r="4287" spans="1:1">
      <c r="A4287" s="151" t="s">
        <v>6255</v>
      </c>
    </row>
    <row r="4288" spans="1:1">
      <c r="A4288" s="151" t="s">
        <v>6256</v>
      </c>
    </row>
    <row r="4289" spans="1:1">
      <c r="A4289" s="151" t="s">
        <v>6257</v>
      </c>
    </row>
    <row r="4290" spans="1:1">
      <c r="A4290" s="151" t="s">
        <v>6258</v>
      </c>
    </row>
    <row r="4291" spans="1:1">
      <c r="A4291" s="151" t="s">
        <v>6259</v>
      </c>
    </row>
    <row r="4292" spans="1:1">
      <c r="A4292" s="151" t="s">
        <v>6260</v>
      </c>
    </row>
    <row r="4293" spans="1:1">
      <c r="A4293" s="151" t="s">
        <v>6261</v>
      </c>
    </row>
    <row r="4294" spans="1:1">
      <c r="A4294" s="151" t="s">
        <v>6262</v>
      </c>
    </row>
    <row r="4295" spans="1:1">
      <c r="A4295" s="151" t="s">
        <v>6263</v>
      </c>
    </row>
    <row r="4296" spans="1:1">
      <c r="A4296" s="151" t="s">
        <v>6264</v>
      </c>
    </row>
    <row r="4297" spans="1:1">
      <c r="A4297" s="151" t="s">
        <v>6265</v>
      </c>
    </row>
    <row r="4298" spans="1:1">
      <c r="A4298" s="151" t="s">
        <v>6266</v>
      </c>
    </row>
    <row r="4299" spans="1:1">
      <c r="A4299" s="151" t="s">
        <v>6267</v>
      </c>
    </row>
    <row r="4300" spans="1:1">
      <c r="A4300" s="151" t="s">
        <v>6268</v>
      </c>
    </row>
    <row r="4301" spans="1:1">
      <c r="A4301" s="151" t="s">
        <v>6269</v>
      </c>
    </row>
    <row r="4302" spans="1:1">
      <c r="A4302" s="151" t="s">
        <v>6270</v>
      </c>
    </row>
    <row r="4303" spans="1:1">
      <c r="A4303" s="151" t="s">
        <v>6271</v>
      </c>
    </row>
    <row r="4304" spans="1:1">
      <c r="A4304" s="151" t="s">
        <v>6272</v>
      </c>
    </row>
    <row r="4305" spans="1:1">
      <c r="A4305" s="151" t="s">
        <v>6273</v>
      </c>
    </row>
    <row r="4306" spans="1:1">
      <c r="A4306" s="151" t="s">
        <v>6274</v>
      </c>
    </row>
    <row r="4307" spans="1:1">
      <c r="A4307" s="151" t="s">
        <v>6275</v>
      </c>
    </row>
    <row r="4308" spans="1:1">
      <c r="A4308" s="151" t="s">
        <v>6276</v>
      </c>
    </row>
    <row r="4309" spans="1:1">
      <c r="A4309" s="151" t="s">
        <v>6277</v>
      </c>
    </row>
    <row r="4310" spans="1:1">
      <c r="A4310" s="151" t="s">
        <v>6278</v>
      </c>
    </row>
    <row r="4311" spans="1:1">
      <c r="A4311" s="151" t="s">
        <v>6279</v>
      </c>
    </row>
    <row r="4312" spans="1:1">
      <c r="A4312" s="151" t="s">
        <v>6280</v>
      </c>
    </row>
    <row r="4313" spans="1:1">
      <c r="A4313" s="151" t="s">
        <v>6281</v>
      </c>
    </row>
    <row r="4314" spans="1:1">
      <c r="A4314" s="151" t="s">
        <v>6282</v>
      </c>
    </row>
    <row r="4315" spans="1:1">
      <c r="A4315" s="151" t="s">
        <v>6283</v>
      </c>
    </row>
    <row r="4316" spans="1:1">
      <c r="A4316" s="151" t="s">
        <v>6284</v>
      </c>
    </row>
    <row r="4317" spans="1:1">
      <c r="A4317" s="151" t="s">
        <v>6285</v>
      </c>
    </row>
    <row r="4318" spans="1:1">
      <c r="A4318" s="151" t="s">
        <v>6286</v>
      </c>
    </row>
    <row r="4319" spans="1:1">
      <c r="A4319" s="151" t="s">
        <v>6287</v>
      </c>
    </row>
    <row r="4320" spans="1:1">
      <c r="A4320" s="151" t="s">
        <v>6288</v>
      </c>
    </row>
    <row r="4321" spans="1:1">
      <c r="A4321" s="151" t="s">
        <v>6289</v>
      </c>
    </row>
    <row r="4322" spans="1:1">
      <c r="A4322" s="151" t="s">
        <v>6290</v>
      </c>
    </row>
    <row r="4323" spans="1:1">
      <c r="A4323" s="151" t="s">
        <v>6291</v>
      </c>
    </row>
    <row r="4324" spans="1:1">
      <c r="A4324" s="151" t="s">
        <v>6292</v>
      </c>
    </row>
    <row r="4325" spans="1:1">
      <c r="A4325" s="151" t="s">
        <v>6293</v>
      </c>
    </row>
    <row r="4326" spans="1:1">
      <c r="A4326" s="151" t="s">
        <v>6294</v>
      </c>
    </row>
    <row r="4327" spans="1:1">
      <c r="A4327" s="151" t="s">
        <v>6295</v>
      </c>
    </row>
    <row r="4328" spans="1:1">
      <c r="A4328" s="151" t="s">
        <v>6296</v>
      </c>
    </row>
    <row r="4329" spans="1:1">
      <c r="A4329" s="151" t="s">
        <v>6297</v>
      </c>
    </row>
    <row r="4330" spans="1:1">
      <c r="A4330" s="151" t="s">
        <v>6298</v>
      </c>
    </row>
    <row r="4331" spans="1:1">
      <c r="A4331" s="151" t="s">
        <v>6299</v>
      </c>
    </row>
    <row r="4332" spans="1:1">
      <c r="A4332" s="151" t="s">
        <v>6300</v>
      </c>
    </row>
    <row r="4333" spans="1:1">
      <c r="A4333" s="151" t="s">
        <v>6301</v>
      </c>
    </row>
    <row r="4334" spans="1:1">
      <c r="A4334" s="151" t="s">
        <v>6302</v>
      </c>
    </row>
    <row r="4335" spans="1:1">
      <c r="A4335" s="151" t="s">
        <v>6303</v>
      </c>
    </row>
    <row r="4336" spans="1:1">
      <c r="A4336" s="151" t="s">
        <v>6304</v>
      </c>
    </row>
    <row r="4337" spans="1:1">
      <c r="A4337" s="151" t="s">
        <v>6305</v>
      </c>
    </row>
    <row r="4338" spans="1:1">
      <c r="A4338" s="151" t="s">
        <v>6306</v>
      </c>
    </row>
    <row r="4339" spans="1:1">
      <c r="A4339" s="151" t="s">
        <v>6307</v>
      </c>
    </row>
    <row r="4340" spans="1:1">
      <c r="A4340" s="151" t="s">
        <v>6308</v>
      </c>
    </row>
    <row r="4341" spans="1:1">
      <c r="A4341" s="151" t="s">
        <v>6309</v>
      </c>
    </row>
    <row r="4342" spans="1:1">
      <c r="A4342" s="151" t="s">
        <v>6310</v>
      </c>
    </row>
    <row r="4343" spans="1:1">
      <c r="A4343" s="151" t="s">
        <v>6311</v>
      </c>
    </row>
    <row r="4344" spans="1:1">
      <c r="A4344" s="151" t="s">
        <v>6312</v>
      </c>
    </row>
    <row r="4345" spans="1:1">
      <c r="A4345" s="151" t="s">
        <v>6313</v>
      </c>
    </row>
    <row r="4346" spans="1:1">
      <c r="A4346" s="151" t="s">
        <v>6314</v>
      </c>
    </row>
    <row r="4347" spans="1:1">
      <c r="A4347" s="151" t="s">
        <v>6315</v>
      </c>
    </row>
    <row r="4348" spans="1:1">
      <c r="A4348" s="151" t="s">
        <v>6316</v>
      </c>
    </row>
    <row r="4349" spans="1:1">
      <c r="A4349" s="151" t="s">
        <v>6317</v>
      </c>
    </row>
    <row r="4350" spans="1:1">
      <c r="A4350" s="151" t="s">
        <v>6318</v>
      </c>
    </row>
    <row r="4351" spans="1:1">
      <c r="A4351" s="151" t="s">
        <v>6319</v>
      </c>
    </row>
    <row r="4352" spans="1:1">
      <c r="A4352" s="151" t="s">
        <v>6320</v>
      </c>
    </row>
    <row r="4353" spans="1:1">
      <c r="A4353" s="151" t="s">
        <v>6321</v>
      </c>
    </row>
    <row r="4354" spans="1:1">
      <c r="A4354" s="151" t="s">
        <v>6322</v>
      </c>
    </row>
    <row r="4355" spans="1:1">
      <c r="A4355" s="151" t="s">
        <v>6323</v>
      </c>
    </row>
    <row r="4356" spans="1:1">
      <c r="A4356" s="151" t="s">
        <v>6324</v>
      </c>
    </row>
    <row r="4357" spans="1:1">
      <c r="A4357" s="151" t="s">
        <v>6325</v>
      </c>
    </row>
    <row r="4358" spans="1:1">
      <c r="A4358" s="151" t="s">
        <v>6326</v>
      </c>
    </row>
    <row r="4359" spans="1:1">
      <c r="A4359" s="151" t="s">
        <v>6327</v>
      </c>
    </row>
    <row r="4360" spans="1:1">
      <c r="A4360" s="151" t="s">
        <v>6328</v>
      </c>
    </row>
    <row r="4361" spans="1:1">
      <c r="A4361" s="151" t="s">
        <v>6329</v>
      </c>
    </row>
    <row r="4362" spans="1:1">
      <c r="A4362" s="151" t="s">
        <v>6330</v>
      </c>
    </row>
    <row r="4363" spans="1:1">
      <c r="A4363" s="151" t="s">
        <v>6331</v>
      </c>
    </row>
    <row r="4364" spans="1:1">
      <c r="A4364" s="151" t="s">
        <v>6332</v>
      </c>
    </row>
    <row r="4365" spans="1:1">
      <c r="A4365" s="151" t="s">
        <v>6333</v>
      </c>
    </row>
    <row r="4366" spans="1:1">
      <c r="A4366" s="151" t="s">
        <v>6334</v>
      </c>
    </row>
    <row r="4367" spans="1:1">
      <c r="A4367" s="151" t="s">
        <v>6335</v>
      </c>
    </row>
    <row r="4368" spans="1:1">
      <c r="A4368" s="151" t="s">
        <v>6336</v>
      </c>
    </row>
    <row r="4369" spans="1:1">
      <c r="A4369" s="151" t="s">
        <v>6337</v>
      </c>
    </row>
    <row r="4370" spans="1:1">
      <c r="A4370" s="151" t="s">
        <v>6338</v>
      </c>
    </row>
    <row r="4371" spans="1:1">
      <c r="A4371" s="151" t="s">
        <v>6339</v>
      </c>
    </row>
    <row r="4372" spans="1:1">
      <c r="A4372" s="151" t="s">
        <v>6340</v>
      </c>
    </row>
    <row r="4373" spans="1:1">
      <c r="A4373" s="151" t="s">
        <v>6341</v>
      </c>
    </row>
    <row r="4374" spans="1:1">
      <c r="A4374" s="151" t="s">
        <v>6342</v>
      </c>
    </row>
    <row r="4375" spans="1:1">
      <c r="A4375" s="151" t="s">
        <v>6343</v>
      </c>
    </row>
    <row r="4376" spans="1:1">
      <c r="A4376" s="151" t="s">
        <v>6344</v>
      </c>
    </row>
    <row r="4377" spans="1:1">
      <c r="A4377" s="151" t="s">
        <v>6345</v>
      </c>
    </row>
    <row r="4378" spans="1:1">
      <c r="A4378" s="151" t="s">
        <v>6346</v>
      </c>
    </row>
    <row r="4379" spans="1:1">
      <c r="A4379" s="151" t="s">
        <v>6347</v>
      </c>
    </row>
    <row r="4380" spans="1:1">
      <c r="A4380" s="151" t="s">
        <v>6348</v>
      </c>
    </row>
    <row r="4381" spans="1:1">
      <c r="A4381" s="151" t="s">
        <v>6349</v>
      </c>
    </row>
    <row r="4382" spans="1:1">
      <c r="A4382" s="151" t="s">
        <v>6350</v>
      </c>
    </row>
    <row r="4383" spans="1:1">
      <c r="A4383" s="151" t="s">
        <v>6351</v>
      </c>
    </row>
    <row r="4384" spans="1:1">
      <c r="A4384" s="151" t="s">
        <v>6352</v>
      </c>
    </row>
    <row r="4385" spans="1:1">
      <c r="A4385" s="151" t="s">
        <v>6353</v>
      </c>
    </row>
    <row r="4386" spans="1:1">
      <c r="A4386" s="151" t="s">
        <v>6354</v>
      </c>
    </row>
    <row r="4387" spans="1:1">
      <c r="A4387" s="151" t="s">
        <v>6355</v>
      </c>
    </row>
    <row r="4388" spans="1:1">
      <c r="A4388" s="151" t="s">
        <v>6356</v>
      </c>
    </row>
    <row r="4389" spans="1:1">
      <c r="A4389" s="151" t="s">
        <v>6357</v>
      </c>
    </row>
    <row r="4390" spans="1:1">
      <c r="A4390" s="151" t="s">
        <v>6358</v>
      </c>
    </row>
    <row r="4391" spans="1:1">
      <c r="A4391" s="151" t="s">
        <v>6359</v>
      </c>
    </row>
    <row r="4392" spans="1:1">
      <c r="A4392" s="151" t="s">
        <v>6360</v>
      </c>
    </row>
    <row r="4393" spans="1:1">
      <c r="A4393" s="151" t="s">
        <v>6361</v>
      </c>
    </row>
    <row r="4394" spans="1:1">
      <c r="A4394" s="151" t="s">
        <v>6362</v>
      </c>
    </row>
    <row r="4395" spans="1:1">
      <c r="A4395" s="151" t="s">
        <v>6363</v>
      </c>
    </row>
    <row r="4396" spans="1:1">
      <c r="A4396" s="151" t="s">
        <v>6364</v>
      </c>
    </row>
    <row r="4397" spans="1:1">
      <c r="A4397" s="151" t="s">
        <v>6365</v>
      </c>
    </row>
    <row r="4398" spans="1:1">
      <c r="A4398" s="151" t="s">
        <v>6366</v>
      </c>
    </row>
    <row r="4399" spans="1:1">
      <c r="A4399" s="151" t="s">
        <v>6367</v>
      </c>
    </row>
    <row r="4400" spans="1:1">
      <c r="A4400" s="151" t="s">
        <v>6368</v>
      </c>
    </row>
    <row r="4401" spans="1:1">
      <c r="A4401" s="151" t="s">
        <v>6369</v>
      </c>
    </row>
    <row r="4402" spans="1:1">
      <c r="A4402" s="151" t="s">
        <v>6370</v>
      </c>
    </row>
    <row r="4403" spans="1:1">
      <c r="A4403" s="151" t="s">
        <v>6371</v>
      </c>
    </row>
    <row r="4404" spans="1:1">
      <c r="A4404" s="151" t="s">
        <v>6372</v>
      </c>
    </row>
    <row r="4405" spans="1:1">
      <c r="A4405" s="151" t="s">
        <v>6373</v>
      </c>
    </row>
    <row r="4406" spans="1:1">
      <c r="A4406" s="151" t="s">
        <v>6374</v>
      </c>
    </row>
    <row r="4407" spans="1:1">
      <c r="A4407" s="151" t="s">
        <v>6375</v>
      </c>
    </row>
    <row r="4408" spans="1:1">
      <c r="A4408" s="151" t="s">
        <v>6376</v>
      </c>
    </row>
    <row r="4409" spans="1:1">
      <c r="A4409" s="151" t="s">
        <v>6377</v>
      </c>
    </row>
    <row r="4410" spans="1:1">
      <c r="A4410" s="151" t="s">
        <v>6378</v>
      </c>
    </row>
    <row r="4411" spans="1:1">
      <c r="A4411" s="151" t="s">
        <v>6379</v>
      </c>
    </row>
    <row r="4412" spans="1:1">
      <c r="A4412" s="151" t="s">
        <v>6380</v>
      </c>
    </row>
    <row r="4413" spans="1:1">
      <c r="A4413" s="151" t="s">
        <v>6381</v>
      </c>
    </row>
    <row r="4414" spans="1:1">
      <c r="A4414" s="151" t="s">
        <v>6382</v>
      </c>
    </row>
    <row r="4415" spans="1:1">
      <c r="A4415" s="151" t="s">
        <v>6383</v>
      </c>
    </row>
    <row r="4416" spans="1:1">
      <c r="A4416" s="151" t="s">
        <v>6384</v>
      </c>
    </row>
    <row r="4417" spans="1:1">
      <c r="A4417" s="151" t="s">
        <v>6385</v>
      </c>
    </row>
    <row r="4418" spans="1:1">
      <c r="A4418" s="151" t="s">
        <v>6386</v>
      </c>
    </row>
    <row r="4419" spans="1:1">
      <c r="A4419" s="151" t="s">
        <v>6387</v>
      </c>
    </row>
    <row r="4420" spans="1:1">
      <c r="A4420" s="151" t="s">
        <v>6388</v>
      </c>
    </row>
    <row r="4421" spans="1:1">
      <c r="A4421" s="151" t="s">
        <v>6389</v>
      </c>
    </row>
    <row r="4422" spans="1:1">
      <c r="A4422" s="151" t="s">
        <v>6390</v>
      </c>
    </row>
    <row r="4423" spans="1:1">
      <c r="A4423" s="151" t="s">
        <v>6391</v>
      </c>
    </row>
    <row r="4424" spans="1:1">
      <c r="A4424" s="151" t="s">
        <v>6392</v>
      </c>
    </row>
    <row r="4425" spans="1:1">
      <c r="A4425" s="151" t="s">
        <v>6393</v>
      </c>
    </row>
    <row r="4426" spans="1:1">
      <c r="A4426" s="151" t="s">
        <v>6394</v>
      </c>
    </row>
    <row r="4427" spans="1:1">
      <c r="A4427" s="151" t="s">
        <v>6395</v>
      </c>
    </row>
    <row r="4428" spans="1:1">
      <c r="A4428" s="151" t="s">
        <v>6396</v>
      </c>
    </row>
    <row r="4429" spans="1:1">
      <c r="A4429" s="151" t="s">
        <v>6397</v>
      </c>
    </row>
    <row r="4430" spans="1:1">
      <c r="A4430" s="151" t="s">
        <v>6398</v>
      </c>
    </row>
    <row r="4431" spans="1:1">
      <c r="A4431" s="151" t="s">
        <v>6399</v>
      </c>
    </row>
    <row r="4432" spans="1:1">
      <c r="A4432" s="151" t="s">
        <v>6400</v>
      </c>
    </row>
    <row r="4433" spans="1:1">
      <c r="A4433" s="151" t="s">
        <v>6401</v>
      </c>
    </row>
    <row r="4434" spans="1:1">
      <c r="A4434" s="151" t="s">
        <v>6402</v>
      </c>
    </row>
    <row r="4435" spans="1:1">
      <c r="A4435" s="151" t="s">
        <v>6403</v>
      </c>
    </row>
    <row r="4436" spans="1:1">
      <c r="A4436" s="151" t="s">
        <v>6404</v>
      </c>
    </row>
    <row r="4437" spans="1:1">
      <c r="A4437" s="151" t="s">
        <v>6405</v>
      </c>
    </row>
    <row r="4438" spans="1:1">
      <c r="A4438" s="151" t="s">
        <v>6406</v>
      </c>
    </row>
    <row r="4439" spans="1:1">
      <c r="A4439" s="151" t="s">
        <v>6407</v>
      </c>
    </row>
    <row r="4440" spans="1:1">
      <c r="A4440" s="151" t="s">
        <v>6408</v>
      </c>
    </row>
    <row r="4441" spans="1:1">
      <c r="A4441" s="151" t="s">
        <v>6409</v>
      </c>
    </row>
    <row r="4442" spans="1:1">
      <c r="A4442" s="151" t="s">
        <v>6410</v>
      </c>
    </row>
    <row r="4443" spans="1:1">
      <c r="A4443" s="151" t="s">
        <v>6411</v>
      </c>
    </row>
    <row r="4444" spans="1:1">
      <c r="A4444" s="151" t="s">
        <v>6412</v>
      </c>
    </row>
    <row r="4445" spans="1:1">
      <c r="A4445" s="151" t="s">
        <v>6413</v>
      </c>
    </row>
    <row r="4446" spans="1:1">
      <c r="A4446" s="151" t="s">
        <v>6414</v>
      </c>
    </row>
    <row r="4447" spans="1:1">
      <c r="A4447" s="151" t="s">
        <v>6415</v>
      </c>
    </row>
    <row r="4448" spans="1:1">
      <c r="A4448" s="151" t="s">
        <v>6416</v>
      </c>
    </row>
    <row r="4449" spans="1:1">
      <c r="A4449" s="151" t="s">
        <v>6417</v>
      </c>
    </row>
    <row r="4450" spans="1:1">
      <c r="A4450" s="151" t="s">
        <v>6418</v>
      </c>
    </row>
    <row r="4451" spans="1:1">
      <c r="A4451" s="151" t="s">
        <v>6419</v>
      </c>
    </row>
    <row r="4452" spans="1:1">
      <c r="A4452" s="151" t="s">
        <v>6420</v>
      </c>
    </row>
    <row r="4453" spans="1:1">
      <c r="A4453" s="151" t="s">
        <v>6421</v>
      </c>
    </row>
    <row r="4454" spans="1:1">
      <c r="A4454" s="151" t="s">
        <v>6422</v>
      </c>
    </row>
    <row r="4455" spans="1:1">
      <c r="A4455" s="151" t="s">
        <v>6423</v>
      </c>
    </row>
    <row r="4456" spans="1:1">
      <c r="A4456" s="151" t="s">
        <v>6424</v>
      </c>
    </row>
    <row r="4457" spans="1:1">
      <c r="A4457" s="151" t="s">
        <v>6425</v>
      </c>
    </row>
    <row r="4458" spans="1:1">
      <c r="A4458" s="151" t="s">
        <v>6426</v>
      </c>
    </row>
    <row r="4459" spans="1:1">
      <c r="A4459" s="151" t="s">
        <v>6427</v>
      </c>
    </row>
    <row r="4460" spans="1:1">
      <c r="A4460" s="151" t="s">
        <v>6428</v>
      </c>
    </row>
    <row r="4461" spans="1:1">
      <c r="A4461" s="151" t="s">
        <v>6429</v>
      </c>
    </row>
    <row r="4462" spans="1:1">
      <c r="A4462" s="151" t="s">
        <v>6430</v>
      </c>
    </row>
    <row r="4463" spans="1:1">
      <c r="A4463" s="151" t="s">
        <v>6431</v>
      </c>
    </row>
    <row r="4464" spans="1:1">
      <c r="A4464" s="151" t="s">
        <v>6432</v>
      </c>
    </row>
    <row r="4465" spans="1:1">
      <c r="A4465" s="151" t="s">
        <v>6433</v>
      </c>
    </row>
    <row r="4466" spans="1:1">
      <c r="A4466" s="151" t="s">
        <v>6434</v>
      </c>
    </row>
    <row r="4467" spans="1:1">
      <c r="A4467" s="151" t="s">
        <v>6435</v>
      </c>
    </row>
    <row r="4468" spans="1:1">
      <c r="A4468" s="151" t="s">
        <v>6436</v>
      </c>
    </row>
    <row r="4469" spans="1:1">
      <c r="A4469" s="151" t="s">
        <v>6437</v>
      </c>
    </row>
    <row r="4470" spans="1:1">
      <c r="A4470" s="151" t="s">
        <v>6438</v>
      </c>
    </row>
    <row r="4471" spans="1:1">
      <c r="A4471" s="151" t="s">
        <v>6439</v>
      </c>
    </row>
    <row r="4472" spans="1:1">
      <c r="A4472" s="151" t="s">
        <v>6440</v>
      </c>
    </row>
    <row r="4473" spans="1:1">
      <c r="A4473" s="151" t="s">
        <v>6441</v>
      </c>
    </row>
    <row r="4474" spans="1:1">
      <c r="A4474" s="151" t="s">
        <v>6442</v>
      </c>
    </row>
    <row r="4475" spans="1:1">
      <c r="A4475" s="151" t="s">
        <v>6443</v>
      </c>
    </row>
    <row r="4476" spans="1:1">
      <c r="A4476" s="151" t="s">
        <v>6444</v>
      </c>
    </row>
    <row r="4477" spans="1:1">
      <c r="A4477" s="151" t="s">
        <v>6445</v>
      </c>
    </row>
    <row r="4478" spans="1:1">
      <c r="A4478" s="151" t="s">
        <v>6446</v>
      </c>
    </row>
    <row r="4479" spans="1:1">
      <c r="A4479" s="151" t="s">
        <v>6447</v>
      </c>
    </row>
    <row r="4480" spans="1:1">
      <c r="A4480" s="151" t="s">
        <v>6448</v>
      </c>
    </row>
    <row r="4481" spans="1:1">
      <c r="A4481" s="151" t="s">
        <v>6449</v>
      </c>
    </row>
    <row r="4482" spans="1:1">
      <c r="A4482" s="151" t="s">
        <v>6450</v>
      </c>
    </row>
    <row r="4483" spans="1:1">
      <c r="A4483" s="151" t="s">
        <v>6451</v>
      </c>
    </row>
    <row r="4484" spans="1:1">
      <c r="A4484" s="151" t="s">
        <v>6452</v>
      </c>
    </row>
    <row r="4485" spans="1:1">
      <c r="A4485" s="151" t="s">
        <v>6453</v>
      </c>
    </row>
    <row r="4486" spans="1:1">
      <c r="A4486" s="151" t="s">
        <v>6454</v>
      </c>
    </row>
    <row r="4487" spans="1:1">
      <c r="A4487" s="151" t="s">
        <v>6455</v>
      </c>
    </row>
    <row r="4488" spans="1:1">
      <c r="A4488" s="151" t="s">
        <v>6456</v>
      </c>
    </row>
    <row r="4489" spans="1:1">
      <c r="A4489" s="151" t="s">
        <v>6457</v>
      </c>
    </row>
    <row r="4490" spans="1:1">
      <c r="A4490" s="151" t="s">
        <v>6458</v>
      </c>
    </row>
    <row r="4491" spans="1:1">
      <c r="A4491" s="151" t="s">
        <v>6459</v>
      </c>
    </row>
    <row r="4492" spans="1:1">
      <c r="A4492" s="151" t="s">
        <v>6460</v>
      </c>
    </row>
    <row r="4493" spans="1:1">
      <c r="A4493" s="151" t="s">
        <v>6461</v>
      </c>
    </row>
    <row r="4494" spans="1:1">
      <c r="A4494" s="151" t="s">
        <v>6462</v>
      </c>
    </row>
    <row r="4495" spans="1:1">
      <c r="A4495" s="151" t="s">
        <v>6463</v>
      </c>
    </row>
    <row r="4496" spans="1:1">
      <c r="A4496" s="151" t="s">
        <v>6464</v>
      </c>
    </row>
    <row r="4497" spans="1:1">
      <c r="A4497" s="151" t="s">
        <v>6465</v>
      </c>
    </row>
    <row r="4498" spans="1:1">
      <c r="A4498" s="151" t="s">
        <v>6466</v>
      </c>
    </row>
    <row r="4499" spans="1:1">
      <c r="A4499" s="151" t="s">
        <v>6467</v>
      </c>
    </row>
    <row r="4500" spans="1:1">
      <c r="A4500" s="151" t="s">
        <v>6468</v>
      </c>
    </row>
    <row r="4501" spans="1:1">
      <c r="A4501" s="151" t="s">
        <v>6469</v>
      </c>
    </row>
    <row r="4502" spans="1:1">
      <c r="A4502" s="151" t="s">
        <v>6470</v>
      </c>
    </row>
    <row r="4503" spans="1:1">
      <c r="A4503" s="151" t="s">
        <v>6471</v>
      </c>
    </row>
    <row r="4504" spans="1:1">
      <c r="A4504" s="151" t="s">
        <v>6472</v>
      </c>
    </row>
    <row r="4505" spans="1:1">
      <c r="A4505" s="151" t="s">
        <v>6473</v>
      </c>
    </row>
    <row r="4506" spans="1:1">
      <c r="A4506" s="151" t="s">
        <v>6474</v>
      </c>
    </row>
    <row r="4507" spans="1:1">
      <c r="A4507" s="151" t="s">
        <v>6475</v>
      </c>
    </row>
    <row r="4508" spans="1:1">
      <c r="A4508" s="151" t="s">
        <v>6476</v>
      </c>
    </row>
    <row r="4509" spans="1:1">
      <c r="A4509" s="151" t="s">
        <v>6477</v>
      </c>
    </row>
    <row r="4510" spans="1:1">
      <c r="A4510" s="151" t="s">
        <v>6478</v>
      </c>
    </row>
    <row r="4511" spans="1:1">
      <c r="A4511" s="151" t="s">
        <v>6479</v>
      </c>
    </row>
    <row r="4512" spans="1:1">
      <c r="A4512" s="151" t="s">
        <v>6480</v>
      </c>
    </row>
    <row r="4513" spans="1:1">
      <c r="A4513" s="151" t="s">
        <v>6481</v>
      </c>
    </row>
    <row r="4514" spans="1:1">
      <c r="A4514" s="151" t="s">
        <v>6482</v>
      </c>
    </row>
    <row r="4515" spans="1:1">
      <c r="A4515" s="151" t="s">
        <v>6483</v>
      </c>
    </row>
    <row r="4516" spans="1:1">
      <c r="A4516" s="151" t="s">
        <v>6484</v>
      </c>
    </row>
    <row r="4517" spans="1:1">
      <c r="A4517" s="151" t="s">
        <v>6485</v>
      </c>
    </row>
    <row r="4518" spans="1:1">
      <c r="A4518" s="151" t="s">
        <v>6486</v>
      </c>
    </row>
    <row r="4519" spans="1:1">
      <c r="A4519" s="151" t="s">
        <v>6487</v>
      </c>
    </row>
    <row r="4520" spans="1:1">
      <c r="A4520" s="151" t="s">
        <v>6488</v>
      </c>
    </row>
    <row r="4521" spans="1:1">
      <c r="A4521" s="151" t="s">
        <v>6489</v>
      </c>
    </row>
    <row r="4522" spans="1:1">
      <c r="A4522" s="151" t="s">
        <v>6490</v>
      </c>
    </row>
    <row r="4523" spans="1:1">
      <c r="A4523" s="151" t="s">
        <v>6491</v>
      </c>
    </row>
    <row r="4524" spans="1:1">
      <c r="A4524" s="151" t="s">
        <v>6492</v>
      </c>
    </row>
    <row r="4525" spans="1:1">
      <c r="A4525" s="151" t="s">
        <v>6493</v>
      </c>
    </row>
    <row r="4526" spans="1:1">
      <c r="A4526" s="151" t="s">
        <v>6494</v>
      </c>
    </row>
    <row r="4527" spans="1:1">
      <c r="A4527" s="151" t="s">
        <v>6495</v>
      </c>
    </row>
    <row r="4528" spans="1:1">
      <c r="A4528" s="151" t="s">
        <v>6496</v>
      </c>
    </row>
    <row r="4529" spans="1:1">
      <c r="A4529" s="151" t="s">
        <v>6497</v>
      </c>
    </row>
    <row r="4530" spans="1:1">
      <c r="A4530" s="151" t="s">
        <v>6498</v>
      </c>
    </row>
    <row r="4531" spans="1:1">
      <c r="A4531" s="151" t="s">
        <v>6499</v>
      </c>
    </row>
    <row r="4532" spans="1:1">
      <c r="A4532" s="151" t="s">
        <v>6500</v>
      </c>
    </row>
    <row r="4533" spans="1:1">
      <c r="A4533" s="151" t="s">
        <v>6501</v>
      </c>
    </row>
    <row r="4534" spans="1:1">
      <c r="A4534" s="151" t="s">
        <v>6502</v>
      </c>
    </row>
    <row r="4535" spans="1:1">
      <c r="A4535" s="151" t="s">
        <v>6503</v>
      </c>
    </row>
    <row r="4536" spans="1:1">
      <c r="A4536" s="151" t="s">
        <v>6504</v>
      </c>
    </row>
    <row r="4537" spans="1:1">
      <c r="A4537" s="151" t="s">
        <v>6505</v>
      </c>
    </row>
    <row r="4538" spans="1:1">
      <c r="A4538" s="151" t="s">
        <v>6506</v>
      </c>
    </row>
    <row r="4539" spans="1:1">
      <c r="A4539" s="151" t="s">
        <v>6507</v>
      </c>
    </row>
    <row r="4540" spans="1:1">
      <c r="A4540" s="151" t="s">
        <v>6508</v>
      </c>
    </row>
    <row r="4541" spans="1:1">
      <c r="A4541" s="151" t="s">
        <v>6509</v>
      </c>
    </row>
    <row r="4542" spans="1:1">
      <c r="A4542" s="151" t="s">
        <v>6510</v>
      </c>
    </row>
    <row r="4543" spans="1:1">
      <c r="A4543" s="151" t="s">
        <v>6511</v>
      </c>
    </row>
    <row r="4544" spans="1:1">
      <c r="A4544" s="151" t="s">
        <v>6512</v>
      </c>
    </row>
    <row r="4545" spans="1:1">
      <c r="A4545" s="151" t="s">
        <v>6513</v>
      </c>
    </row>
    <row r="4546" spans="1:1">
      <c r="A4546" s="151" t="s">
        <v>6514</v>
      </c>
    </row>
    <row r="4547" spans="1:1">
      <c r="A4547" s="151" t="s">
        <v>6515</v>
      </c>
    </row>
    <row r="4548" spans="1:1">
      <c r="A4548" s="151" t="s">
        <v>6516</v>
      </c>
    </row>
    <row r="4549" spans="1:1">
      <c r="A4549" s="151" t="s">
        <v>6517</v>
      </c>
    </row>
    <row r="4550" spans="1:1">
      <c r="A4550" s="151" t="s">
        <v>6518</v>
      </c>
    </row>
    <row r="4551" spans="1:1">
      <c r="A4551" s="151" t="s">
        <v>6519</v>
      </c>
    </row>
    <row r="4552" spans="1:1">
      <c r="A4552" s="151" t="s">
        <v>6520</v>
      </c>
    </row>
    <row r="4553" spans="1:1">
      <c r="A4553" s="151" t="s">
        <v>6521</v>
      </c>
    </row>
    <row r="4554" spans="1:1">
      <c r="A4554" s="151" t="s">
        <v>6522</v>
      </c>
    </row>
    <row r="4555" spans="1:1">
      <c r="A4555" s="151" t="s">
        <v>6523</v>
      </c>
    </row>
    <row r="4556" spans="1:1">
      <c r="A4556" s="151" t="s">
        <v>6524</v>
      </c>
    </row>
    <row r="4557" spans="1:1">
      <c r="A4557" s="151" t="s">
        <v>6525</v>
      </c>
    </row>
    <row r="4558" spans="1:1">
      <c r="A4558" s="151" t="s">
        <v>6526</v>
      </c>
    </row>
    <row r="4559" spans="1:1">
      <c r="A4559" s="151" t="s">
        <v>6527</v>
      </c>
    </row>
    <row r="4560" spans="1:1">
      <c r="A4560" s="151" t="s">
        <v>6528</v>
      </c>
    </row>
    <row r="4561" spans="1:1">
      <c r="A4561" s="151" t="s">
        <v>6529</v>
      </c>
    </row>
    <row r="4562" spans="1:1">
      <c r="A4562" s="151" t="s">
        <v>6530</v>
      </c>
    </row>
    <row r="4563" spans="1:1">
      <c r="A4563" s="151" t="s">
        <v>6531</v>
      </c>
    </row>
    <row r="4564" spans="1:1">
      <c r="A4564" s="151" t="s">
        <v>6532</v>
      </c>
    </row>
    <row r="4565" spans="1:1">
      <c r="A4565" s="151" t="s">
        <v>6533</v>
      </c>
    </row>
    <row r="4566" spans="1:1">
      <c r="A4566" s="151" t="s">
        <v>6534</v>
      </c>
    </row>
    <row r="4567" spans="1:1">
      <c r="A4567" s="151" t="s">
        <v>6535</v>
      </c>
    </row>
    <row r="4568" spans="1:1">
      <c r="A4568" s="151" t="s">
        <v>6536</v>
      </c>
    </row>
    <row r="4569" spans="1:1">
      <c r="A4569" s="151" t="s">
        <v>6537</v>
      </c>
    </row>
    <row r="4570" spans="1:1">
      <c r="A4570" s="151" t="s">
        <v>6538</v>
      </c>
    </row>
    <row r="4571" spans="1:1">
      <c r="A4571" s="151" t="s">
        <v>6539</v>
      </c>
    </row>
    <row r="4572" spans="1:1">
      <c r="A4572" s="151" t="s">
        <v>6540</v>
      </c>
    </row>
    <row r="4573" spans="1:1">
      <c r="A4573" s="151" t="s">
        <v>6541</v>
      </c>
    </row>
    <row r="4574" spans="1:1">
      <c r="A4574" s="151" t="s">
        <v>6542</v>
      </c>
    </row>
    <row r="4575" spans="1:1">
      <c r="A4575" s="151" t="s">
        <v>6543</v>
      </c>
    </row>
    <row r="4576" spans="1:1">
      <c r="A4576" s="151" t="s">
        <v>6544</v>
      </c>
    </row>
    <row r="4577" spans="1:1">
      <c r="A4577" s="151" t="s">
        <v>6545</v>
      </c>
    </row>
    <row r="4578" spans="1:1">
      <c r="A4578" s="151" t="s">
        <v>6546</v>
      </c>
    </row>
    <row r="4579" spans="1:1">
      <c r="A4579" s="151" t="s">
        <v>6547</v>
      </c>
    </row>
    <row r="4580" spans="1:1">
      <c r="A4580" s="151" t="s">
        <v>6548</v>
      </c>
    </row>
    <row r="4581" spans="1:1">
      <c r="A4581" s="151" t="s">
        <v>6549</v>
      </c>
    </row>
    <row r="4582" spans="1:1">
      <c r="A4582" s="151" t="s">
        <v>6550</v>
      </c>
    </row>
    <row r="4583" spans="1:1">
      <c r="A4583" s="151" t="s">
        <v>6551</v>
      </c>
    </row>
    <row r="4584" spans="1:1">
      <c r="A4584" s="151" t="s">
        <v>6552</v>
      </c>
    </row>
    <row r="4585" spans="1:1">
      <c r="A4585" s="151" t="s">
        <v>6553</v>
      </c>
    </row>
    <row r="4586" spans="1:1">
      <c r="A4586" s="151" t="s">
        <v>6554</v>
      </c>
    </row>
    <row r="4587" spans="1:1">
      <c r="A4587" s="151" t="s">
        <v>6555</v>
      </c>
    </row>
    <row r="4588" spans="1:1">
      <c r="A4588" s="151" t="s">
        <v>6556</v>
      </c>
    </row>
    <row r="4589" spans="1:1">
      <c r="A4589" s="151" t="s">
        <v>6557</v>
      </c>
    </row>
    <row r="4590" spans="1:1">
      <c r="A4590" s="151" t="s">
        <v>6558</v>
      </c>
    </row>
    <row r="4591" spans="1:1">
      <c r="A4591" s="151" t="s">
        <v>6559</v>
      </c>
    </row>
    <row r="4592" spans="1:1">
      <c r="A4592" s="151" t="s">
        <v>6560</v>
      </c>
    </row>
    <row r="4593" spans="1:1">
      <c r="A4593" s="151" t="s">
        <v>6561</v>
      </c>
    </row>
    <row r="4594" spans="1:1">
      <c r="A4594" s="151" t="s">
        <v>6562</v>
      </c>
    </row>
    <row r="4595" spans="1:1">
      <c r="A4595" s="151" t="s">
        <v>6563</v>
      </c>
    </row>
    <row r="4596" spans="1:1">
      <c r="A4596" s="151" t="s">
        <v>6564</v>
      </c>
    </row>
    <row r="4597" spans="1:1">
      <c r="A4597" s="151" t="s">
        <v>6565</v>
      </c>
    </row>
    <row r="4598" spans="1:1">
      <c r="A4598" s="151" t="s">
        <v>6566</v>
      </c>
    </row>
    <row r="4599" spans="1:1">
      <c r="A4599" s="151" t="s">
        <v>6567</v>
      </c>
    </row>
    <row r="4600" spans="1:1">
      <c r="A4600" s="151" t="s">
        <v>6568</v>
      </c>
    </row>
    <row r="4601" spans="1:1">
      <c r="A4601" s="151" t="s">
        <v>6569</v>
      </c>
    </row>
    <row r="4602" spans="1:1">
      <c r="A4602" s="151" t="s">
        <v>6570</v>
      </c>
    </row>
    <row r="4603" spans="1:1">
      <c r="A4603" s="151" t="s">
        <v>6571</v>
      </c>
    </row>
    <row r="4604" spans="1:1">
      <c r="A4604" s="151" t="s">
        <v>6572</v>
      </c>
    </row>
    <row r="4605" spans="1:1">
      <c r="A4605" s="151" t="s">
        <v>6573</v>
      </c>
    </row>
    <row r="4606" spans="1:1">
      <c r="A4606" s="151" t="s">
        <v>6574</v>
      </c>
    </row>
    <row r="4607" spans="1:1">
      <c r="A4607" s="151" t="s">
        <v>6575</v>
      </c>
    </row>
    <row r="4608" spans="1:1">
      <c r="A4608" s="151" t="s">
        <v>6576</v>
      </c>
    </row>
    <row r="4609" spans="1:1">
      <c r="A4609" s="151" t="s">
        <v>6577</v>
      </c>
    </row>
    <row r="4610" spans="1:1">
      <c r="A4610" s="151" t="s">
        <v>6578</v>
      </c>
    </row>
    <row r="4611" spans="1:1">
      <c r="A4611" s="151" t="s">
        <v>6579</v>
      </c>
    </row>
    <row r="4612" spans="1:1">
      <c r="A4612" s="151" t="s">
        <v>6580</v>
      </c>
    </row>
    <row r="4613" spans="1:1">
      <c r="A4613" s="151" t="s">
        <v>6581</v>
      </c>
    </row>
    <row r="4614" spans="1:1">
      <c r="A4614" s="151" t="s">
        <v>6582</v>
      </c>
    </row>
    <row r="4615" spans="1:1">
      <c r="A4615" s="151" t="s">
        <v>6583</v>
      </c>
    </row>
    <row r="4616" spans="1:1">
      <c r="A4616" s="151" t="s">
        <v>6584</v>
      </c>
    </row>
    <row r="4617" spans="1:1">
      <c r="A4617" s="151" t="s">
        <v>6585</v>
      </c>
    </row>
    <row r="4618" spans="1:1">
      <c r="A4618" s="151" t="s">
        <v>6586</v>
      </c>
    </row>
    <row r="4619" spans="1:1">
      <c r="A4619" s="151" t="s">
        <v>6587</v>
      </c>
    </row>
    <row r="4620" spans="1:1">
      <c r="A4620" s="151" t="s">
        <v>6588</v>
      </c>
    </row>
    <row r="4621" spans="1:1">
      <c r="A4621" s="151" t="s">
        <v>6589</v>
      </c>
    </row>
    <row r="4622" spans="1:1">
      <c r="A4622" s="151" t="s">
        <v>6590</v>
      </c>
    </row>
    <row r="4623" spans="1:1">
      <c r="A4623" s="151" t="s">
        <v>6591</v>
      </c>
    </row>
    <row r="4624" spans="1:1">
      <c r="A4624" s="151" t="s">
        <v>6592</v>
      </c>
    </row>
    <row r="4625" spans="1:1">
      <c r="A4625" s="151" t="s">
        <v>6593</v>
      </c>
    </row>
    <row r="4626" spans="1:1">
      <c r="A4626" s="151" t="s">
        <v>6594</v>
      </c>
    </row>
    <row r="4627" spans="1:1">
      <c r="A4627" s="151" t="s">
        <v>6595</v>
      </c>
    </row>
    <row r="4628" spans="1:1">
      <c r="A4628" s="151" t="s">
        <v>6596</v>
      </c>
    </row>
    <row r="4629" spans="1:1">
      <c r="A4629" s="151" t="s">
        <v>6597</v>
      </c>
    </row>
    <row r="4630" spans="1:1">
      <c r="A4630" s="151" t="s">
        <v>6598</v>
      </c>
    </row>
    <row r="4631" spans="1:1">
      <c r="A4631" s="151" t="s">
        <v>6599</v>
      </c>
    </row>
    <row r="4632" spans="1:1">
      <c r="A4632" s="151" t="s">
        <v>6600</v>
      </c>
    </row>
    <row r="4633" spans="1:1">
      <c r="A4633" s="151" t="s">
        <v>6601</v>
      </c>
    </row>
    <row r="4634" spans="1:1">
      <c r="A4634" s="151" t="s">
        <v>6602</v>
      </c>
    </row>
    <row r="4635" spans="1:1">
      <c r="A4635" s="151" t="s">
        <v>6603</v>
      </c>
    </row>
    <row r="4636" spans="1:1">
      <c r="A4636" s="151" t="s">
        <v>6604</v>
      </c>
    </row>
    <row r="4637" spans="1:1">
      <c r="A4637" s="151" t="s">
        <v>6605</v>
      </c>
    </row>
    <row r="4638" spans="1:1">
      <c r="A4638" s="151" t="s">
        <v>6606</v>
      </c>
    </row>
    <row r="4639" spans="1:1">
      <c r="A4639" s="151" t="s">
        <v>6607</v>
      </c>
    </row>
    <row r="4640" spans="1:1">
      <c r="A4640" s="151" t="s">
        <v>6608</v>
      </c>
    </row>
    <row r="4641" spans="1:1">
      <c r="A4641" s="151" t="s">
        <v>6609</v>
      </c>
    </row>
    <row r="4642" spans="1:1">
      <c r="A4642" s="151" t="s">
        <v>6610</v>
      </c>
    </row>
    <row r="4643" spans="1:1">
      <c r="A4643" s="151" t="s">
        <v>6611</v>
      </c>
    </row>
    <row r="4644" spans="1:1">
      <c r="A4644" s="151" t="s">
        <v>6612</v>
      </c>
    </row>
    <row r="4645" spans="1:1">
      <c r="A4645" s="151" t="s">
        <v>6613</v>
      </c>
    </row>
    <row r="4646" spans="1:1">
      <c r="A4646" s="151" t="s">
        <v>6614</v>
      </c>
    </row>
    <row r="4647" spans="1:1">
      <c r="A4647" s="151" t="s">
        <v>6615</v>
      </c>
    </row>
    <row r="4648" spans="1:1">
      <c r="A4648" s="151" t="s">
        <v>6616</v>
      </c>
    </row>
    <row r="4649" spans="1:1">
      <c r="A4649" s="151" t="s">
        <v>6617</v>
      </c>
    </row>
    <row r="4650" spans="1:1">
      <c r="A4650" s="151" t="s">
        <v>6618</v>
      </c>
    </row>
    <row r="4651" spans="1:1">
      <c r="A4651" s="151" t="s">
        <v>6619</v>
      </c>
    </row>
    <row r="4652" spans="1:1">
      <c r="A4652" s="151" t="s">
        <v>6620</v>
      </c>
    </row>
    <row r="4653" spans="1:1">
      <c r="A4653" s="151" t="s">
        <v>6621</v>
      </c>
    </row>
    <row r="4654" spans="1:1">
      <c r="A4654" s="151" t="s">
        <v>6622</v>
      </c>
    </row>
    <row r="4655" spans="1:1">
      <c r="A4655" s="151" t="s">
        <v>6623</v>
      </c>
    </row>
    <row r="4656" spans="1:1">
      <c r="A4656" s="151" t="s">
        <v>6624</v>
      </c>
    </row>
    <row r="4657" spans="1:1">
      <c r="A4657" s="151" t="s">
        <v>6625</v>
      </c>
    </row>
    <row r="4658" spans="1:1">
      <c r="A4658" s="151" t="s">
        <v>6626</v>
      </c>
    </row>
    <row r="4659" spans="1:1">
      <c r="A4659" s="151" t="s">
        <v>6627</v>
      </c>
    </row>
    <row r="4660" spans="1:1">
      <c r="A4660" s="151" t="s">
        <v>6628</v>
      </c>
    </row>
    <row r="4661" spans="1:1">
      <c r="A4661" s="151" t="s">
        <v>6629</v>
      </c>
    </row>
    <row r="4662" spans="1:1">
      <c r="A4662" s="151" t="s">
        <v>6630</v>
      </c>
    </row>
    <row r="4663" spans="1:1">
      <c r="A4663" s="151" t="s">
        <v>6631</v>
      </c>
    </row>
    <row r="4664" spans="1:1">
      <c r="A4664" s="151" t="s">
        <v>6632</v>
      </c>
    </row>
    <row r="4665" spans="1:1">
      <c r="A4665" s="151" t="s">
        <v>6633</v>
      </c>
    </row>
    <row r="4666" spans="1:1">
      <c r="A4666" s="151" t="s">
        <v>6634</v>
      </c>
    </row>
    <row r="4667" spans="1:1">
      <c r="A4667" s="151" t="s">
        <v>6635</v>
      </c>
    </row>
    <row r="4668" spans="1:1">
      <c r="A4668" s="151" t="s">
        <v>6636</v>
      </c>
    </row>
    <row r="4669" spans="1:1">
      <c r="A4669" s="151" t="s">
        <v>6637</v>
      </c>
    </row>
    <row r="4670" spans="1:1">
      <c r="A4670" s="151" t="s">
        <v>6638</v>
      </c>
    </row>
    <row r="4671" spans="1:1">
      <c r="A4671" s="151" t="s">
        <v>6639</v>
      </c>
    </row>
    <row r="4672" spans="1:1">
      <c r="A4672" s="151" t="s">
        <v>6640</v>
      </c>
    </row>
    <row r="4673" spans="1:1">
      <c r="A4673" s="151" t="s">
        <v>6641</v>
      </c>
    </row>
    <row r="4674" spans="1:1">
      <c r="A4674" s="151" t="s">
        <v>6642</v>
      </c>
    </row>
    <row r="4675" spans="1:1">
      <c r="A4675" s="151" t="s">
        <v>6643</v>
      </c>
    </row>
    <row r="4676" spans="1:1">
      <c r="A4676" s="151" t="s">
        <v>6644</v>
      </c>
    </row>
    <row r="4677" spans="1:1">
      <c r="A4677" s="151" t="s">
        <v>6645</v>
      </c>
    </row>
    <row r="4678" spans="1:1">
      <c r="A4678" s="151" t="s">
        <v>6646</v>
      </c>
    </row>
    <row r="4679" spans="1:1">
      <c r="A4679" s="151" t="s">
        <v>6647</v>
      </c>
    </row>
    <row r="4680" spans="1:1">
      <c r="A4680" s="151" t="s">
        <v>6648</v>
      </c>
    </row>
    <row r="4681" spans="1:1">
      <c r="A4681" s="151" t="s">
        <v>6649</v>
      </c>
    </row>
    <row r="4682" spans="1:1">
      <c r="A4682" s="151" t="s">
        <v>6650</v>
      </c>
    </row>
    <row r="4683" spans="1:1">
      <c r="A4683" s="151" t="s">
        <v>6651</v>
      </c>
    </row>
    <row r="4684" spans="1:1">
      <c r="A4684" s="151" t="s">
        <v>6652</v>
      </c>
    </row>
    <row r="4685" spans="1:1">
      <c r="A4685" s="151" t="s">
        <v>6653</v>
      </c>
    </row>
    <row r="4686" spans="1:1">
      <c r="A4686" s="151" t="s">
        <v>6654</v>
      </c>
    </row>
    <row r="4687" spans="1:1">
      <c r="A4687" s="151" t="s">
        <v>6655</v>
      </c>
    </row>
    <row r="4688" spans="1:1">
      <c r="A4688" s="151" t="s">
        <v>6656</v>
      </c>
    </row>
    <row r="4689" spans="1:1">
      <c r="A4689" s="151" t="s">
        <v>6657</v>
      </c>
    </row>
    <row r="4690" spans="1:1">
      <c r="A4690" s="151" t="s">
        <v>6658</v>
      </c>
    </row>
    <row r="4691" spans="1:1">
      <c r="A4691" s="151" t="s">
        <v>6659</v>
      </c>
    </row>
    <row r="4692" spans="1:1">
      <c r="A4692" s="151" t="s">
        <v>6660</v>
      </c>
    </row>
    <row r="4693" spans="1:1">
      <c r="A4693" s="151" t="s">
        <v>6661</v>
      </c>
    </row>
    <row r="4694" spans="1:1">
      <c r="A4694" s="151" t="s">
        <v>6662</v>
      </c>
    </row>
    <row r="4695" spans="1:1">
      <c r="A4695" s="151" t="s">
        <v>6663</v>
      </c>
    </row>
    <row r="4696" spans="1:1">
      <c r="A4696" s="151" t="s">
        <v>6664</v>
      </c>
    </row>
    <row r="4697" spans="1:1">
      <c r="A4697" s="151" t="s">
        <v>6665</v>
      </c>
    </row>
    <row r="4698" spans="1:1">
      <c r="A4698" s="151" t="s">
        <v>6666</v>
      </c>
    </row>
    <row r="4699" spans="1:1">
      <c r="A4699" s="151" t="s">
        <v>6667</v>
      </c>
    </row>
    <row r="4700" spans="1:1">
      <c r="A4700" s="151" t="s">
        <v>6668</v>
      </c>
    </row>
    <row r="4701" spans="1:1">
      <c r="A4701" s="151" t="s">
        <v>6669</v>
      </c>
    </row>
    <row r="4702" spans="1:1">
      <c r="A4702" s="151" t="s">
        <v>6670</v>
      </c>
    </row>
    <row r="4703" spans="1:1">
      <c r="A4703" s="151" t="s">
        <v>6671</v>
      </c>
    </row>
    <row r="4704" spans="1:1">
      <c r="A4704" s="151" t="s">
        <v>6672</v>
      </c>
    </row>
    <row r="4705" spans="1:1">
      <c r="A4705" s="151" t="s">
        <v>6673</v>
      </c>
    </row>
    <row r="4706" spans="1:1">
      <c r="A4706" s="151" t="s">
        <v>6674</v>
      </c>
    </row>
    <row r="4707" spans="1:1">
      <c r="A4707" s="151" t="s">
        <v>6675</v>
      </c>
    </row>
    <row r="4708" spans="1:1">
      <c r="A4708" s="151" t="s">
        <v>6676</v>
      </c>
    </row>
    <row r="4709" spans="1:1">
      <c r="A4709" s="151" t="s">
        <v>6677</v>
      </c>
    </row>
    <row r="4710" spans="1:1">
      <c r="A4710" s="151" t="s">
        <v>6678</v>
      </c>
    </row>
    <row r="4711" spans="1:1">
      <c r="A4711" s="151" t="s">
        <v>6679</v>
      </c>
    </row>
    <row r="4712" spans="1:1">
      <c r="A4712" s="151" t="s">
        <v>6680</v>
      </c>
    </row>
    <row r="4713" spans="1:1">
      <c r="A4713" s="151" t="s">
        <v>6681</v>
      </c>
    </row>
    <row r="4714" spans="1:1">
      <c r="A4714" s="151" t="s">
        <v>6682</v>
      </c>
    </row>
    <row r="4715" spans="1:1">
      <c r="A4715" s="151" t="s">
        <v>6683</v>
      </c>
    </row>
    <row r="4716" spans="1:1">
      <c r="A4716" s="151" t="s">
        <v>6684</v>
      </c>
    </row>
    <row r="4717" spans="1:1">
      <c r="A4717" s="151" t="s">
        <v>6685</v>
      </c>
    </row>
    <row r="4718" spans="1:1">
      <c r="A4718" s="151" t="s">
        <v>6686</v>
      </c>
    </row>
    <row r="4719" spans="1:1">
      <c r="A4719" s="151" t="s">
        <v>6687</v>
      </c>
    </row>
    <row r="4720" spans="1:1">
      <c r="A4720" s="151" t="s">
        <v>6688</v>
      </c>
    </row>
    <row r="4721" spans="1:1">
      <c r="A4721" s="151" t="s">
        <v>6689</v>
      </c>
    </row>
    <row r="4722" spans="1:1">
      <c r="A4722" s="151" t="s">
        <v>6690</v>
      </c>
    </row>
    <row r="4723" spans="1:1">
      <c r="A4723" s="151" t="s">
        <v>6691</v>
      </c>
    </row>
    <row r="4724" spans="1:1">
      <c r="A4724" s="151" t="s">
        <v>6692</v>
      </c>
    </row>
    <row r="4725" spans="1:1">
      <c r="A4725" s="151" t="s">
        <v>6693</v>
      </c>
    </row>
    <row r="4726" spans="1:1">
      <c r="A4726" s="151" t="s">
        <v>6694</v>
      </c>
    </row>
    <row r="4727" spans="1:1">
      <c r="A4727" s="151" t="s">
        <v>6695</v>
      </c>
    </row>
    <row r="4728" spans="1:1">
      <c r="A4728" s="151" t="s">
        <v>6696</v>
      </c>
    </row>
    <row r="4729" spans="1:1">
      <c r="A4729" s="151" t="s">
        <v>6697</v>
      </c>
    </row>
    <row r="4730" spans="1:1">
      <c r="A4730" s="151" t="s">
        <v>6698</v>
      </c>
    </row>
    <row r="4731" spans="1:1">
      <c r="A4731" s="151" t="s">
        <v>6699</v>
      </c>
    </row>
    <row r="4732" spans="1:1">
      <c r="A4732" s="151" t="s">
        <v>6700</v>
      </c>
    </row>
    <row r="4733" spans="1:1">
      <c r="A4733" s="151" t="s">
        <v>6701</v>
      </c>
    </row>
    <row r="4734" spans="1:1">
      <c r="A4734" s="151" t="s">
        <v>6702</v>
      </c>
    </row>
    <row r="4735" spans="1:1">
      <c r="A4735" s="151" t="s">
        <v>6703</v>
      </c>
    </row>
    <row r="4736" spans="1:1">
      <c r="A4736" s="151" t="s">
        <v>6704</v>
      </c>
    </row>
    <row r="4737" spans="1:1">
      <c r="A4737" s="151" t="s">
        <v>6705</v>
      </c>
    </row>
    <row r="4738" spans="1:1">
      <c r="A4738" s="151" t="s">
        <v>6706</v>
      </c>
    </row>
    <row r="4739" spans="1:1">
      <c r="A4739" s="151" t="s">
        <v>6707</v>
      </c>
    </row>
    <row r="4740" spans="1:1">
      <c r="A4740" s="151" t="s">
        <v>6708</v>
      </c>
    </row>
    <row r="4741" spans="1:1">
      <c r="A4741" s="151" t="s">
        <v>6709</v>
      </c>
    </row>
    <row r="4742" spans="1:1">
      <c r="A4742" s="151" t="s">
        <v>6710</v>
      </c>
    </row>
    <row r="4743" spans="1:1">
      <c r="A4743" s="151" t="s">
        <v>6711</v>
      </c>
    </row>
    <row r="4744" spans="1:1">
      <c r="A4744" s="151" t="s">
        <v>6712</v>
      </c>
    </row>
    <row r="4745" spans="1:1">
      <c r="A4745" s="151" t="s">
        <v>6713</v>
      </c>
    </row>
    <row r="4746" spans="1:1">
      <c r="A4746" s="151" t="s">
        <v>6714</v>
      </c>
    </row>
    <row r="4747" spans="1:1">
      <c r="A4747" s="151" t="s">
        <v>6715</v>
      </c>
    </row>
    <row r="4748" spans="1:1">
      <c r="A4748" s="151" t="s">
        <v>6716</v>
      </c>
    </row>
    <row r="4749" spans="1:1">
      <c r="A4749" s="151" t="s">
        <v>6717</v>
      </c>
    </row>
    <row r="4750" spans="1:1">
      <c r="A4750" s="151" t="s">
        <v>6718</v>
      </c>
    </row>
    <row r="4751" spans="1:1">
      <c r="A4751" s="151" t="s">
        <v>6719</v>
      </c>
    </row>
    <row r="4752" spans="1:1">
      <c r="A4752" s="151" t="s">
        <v>6720</v>
      </c>
    </row>
    <row r="4753" spans="1:1">
      <c r="A4753" s="151" t="s">
        <v>6721</v>
      </c>
    </row>
    <row r="4754" spans="1:1">
      <c r="A4754" s="151" t="s">
        <v>6722</v>
      </c>
    </row>
    <row r="4755" spans="1:1">
      <c r="A4755" s="151" t="s">
        <v>6723</v>
      </c>
    </row>
    <row r="4756" spans="1:1">
      <c r="A4756" s="151" t="s">
        <v>6724</v>
      </c>
    </row>
    <row r="4757" spans="1:1">
      <c r="A4757" s="151" t="s">
        <v>6725</v>
      </c>
    </row>
    <row r="4758" spans="1:1">
      <c r="A4758" s="151" t="s">
        <v>6726</v>
      </c>
    </row>
    <row r="4759" spans="1:1">
      <c r="A4759" s="151" t="s">
        <v>6727</v>
      </c>
    </row>
    <row r="4760" spans="1:1">
      <c r="A4760" s="151" t="s">
        <v>6728</v>
      </c>
    </row>
    <row r="4761" spans="1:1">
      <c r="A4761" s="151" t="s">
        <v>6729</v>
      </c>
    </row>
    <row r="4762" spans="1:1">
      <c r="A4762" s="151" t="s">
        <v>6730</v>
      </c>
    </row>
    <row r="4763" spans="1:1">
      <c r="A4763" s="151" t="s">
        <v>6731</v>
      </c>
    </row>
    <row r="4764" spans="1:1">
      <c r="A4764" s="151" t="s">
        <v>6732</v>
      </c>
    </row>
    <row r="4765" spans="1:1">
      <c r="A4765" s="151" t="s">
        <v>6733</v>
      </c>
    </row>
    <row r="4766" spans="1:1">
      <c r="A4766" s="151" t="s">
        <v>6734</v>
      </c>
    </row>
    <row r="4767" spans="1:1">
      <c r="A4767" s="151" t="s">
        <v>6735</v>
      </c>
    </row>
    <row r="4768" spans="1:1">
      <c r="A4768" s="151" t="s">
        <v>6736</v>
      </c>
    </row>
    <row r="4769" spans="1:1">
      <c r="A4769" s="151" t="s">
        <v>6737</v>
      </c>
    </row>
    <row r="4770" spans="1:1">
      <c r="A4770" s="151" t="s">
        <v>6738</v>
      </c>
    </row>
    <row r="4771" spans="1:1">
      <c r="A4771" s="151" t="s">
        <v>6739</v>
      </c>
    </row>
    <row r="4772" spans="1:1">
      <c r="A4772" s="151" t="s">
        <v>6740</v>
      </c>
    </row>
    <row r="4773" spans="1:1">
      <c r="A4773" s="151" t="s">
        <v>6741</v>
      </c>
    </row>
    <row r="4774" spans="1:1">
      <c r="A4774" s="151" t="s">
        <v>6742</v>
      </c>
    </row>
    <row r="4775" spans="1:1">
      <c r="A4775" s="151" t="s">
        <v>6743</v>
      </c>
    </row>
    <row r="4776" spans="1:1">
      <c r="A4776" s="151" t="s">
        <v>6744</v>
      </c>
    </row>
    <row r="4777" spans="1:1">
      <c r="A4777" s="151" t="s">
        <v>6745</v>
      </c>
    </row>
    <row r="4778" spans="1:1">
      <c r="A4778" s="151" t="s">
        <v>6746</v>
      </c>
    </row>
    <row r="4779" spans="1:1">
      <c r="A4779" s="151" t="s">
        <v>6747</v>
      </c>
    </row>
    <row r="4780" spans="1:1">
      <c r="A4780" s="151" t="s">
        <v>6748</v>
      </c>
    </row>
    <row r="4781" spans="1:1">
      <c r="A4781" s="151" t="s">
        <v>6749</v>
      </c>
    </row>
    <row r="4782" spans="1:1">
      <c r="A4782" s="151" t="s">
        <v>6750</v>
      </c>
    </row>
    <row r="4783" spans="1:1">
      <c r="A4783" s="151" t="s">
        <v>6751</v>
      </c>
    </row>
    <row r="4784" spans="1:1">
      <c r="A4784" s="151" t="s">
        <v>6752</v>
      </c>
    </row>
    <row r="4785" spans="1:1">
      <c r="A4785" s="151" t="s">
        <v>6753</v>
      </c>
    </row>
    <row r="4786" spans="1:1">
      <c r="A4786" s="151" t="s">
        <v>6754</v>
      </c>
    </row>
    <row r="4787" spans="1:1">
      <c r="A4787" s="151" t="s">
        <v>6755</v>
      </c>
    </row>
    <row r="4788" spans="1:1">
      <c r="A4788" s="151" t="s">
        <v>6756</v>
      </c>
    </row>
    <row r="4789" spans="1:1">
      <c r="A4789" s="151" t="s">
        <v>6757</v>
      </c>
    </row>
    <row r="4790" spans="1:1">
      <c r="A4790" s="151" t="s">
        <v>6758</v>
      </c>
    </row>
    <row r="4791" spans="1:1">
      <c r="A4791" s="151" t="s">
        <v>6759</v>
      </c>
    </row>
    <row r="4792" spans="1:1">
      <c r="A4792" s="151" t="s">
        <v>6760</v>
      </c>
    </row>
    <row r="4793" spans="1:1">
      <c r="A4793" s="151" t="s">
        <v>6761</v>
      </c>
    </row>
    <row r="4794" spans="1:1">
      <c r="A4794" s="151" t="s">
        <v>6762</v>
      </c>
    </row>
    <row r="4795" spans="1:1">
      <c r="A4795" s="151" t="s">
        <v>6763</v>
      </c>
    </row>
    <row r="4796" spans="1:1">
      <c r="A4796" s="151" t="s">
        <v>6764</v>
      </c>
    </row>
    <row r="4797" spans="1:1">
      <c r="A4797" s="151" t="s">
        <v>6765</v>
      </c>
    </row>
    <row r="4798" spans="1:1">
      <c r="A4798" s="151" t="s">
        <v>6766</v>
      </c>
    </row>
    <row r="4799" spans="1:1">
      <c r="A4799" s="151" t="s">
        <v>6767</v>
      </c>
    </row>
    <row r="4800" spans="1:1">
      <c r="A4800" s="151" t="s">
        <v>6768</v>
      </c>
    </row>
    <row r="4801" spans="1:1">
      <c r="A4801" s="151" t="s">
        <v>6769</v>
      </c>
    </row>
    <row r="4802" spans="1:1">
      <c r="A4802" s="151" t="s">
        <v>6770</v>
      </c>
    </row>
    <row r="4803" spans="1:1">
      <c r="A4803" s="151" t="s">
        <v>6771</v>
      </c>
    </row>
    <row r="4804" spans="1:1">
      <c r="A4804" s="151" t="s">
        <v>6772</v>
      </c>
    </row>
    <row r="4805" spans="1:1">
      <c r="A4805" s="151" t="s">
        <v>6773</v>
      </c>
    </row>
    <row r="4806" spans="1:1">
      <c r="A4806" s="151" t="s">
        <v>6774</v>
      </c>
    </row>
    <row r="4807" spans="1:1">
      <c r="A4807" s="151" t="s">
        <v>6775</v>
      </c>
    </row>
    <row r="4808" spans="1:1">
      <c r="A4808" s="151" t="s">
        <v>6776</v>
      </c>
    </row>
    <row r="4809" spans="1:1">
      <c r="A4809" s="151" t="s">
        <v>6777</v>
      </c>
    </row>
    <row r="4810" spans="1:1">
      <c r="A4810" s="151" t="s">
        <v>6778</v>
      </c>
    </row>
    <row r="4811" spans="1:1">
      <c r="A4811" s="151" t="s">
        <v>6779</v>
      </c>
    </row>
    <row r="4812" spans="1:1">
      <c r="A4812" s="151" t="s">
        <v>6780</v>
      </c>
    </row>
    <row r="4813" spans="1:1">
      <c r="A4813" s="151" t="s">
        <v>6781</v>
      </c>
    </row>
    <row r="4814" spans="1:1">
      <c r="A4814" s="151" t="s">
        <v>6782</v>
      </c>
    </row>
    <row r="4815" spans="1:1">
      <c r="A4815" s="151" t="s">
        <v>6783</v>
      </c>
    </row>
    <row r="4816" spans="1:1">
      <c r="A4816" s="151" t="s">
        <v>6784</v>
      </c>
    </row>
    <row r="4817" spans="1:1">
      <c r="A4817" s="151" t="s">
        <v>6785</v>
      </c>
    </row>
    <row r="4818" spans="1:1">
      <c r="A4818" s="151" t="s">
        <v>6786</v>
      </c>
    </row>
    <row r="4819" spans="1:1">
      <c r="A4819" s="151" t="s">
        <v>6787</v>
      </c>
    </row>
    <row r="4820" spans="1:1">
      <c r="A4820" s="151" t="s">
        <v>6788</v>
      </c>
    </row>
    <row r="4821" spans="1:1">
      <c r="A4821" s="151" t="s">
        <v>6789</v>
      </c>
    </row>
    <row r="4822" spans="1:1">
      <c r="A4822" s="151" t="s">
        <v>6790</v>
      </c>
    </row>
    <row r="4823" spans="1:1">
      <c r="A4823" s="151" t="s">
        <v>6791</v>
      </c>
    </row>
    <row r="4824" spans="1:1">
      <c r="A4824" s="151" t="s">
        <v>6792</v>
      </c>
    </row>
    <row r="4825" spans="1:1">
      <c r="A4825" s="151" t="s">
        <v>6793</v>
      </c>
    </row>
    <row r="4826" spans="1:1">
      <c r="A4826" s="151" t="s">
        <v>6794</v>
      </c>
    </row>
    <row r="4827" spans="1:1">
      <c r="A4827" s="151" t="s">
        <v>6795</v>
      </c>
    </row>
    <row r="4828" spans="1:1">
      <c r="A4828" s="151" t="s">
        <v>6796</v>
      </c>
    </row>
    <row r="4829" spans="1:1">
      <c r="A4829" s="151" t="s">
        <v>6797</v>
      </c>
    </row>
    <row r="4830" spans="1:1">
      <c r="A4830" s="151" t="s">
        <v>6798</v>
      </c>
    </row>
    <row r="4831" spans="1:1">
      <c r="A4831" s="151" t="s">
        <v>6799</v>
      </c>
    </row>
    <row r="4832" spans="1:1">
      <c r="A4832" s="151" t="s">
        <v>6800</v>
      </c>
    </row>
    <row r="4833" spans="1:1">
      <c r="A4833" s="151" t="s">
        <v>6801</v>
      </c>
    </row>
    <row r="4834" spans="1:1">
      <c r="A4834" s="151" t="s">
        <v>6802</v>
      </c>
    </row>
    <row r="4835" spans="1:1">
      <c r="A4835" s="151" t="s">
        <v>6803</v>
      </c>
    </row>
    <row r="4836" spans="1:1">
      <c r="A4836" s="151" t="s">
        <v>6804</v>
      </c>
    </row>
    <row r="4837" spans="1:1">
      <c r="A4837" s="151" t="s">
        <v>6805</v>
      </c>
    </row>
    <row r="4838" spans="1:1">
      <c r="A4838" s="151" t="s">
        <v>6806</v>
      </c>
    </row>
    <row r="4839" spans="1:1">
      <c r="A4839" s="151" t="s">
        <v>6807</v>
      </c>
    </row>
    <row r="4840" spans="1:1">
      <c r="A4840" s="151" t="s">
        <v>6808</v>
      </c>
    </row>
    <row r="4841" spans="1:1">
      <c r="A4841" s="151" t="s">
        <v>6809</v>
      </c>
    </row>
    <row r="4842" spans="1:1">
      <c r="A4842" s="151" t="s">
        <v>6810</v>
      </c>
    </row>
    <row r="4843" spans="1:1">
      <c r="A4843" s="151" t="s">
        <v>6811</v>
      </c>
    </row>
    <row r="4844" spans="1:1">
      <c r="A4844" s="151" t="s">
        <v>6812</v>
      </c>
    </row>
    <row r="4845" spans="1:1">
      <c r="A4845" s="151" t="s">
        <v>6813</v>
      </c>
    </row>
    <row r="4846" spans="1:1">
      <c r="A4846" s="151" t="s">
        <v>6814</v>
      </c>
    </row>
    <row r="4847" spans="1:1">
      <c r="A4847" s="151" t="s">
        <v>6815</v>
      </c>
    </row>
    <row r="4848" spans="1:1">
      <c r="A4848" s="151" t="s">
        <v>6816</v>
      </c>
    </row>
    <row r="4849" spans="1:1">
      <c r="A4849" s="151" t="s">
        <v>6817</v>
      </c>
    </row>
    <row r="4850" spans="1:1">
      <c r="A4850" s="151" t="s">
        <v>6818</v>
      </c>
    </row>
    <row r="4851" spans="1:1">
      <c r="A4851" s="151" t="s">
        <v>6819</v>
      </c>
    </row>
    <row r="4852" spans="1:1">
      <c r="A4852" s="151" t="s">
        <v>6820</v>
      </c>
    </row>
    <row r="4853" spans="1:1">
      <c r="A4853" s="151" t="s">
        <v>6821</v>
      </c>
    </row>
    <row r="4854" spans="1:1">
      <c r="A4854" s="151" t="s">
        <v>6822</v>
      </c>
    </row>
    <row r="4855" spans="1:1">
      <c r="A4855" s="151" t="s">
        <v>6823</v>
      </c>
    </row>
    <row r="4856" spans="1:1">
      <c r="A4856" s="151" t="s">
        <v>6824</v>
      </c>
    </row>
    <row r="4857" spans="1:1">
      <c r="A4857" s="151" t="s">
        <v>6825</v>
      </c>
    </row>
    <row r="4858" spans="1:1">
      <c r="A4858" s="151" t="s">
        <v>6826</v>
      </c>
    </row>
    <row r="4859" spans="1:1">
      <c r="A4859" s="151" t="s">
        <v>6827</v>
      </c>
    </row>
    <row r="4860" spans="1:1">
      <c r="A4860" s="151" t="s">
        <v>6828</v>
      </c>
    </row>
    <row r="4861" spans="1:1">
      <c r="A4861" s="151" t="s">
        <v>6829</v>
      </c>
    </row>
    <row r="4862" spans="1:1">
      <c r="A4862" s="151" t="s">
        <v>6830</v>
      </c>
    </row>
    <row r="4863" spans="1:1">
      <c r="A4863" s="151" t="s">
        <v>6831</v>
      </c>
    </row>
    <row r="4864" spans="1:1">
      <c r="A4864" s="151" t="s">
        <v>6832</v>
      </c>
    </row>
    <row r="4865" spans="1:1">
      <c r="A4865" s="151" t="s">
        <v>6833</v>
      </c>
    </row>
    <row r="4866" spans="1:1">
      <c r="A4866" s="151" t="s">
        <v>6834</v>
      </c>
    </row>
    <row r="4867" spans="1:1">
      <c r="A4867" s="151" t="s">
        <v>6835</v>
      </c>
    </row>
    <row r="4868" spans="1:1">
      <c r="A4868" s="151" t="s">
        <v>6836</v>
      </c>
    </row>
    <row r="4869" spans="1:1">
      <c r="A4869" s="151" t="s">
        <v>6837</v>
      </c>
    </row>
    <row r="4870" spans="1:1">
      <c r="A4870" s="151" t="s">
        <v>6838</v>
      </c>
    </row>
    <row r="4871" spans="1:1">
      <c r="A4871" s="151" t="s">
        <v>6839</v>
      </c>
    </row>
    <row r="4872" spans="1:1">
      <c r="A4872" s="151" t="s">
        <v>6840</v>
      </c>
    </row>
    <row r="4873" spans="1:1">
      <c r="A4873" s="151" t="s">
        <v>6841</v>
      </c>
    </row>
    <row r="4874" spans="1:1">
      <c r="A4874" s="151" t="s">
        <v>6842</v>
      </c>
    </row>
    <row r="4875" spans="1:1">
      <c r="A4875" s="151" t="s">
        <v>6843</v>
      </c>
    </row>
    <row r="4876" spans="1:1">
      <c r="A4876" s="151" t="s">
        <v>6844</v>
      </c>
    </row>
    <row r="4877" spans="1:1">
      <c r="A4877" s="151" t="s">
        <v>6845</v>
      </c>
    </row>
    <row r="4878" spans="1:1">
      <c r="A4878" s="151" t="s">
        <v>6846</v>
      </c>
    </row>
    <row r="4879" spans="1:1">
      <c r="A4879" s="151" t="s">
        <v>6847</v>
      </c>
    </row>
    <row r="4880" spans="1:1">
      <c r="A4880" s="151" t="s">
        <v>6848</v>
      </c>
    </row>
    <row r="4881" spans="1:1">
      <c r="A4881" s="151" t="s">
        <v>6849</v>
      </c>
    </row>
    <row r="4882" spans="1:1">
      <c r="A4882" s="151" t="s">
        <v>6850</v>
      </c>
    </row>
    <row r="4883" spans="1:1">
      <c r="A4883" s="151" t="s">
        <v>6851</v>
      </c>
    </row>
    <row r="4884" spans="1:1">
      <c r="A4884" s="151" t="s">
        <v>6852</v>
      </c>
    </row>
    <row r="4885" spans="1:1">
      <c r="A4885" s="151" t="s">
        <v>6853</v>
      </c>
    </row>
    <row r="4886" spans="1:1">
      <c r="A4886" s="151" t="s">
        <v>6854</v>
      </c>
    </row>
    <row r="4887" spans="1:1">
      <c r="A4887" s="151" t="s">
        <v>6855</v>
      </c>
    </row>
    <row r="4888" spans="1:1">
      <c r="A4888" s="151" t="s">
        <v>6856</v>
      </c>
    </row>
    <row r="4889" spans="1:1">
      <c r="A4889" s="151" t="s">
        <v>6857</v>
      </c>
    </row>
    <row r="4890" spans="1:1">
      <c r="A4890" s="151" t="s">
        <v>6858</v>
      </c>
    </row>
    <row r="4891" spans="1:1">
      <c r="A4891" s="151" t="s">
        <v>6859</v>
      </c>
    </row>
    <row r="4892" spans="1:1">
      <c r="A4892" s="151" t="s">
        <v>6860</v>
      </c>
    </row>
    <row r="4893" spans="1:1">
      <c r="A4893" s="151" t="s">
        <v>6861</v>
      </c>
    </row>
    <row r="4894" spans="1:1">
      <c r="A4894" s="151" t="s">
        <v>6862</v>
      </c>
    </row>
    <row r="4895" spans="1:1">
      <c r="A4895" s="151" t="s">
        <v>6863</v>
      </c>
    </row>
    <row r="4896" spans="1:1">
      <c r="A4896" s="151" t="s">
        <v>6864</v>
      </c>
    </row>
    <row r="4897" spans="1:1">
      <c r="A4897" s="151" t="s">
        <v>6865</v>
      </c>
    </row>
    <row r="4898" spans="1:1">
      <c r="A4898" s="151" t="s">
        <v>6866</v>
      </c>
    </row>
    <row r="4899" spans="1:1">
      <c r="A4899" s="151" t="s">
        <v>6867</v>
      </c>
    </row>
    <row r="4900" spans="1:1">
      <c r="A4900" s="151" t="s">
        <v>6868</v>
      </c>
    </row>
    <row r="4901" spans="1:1">
      <c r="A4901" s="151" t="s">
        <v>6869</v>
      </c>
    </row>
    <row r="4902" spans="1:1">
      <c r="A4902" s="151" t="s">
        <v>6870</v>
      </c>
    </row>
    <row r="4903" spans="1:1">
      <c r="A4903" s="151" t="s">
        <v>6871</v>
      </c>
    </row>
    <row r="4904" spans="1:1">
      <c r="A4904" s="151" t="s">
        <v>6872</v>
      </c>
    </row>
    <row r="4905" spans="1:1">
      <c r="A4905" s="151" t="s">
        <v>6873</v>
      </c>
    </row>
    <row r="4906" spans="1:1">
      <c r="A4906" s="151" t="s">
        <v>6874</v>
      </c>
    </row>
    <row r="4907" spans="1:1">
      <c r="A4907" s="151" t="s">
        <v>6875</v>
      </c>
    </row>
    <row r="4908" spans="1:1">
      <c r="A4908" s="151" t="s">
        <v>6876</v>
      </c>
    </row>
    <row r="4909" spans="1:1">
      <c r="A4909" s="151" t="s">
        <v>6877</v>
      </c>
    </row>
    <row r="4910" spans="1:1">
      <c r="A4910" s="151" t="s">
        <v>6878</v>
      </c>
    </row>
    <row r="4911" spans="1:1">
      <c r="A4911" s="151" t="s">
        <v>6879</v>
      </c>
    </row>
    <row r="4912" spans="1:1">
      <c r="A4912" s="151" t="s">
        <v>6880</v>
      </c>
    </row>
    <row r="4913" spans="1:1">
      <c r="A4913" s="151" t="s">
        <v>6881</v>
      </c>
    </row>
    <row r="4914" spans="1:1">
      <c r="A4914" s="151" t="s">
        <v>6882</v>
      </c>
    </row>
    <row r="4915" spans="1:1">
      <c r="A4915" s="151" t="s">
        <v>6883</v>
      </c>
    </row>
    <row r="4916" spans="1:1">
      <c r="A4916" s="151" t="s">
        <v>6884</v>
      </c>
    </row>
    <row r="4917" spans="1:1">
      <c r="A4917" s="151" t="s">
        <v>6885</v>
      </c>
    </row>
    <row r="4918" spans="1:1">
      <c r="A4918" s="151" t="s">
        <v>6886</v>
      </c>
    </row>
    <row r="4919" spans="1:1">
      <c r="A4919" s="151" t="s">
        <v>6887</v>
      </c>
    </row>
    <row r="4920" spans="1:1">
      <c r="A4920" s="151" t="s">
        <v>6888</v>
      </c>
    </row>
    <row r="4921" spans="1:1">
      <c r="A4921" s="151" t="s">
        <v>6889</v>
      </c>
    </row>
    <row r="4922" spans="1:1">
      <c r="A4922" s="151" t="s">
        <v>6890</v>
      </c>
    </row>
    <row r="4923" spans="1:1">
      <c r="A4923" s="151" t="s">
        <v>6891</v>
      </c>
    </row>
    <row r="4924" spans="1:1">
      <c r="A4924" s="151" t="s">
        <v>6892</v>
      </c>
    </row>
    <row r="4925" spans="1:1">
      <c r="A4925" s="151" t="s">
        <v>6893</v>
      </c>
    </row>
    <row r="4926" spans="1:1">
      <c r="A4926" s="151" t="s">
        <v>6894</v>
      </c>
    </row>
    <row r="4927" spans="1:1">
      <c r="A4927" s="151" t="s">
        <v>6895</v>
      </c>
    </row>
    <row r="4928" spans="1:1">
      <c r="A4928" s="151" t="s">
        <v>6896</v>
      </c>
    </row>
    <row r="4929" spans="1:1">
      <c r="A4929" s="151" t="s">
        <v>6897</v>
      </c>
    </row>
    <row r="4930" spans="1:1">
      <c r="A4930" s="151" t="s">
        <v>6898</v>
      </c>
    </row>
    <row r="4931" spans="1:1">
      <c r="A4931" s="151" t="s">
        <v>6899</v>
      </c>
    </row>
    <row r="4932" spans="1:1">
      <c r="A4932" s="151" t="s">
        <v>6900</v>
      </c>
    </row>
    <row r="4933" spans="1:1">
      <c r="A4933" s="151" t="s">
        <v>6901</v>
      </c>
    </row>
    <row r="4934" spans="1:1">
      <c r="A4934" s="151" t="s">
        <v>6902</v>
      </c>
    </row>
    <row r="4935" spans="1:1">
      <c r="A4935" s="151" t="s">
        <v>6903</v>
      </c>
    </row>
    <row r="4936" spans="1:1">
      <c r="A4936" s="151" t="s">
        <v>6904</v>
      </c>
    </row>
    <row r="4937" spans="1:1">
      <c r="A4937" s="151" t="s">
        <v>6905</v>
      </c>
    </row>
    <row r="4938" spans="1:1">
      <c r="A4938" s="151" t="s">
        <v>6906</v>
      </c>
    </row>
    <row r="4939" spans="1:1">
      <c r="A4939" s="151" t="s">
        <v>6907</v>
      </c>
    </row>
    <row r="4940" spans="1:1">
      <c r="A4940" s="151" t="s">
        <v>6908</v>
      </c>
    </row>
    <row r="4941" spans="1:1">
      <c r="A4941" s="151" t="s">
        <v>6909</v>
      </c>
    </row>
    <row r="4942" spans="1:1">
      <c r="A4942" s="151" t="s">
        <v>6910</v>
      </c>
    </row>
    <row r="4943" spans="1:1">
      <c r="A4943" s="151" t="s">
        <v>6911</v>
      </c>
    </row>
    <row r="4944" spans="1:1">
      <c r="A4944" s="151" t="s">
        <v>6912</v>
      </c>
    </row>
    <row r="4945" spans="1:1">
      <c r="A4945" s="151" t="s">
        <v>6913</v>
      </c>
    </row>
    <row r="4946" spans="1:1">
      <c r="A4946" s="151" t="s">
        <v>6914</v>
      </c>
    </row>
    <row r="4947" spans="1:1">
      <c r="A4947" s="151" t="s">
        <v>6915</v>
      </c>
    </row>
    <row r="4948" spans="1:1">
      <c r="A4948" s="151" t="s">
        <v>6916</v>
      </c>
    </row>
    <row r="4949" spans="1:1">
      <c r="A4949" s="151" t="s">
        <v>6917</v>
      </c>
    </row>
    <row r="4950" spans="1:1">
      <c r="A4950" s="151" t="s">
        <v>6918</v>
      </c>
    </row>
    <row r="4951" spans="1:1">
      <c r="A4951" s="151" t="s">
        <v>6919</v>
      </c>
    </row>
    <row r="4952" spans="1:1">
      <c r="A4952" s="151" t="s">
        <v>6920</v>
      </c>
    </row>
    <row r="4953" spans="1:1">
      <c r="A4953" s="151" t="s">
        <v>6921</v>
      </c>
    </row>
    <row r="4954" spans="1:1">
      <c r="A4954" s="151" t="s">
        <v>6922</v>
      </c>
    </row>
    <row r="4955" spans="1:1">
      <c r="A4955" s="151" t="s">
        <v>6923</v>
      </c>
    </row>
    <row r="4956" spans="1:1">
      <c r="A4956" s="151" t="s">
        <v>6924</v>
      </c>
    </row>
    <row r="4957" spans="1:1">
      <c r="A4957" s="151" t="s">
        <v>6925</v>
      </c>
    </row>
    <row r="4958" spans="1:1">
      <c r="A4958" s="151" t="s">
        <v>6926</v>
      </c>
    </row>
    <row r="4959" spans="1:1">
      <c r="A4959" s="151" t="s">
        <v>6927</v>
      </c>
    </row>
    <row r="4960" spans="1:1">
      <c r="A4960" s="151" t="s">
        <v>6928</v>
      </c>
    </row>
    <row r="4961" spans="1:1">
      <c r="A4961" s="151" t="s">
        <v>6929</v>
      </c>
    </row>
    <row r="4962" spans="1:1">
      <c r="A4962" s="151" t="s">
        <v>6930</v>
      </c>
    </row>
    <row r="4963" spans="1:1">
      <c r="A4963" s="151" t="s">
        <v>6931</v>
      </c>
    </row>
    <row r="4964" spans="1:1">
      <c r="A4964" s="151" t="s">
        <v>6932</v>
      </c>
    </row>
    <row r="4965" spans="1:1">
      <c r="A4965" s="151" t="s">
        <v>6933</v>
      </c>
    </row>
    <row r="4966" spans="1:1">
      <c r="A4966" s="151" t="s">
        <v>6934</v>
      </c>
    </row>
    <row r="4967" spans="1:1">
      <c r="A4967" s="151" t="s">
        <v>6935</v>
      </c>
    </row>
    <row r="4968" spans="1:1">
      <c r="A4968" s="151" t="s">
        <v>6936</v>
      </c>
    </row>
    <row r="4969" spans="1:1">
      <c r="A4969" s="151" t="s">
        <v>6937</v>
      </c>
    </row>
    <row r="4970" spans="1:1">
      <c r="A4970" s="151" t="s">
        <v>6938</v>
      </c>
    </row>
    <row r="4971" spans="1:1">
      <c r="A4971" s="151" t="s">
        <v>6939</v>
      </c>
    </row>
    <row r="4972" spans="1:1">
      <c r="A4972" s="151" t="s">
        <v>6940</v>
      </c>
    </row>
    <row r="4973" spans="1:1">
      <c r="A4973" s="151" t="s">
        <v>6941</v>
      </c>
    </row>
    <row r="4974" spans="1:1">
      <c r="A4974" s="151" t="s">
        <v>6942</v>
      </c>
    </row>
    <row r="4975" spans="1:1">
      <c r="A4975" s="151" t="s">
        <v>6943</v>
      </c>
    </row>
    <row r="4976" spans="1:1">
      <c r="A4976" s="151" t="s">
        <v>6944</v>
      </c>
    </row>
    <row r="4977" spans="1:1">
      <c r="A4977" s="151" t="s">
        <v>6945</v>
      </c>
    </row>
    <row r="4978" spans="1:1">
      <c r="A4978" s="151" t="s">
        <v>6946</v>
      </c>
    </row>
    <row r="4979" spans="1:1">
      <c r="A4979" s="151" t="s">
        <v>6947</v>
      </c>
    </row>
    <row r="4980" spans="1:1">
      <c r="A4980" s="151" t="s">
        <v>6948</v>
      </c>
    </row>
    <row r="4981" spans="1:1">
      <c r="A4981" s="151" t="s">
        <v>6949</v>
      </c>
    </row>
    <row r="4982" spans="1:1">
      <c r="A4982" s="151" t="s">
        <v>6950</v>
      </c>
    </row>
    <row r="4983" spans="1:1">
      <c r="A4983" s="151" t="s">
        <v>6951</v>
      </c>
    </row>
    <row r="4984" spans="1:1">
      <c r="A4984" s="151" t="s">
        <v>6952</v>
      </c>
    </row>
    <row r="4985" spans="1:1">
      <c r="A4985" s="151" t="s">
        <v>6953</v>
      </c>
    </row>
    <row r="4986" spans="1:1">
      <c r="A4986" s="151" t="s">
        <v>6954</v>
      </c>
    </row>
    <row r="4987" spans="1:1">
      <c r="A4987" s="151" t="s">
        <v>6955</v>
      </c>
    </row>
    <row r="4988" spans="1:1">
      <c r="A4988" s="151" t="s">
        <v>6956</v>
      </c>
    </row>
    <row r="4989" spans="1:1">
      <c r="A4989" s="151" t="s">
        <v>6957</v>
      </c>
    </row>
    <row r="4990" spans="1:1">
      <c r="A4990" s="151" t="s">
        <v>6958</v>
      </c>
    </row>
    <row r="4991" spans="1:1">
      <c r="A4991" s="151" t="s">
        <v>6959</v>
      </c>
    </row>
    <row r="4992" spans="1:1">
      <c r="A4992" s="151" t="s">
        <v>6960</v>
      </c>
    </row>
    <row r="4993" spans="1:1">
      <c r="A4993" s="151" t="s">
        <v>6961</v>
      </c>
    </row>
    <row r="4994" spans="1:1">
      <c r="A4994" s="151" t="s">
        <v>6962</v>
      </c>
    </row>
    <row r="4995" spans="1:1">
      <c r="A4995" s="151" t="s">
        <v>6963</v>
      </c>
    </row>
    <row r="4996" spans="1:1">
      <c r="A4996" s="151" t="s">
        <v>6964</v>
      </c>
    </row>
    <row r="4997" spans="1:1">
      <c r="A4997" s="151" t="s">
        <v>6965</v>
      </c>
    </row>
    <row r="4998" spans="1:1">
      <c r="A4998" s="151" t="s">
        <v>6966</v>
      </c>
    </row>
    <row r="4999" spans="1:1">
      <c r="A4999" s="151" t="s">
        <v>6967</v>
      </c>
    </row>
    <row r="5000" spans="1:1">
      <c r="A5000" s="151" t="s">
        <v>6968</v>
      </c>
    </row>
    <row r="5001" spans="1:1">
      <c r="A5001" s="151" t="s">
        <v>6969</v>
      </c>
    </row>
    <row r="5002" spans="1:1">
      <c r="A5002" s="151" t="s">
        <v>6970</v>
      </c>
    </row>
    <row r="5003" spans="1:1">
      <c r="A5003" s="151" t="s">
        <v>6971</v>
      </c>
    </row>
    <row r="5004" spans="1:1">
      <c r="A5004" s="151" t="s">
        <v>6972</v>
      </c>
    </row>
    <row r="5005" spans="1:1">
      <c r="A5005" s="151" t="s">
        <v>6973</v>
      </c>
    </row>
    <row r="5006" spans="1:1">
      <c r="A5006" s="151" t="s">
        <v>6974</v>
      </c>
    </row>
    <row r="5007" spans="1:1">
      <c r="A5007" s="151" t="s">
        <v>6975</v>
      </c>
    </row>
    <row r="5008" spans="1:1">
      <c r="A5008" s="151" t="s">
        <v>6976</v>
      </c>
    </row>
    <row r="5009" spans="1:1">
      <c r="A5009" s="151" t="s">
        <v>6977</v>
      </c>
    </row>
    <row r="5010" spans="1:1">
      <c r="A5010" s="151" t="s">
        <v>6978</v>
      </c>
    </row>
    <row r="5011" spans="1:1">
      <c r="A5011" s="151" t="s">
        <v>6979</v>
      </c>
    </row>
    <row r="5012" spans="1:1">
      <c r="A5012" s="151" t="s">
        <v>6980</v>
      </c>
    </row>
    <row r="5013" spans="1:1">
      <c r="A5013" s="151" t="s">
        <v>6981</v>
      </c>
    </row>
    <row r="5014" spans="1:1">
      <c r="A5014" s="151" t="s">
        <v>6982</v>
      </c>
    </row>
    <row r="5015" spans="1:1">
      <c r="A5015" s="151" t="s">
        <v>6983</v>
      </c>
    </row>
    <row r="5016" spans="1:1">
      <c r="A5016" s="151" t="s">
        <v>6984</v>
      </c>
    </row>
    <row r="5017" spans="1:1">
      <c r="A5017" s="151" t="s">
        <v>6985</v>
      </c>
    </row>
    <row r="5018" spans="1:1">
      <c r="A5018" s="151" t="s">
        <v>6986</v>
      </c>
    </row>
    <row r="5019" spans="1:1">
      <c r="A5019" s="151" t="s">
        <v>6987</v>
      </c>
    </row>
    <row r="5020" spans="1:1">
      <c r="A5020" s="151" t="s">
        <v>6988</v>
      </c>
    </row>
    <row r="5021" spans="1:1">
      <c r="A5021" s="151" t="s">
        <v>6989</v>
      </c>
    </row>
    <row r="5022" spans="1:1">
      <c r="A5022" s="151" t="s">
        <v>6990</v>
      </c>
    </row>
    <row r="5023" spans="1:1">
      <c r="A5023" s="151" t="s">
        <v>6991</v>
      </c>
    </row>
    <row r="5024" spans="1:1">
      <c r="A5024" s="151" t="s">
        <v>6992</v>
      </c>
    </row>
    <row r="5025" spans="1:1">
      <c r="A5025" s="151" t="s">
        <v>6993</v>
      </c>
    </row>
    <row r="5026" spans="1:1">
      <c r="A5026" s="151" t="s">
        <v>6994</v>
      </c>
    </row>
    <row r="5027" spans="1:1">
      <c r="A5027" s="151" t="s">
        <v>6995</v>
      </c>
    </row>
    <row r="5028" spans="1:1">
      <c r="A5028" s="151" t="s">
        <v>6996</v>
      </c>
    </row>
    <row r="5029" spans="1:1">
      <c r="A5029" s="151" t="s">
        <v>6997</v>
      </c>
    </row>
    <row r="5030" spans="1:1">
      <c r="A5030" s="151" t="s">
        <v>6998</v>
      </c>
    </row>
    <row r="5031" spans="1:1">
      <c r="A5031" s="151" t="s">
        <v>6999</v>
      </c>
    </row>
    <row r="5032" spans="1:1">
      <c r="A5032" s="151" t="s">
        <v>7000</v>
      </c>
    </row>
    <row r="5033" spans="1:1">
      <c r="A5033" s="151" t="s">
        <v>7001</v>
      </c>
    </row>
    <row r="5034" spans="1:1">
      <c r="A5034" s="151" t="s">
        <v>7002</v>
      </c>
    </row>
    <row r="5035" spans="1:1">
      <c r="A5035" s="151" t="s">
        <v>7003</v>
      </c>
    </row>
    <row r="5036" spans="1:1">
      <c r="A5036" s="151" t="s">
        <v>7004</v>
      </c>
    </row>
    <row r="5037" spans="1:1">
      <c r="A5037" s="151" t="s">
        <v>7005</v>
      </c>
    </row>
    <row r="5038" spans="1:1">
      <c r="A5038" s="151" t="s">
        <v>7006</v>
      </c>
    </row>
    <row r="5039" spans="1:1">
      <c r="A5039" s="151" t="s">
        <v>7007</v>
      </c>
    </row>
    <row r="5040" spans="1:1">
      <c r="A5040" s="151" t="s">
        <v>7008</v>
      </c>
    </row>
    <row r="5041" spans="1:1">
      <c r="A5041" s="151" t="s">
        <v>7009</v>
      </c>
    </row>
    <row r="5042" spans="1:1">
      <c r="A5042" s="151" t="s">
        <v>7010</v>
      </c>
    </row>
    <row r="5043" spans="1:1">
      <c r="A5043" s="151" t="s">
        <v>7011</v>
      </c>
    </row>
    <row r="5044" spans="1:1">
      <c r="A5044" s="151" t="s">
        <v>7012</v>
      </c>
    </row>
    <row r="5045" spans="1:1">
      <c r="A5045" s="151" t="s">
        <v>7013</v>
      </c>
    </row>
    <row r="5046" spans="1:1">
      <c r="A5046" s="151" t="s">
        <v>7014</v>
      </c>
    </row>
    <row r="5047" spans="1:1">
      <c r="A5047" s="151" t="s">
        <v>7015</v>
      </c>
    </row>
    <row r="5048" spans="1:1">
      <c r="A5048" s="151" t="s">
        <v>7016</v>
      </c>
    </row>
    <row r="5049" spans="1:1">
      <c r="A5049" s="151" t="s">
        <v>7017</v>
      </c>
    </row>
    <row r="5050" spans="1:1">
      <c r="A5050" s="151" t="s">
        <v>7018</v>
      </c>
    </row>
    <row r="5051" spans="1:1">
      <c r="A5051" s="151" t="s">
        <v>7019</v>
      </c>
    </row>
    <row r="5052" spans="1:1">
      <c r="A5052" s="151" t="s">
        <v>7020</v>
      </c>
    </row>
    <row r="5053" spans="1:1">
      <c r="A5053" s="151" t="s">
        <v>7021</v>
      </c>
    </row>
    <row r="5054" spans="1:1">
      <c r="A5054" s="151" t="s">
        <v>7022</v>
      </c>
    </row>
    <row r="5055" spans="1:1">
      <c r="A5055" s="151" t="s">
        <v>7023</v>
      </c>
    </row>
    <row r="5056" spans="1:1">
      <c r="A5056" s="151" t="s">
        <v>7024</v>
      </c>
    </row>
    <row r="5057" spans="1:1">
      <c r="A5057" s="151" t="s">
        <v>7025</v>
      </c>
    </row>
    <row r="5058" spans="1:1">
      <c r="A5058" s="151" t="s">
        <v>7026</v>
      </c>
    </row>
    <row r="5059" spans="1:1">
      <c r="A5059" s="151" t="s">
        <v>7027</v>
      </c>
    </row>
    <row r="5060" spans="1:1">
      <c r="A5060" s="151" t="s">
        <v>7028</v>
      </c>
    </row>
    <row r="5061" spans="1:1">
      <c r="A5061" s="151" t="s">
        <v>7029</v>
      </c>
    </row>
    <row r="5062" spans="1:1">
      <c r="A5062" s="151" t="s">
        <v>7030</v>
      </c>
    </row>
    <row r="5063" spans="1:1">
      <c r="A5063" s="151" t="s">
        <v>7031</v>
      </c>
    </row>
    <row r="5064" spans="1:1">
      <c r="A5064" s="151" t="s">
        <v>7032</v>
      </c>
    </row>
    <row r="5065" spans="1:1">
      <c r="A5065" s="151" t="s">
        <v>7033</v>
      </c>
    </row>
    <row r="5066" spans="1:1">
      <c r="A5066" s="151" t="s">
        <v>7034</v>
      </c>
    </row>
    <row r="5067" spans="1:1">
      <c r="A5067" s="151" t="s">
        <v>7035</v>
      </c>
    </row>
    <row r="5068" spans="1:1">
      <c r="A5068" s="151" t="s">
        <v>7036</v>
      </c>
    </row>
    <row r="5069" spans="1:1">
      <c r="A5069" s="151" t="s">
        <v>7037</v>
      </c>
    </row>
    <row r="5070" spans="1:1">
      <c r="A5070" s="151" t="s">
        <v>7038</v>
      </c>
    </row>
    <row r="5071" spans="1:1">
      <c r="A5071" s="151" t="s">
        <v>7039</v>
      </c>
    </row>
    <row r="5072" spans="1:1">
      <c r="A5072" s="151" t="s">
        <v>7040</v>
      </c>
    </row>
    <row r="5073" spans="1:1">
      <c r="A5073" s="151" t="s">
        <v>7041</v>
      </c>
    </row>
    <row r="5074" spans="1:1">
      <c r="A5074" s="151" t="s">
        <v>7042</v>
      </c>
    </row>
    <row r="5075" spans="1:1">
      <c r="A5075" s="151" t="s">
        <v>7043</v>
      </c>
    </row>
    <row r="5076" spans="1:1">
      <c r="A5076" s="151" t="s">
        <v>7044</v>
      </c>
    </row>
    <row r="5077" spans="1:1">
      <c r="A5077" s="151" t="s">
        <v>7045</v>
      </c>
    </row>
    <row r="5078" spans="1:1">
      <c r="A5078" s="151" t="s">
        <v>7046</v>
      </c>
    </row>
    <row r="5079" spans="1:1">
      <c r="A5079" s="151" t="s">
        <v>7047</v>
      </c>
    </row>
    <row r="5080" spans="1:1">
      <c r="A5080" s="151" t="s">
        <v>7048</v>
      </c>
    </row>
    <row r="5081" spans="1:1">
      <c r="A5081" s="151" t="s">
        <v>7049</v>
      </c>
    </row>
    <row r="5082" spans="1:1">
      <c r="A5082" s="151" t="s">
        <v>7050</v>
      </c>
    </row>
    <row r="5083" spans="1:1">
      <c r="A5083" s="151" t="s">
        <v>7051</v>
      </c>
    </row>
    <row r="5084" spans="1:1">
      <c r="A5084" s="151" t="s">
        <v>7052</v>
      </c>
    </row>
    <row r="5085" spans="1:1">
      <c r="A5085" s="151" t="s">
        <v>7053</v>
      </c>
    </row>
    <row r="5086" spans="1:1">
      <c r="A5086" s="151" t="s">
        <v>7054</v>
      </c>
    </row>
    <row r="5087" spans="1:1">
      <c r="A5087" s="151" t="s">
        <v>7055</v>
      </c>
    </row>
    <row r="5088" spans="1:1">
      <c r="A5088" s="151" t="s">
        <v>7056</v>
      </c>
    </row>
    <row r="5089" spans="1:1">
      <c r="A5089" s="151" t="s">
        <v>7057</v>
      </c>
    </row>
    <row r="5090" spans="1:1">
      <c r="A5090" s="151" t="s">
        <v>7058</v>
      </c>
    </row>
    <row r="5091" spans="1:1">
      <c r="A5091" s="151" t="s">
        <v>7059</v>
      </c>
    </row>
    <row r="5092" spans="1:1">
      <c r="A5092" s="151" t="s">
        <v>7060</v>
      </c>
    </row>
    <row r="5093" spans="1:1">
      <c r="A5093" s="151" t="s">
        <v>7061</v>
      </c>
    </row>
    <row r="5094" spans="1:1">
      <c r="A5094" s="151" t="s">
        <v>7062</v>
      </c>
    </row>
    <row r="5095" spans="1:1">
      <c r="A5095" s="151" t="s">
        <v>7063</v>
      </c>
    </row>
    <row r="5096" spans="1:1">
      <c r="A5096" s="151" t="s">
        <v>7064</v>
      </c>
    </row>
    <row r="5097" spans="1:1">
      <c r="A5097" s="151" t="s">
        <v>7065</v>
      </c>
    </row>
    <row r="5098" spans="1:1">
      <c r="A5098" s="151" t="s">
        <v>7066</v>
      </c>
    </row>
    <row r="5099" spans="1:1">
      <c r="A5099" s="151" t="s">
        <v>7067</v>
      </c>
    </row>
    <row r="5100" spans="1:1">
      <c r="A5100" s="151" t="s">
        <v>7068</v>
      </c>
    </row>
    <row r="5101" spans="1:1">
      <c r="A5101" s="151" t="s">
        <v>7069</v>
      </c>
    </row>
    <row r="5102" spans="1:1">
      <c r="A5102" s="151" t="s">
        <v>7070</v>
      </c>
    </row>
    <row r="5103" spans="1:1">
      <c r="A5103" s="151" t="s">
        <v>7071</v>
      </c>
    </row>
    <row r="5104" spans="1:1">
      <c r="A5104" s="151" t="s">
        <v>7072</v>
      </c>
    </row>
    <row r="5105" spans="1:1">
      <c r="A5105" s="151" t="s">
        <v>7073</v>
      </c>
    </row>
    <row r="5106" spans="1:1">
      <c r="A5106" s="151" t="s">
        <v>7074</v>
      </c>
    </row>
    <row r="5107" spans="1:1">
      <c r="A5107" s="151" t="s">
        <v>7075</v>
      </c>
    </row>
    <row r="5108" spans="1:1">
      <c r="A5108" s="151" t="s">
        <v>7076</v>
      </c>
    </row>
    <row r="5109" spans="1:1">
      <c r="A5109" s="151" t="s">
        <v>7077</v>
      </c>
    </row>
    <row r="5110" spans="1:1">
      <c r="A5110" s="151" t="s">
        <v>7078</v>
      </c>
    </row>
    <row r="5111" spans="1:1">
      <c r="A5111" s="151" t="s">
        <v>7079</v>
      </c>
    </row>
    <row r="5112" spans="1:1">
      <c r="A5112" s="151" t="s">
        <v>7080</v>
      </c>
    </row>
    <row r="5113" spans="1:1">
      <c r="A5113" s="151" t="s">
        <v>7081</v>
      </c>
    </row>
    <row r="5114" spans="1:1">
      <c r="A5114" s="151" t="s">
        <v>7082</v>
      </c>
    </row>
    <row r="5115" spans="1:1">
      <c r="A5115" s="151" t="s">
        <v>7083</v>
      </c>
    </row>
    <row r="5116" spans="1:1">
      <c r="A5116" s="151" t="s">
        <v>7084</v>
      </c>
    </row>
    <row r="5117" spans="1:1">
      <c r="A5117" s="151" t="s">
        <v>7085</v>
      </c>
    </row>
    <row r="5118" spans="1:1">
      <c r="A5118" s="151" t="s">
        <v>7086</v>
      </c>
    </row>
    <row r="5119" spans="1:1">
      <c r="A5119" s="151" t="s">
        <v>7087</v>
      </c>
    </row>
    <row r="5120" spans="1:1">
      <c r="A5120" s="151" t="s">
        <v>7088</v>
      </c>
    </row>
    <row r="5121" spans="1:1">
      <c r="A5121" s="151" t="s">
        <v>7089</v>
      </c>
    </row>
    <row r="5122" spans="1:1">
      <c r="A5122" s="151" t="s">
        <v>7090</v>
      </c>
    </row>
    <row r="5123" spans="1:1">
      <c r="A5123" s="151" t="s">
        <v>7091</v>
      </c>
    </row>
    <row r="5124" spans="1:1">
      <c r="A5124" s="151" t="s">
        <v>7092</v>
      </c>
    </row>
    <row r="5125" spans="1:1">
      <c r="A5125" s="151" t="s">
        <v>7093</v>
      </c>
    </row>
    <row r="5126" spans="1:1">
      <c r="A5126" s="151" t="s">
        <v>7094</v>
      </c>
    </row>
    <row r="5127" spans="1:1">
      <c r="A5127" s="151" t="s">
        <v>7095</v>
      </c>
    </row>
    <row r="5128" spans="1:1">
      <c r="A5128" s="151" t="s">
        <v>7096</v>
      </c>
    </row>
    <row r="5129" spans="1:1">
      <c r="A5129" s="151" t="s">
        <v>7097</v>
      </c>
    </row>
    <row r="5130" spans="1:1">
      <c r="A5130" s="151" t="s">
        <v>7098</v>
      </c>
    </row>
    <row r="5131" spans="1:1">
      <c r="A5131" s="151" t="s">
        <v>7099</v>
      </c>
    </row>
    <row r="5132" spans="1:1">
      <c r="A5132" s="151" t="s">
        <v>7100</v>
      </c>
    </row>
    <row r="5133" spans="1:1">
      <c r="A5133" s="151" t="s">
        <v>7101</v>
      </c>
    </row>
    <row r="5134" spans="1:1">
      <c r="A5134" s="151" t="s">
        <v>7102</v>
      </c>
    </row>
    <row r="5135" spans="1:1">
      <c r="A5135" s="151" t="s">
        <v>7103</v>
      </c>
    </row>
    <row r="5136" spans="1:1">
      <c r="A5136" s="151" t="s">
        <v>7104</v>
      </c>
    </row>
    <row r="5137" spans="1:1">
      <c r="A5137" s="151" t="s">
        <v>7105</v>
      </c>
    </row>
    <row r="5138" spans="1:1">
      <c r="A5138" s="151" t="s">
        <v>7106</v>
      </c>
    </row>
    <row r="5139" spans="1:1">
      <c r="A5139" s="151" t="s">
        <v>7107</v>
      </c>
    </row>
    <row r="5140" spans="1:1">
      <c r="A5140" s="151" t="s">
        <v>7108</v>
      </c>
    </row>
    <row r="5141" spans="1:1">
      <c r="A5141" s="151" t="s">
        <v>7109</v>
      </c>
    </row>
    <row r="5142" spans="1:1">
      <c r="A5142" s="151" t="s">
        <v>7110</v>
      </c>
    </row>
    <row r="5143" spans="1:1">
      <c r="A5143" s="151" t="s">
        <v>7111</v>
      </c>
    </row>
    <row r="5144" spans="1:1">
      <c r="A5144" s="151" t="s">
        <v>7112</v>
      </c>
    </row>
    <row r="5145" spans="1:1">
      <c r="A5145" s="151" t="s">
        <v>7113</v>
      </c>
    </row>
    <row r="5146" spans="1:1">
      <c r="A5146" s="151" t="s">
        <v>7114</v>
      </c>
    </row>
    <row r="5147" spans="1:1">
      <c r="A5147" s="151" t="s">
        <v>7115</v>
      </c>
    </row>
    <row r="5148" spans="1:1">
      <c r="A5148" s="151" t="s">
        <v>7116</v>
      </c>
    </row>
    <row r="5149" spans="1:1">
      <c r="A5149" s="151" t="s">
        <v>7117</v>
      </c>
    </row>
    <row r="5150" spans="1:1">
      <c r="A5150" s="151" t="s">
        <v>7118</v>
      </c>
    </row>
    <row r="5151" spans="1:1">
      <c r="A5151" s="151" t="s">
        <v>7119</v>
      </c>
    </row>
    <row r="5152" spans="1:1">
      <c r="A5152" s="151" t="s">
        <v>7120</v>
      </c>
    </row>
    <row r="5153" spans="1:1">
      <c r="A5153" s="151" t="s">
        <v>7121</v>
      </c>
    </row>
    <row r="5154" spans="1:1">
      <c r="A5154" s="151" t="s">
        <v>7122</v>
      </c>
    </row>
    <row r="5155" spans="1:1">
      <c r="A5155" s="151" t="s">
        <v>7123</v>
      </c>
    </row>
    <row r="5156" spans="1:1">
      <c r="A5156" s="151" t="s">
        <v>7124</v>
      </c>
    </row>
    <row r="5157" spans="1:1">
      <c r="A5157" s="151" t="s">
        <v>7125</v>
      </c>
    </row>
    <row r="5158" spans="1:1">
      <c r="A5158" s="151" t="s">
        <v>7126</v>
      </c>
    </row>
    <row r="5159" spans="1:1">
      <c r="A5159" s="151" t="s">
        <v>7127</v>
      </c>
    </row>
    <row r="5160" spans="1:1">
      <c r="A5160" s="151" t="s">
        <v>7128</v>
      </c>
    </row>
    <row r="5161" spans="1:1">
      <c r="A5161" s="151" t="s">
        <v>7129</v>
      </c>
    </row>
    <row r="5162" spans="1:1">
      <c r="A5162" s="151" t="s">
        <v>7130</v>
      </c>
    </row>
    <row r="5163" spans="1:1">
      <c r="A5163" s="151" t="s">
        <v>7131</v>
      </c>
    </row>
    <row r="5164" spans="1:1">
      <c r="A5164" s="151" t="s">
        <v>7132</v>
      </c>
    </row>
    <row r="5165" spans="1:1">
      <c r="A5165" s="151" t="s">
        <v>7133</v>
      </c>
    </row>
    <row r="5166" spans="1:1">
      <c r="A5166" s="151" t="s">
        <v>7134</v>
      </c>
    </row>
    <row r="5167" spans="1:1">
      <c r="A5167" s="151" t="s">
        <v>7135</v>
      </c>
    </row>
    <row r="5168" spans="1:1">
      <c r="A5168" s="151" t="s">
        <v>7136</v>
      </c>
    </row>
    <row r="5169" spans="1:1">
      <c r="A5169" s="151" t="s">
        <v>7137</v>
      </c>
    </row>
    <row r="5170" spans="1:1">
      <c r="A5170" s="151" t="s">
        <v>7138</v>
      </c>
    </row>
    <row r="5171" spans="1:1">
      <c r="A5171" s="151" t="s">
        <v>7139</v>
      </c>
    </row>
    <row r="5172" spans="1:1">
      <c r="A5172" s="151" t="s">
        <v>7140</v>
      </c>
    </row>
    <row r="5173" spans="1:1">
      <c r="A5173" s="151" t="s">
        <v>7141</v>
      </c>
    </row>
    <row r="5174" spans="1:1">
      <c r="A5174" s="151" t="s">
        <v>7142</v>
      </c>
    </row>
    <row r="5175" spans="1:1">
      <c r="A5175" s="151" t="s">
        <v>7143</v>
      </c>
    </row>
    <row r="5176" spans="1:1">
      <c r="A5176" s="151" t="s">
        <v>7144</v>
      </c>
    </row>
    <row r="5177" spans="1:1">
      <c r="A5177" s="151" t="s">
        <v>7145</v>
      </c>
    </row>
    <row r="5178" spans="1:1">
      <c r="A5178" s="151" t="s">
        <v>7146</v>
      </c>
    </row>
    <row r="5179" spans="1:1">
      <c r="A5179" s="151" t="s">
        <v>7147</v>
      </c>
    </row>
    <row r="5180" spans="1:1">
      <c r="A5180" s="151" t="s">
        <v>7148</v>
      </c>
    </row>
    <row r="5181" spans="1:1">
      <c r="A5181" s="151" t="s">
        <v>7149</v>
      </c>
    </row>
    <row r="5182" spans="1:1">
      <c r="A5182" s="151" t="s">
        <v>7150</v>
      </c>
    </row>
    <row r="5183" spans="1:1">
      <c r="A5183" s="151" t="s">
        <v>7151</v>
      </c>
    </row>
    <row r="5184" spans="1:1">
      <c r="A5184" s="151" t="s">
        <v>7152</v>
      </c>
    </row>
    <row r="5185" spans="1:1">
      <c r="A5185" s="151" t="s">
        <v>7153</v>
      </c>
    </row>
    <row r="5186" spans="1:1">
      <c r="A5186" s="151" t="s">
        <v>7154</v>
      </c>
    </row>
    <row r="5187" spans="1:1">
      <c r="A5187" s="151" t="s">
        <v>7155</v>
      </c>
    </row>
    <row r="5188" spans="1:1">
      <c r="A5188" s="151" t="s">
        <v>7156</v>
      </c>
    </row>
    <row r="5189" spans="1:1">
      <c r="A5189" s="151" t="s">
        <v>7157</v>
      </c>
    </row>
    <row r="5190" spans="1:1">
      <c r="A5190" s="151" t="s">
        <v>7158</v>
      </c>
    </row>
    <row r="5191" spans="1:1">
      <c r="A5191" s="151" t="s">
        <v>7159</v>
      </c>
    </row>
    <row r="5192" spans="1:1">
      <c r="A5192" s="151" t="s">
        <v>7160</v>
      </c>
    </row>
    <row r="5193" spans="1:1">
      <c r="A5193" s="151" t="s">
        <v>7161</v>
      </c>
    </row>
    <row r="5194" spans="1:1">
      <c r="A5194" s="151" t="s">
        <v>7162</v>
      </c>
    </row>
    <row r="5195" spans="1:1">
      <c r="A5195" s="151" t="s">
        <v>7163</v>
      </c>
    </row>
    <row r="5196" spans="1:1">
      <c r="A5196" s="151" t="s">
        <v>7164</v>
      </c>
    </row>
    <row r="5197" spans="1:1">
      <c r="A5197" s="151" t="s">
        <v>7165</v>
      </c>
    </row>
    <row r="5198" spans="1:1">
      <c r="A5198" s="151" t="s">
        <v>7166</v>
      </c>
    </row>
    <row r="5199" spans="1:1">
      <c r="A5199" s="151" t="s">
        <v>7167</v>
      </c>
    </row>
    <row r="5200" spans="1:1">
      <c r="A5200" s="151" t="s">
        <v>7168</v>
      </c>
    </row>
    <row r="5201" spans="1:1">
      <c r="A5201" s="151" t="s">
        <v>7169</v>
      </c>
    </row>
    <row r="5202" spans="1:1">
      <c r="A5202" s="151" t="s">
        <v>7170</v>
      </c>
    </row>
    <row r="5203" spans="1:1">
      <c r="A5203" s="151" t="s">
        <v>7171</v>
      </c>
    </row>
    <row r="5204" spans="1:1">
      <c r="A5204" s="151" t="s">
        <v>7172</v>
      </c>
    </row>
    <row r="5205" spans="1:1">
      <c r="A5205" s="151" t="s">
        <v>7173</v>
      </c>
    </row>
    <row r="5206" spans="1:1">
      <c r="A5206" s="151" t="s">
        <v>7174</v>
      </c>
    </row>
    <row r="5207" spans="1:1">
      <c r="A5207" s="151" t="s">
        <v>7175</v>
      </c>
    </row>
    <row r="5208" spans="1:1">
      <c r="A5208" s="151" t="s">
        <v>7176</v>
      </c>
    </row>
    <row r="5209" spans="1:1">
      <c r="A5209" s="151" t="s">
        <v>7177</v>
      </c>
    </row>
    <row r="5210" spans="1:1">
      <c r="A5210" s="151" t="s">
        <v>7178</v>
      </c>
    </row>
    <row r="5211" spans="1:1">
      <c r="A5211" s="151" t="s">
        <v>7179</v>
      </c>
    </row>
    <row r="5212" spans="1:1">
      <c r="A5212" s="151" t="s">
        <v>7180</v>
      </c>
    </row>
    <row r="5213" spans="1:1">
      <c r="A5213" s="151" t="s">
        <v>7181</v>
      </c>
    </row>
    <row r="5214" spans="1:1">
      <c r="A5214" s="151" t="s">
        <v>7182</v>
      </c>
    </row>
    <row r="5215" spans="1:1">
      <c r="A5215" s="151" t="s">
        <v>7183</v>
      </c>
    </row>
    <row r="5216" spans="1:1">
      <c r="A5216" s="151" t="s">
        <v>7184</v>
      </c>
    </row>
    <row r="5217" spans="1:1">
      <c r="A5217" s="151" t="s">
        <v>7185</v>
      </c>
    </row>
    <row r="5218" spans="1:1">
      <c r="A5218" s="151" t="s">
        <v>7186</v>
      </c>
    </row>
    <row r="5219" spans="1:1">
      <c r="A5219" s="151" t="s">
        <v>7187</v>
      </c>
    </row>
    <row r="5220" spans="1:1">
      <c r="A5220" s="151" t="s">
        <v>7188</v>
      </c>
    </row>
    <row r="5221" spans="1:1">
      <c r="A5221" s="151" t="s">
        <v>7189</v>
      </c>
    </row>
    <row r="5222" spans="1:1">
      <c r="A5222" s="151" t="s">
        <v>7190</v>
      </c>
    </row>
    <row r="5223" spans="1:1">
      <c r="A5223" s="151" t="s">
        <v>7191</v>
      </c>
    </row>
    <row r="5224" spans="1:1">
      <c r="A5224" s="151" t="s">
        <v>7192</v>
      </c>
    </row>
    <row r="5225" spans="1:1">
      <c r="A5225" s="151" t="s">
        <v>7193</v>
      </c>
    </row>
    <row r="5226" spans="1:1">
      <c r="A5226" s="151" t="s">
        <v>7194</v>
      </c>
    </row>
    <row r="5227" spans="1:1">
      <c r="A5227" s="151" t="s">
        <v>7195</v>
      </c>
    </row>
    <row r="5228" spans="1:1">
      <c r="A5228" s="151" t="s">
        <v>7196</v>
      </c>
    </row>
    <row r="5229" spans="1:1">
      <c r="A5229" s="151" t="s">
        <v>7197</v>
      </c>
    </row>
    <row r="5230" spans="1:1">
      <c r="A5230" s="151" t="s">
        <v>7198</v>
      </c>
    </row>
    <row r="5231" spans="1:1">
      <c r="A5231" s="151" t="s">
        <v>7199</v>
      </c>
    </row>
    <row r="5232" spans="1:1">
      <c r="A5232" s="151" t="s">
        <v>7200</v>
      </c>
    </row>
    <row r="5233" spans="1:1">
      <c r="A5233" s="151" t="s">
        <v>7201</v>
      </c>
    </row>
    <row r="5234" spans="1:1">
      <c r="A5234" s="151" t="s">
        <v>7202</v>
      </c>
    </row>
    <row r="5235" spans="1:1">
      <c r="A5235" s="151" t="s">
        <v>7203</v>
      </c>
    </row>
    <row r="5236" spans="1:1">
      <c r="A5236" s="151" t="s">
        <v>7204</v>
      </c>
    </row>
    <row r="5237" spans="1:1">
      <c r="A5237" s="151" t="s">
        <v>7205</v>
      </c>
    </row>
    <row r="5238" spans="1:1">
      <c r="A5238" s="151" t="s">
        <v>7206</v>
      </c>
    </row>
    <row r="5239" spans="1:1">
      <c r="A5239" s="151" t="s">
        <v>7207</v>
      </c>
    </row>
    <row r="5240" spans="1:1">
      <c r="A5240" s="151" t="s">
        <v>7208</v>
      </c>
    </row>
    <row r="5241" spans="1:1">
      <c r="A5241" s="151" t="s">
        <v>7209</v>
      </c>
    </row>
    <row r="5242" spans="1:1">
      <c r="A5242" s="151" t="s">
        <v>7210</v>
      </c>
    </row>
    <row r="5243" spans="1:1">
      <c r="A5243" s="151" t="s">
        <v>7211</v>
      </c>
    </row>
    <row r="5244" spans="1:1">
      <c r="A5244" s="151" t="s">
        <v>7212</v>
      </c>
    </row>
    <row r="5245" spans="1:1">
      <c r="A5245" s="151" t="s">
        <v>7213</v>
      </c>
    </row>
    <row r="5246" spans="1:1">
      <c r="A5246" s="151" t="s">
        <v>7214</v>
      </c>
    </row>
    <row r="5247" spans="1:1">
      <c r="A5247" s="151" t="s">
        <v>7215</v>
      </c>
    </row>
    <row r="5248" spans="1:1">
      <c r="A5248" s="151" t="s">
        <v>7216</v>
      </c>
    </row>
    <row r="5249" spans="1:1">
      <c r="A5249" s="151" t="s">
        <v>7217</v>
      </c>
    </row>
    <row r="5250" spans="1:1">
      <c r="A5250" s="151" t="s">
        <v>7218</v>
      </c>
    </row>
    <row r="5251" spans="1:1">
      <c r="A5251" s="151" t="s">
        <v>7219</v>
      </c>
    </row>
    <row r="5252" spans="1:1">
      <c r="A5252" s="151" t="s">
        <v>7220</v>
      </c>
    </row>
    <row r="5253" spans="1:1">
      <c r="A5253" s="151" t="s">
        <v>7221</v>
      </c>
    </row>
    <row r="5254" spans="1:1">
      <c r="A5254" s="151" t="s">
        <v>7222</v>
      </c>
    </row>
    <row r="5255" spans="1:1">
      <c r="A5255" s="151" t="s">
        <v>7223</v>
      </c>
    </row>
    <row r="5256" spans="1:1">
      <c r="A5256" s="151" t="s">
        <v>7224</v>
      </c>
    </row>
    <row r="5257" spans="1:1">
      <c r="A5257" s="151" t="s">
        <v>7225</v>
      </c>
    </row>
    <row r="5258" spans="1:1">
      <c r="A5258" s="151" t="s">
        <v>7226</v>
      </c>
    </row>
    <row r="5259" spans="1:1">
      <c r="A5259" s="151" t="s">
        <v>7227</v>
      </c>
    </row>
    <row r="5260" spans="1:1">
      <c r="A5260" s="151" t="s">
        <v>7228</v>
      </c>
    </row>
    <row r="5261" spans="1:1">
      <c r="A5261" s="151" t="s">
        <v>7229</v>
      </c>
    </row>
    <row r="5262" spans="1:1">
      <c r="A5262" s="151" t="s">
        <v>7230</v>
      </c>
    </row>
    <row r="5263" spans="1:1">
      <c r="A5263" s="151" t="s">
        <v>7231</v>
      </c>
    </row>
    <row r="5264" spans="1:1">
      <c r="A5264" s="151" t="s">
        <v>7232</v>
      </c>
    </row>
    <row r="5265" spans="1:1">
      <c r="A5265" s="151" t="s">
        <v>7233</v>
      </c>
    </row>
    <row r="5266" spans="1:1">
      <c r="A5266" s="151" t="s">
        <v>7234</v>
      </c>
    </row>
    <row r="5267" spans="1:1">
      <c r="A5267" s="151" t="s">
        <v>7235</v>
      </c>
    </row>
    <row r="5268" spans="1:1">
      <c r="A5268" s="151" t="s">
        <v>7236</v>
      </c>
    </row>
    <row r="5269" spans="1:1">
      <c r="A5269" s="151" t="s">
        <v>7237</v>
      </c>
    </row>
    <row r="5270" spans="1:1">
      <c r="A5270" s="151" t="s">
        <v>7238</v>
      </c>
    </row>
    <row r="5271" spans="1:1">
      <c r="A5271" s="151" t="s">
        <v>7239</v>
      </c>
    </row>
    <row r="5272" spans="1:1">
      <c r="A5272" s="151" t="s">
        <v>7240</v>
      </c>
    </row>
    <row r="5273" spans="1:1">
      <c r="A5273" s="151" t="s">
        <v>7241</v>
      </c>
    </row>
    <row r="5274" spans="1:1">
      <c r="A5274" s="151" t="s">
        <v>7242</v>
      </c>
    </row>
    <row r="5275" spans="1:1">
      <c r="A5275" s="151" t="s">
        <v>7243</v>
      </c>
    </row>
    <row r="5276" spans="1:1">
      <c r="A5276" s="151" t="s">
        <v>7244</v>
      </c>
    </row>
    <row r="5277" spans="1:1">
      <c r="A5277" s="151" t="s">
        <v>7245</v>
      </c>
    </row>
    <row r="5278" spans="1:1">
      <c r="A5278" s="151" t="s">
        <v>7246</v>
      </c>
    </row>
    <row r="5279" spans="1:1">
      <c r="A5279" s="151" t="s">
        <v>7247</v>
      </c>
    </row>
    <row r="5280" spans="1:1">
      <c r="A5280" s="151" t="s">
        <v>7248</v>
      </c>
    </row>
    <row r="5281" spans="1:1">
      <c r="A5281" s="151" t="s">
        <v>7249</v>
      </c>
    </row>
    <row r="5282" spans="1:1">
      <c r="A5282" s="151" t="s">
        <v>7250</v>
      </c>
    </row>
    <row r="5283" spans="1:1">
      <c r="A5283" s="151" t="s">
        <v>7251</v>
      </c>
    </row>
    <row r="5284" spans="1:1">
      <c r="A5284" s="151" t="s">
        <v>7252</v>
      </c>
    </row>
    <row r="5285" spans="1:1">
      <c r="A5285" s="151" t="s">
        <v>7253</v>
      </c>
    </row>
    <row r="5286" spans="1:1">
      <c r="A5286" s="151" t="s">
        <v>7254</v>
      </c>
    </row>
    <row r="5287" spans="1:1">
      <c r="A5287" s="151" t="s">
        <v>7255</v>
      </c>
    </row>
    <row r="5288" spans="1:1">
      <c r="A5288" s="151" t="s">
        <v>7256</v>
      </c>
    </row>
    <row r="5289" spans="1:1">
      <c r="A5289" s="151" t="s">
        <v>7257</v>
      </c>
    </row>
    <row r="5290" spans="1:1">
      <c r="A5290" s="151" t="s">
        <v>7258</v>
      </c>
    </row>
    <row r="5291" spans="1:1">
      <c r="A5291" s="151" t="s">
        <v>7259</v>
      </c>
    </row>
    <row r="5292" spans="1:1">
      <c r="A5292" s="151" t="s">
        <v>7260</v>
      </c>
    </row>
    <row r="5293" spans="1:1">
      <c r="A5293" s="151" t="s">
        <v>7261</v>
      </c>
    </row>
    <row r="5294" spans="1:1">
      <c r="A5294" s="151" t="s">
        <v>7262</v>
      </c>
    </row>
    <row r="5295" spans="1:1">
      <c r="A5295" s="151" t="s">
        <v>7263</v>
      </c>
    </row>
    <row r="5296" spans="1:1">
      <c r="A5296" s="151" t="s">
        <v>7264</v>
      </c>
    </row>
    <row r="5297" spans="1:1">
      <c r="A5297" s="151" t="s">
        <v>7265</v>
      </c>
    </row>
    <row r="5298" spans="1:1">
      <c r="A5298" s="151" t="s">
        <v>7266</v>
      </c>
    </row>
    <row r="5299" spans="1:1">
      <c r="A5299" s="151" t="s">
        <v>7267</v>
      </c>
    </row>
    <row r="5300" spans="1:1">
      <c r="A5300" s="151" t="s">
        <v>7268</v>
      </c>
    </row>
    <row r="5301" spans="1:1">
      <c r="A5301" s="151" t="s">
        <v>7269</v>
      </c>
    </row>
    <row r="5302" spans="1:1">
      <c r="A5302" s="151" t="s">
        <v>7270</v>
      </c>
    </row>
    <row r="5303" spans="1:1">
      <c r="A5303" s="151" t="s">
        <v>7271</v>
      </c>
    </row>
    <row r="5304" spans="1:1">
      <c r="A5304" s="151" t="s">
        <v>7272</v>
      </c>
    </row>
    <row r="5305" spans="1:1">
      <c r="A5305" s="151" t="s">
        <v>7273</v>
      </c>
    </row>
    <row r="5306" spans="1:1">
      <c r="A5306" s="151" t="s">
        <v>7274</v>
      </c>
    </row>
    <row r="5307" spans="1:1">
      <c r="A5307" s="151" t="s">
        <v>7275</v>
      </c>
    </row>
    <row r="5308" spans="1:1">
      <c r="A5308" s="151" t="s">
        <v>7276</v>
      </c>
    </row>
    <row r="5309" spans="1:1">
      <c r="A5309" s="151" t="s">
        <v>7277</v>
      </c>
    </row>
    <row r="5310" spans="1:1">
      <c r="A5310" s="151" t="s">
        <v>7278</v>
      </c>
    </row>
    <row r="5311" spans="1:1">
      <c r="A5311" s="151" t="s">
        <v>7279</v>
      </c>
    </row>
    <row r="5312" spans="1:1">
      <c r="A5312" s="151" t="s">
        <v>7280</v>
      </c>
    </row>
    <row r="5313" spans="1:1">
      <c r="A5313" s="151" t="s">
        <v>7281</v>
      </c>
    </row>
    <row r="5314" spans="1:1">
      <c r="A5314" s="151" t="s">
        <v>7282</v>
      </c>
    </row>
    <row r="5315" spans="1:1">
      <c r="A5315" s="151" t="s">
        <v>7283</v>
      </c>
    </row>
    <row r="5316" spans="1:1">
      <c r="A5316" s="151" t="s">
        <v>7284</v>
      </c>
    </row>
    <row r="5317" spans="1:1">
      <c r="A5317" s="151" t="s">
        <v>7285</v>
      </c>
    </row>
    <row r="5318" spans="1:1">
      <c r="A5318" s="151" t="s">
        <v>7286</v>
      </c>
    </row>
    <row r="5319" spans="1:1">
      <c r="A5319" s="151" t="s">
        <v>7287</v>
      </c>
    </row>
    <row r="5320" spans="1:1">
      <c r="A5320" s="151" t="s">
        <v>7288</v>
      </c>
    </row>
    <row r="5321" spans="1:1">
      <c r="A5321" s="151" t="s">
        <v>7289</v>
      </c>
    </row>
    <row r="5322" spans="1:1">
      <c r="A5322" s="151" t="s">
        <v>7290</v>
      </c>
    </row>
    <row r="5323" spans="1:1">
      <c r="A5323" s="151" t="s">
        <v>7291</v>
      </c>
    </row>
    <row r="5324" spans="1:1">
      <c r="A5324" s="151" t="s">
        <v>7292</v>
      </c>
    </row>
    <row r="5325" spans="1:1">
      <c r="A5325" s="151" t="s">
        <v>7293</v>
      </c>
    </row>
    <row r="5326" spans="1:1">
      <c r="A5326" s="151" t="s">
        <v>7294</v>
      </c>
    </row>
    <row r="5327" spans="1:1">
      <c r="A5327" s="151" t="s">
        <v>7295</v>
      </c>
    </row>
    <row r="5328" spans="1:1">
      <c r="A5328" s="151" t="s">
        <v>7296</v>
      </c>
    </row>
    <row r="5329" spans="1:1">
      <c r="A5329" s="151" t="s">
        <v>7297</v>
      </c>
    </row>
    <row r="5330" spans="1:1">
      <c r="A5330" s="151" t="s">
        <v>7298</v>
      </c>
    </row>
    <row r="5331" spans="1:1">
      <c r="A5331" s="151" t="s">
        <v>7299</v>
      </c>
    </row>
    <row r="5332" spans="1:1">
      <c r="A5332" s="151" t="s">
        <v>7300</v>
      </c>
    </row>
    <row r="5333" spans="1:1">
      <c r="A5333" s="151" t="s">
        <v>7301</v>
      </c>
    </row>
    <row r="5334" spans="1:1">
      <c r="A5334" s="151" t="s">
        <v>7302</v>
      </c>
    </row>
    <row r="5335" spans="1:1">
      <c r="A5335" s="151" t="s">
        <v>7303</v>
      </c>
    </row>
    <row r="5336" spans="1:1">
      <c r="A5336" s="151" t="s">
        <v>7304</v>
      </c>
    </row>
    <row r="5337" spans="1:1">
      <c r="A5337" s="151" t="s">
        <v>7305</v>
      </c>
    </row>
    <row r="5338" spans="1:1">
      <c r="A5338" s="151" t="s">
        <v>7306</v>
      </c>
    </row>
    <row r="5339" spans="1:1">
      <c r="A5339" s="151" t="s">
        <v>7307</v>
      </c>
    </row>
    <row r="5340" spans="1:1">
      <c r="A5340" s="151" t="s">
        <v>7308</v>
      </c>
    </row>
    <row r="5341" spans="1:1">
      <c r="A5341" s="151" t="s">
        <v>7309</v>
      </c>
    </row>
    <row r="5342" spans="1:1">
      <c r="A5342" s="151" t="s">
        <v>7310</v>
      </c>
    </row>
    <row r="5343" spans="1:1">
      <c r="A5343" s="151" t="s">
        <v>7311</v>
      </c>
    </row>
    <row r="5344" spans="1:1">
      <c r="A5344" s="151" t="s">
        <v>7312</v>
      </c>
    </row>
    <row r="5345" spans="1:1">
      <c r="A5345" s="151" t="s">
        <v>7313</v>
      </c>
    </row>
    <row r="5346" spans="1:1">
      <c r="A5346" s="151" t="s">
        <v>7314</v>
      </c>
    </row>
    <row r="5347" spans="1:1">
      <c r="A5347" s="151" t="s">
        <v>7315</v>
      </c>
    </row>
    <row r="5348" spans="1:1">
      <c r="A5348" s="151" t="s">
        <v>7316</v>
      </c>
    </row>
    <row r="5349" spans="1:1">
      <c r="A5349" s="151" t="s">
        <v>7317</v>
      </c>
    </row>
    <row r="5350" spans="1:1">
      <c r="A5350" s="151" t="s">
        <v>7318</v>
      </c>
    </row>
    <row r="5351" spans="1:1">
      <c r="A5351" s="151" t="s">
        <v>7319</v>
      </c>
    </row>
    <row r="5352" spans="1:1">
      <c r="A5352" s="151" t="s">
        <v>7320</v>
      </c>
    </row>
    <row r="5353" spans="1:1">
      <c r="A5353" s="151" t="s">
        <v>7321</v>
      </c>
    </row>
    <row r="5354" spans="1:1">
      <c r="A5354" s="151" t="s">
        <v>7322</v>
      </c>
    </row>
    <row r="5355" spans="1:1">
      <c r="A5355" s="151" t="s">
        <v>7323</v>
      </c>
    </row>
    <row r="5356" spans="1:1">
      <c r="A5356" s="151" t="s">
        <v>7324</v>
      </c>
    </row>
    <row r="5357" spans="1:1">
      <c r="A5357" s="151" t="s">
        <v>7325</v>
      </c>
    </row>
    <row r="5358" spans="1:1">
      <c r="A5358" s="151" t="s">
        <v>7326</v>
      </c>
    </row>
    <row r="5359" spans="1:1">
      <c r="A5359" s="151" t="s">
        <v>7327</v>
      </c>
    </row>
    <row r="5360" spans="1:1">
      <c r="A5360" s="151" t="s">
        <v>7328</v>
      </c>
    </row>
    <row r="5361" spans="1:1">
      <c r="A5361" s="151" t="s">
        <v>7329</v>
      </c>
    </row>
    <row r="5362" spans="1:1">
      <c r="A5362" s="151" t="s">
        <v>7330</v>
      </c>
    </row>
    <row r="5363" spans="1:1">
      <c r="A5363" s="151" t="s">
        <v>7331</v>
      </c>
    </row>
    <row r="5364" spans="1:1">
      <c r="A5364" s="151" t="s">
        <v>7332</v>
      </c>
    </row>
    <row r="5365" spans="1:1">
      <c r="A5365" s="151" t="s">
        <v>7333</v>
      </c>
    </row>
    <row r="5366" spans="1:1">
      <c r="A5366" s="151" t="s">
        <v>7334</v>
      </c>
    </row>
    <row r="5367" spans="1:1">
      <c r="A5367" s="151" t="s">
        <v>7335</v>
      </c>
    </row>
    <row r="5368" spans="1:1">
      <c r="A5368" s="151" t="s">
        <v>7336</v>
      </c>
    </row>
    <row r="5369" spans="1:1">
      <c r="A5369" s="151" t="s">
        <v>7337</v>
      </c>
    </row>
    <row r="5370" spans="1:1">
      <c r="A5370" s="151" t="s">
        <v>7338</v>
      </c>
    </row>
    <row r="5371" spans="1:1">
      <c r="A5371" s="151" t="s">
        <v>7339</v>
      </c>
    </row>
    <row r="5372" spans="1:1">
      <c r="A5372" s="151" t="s">
        <v>7340</v>
      </c>
    </row>
    <row r="5373" spans="1:1">
      <c r="A5373" s="151" t="s">
        <v>7341</v>
      </c>
    </row>
    <row r="5374" spans="1:1">
      <c r="A5374" s="151" t="s">
        <v>7342</v>
      </c>
    </row>
    <row r="5375" spans="1:1">
      <c r="A5375" s="151" t="s">
        <v>7343</v>
      </c>
    </row>
    <row r="5376" spans="1:1">
      <c r="A5376" s="151" t="s">
        <v>7344</v>
      </c>
    </row>
    <row r="5377" spans="1:1">
      <c r="A5377" s="151" t="s">
        <v>7345</v>
      </c>
    </row>
    <row r="5378" spans="1:1">
      <c r="A5378" s="151" t="s">
        <v>7346</v>
      </c>
    </row>
    <row r="5379" spans="1:1">
      <c r="A5379" s="151" t="s">
        <v>7347</v>
      </c>
    </row>
    <row r="5380" spans="1:1">
      <c r="A5380" s="151" t="s">
        <v>7348</v>
      </c>
    </row>
    <row r="5381" spans="1:1">
      <c r="A5381" s="151" t="s">
        <v>7349</v>
      </c>
    </row>
    <row r="5382" spans="1:1">
      <c r="A5382" s="151" t="s">
        <v>7350</v>
      </c>
    </row>
    <row r="5383" spans="1:1">
      <c r="A5383" s="151" t="s">
        <v>7351</v>
      </c>
    </row>
    <row r="5384" spans="1:1">
      <c r="A5384" s="151" t="s">
        <v>7352</v>
      </c>
    </row>
    <row r="5385" spans="1:1">
      <c r="A5385" s="151" t="s">
        <v>7353</v>
      </c>
    </row>
    <row r="5386" spans="1:1">
      <c r="A5386" s="151" t="s">
        <v>7354</v>
      </c>
    </row>
    <row r="5387" spans="1:1">
      <c r="A5387" s="151" t="s">
        <v>7355</v>
      </c>
    </row>
    <row r="5388" spans="1:1">
      <c r="A5388" s="151" t="s">
        <v>7356</v>
      </c>
    </row>
    <row r="5389" spans="1:1">
      <c r="A5389" s="151" t="s">
        <v>7357</v>
      </c>
    </row>
    <row r="5390" spans="1:1">
      <c r="A5390" s="151" t="s">
        <v>7358</v>
      </c>
    </row>
    <row r="5391" spans="1:1">
      <c r="A5391" s="151" t="s">
        <v>7359</v>
      </c>
    </row>
    <row r="5392" spans="1:1">
      <c r="A5392" s="151" t="s">
        <v>7360</v>
      </c>
    </row>
    <row r="5393" spans="1:1">
      <c r="A5393" s="151" t="s">
        <v>7361</v>
      </c>
    </row>
    <row r="5394" spans="1:1">
      <c r="A5394" s="151" t="s">
        <v>7362</v>
      </c>
    </row>
    <row r="5395" spans="1:1">
      <c r="A5395" s="151" t="s">
        <v>7363</v>
      </c>
    </row>
    <row r="5396" spans="1:1">
      <c r="A5396" s="151" t="s">
        <v>7364</v>
      </c>
    </row>
    <row r="5397" spans="1:1">
      <c r="A5397" s="151" t="s">
        <v>7365</v>
      </c>
    </row>
    <row r="5398" spans="1:1">
      <c r="A5398" s="151" t="s">
        <v>7366</v>
      </c>
    </row>
    <row r="5399" spans="1:1">
      <c r="A5399" s="151" t="s">
        <v>7367</v>
      </c>
    </row>
    <row r="5400" spans="1:1">
      <c r="A5400" s="151" t="s">
        <v>7368</v>
      </c>
    </row>
    <row r="5401" spans="1:1">
      <c r="A5401" s="151" t="s">
        <v>7369</v>
      </c>
    </row>
    <row r="5402" spans="1:1">
      <c r="A5402" s="151" t="s">
        <v>7370</v>
      </c>
    </row>
    <row r="5403" spans="1:1">
      <c r="A5403" s="151" t="s">
        <v>7371</v>
      </c>
    </row>
    <row r="5404" spans="1:1">
      <c r="A5404" s="151" t="s">
        <v>7372</v>
      </c>
    </row>
    <row r="5405" spans="1:1">
      <c r="A5405" s="151" t="s">
        <v>7373</v>
      </c>
    </row>
    <row r="5406" spans="1:1">
      <c r="A5406" s="151" t="s">
        <v>7374</v>
      </c>
    </row>
    <row r="5407" spans="1:1">
      <c r="A5407" s="151" t="s">
        <v>7375</v>
      </c>
    </row>
    <row r="5408" spans="1:1">
      <c r="A5408" s="151" t="s">
        <v>7376</v>
      </c>
    </row>
    <row r="5409" spans="1:1">
      <c r="A5409" s="151" t="s">
        <v>7377</v>
      </c>
    </row>
    <row r="5410" spans="1:1">
      <c r="A5410" s="151" t="s">
        <v>7378</v>
      </c>
    </row>
    <row r="5411" spans="1:1">
      <c r="A5411" s="151" t="s">
        <v>7379</v>
      </c>
    </row>
    <row r="5412" spans="1:1">
      <c r="A5412" s="151" t="s">
        <v>7380</v>
      </c>
    </row>
    <row r="5413" spans="1:1">
      <c r="A5413" s="151" t="s">
        <v>7381</v>
      </c>
    </row>
    <row r="5414" spans="1:1">
      <c r="A5414" s="151" t="s">
        <v>7382</v>
      </c>
    </row>
    <row r="5415" spans="1:1">
      <c r="A5415" s="151" t="s">
        <v>7383</v>
      </c>
    </row>
    <row r="5416" spans="1:1">
      <c r="A5416" s="151" t="s">
        <v>7384</v>
      </c>
    </row>
    <row r="5417" spans="1:1">
      <c r="A5417" s="151" t="s">
        <v>7385</v>
      </c>
    </row>
    <row r="5418" spans="1:1">
      <c r="A5418" s="151" t="s">
        <v>7386</v>
      </c>
    </row>
    <row r="5419" spans="1:1">
      <c r="A5419" s="151" t="s">
        <v>7387</v>
      </c>
    </row>
    <row r="5420" spans="1:1">
      <c r="A5420" s="151" t="s">
        <v>7388</v>
      </c>
    </row>
    <row r="5421" spans="1:1">
      <c r="A5421" s="151" t="s">
        <v>7389</v>
      </c>
    </row>
    <row r="5422" spans="1:1">
      <c r="A5422" s="151" t="s">
        <v>7390</v>
      </c>
    </row>
    <row r="5423" spans="1:1">
      <c r="A5423" s="151" t="s">
        <v>7391</v>
      </c>
    </row>
    <row r="5424" spans="1:1">
      <c r="A5424" s="151" t="s">
        <v>7392</v>
      </c>
    </row>
    <row r="5425" spans="1:1">
      <c r="A5425" s="151" t="s">
        <v>7393</v>
      </c>
    </row>
    <row r="5426" spans="1:1">
      <c r="A5426" s="151" t="s">
        <v>7394</v>
      </c>
    </row>
    <row r="5427" spans="1:1">
      <c r="A5427" s="151" t="s">
        <v>7395</v>
      </c>
    </row>
    <row r="5428" spans="1:1">
      <c r="A5428" s="151" t="s">
        <v>7396</v>
      </c>
    </row>
    <row r="5429" spans="1:1">
      <c r="A5429" s="151" t="s">
        <v>7397</v>
      </c>
    </row>
    <row r="5430" spans="1:1">
      <c r="A5430" s="151" t="s">
        <v>7398</v>
      </c>
    </row>
    <row r="5431" spans="1:1">
      <c r="A5431" s="151" t="s">
        <v>7399</v>
      </c>
    </row>
    <row r="5432" spans="1:1">
      <c r="A5432" s="151" t="s">
        <v>7400</v>
      </c>
    </row>
    <row r="5433" spans="1:1">
      <c r="A5433" s="151" t="s">
        <v>7401</v>
      </c>
    </row>
    <row r="5434" spans="1:1">
      <c r="A5434" s="151" t="s">
        <v>7402</v>
      </c>
    </row>
    <row r="5435" spans="1:1">
      <c r="A5435" s="151" t="s">
        <v>7403</v>
      </c>
    </row>
    <row r="5436" spans="1:1">
      <c r="A5436" s="151" t="s">
        <v>7404</v>
      </c>
    </row>
    <row r="5437" spans="1:1">
      <c r="A5437" s="151" t="s">
        <v>7405</v>
      </c>
    </row>
    <row r="5438" spans="1:1">
      <c r="A5438" s="151" t="s">
        <v>7406</v>
      </c>
    </row>
    <row r="5439" spans="1:1">
      <c r="A5439" s="151" t="s">
        <v>7407</v>
      </c>
    </row>
    <row r="5440" spans="1:1">
      <c r="A5440" s="151" t="s">
        <v>7408</v>
      </c>
    </row>
    <row r="5441" spans="1:1">
      <c r="A5441" s="151" t="s">
        <v>7409</v>
      </c>
    </row>
    <row r="5442" spans="1:1">
      <c r="A5442" s="151" t="s">
        <v>7410</v>
      </c>
    </row>
    <row r="5443" spans="1:1">
      <c r="A5443" s="151" t="s">
        <v>7411</v>
      </c>
    </row>
    <row r="5444" spans="1:1">
      <c r="A5444" s="151" t="s">
        <v>7412</v>
      </c>
    </row>
    <row r="5445" spans="1:1">
      <c r="A5445" s="151" t="s">
        <v>7413</v>
      </c>
    </row>
    <row r="5446" spans="1:1">
      <c r="A5446" s="151" t="s">
        <v>7414</v>
      </c>
    </row>
    <row r="5447" spans="1:1">
      <c r="A5447" s="151" t="s">
        <v>7415</v>
      </c>
    </row>
    <row r="5448" spans="1:1">
      <c r="A5448" s="151" t="s">
        <v>7416</v>
      </c>
    </row>
    <row r="5449" spans="1:1">
      <c r="A5449" s="151" t="s">
        <v>7417</v>
      </c>
    </row>
    <row r="5450" spans="1:1">
      <c r="A5450" s="151" t="s">
        <v>7418</v>
      </c>
    </row>
    <row r="5451" spans="1:1">
      <c r="A5451" s="151" t="s">
        <v>7419</v>
      </c>
    </row>
    <row r="5452" spans="1:1">
      <c r="A5452" s="151" t="s">
        <v>7420</v>
      </c>
    </row>
    <row r="5453" spans="1:1">
      <c r="A5453" s="151" t="s">
        <v>7421</v>
      </c>
    </row>
    <row r="5454" spans="1:1">
      <c r="A5454" s="151" t="s">
        <v>7422</v>
      </c>
    </row>
    <row r="5455" spans="1:1">
      <c r="A5455" s="151" t="s">
        <v>7423</v>
      </c>
    </row>
    <row r="5456" spans="1:1">
      <c r="A5456" s="151" t="s">
        <v>7424</v>
      </c>
    </row>
    <row r="5457" spans="1:1">
      <c r="A5457" s="151" t="s">
        <v>7425</v>
      </c>
    </row>
    <row r="5458" spans="1:1">
      <c r="A5458" s="151" t="s">
        <v>7426</v>
      </c>
    </row>
    <row r="5459" spans="1:1">
      <c r="A5459" s="151" t="s">
        <v>7427</v>
      </c>
    </row>
    <row r="5460" spans="1:1">
      <c r="A5460" s="151" t="s">
        <v>7428</v>
      </c>
    </row>
    <row r="5461" spans="1:1">
      <c r="A5461" s="151" t="s">
        <v>7429</v>
      </c>
    </row>
    <row r="5462" spans="1:1">
      <c r="A5462" s="151" t="s">
        <v>7430</v>
      </c>
    </row>
    <row r="5463" spans="1:1">
      <c r="A5463" s="151" t="s">
        <v>7431</v>
      </c>
    </row>
    <row r="5464" spans="1:1">
      <c r="A5464" s="151" t="s">
        <v>7432</v>
      </c>
    </row>
    <row r="5465" spans="1:1">
      <c r="A5465" s="151" t="s">
        <v>7433</v>
      </c>
    </row>
    <row r="5466" spans="1:1">
      <c r="A5466" s="151" t="s">
        <v>7434</v>
      </c>
    </row>
    <row r="5467" spans="1:1">
      <c r="A5467" s="151" t="s">
        <v>7435</v>
      </c>
    </row>
    <row r="5468" spans="1:1">
      <c r="A5468" s="151" t="s">
        <v>7436</v>
      </c>
    </row>
    <row r="5469" spans="1:1">
      <c r="A5469" s="151" t="s">
        <v>7437</v>
      </c>
    </row>
    <row r="5470" spans="1:1">
      <c r="A5470" s="151" t="s">
        <v>7438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zoomScale="121" zoomScaleNormal="121" workbookViewId="0">
      <selection activeCell="V21" sqref="V21"/>
    </sheetView>
  </sheetViews>
  <sheetFormatPr baseColWidth="10" defaultRowHeight="12.75"/>
  <cols>
    <col min="1" max="1" width="17.7109375" style="297" bestFit="1" customWidth="1"/>
    <col min="2" max="2" width="19.42578125" style="297" customWidth="1"/>
    <col min="3" max="255" width="9.140625" style="297" customWidth="1"/>
    <col min="256" max="16384" width="11.42578125" style="297"/>
  </cols>
  <sheetData>
    <row r="1" spans="1:10">
      <c r="A1" s="297" t="s">
        <v>7674</v>
      </c>
      <c r="B1" s="297" t="s">
        <v>7884</v>
      </c>
    </row>
    <row r="2" spans="1:10">
      <c r="A2" s="297" t="s">
        <v>7675</v>
      </c>
      <c r="B2" s="297" t="s">
        <v>7676</v>
      </c>
    </row>
    <row r="3" spans="1:10">
      <c r="A3" s="297" t="s">
        <v>7677</v>
      </c>
      <c r="B3" s="297" t="s">
        <v>7885</v>
      </c>
    </row>
    <row r="4" spans="1:10">
      <c r="A4" s="297" t="s">
        <v>7678</v>
      </c>
      <c r="B4" s="297" t="s">
        <v>7886</v>
      </c>
    </row>
    <row r="7" spans="1:10">
      <c r="A7" s="297" t="s">
        <v>7887</v>
      </c>
      <c r="B7" s="297" t="s">
        <v>7888</v>
      </c>
    </row>
    <row r="8" spans="1:10">
      <c r="A8" s="297" t="s">
        <v>7889</v>
      </c>
      <c r="B8" s="297" t="s">
        <v>7890</v>
      </c>
    </row>
    <row r="9" spans="1:10">
      <c r="A9" s="297" t="s">
        <v>7891</v>
      </c>
      <c r="B9" s="297" t="s">
        <v>7892</v>
      </c>
    </row>
    <row r="10" spans="1:10">
      <c r="A10" s="297" t="s">
        <v>7893</v>
      </c>
      <c r="B10" s="297" t="s">
        <v>7894</v>
      </c>
    </row>
    <row r="11" spans="1:10">
      <c r="A11" s="297" t="s">
        <v>7895</v>
      </c>
      <c r="B11" s="297" t="s">
        <v>7896</v>
      </c>
    </row>
    <row r="12" spans="1:10">
      <c r="A12" s="297" t="s">
        <v>7897</v>
      </c>
      <c r="B12" s="297" t="s">
        <v>7898</v>
      </c>
    </row>
    <row r="13" spans="1:10">
      <c r="A13" s="297" t="s">
        <v>7899</v>
      </c>
      <c r="B13" s="297" t="s">
        <v>7900</v>
      </c>
    </row>
    <row r="15" spans="1:10">
      <c r="A15" s="297" t="s">
        <v>7901</v>
      </c>
      <c r="B15" s="297" t="s">
        <v>7902</v>
      </c>
      <c r="C15" s="297" t="s">
        <v>7903</v>
      </c>
      <c r="D15" s="297" t="s">
        <v>7887</v>
      </c>
      <c r="E15" s="297" t="s">
        <v>7889</v>
      </c>
      <c r="F15" s="297" t="s">
        <v>7891</v>
      </c>
      <c r="G15" s="297" t="s">
        <v>7893</v>
      </c>
      <c r="H15" s="297" t="s">
        <v>7895</v>
      </c>
      <c r="I15" s="297" t="s">
        <v>7897</v>
      </c>
      <c r="J15" s="297" t="s">
        <v>7899</v>
      </c>
    </row>
    <row r="16" spans="1:10">
      <c r="A16" s="297">
        <v>2012</v>
      </c>
      <c r="B16" s="297">
        <v>8</v>
      </c>
      <c r="C16" s="297">
        <v>1</v>
      </c>
      <c r="D16" s="297">
        <v>2333</v>
      </c>
      <c r="E16" s="297">
        <v>7.5</v>
      </c>
      <c r="F16" s="297">
        <v>21.7</v>
      </c>
      <c r="G16" s="297">
        <v>21.6</v>
      </c>
      <c r="H16" s="297">
        <v>12.5</v>
      </c>
      <c r="I16" s="297">
        <v>30.8</v>
      </c>
      <c r="J16" s="297">
        <v>977</v>
      </c>
    </row>
    <row r="17" spans="1:10">
      <c r="A17" s="297">
        <v>2012</v>
      </c>
      <c r="B17" s="297">
        <v>8</v>
      </c>
      <c r="C17" s="297">
        <v>2</v>
      </c>
      <c r="D17" s="297">
        <v>1890</v>
      </c>
      <c r="E17" s="297">
        <v>0</v>
      </c>
      <c r="F17" s="297">
        <v>20.7</v>
      </c>
      <c r="G17" s="297">
        <v>21</v>
      </c>
      <c r="H17" s="297">
        <v>16.399999999999999</v>
      </c>
      <c r="I17" s="297">
        <v>25.6</v>
      </c>
      <c r="J17" s="297">
        <v>812</v>
      </c>
    </row>
    <row r="18" spans="1:10">
      <c r="A18" s="297">
        <v>2012</v>
      </c>
      <c r="B18" s="297">
        <v>8</v>
      </c>
      <c r="C18" s="297">
        <v>3</v>
      </c>
      <c r="D18" s="297">
        <v>2343</v>
      </c>
      <c r="E18" s="297">
        <v>0</v>
      </c>
      <c r="F18" s="297">
        <v>20.2</v>
      </c>
      <c r="G18" s="297">
        <v>20.5</v>
      </c>
      <c r="H18" s="297">
        <v>14.5</v>
      </c>
      <c r="I18" s="297">
        <v>26.4</v>
      </c>
      <c r="J18" s="297">
        <v>976</v>
      </c>
    </row>
    <row r="19" spans="1:10">
      <c r="A19" s="297">
        <v>2012</v>
      </c>
      <c r="B19" s="297">
        <v>8</v>
      </c>
      <c r="C19" s="297">
        <v>4</v>
      </c>
      <c r="D19" s="297">
        <v>2298</v>
      </c>
      <c r="E19" s="297">
        <v>0</v>
      </c>
      <c r="F19" s="297">
        <v>21</v>
      </c>
      <c r="G19" s="297">
        <v>20.7</v>
      </c>
      <c r="H19" s="297">
        <v>14.4</v>
      </c>
      <c r="I19" s="297">
        <v>27</v>
      </c>
      <c r="J19" s="297">
        <v>972</v>
      </c>
    </row>
    <row r="20" spans="1:10">
      <c r="A20" s="297">
        <v>2012</v>
      </c>
      <c r="B20" s="297">
        <v>8</v>
      </c>
      <c r="C20" s="297">
        <v>5</v>
      </c>
      <c r="D20" s="297">
        <v>1841</v>
      </c>
      <c r="E20" s="297">
        <v>5</v>
      </c>
      <c r="F20" s="297">
        <v>20</v>
      </c>
      <c r="G20" s="297">
        <v>21.2</v>
      </c>
      <c r="H20" s="297">
        <v>16.399999999999999</v>
      </c>
      <c r="I20" s="297">
        <v>26</v>
      </c>
      <c r="J20" s="297">
        <v>786</v>
      </c>
    </row>
    <row r="21" spans="1:10">
      <c r="A21" s="297">
        <v>2012</v>
      </c>
      <c r="B21" s="297">
        <v>8</v>
      </c>
      <c r="C21" s="297">
        <v>6</v>
      </c>
      <c r="D21" s="297">
        <v>1546</v>
      </c>
      <c r="E21" s="297">
        <v>1</v>
      </c>
      <c r="F21" s="297">
        <v>17.5</v>
      </c>
      <c r="G21" s="297">
        <v>18.600000000000001</v>
      </c>
      <c r="H21" s="297">
        <v>15.2</v>
      </c>
      <c r="I21" s="297">
        <v>22</v>
      </c>
      <c r="J21" s="297">
        <v>683</v>
      </c>
    </row>
    <row r="22" spans="1:10">
      <c r="A22" s="297">
        <v>2012</v>
      </c>
      <c r="B22" s="297">
        <v>8</v>
      </c>
      <c r="C22" s="297">
        <v>7</v>
      </c>
      <c r="D22" s="297">
        <v>1979</v>
      </c>
      <c r="E22" s="297">
        <v>0.5</v>
      </c>
      <c r="F22" s="297">
        <v>17.5</v>
      </c>
      <c r="G22" s="297">
        <v>17.399999999999999</v>
      </c>
      <c r="H22" s="297">
        <v>10.8</v>
      </c>
      <c r="I22" s="297">
        <v>23.9</v>
      </c>
      <c r="J22" s="297">
        <v>837</v>
      </c>
    </row>
    <row r="23" spans="1:10">
      <c r="A23" s="297">
        <v>2012</v>
      </c>
      <c r="B23" s="297">
        <v>8</v>
      </c>
      <c r="C23" s="297">
        <v>8</v>
      </c>
      <c r="D23" s="297">
        <v>2604</v>
      </c>
      <c r="E23" s="297">
        <v>0</v>
      </c>
      <c r="F23" s="297">
        <v>19.100000000000001</v>
      </c>
      <c r="G23" s="297">
        <v>18.5</v>
      </c>
      <c r="H23" s="297">
        <v>11.1</v>
      </c>
      <c r="I23" s="297">
        <v>25.9</v>
      </c>
      <c r="J23" s="297">
        <v>1088</v>
      </c>
    </row>
    <row r="24" spans="1:10">
      <c r="A24" s="297">
        <v>2012</v>
      </c>
      <c r="B24" s="297">
        <v>8</v>
      </c>
      <c r="C24" s="297">
        <v>9</v>
      </c>
      <c r="D24" s="297">
        <v>2489</v>
      </c>
      <c r="E24" s="297">
        <v>0</v>
      </c>
      <c r="F24" s="297">
        <v>21.2</v>
      </c>
      <c r="G24" s="297">
        <v>20.8</v>
      </c>
      <c r="H24" s="297">
        <v>14.1</v>
      </c>
      <c r="I24" s="297">
        <v>27.4</v>
      </c>
      <c r="J24" s="297">
        <v>1044</v>
      </c>
    </row>
    <row r="25" spans="1:10">
      <c r="A25" s="297">
        <v>2012</v>
      </c>
      <c r="B25" s="297">
        <v>8</v>
      </c>
      <c r="C25" s="297">
        <v>10</v>
      </c>
      <c r="D25" s="297">
        <v>2636</v>
      </c>
      <c r="E25" s="297">
        <v>0</v>
      </c>
      <c r="F25" s="297">
        <v>21</v>
      </c>
      <c r="G25" s="297">
        <v>21.2</v>
      </c>
      <c r="H25" s="297">
        <v>15.1</v>
      </c>
      <c r="I25" s="297">
        <v>27.3</v>
      </c>
      <c r="J25" s="297">
        <v>1092</v>
      </c>
    </row>
    <row r="26" spans="1:10">
      <c r="A26" s="297">
        <v>2012</v>
      </c>
      <c r="B26" s="297">
        <v>8</v>
      </c>
      <c r="C26" s="297">
        <v>11</v>
      </c>
      <c r="D26" s="297">
        <v>2669</v>
      </c>
      <c r="E26" s="297">
        <v>0</v>
      </c>
      <c r="F26" s="297">
        <v>20.8</v>
      </c>
      <c r="G26" s="297">
        <v>20.8</v>
      </c>
      <c r="H26" s="297">
        <v>13.7</v>
      </c>
      <c r="I26" s="297">
        <v>27.9</v>
      </c>
      <c r="J26" s="297">
        <v>1099</v>
      </c>
    </row>
    <row r="27" spans="1:10">
      <c r="A27" s="297">
        <v>2012</v>
      </c>
      <c r="B27" s="297">
        <v>8</v>
      </c>
      <c r="C27" s="297">
        <v>12</v>
      </c>
      <c r="D27" s="297">
        <v>1619</v>
      </c>
      <c r="E27" s="297">
        <v>0</v>
      </c>
      <c r="F27" s="297">
        <v>18.7</v>
      </c>
      <c r="G27" s="297">
        <v>18.3</v>
      </c>
      <c r="H27" s="297">
        <v>11.8</v>
      </c>
      <c r="I27" s="297">
        <v>24.8</v>
      </c>
      <c r="J27" s="297">
        <v>687</v>
      </c>
    </row>
    <row r="28" spans="1:10">
      <c r="A28" s="297">
        <v>2012</v>
      </c>
      <c r="B28" s="297">
        <v>8</v>
      </c>
      <c r="C28" s="297">
        <v>13</v>
      </c>
      <c r="D28" s="297">
        <v>1954</v>
      </c>
      <c r="E28" s="297">
        <v>0</v>
      </c>
      <c r="F28" s="297">
        <v>20.399999999999999</v>
      </c>
      <c r="G28" s="297">
        <v>19.2</v>
      </c>
      <c r="H28" s="297">
        <v>11.3</v>
      </c>
      <c r="I28" s="297">
        <v>27.2</v>
      </c>
      <c r="J28" s="297">
        <v>831</v>
      </c>
    </row>
    <row r="29" spans="1:10">
      <c r="A29" s="297">
        <v>2012</v>
      </c>
      <c r="B29" s="297">
        <v>8</v>
      </c>
      <c r="C29" s="297">
        <v>14</v>
      </c>
      <c r="D29" s="297">
        <v>1908</v>
      </c>
      <c r="E29" s="297">
        <v>0</v>
      </c>
      <c r="F29" s="297">
        <v>21.9</v>
      </c>
      <c r="G29" s="297">
        <v>21.2</v>
      </c>
      <c r="H29" s="297">
        <v>13.5</v>
      </c>
      <c r="I29" s="297">
        <v>28.9</v>
      </c>
      <c r="J29" s="297">
        <v>809</v>
      </c>
    </row>
    <row r="30" spans="1:10">
      <c r="A30" s="297">
        <v>2012</v>
      </c>
      <c r="B30" s="297">
        <v>8</v>
      </c>
      <c r="C30" s="297">
        <v>15</v>
      </c>
      <c r="D30" s="297">
        <v>1920</v>
      </c>
      <c r="E30" s="297">
        <v>27</v>
      </c>
      <c r="F30" s="297">
        <v>22.1</v>
      </c>
      <c r="G30" s="297">
        <v>23.2</v>
      </c>
      <c r="H30" s="297">
        <v>14.7</v>
      </c>
      <c r="I30" s="297">
        <v>31.7</v>
      </c>
      <c r="J30" s="297">
        <v>810</v>
      </c>
    </row>
    <row r="31" spans="1:10">
      <c r="A31" s="297">
        <v>2012</v>
      </c>
      <c r="B31" s="297">
        <v>8</v>
      </c>
      <c r="C31" s="297">
        <v>16</v>
      </c>
      <c r="D31" s="297">
        <v>2367</v>
      </c>
      <c r="E31" s="297">
        <v>0</v>
      </c>
      <c r="F31" s="297">
        <v>19.100000000000001</v>
      </c>
      <c r="G31" s="297">
        <v>19.2</v>
      </c>
      <c r="H31" s="297">
        <v>14</v>
      </c>
      <c r="I31" s="297">
        <v>24.4</v>
      </c>
      <c r="J31" s="297">
        <v>969</v>
      </c>
    </row>
    <row r="32" spans="1:10">
      <c r="A32" s="297">
        <v>2012</v>
      </c>
      <c r="B32" s="297">
        <v>8</v>
      </c>
      <c r="C32" s="297">
        <v>17</v>
      </c>
      <c r="D32" s="297">
        <v>2519</v>
      </c>
      <c r="E32" s="297">
        <v>0</v>
      </c>
      <c r="F32" s="297">
        <v>20.9</v>
      </c>
      <c r="G32" s="297">
        <v>20.7</v>
      </c>
      <c r="H32" s="297">
        <v>12.3</v>
      </c>
      <c r="I32" s="297">
        <v>29.1</v>
      </c>
      <c r="J32" s="297">
        <v>1053</v>
      </c>
    </row>
    <row r="33" spans="1:10">
      <c r="A33" s="297">
        <v>2012</v>
      </c>
      <c r="B33" s="297">
        <v>8</v>
      </c>
      <c r="C33" s="297">
        <v>18</v>
      </c>
      <c r="D33" s="297">
        <v>2465</v>
      </c>
      <c r="E33" s="297">
        <v>0</v>
      </c>
      <c r="F33" s="297">
        <v>23.8</v>
      </c>
      <c r="G33" s="297">
        <v>23.7</v>
      </c>
      <c r="H33" s="297">
        <v>14.9</v>
      </c>
      <c r="I33" s="297">
        <v>32.4</v>
      </c>
      <c r="J33" s="297">
        <v>1026</v>
      </c>
    </row>
    <row r="34" spans="1:10">
      <c r="A34" s="297">
        <v>2012</v>
      </c>
      <c r="B34" s="297">
        <v>8</v>
      </c>
      <c r="C34" s="297">
        <v>19</v>
      </c>
      <c r="D34" s="297">
        <v>2327</v>
      </c>
      <c r="E34" s="297">
        <v>0</v>
      </c>
      <c r="F34" s="297">
        <v>25.3</v>
      </c>
      <c r="G34" s="297">
        <v>25</v>
      </c>
      <c r="H34" s="297">
        <v>16</v>
      </c>
      <c r="I34" s="297">
        <v>34.1</v>
      </c>
      <c r="J34" s="297">
        <v>963</v>
      </c>
    </row>
    <row r="35" spans="1:10">
      <c r="A35" s="297">
        <v>2012</v>
      </c>
      <c r="B35" s="297">
        <v>8</v>
      </c>
      <c r="C35" s="297">
        <v>20</v>
      </c>
      <c r="D35" s="297">
        <v>869</v>
      </c>
      <c r="E35" s="297">
        <v>0.5</v>
      </c>
      <c r="F35" s="297">
        <v>23.1</v>
      </c>
      <c r="G35" s="297">
        <v>24.3</v>
      </c>
      <c r="H35" s="297">
        <v>18.8</v>
      </c>
      <c r="I35" s="297">
        <v>29.8</v>
      </c>
      <c r="J35" s="297">
        <v>371</v>
      </c>
    </row>
    <row r="36" spans="1:10">
      <c r="A36" s="297">
        <v>2012</v>
      </c>
      <c r="B36" s="297">
        <v>8</v>
      </c>
      <c r="C36" s="297">
        <v>21</v>
      </c>
      <c r="D36" s="297">
        <v>2003</v>
      </c>
      <c r="E36" s="297">
        <v>0</v>
      </c>
      <c r="F36" s="297">
        <v>24.5</v>
      </c>
      <c r="G36" s="297">
        <v>24.5</v>
      </c>
      <c r="H36" s="297">
        <v>16.5</v>
      </c>
      <c r="I36" s="297">
        <v>32.6</v>
      </c>
      <c r="J36" s="297">
        <v>829</v>
      </c>
    </row>
    <row r="37" spans="1:10">
      <c r="A37" s="297">
        <v>2012</v>
      </c>
      <c r="B37" s="297">
        <v>8</v>
      </c>
      <c r="C37" s="297">
        <v>22</v>
      </c>
      <c r="D37" s="297">
        <v>2207</v>
      </c>
      <c r="E37" s="297">
        <v>0</v>
      </c>
      <c r="F37" s="297">
        <v>22.8</v>
      </c>
      <c r="G37" s="297">
        <v>23.8</v>
      </c>
      <c r="H37" s="297">
        <v>18.899999999999999</v>
      </c>
      <c r="I37" s="297">
        <v>28.7</v>
      </c>
      <c r="J37" s="297">
        <v>916</v>
      </c>
    </row>
    <row r="38" spans="1:10">
      <c r="A38" s="297">
        <v>2012</v>
      </c>
      <c r="B38" s="297">
        <v>8</v>
      </c>
      <c r="C38" s="297">
        <v>23</v>
      </c>
      <c r="D38" s="297">
        <v>1949</v>
      </c>
      <c r="E38" s="297">
        <v>1.5</v>
      </c>
      <c r="F38" s="297">
        <v>22.4</v>
      </c>
      <c r="G38" s="297">
        <v>22.8</v>
      </c>
      <c r="H38" s="297">
        <v>17.100000000000001</v>
      </c>
      <c r="I38" s="297">
        <v>28.4</v>
      </c>
      <c r="J38" s="297">
        <v>813</v>
      </c>
    </row>
    <row r="39" spans="1:10">
      <c r="A39" s="297">
        <v>2012</v>
      </c>
      <c r="B39" s="297">
        <v>8</v>
      </c>
      <c r="C39" s="297">
        <v>24</v>
      </c>
      <c r="D39" s="297">
        <v>524</v>
      </c>
      <c r="E39" s="297">
        <v>12</v>
      </c>
      <c r="F39" s="297">
        <v>19.2</v>
      </c>
      <c r="G39" s="297">
        <v>20</v>
      </c>
      <c r="H39" s="297">
        <v>18.5</v>
      </c>
      <c r="I39" s="297">
        <v>21.5</v>
      </c>
      <c r="J39" s="297">
        <v>237</v>
      </c>
    </row>
    <row r="40" spans="1:10">
      <c r="A40" s="297">
        <v>2012</v>
      </c>
      <c r="B40" s="297">
        <v>8</v>
      </c>
      <c r="C40" s="297">
        <v>25</v>
      </c>
      <c r="D40" s="297">
        <v>705</v>
      </c>
      <c r="E40" s="297">
        <v>0.5</v>
      </c>
      <c r="F40" s="297">
        <v>17.3</v>
      </c>
      <c r="G40" s="297">
        <v>18</v>
      </c>
      <c r="H40" s="297">
        <v>15.4</v>
      </c>
      <c r="I40" s="297">
        <v>20.7</v>
      </c>
      <c r="J40" s="297">
        <v>312</v>
      </c>
    </row>
    <row r="41" spans="1:10">
      <c r="A41" s="297">
        <v>2012</v>
      </c>
      <c r="B41" s="297">
        <v>8</v>
      </c>
      <c r="C41" s="297">
        <v>26</v>
      </c>
      <c r="D41" s="297">
        <v>1263</v>
      </c>
      <c r="E41" s="297">
        <v>0.5</v>
      </c>
      <c r="F41" s="297">
        <v>15.7</v>
      </c>
      <c r="G41" s="297">
        <v>16.899999999999999</v>
      </c>
      <c r="H41" s="297">
        <v>12.5</v>
      </c>
      <c r="I41" s="297">
        <v>21.2</v>
      </c>
      <c r="J41" s="297">
        <v>527</v>
      </c>
    </row>
    <row r="42" spans="1:10">
      <c r="A42" s="297">
        <v>2012</v>
      </c>
      <c r="B42" s="297">
        <v>8</v>
      </c>
      <c r="C42" s="297">
        <v>27</v>
      </c>
      <c r="D42" s="297">
        <v>2329</v>
      </c>
      <c r="E42" s="297">
        <v>0</v>
      </c>
      <c r="F42" s="297">
        <v>17.5</v>
      </c>
      <c r="G42" s="297">
        <v>17.5</v>
      </c>
      <c r="H42" s="297">
        <v>9.8000000000000007</v>
      </c>
      <c r="I42" s="297">
        <v>25.1</v>
      </c>
      <c r="J42" s="297">
        <v>946</v>
      </c>
    </row>
    <row r="43" spans="1:10">
      <c r="A43" s="297">
        <v>2012</v>
      </c>
      <c r="B43" s="297">
        <v>8</v>
      </c>
      <c r="C43" s="297">
        <v>28</v>
      </c>
      <c r="D43" s="297">
        <v>1299</v>
      </c>
      <c r="E43" s="297">
        <v>2.5</v>
      </c>
      <c r="F43" s="297">
        <v>17.2</v>
      </c>
      <c r="G43" s="297">
        <v>17</v>
      </c>
      <c r="H43" s="297">
        <v>10.9</v>
      </c>
      <c r="I43" s="297">
        <v>23.1</v>
      </c>
      <c r="J43" s="297">
        <v>541</v>
      </c>
    </row>
    <row r="44" spans="1:10">
      <c r="A44" s="297">
        <v>2012</v>
      </c>
      <c r="B44" s="297">
        <v>8</v>
      </c>
      <c r="C44" s="297">
        <v>29</v>
      </c>
      <c r="D44" s="297">
        <v>1840</v>
      </c>
      <c r="E44" s="297">
        <v>5.5</v>
      </c>
      <c r="F44" s="297">
        <v>20</v>
      </c>
      <c r="G44" s="297">
        <v>20.5</v>
      </c>
      <c r="H44" s="297">
        <v>13.5</v>
      </c>
      <c r="I44" s="297">
        <v>27.4</v>
      </c>
      <c r="J44" s="297">
        <v>751</v>
      </c>
    </row>
    <row r="45" spans="1:10">
      <c r="A45" s="297">
        <v>2012</v>
      </c>
      <c r="B45" s="297">
        <v>8</v>
      </c>
      <c r="C45" s="297">
        <v>30</v>
      </c>
      <c r="D45" s="297">
        <v>1449</v>
      </c>
      <c r="E45" s="297">
        <v>0</v>
      </c>
      <c r="F45" s="297">
        <v>18.3</v>
      </c>
      <c r="G45" s="297">
        <v>19.600000000000001</v>
      </c>
      <c r="H45" s="297">
        <v>16.899999999999999</v>
      </c>
      <c r="I45" s="297">
        <v>22.4</v>
      </c>
      <c r="J45" s="297">
        <v>597</v>
      </c>
    </row>
    <row r="46" spans="1:10">
      <c r="A46" s="297">
        <v>2012</v>
      </c>
      <c r="B46" s="297">
        <v>8</v>
      </c>
      <c r="C46" s="297">
        <v>31</v>
      </c>
      <c r="D46" s="297">
        <v>1406</v>
      </c>
      <c r="E46" s="297">
        <v>0.5</v>
      </c>
      <c r="F46" s="297">
        <v>14.6</v>
      </c>
      <c r="G46" s="297">
        <v>14.6</v>
      </c>
      <c r="H46" s="297">
        <v>12.5</v>
      </c>
      <c r="I46" s="297">
        <v>16.8</v>
      </c>
      <c r="J46" s="297">
        <v>578</v>
      </c>
    </row>
    <row r="47" spans="1:10">
      <c r="A47" s="297">
        <v>2012</v>
      </c>
      <c r="B47" s="297">
        <v>9</v>
      </c>
      <c r="C47" s="297">
        <v>1</v>
      </c>
      <c r="D47" s="297">
        <v>992</v>
      </c>
      <c r="E47" s="297">
        <v>0</v>
      </c>
      <c r="F47" s="297">
        <v>13.8</v>
      </c>
      <c r="G47" s="297">
        <v>13.7</v>
      </c>
      <c r="H47" s="297">
        <v>9.1</v>
      </c>
      <c r="I47" s="297">
        <v>18.3</v>
      </c>
      <c r="J47" s="297">
        <v>418</v>
      </c>
    </row>
    <row r="48" spans="1:10">
      <c r="A48" s="297">
        <v>2012</v>
      </c>
      <c r="B48" s="297">
        <v>9</v>
      </c>
      <c r="C48" s="297">
        <v>2</v>
      </c>
      <c r="D48" s="297">
        <v>1358</v>
      </c>
      <c r="E48" s="297">
        <v>0</v>
      </c>
      <c r="F48" s="297">
        <v>17.8</v>
      </c>
      <c r="G48" s="297">
        <v>18</v>
      </c>
      <c r="H48" s="297">
        <v>13.2</v>
      </c>
      <c r="I48" s="297">
        <v>22.7</v>
      </c>
      <c r="J48" s="297">
        <v>560</v>
      </c>
    </row>
    <row r="49" spans="1:10">
      <c r="A49" s="297">
        <v>2012</v>
      </c>
      <c r="B49" s="297">
        <v>9</v>
      </c>
      <c r="C49" s="297">
        <v>3</v>
      </c>
      <c r="D49" s="297">
        <v>1712</v>
      </c>
      <c r="E49" s="297">
        <v>0</v>
      </c>
      <c r="F49" s="297">
        <v>20.100000000000001</v>
      </c>
      <c r="G49" s="297">
        <v>19.5</v>
      </c>
      <c r="H49" s="297">
        <v>13.8</v>
      </c>
      <c r="I49" s="297">
        <v>25.1</v>
      </c>
      <c r="J49" s="297">
        <v>694</v>
      </c>
    </row>
    <row r="50" spans="1:10">
      <c r="A50" s="297">
        <v>2012</v>
      </c>
      <c r="B50" s="297">
        <v>9</v>
      </c>
      <c r="C50" s="297">
        <v>4</v>
      </c>
      <c r="D50" s="297">
        <v>1669</v>
      </c>
      <c r="E50" s="297">
        <v>0</v>
      </c>
      <c r="F50" s="297">
        <v>21</v>
      </c>
      <c r="G50" s="297">
        <v>21</v>
      </c>
      <c r="H50" s="297">
        <v>15.4</v>
      </c>
      <c r="I50" s="297">
        <v>26.6</v>
      </c>
      <c r="J50" s="297">
        <v>664</v>
      </c>
    </row>
    <row r="51" spans="1:10">
      <c r="A51" s="297">
        <v>2012</v>
      </c>
      <c r="B51" s="297">
        <v>9</v>
      </c>
      <c r="C51" s="297">
        <v>5</v>
      </c>
      <c r="D51" s="297">
        <v>1852</v>
      </c>
      <c r="E51" s="297">
        <v>0</v>
      </c>
      <c r="F51" s="297">
        <v>20.399999999999999</v>
      </c>
      <c r="G51" s="297">
        <v>20.6</v>
      </c>
      <c r="H51" s="297">
        <v>14.5</v>
      </c>
      <c r="I51" s="297">
        <v>26.7</v>
      </c>
      <c r="J51" s="297">
        <v>743</v>
      </c>
    </row>
    <row r="52" spans="1:10">
      <c r="A52" s="297">
        <v>2012</v>
      </c>
      <c r="B52" s="297">
        <v>9</v>
      </c>
      <c r="C52" s="297">
        <v>6</v>
      </c>
      <c r="D52" s="297">
        <v>2157</v>
      </c>
      <c r="E52" s="297">
        <v>0</v>
      </c>
      <c r="F52" s="297">
        <v>18.5</v>
      </c>
      <c r="G52" s="297">
        <v>19.3</v>
      </c>
      <c r="H52" s="297">
        <v>13.4</v>
      </c>
      <c r="I52" s="297">
        <v>25.2</v>
      </c>
      <c r="J52" s="297">
        <v>855</v>
      </c>
    </row>
    <row r="53" spans="1:10">
      <c r="A53" s="297">
        <v>2012</v>
      </c>
      <c r="B53" s="297">
        <v>9</v>
      </c>
      <c r="C53" s="297">
        <v>7</v>
      </c>
      <c r="D53" s="297">
        <v>2176</v>
      </c>
      <c r="E53" s="297">
        <v>0</v>
      </c>
      <c r="F53" s="297">
        <v>17.7</v>
      </c>
      <c r="G53" s="297">
        <v>18.100000000000001</v>
      </c>
      <c r="H53" s="297">
        <v>9.6</v>
      </c>
      <c r="I53" s="297">
        <v>26.6</v>
      </c>
      <c r="J53" s="297">
        <v>855</v>
      </c>
    </row>
    <row r="54" spans="1:10">
      <c r="A54" s="297">
        <v>2012</v>
      </c>
      <c r="B54" s="297">
        <v>9</v>
      </c>
      <c r="C54" s="297">
        <v>8</v>
      </c>
      <c r="D54" s="297">
        <v>2145</v>
      </c>
      <c r="E54" s="297">
        <v>0</v>
      </c>
      <c r="F54" s="297">
        <v>18.2</v>
      </c>
      <c r="G54" s="297">
        <v>18.5</v>
      </c>
      <c r="H54" s="297">
        <v>9.6</v>
      </c>
      <c r="I54" s="297">
        <v>27.4</v>
      </c>
      <c r="J54" s="297">
        <v>836</v>
      </c>
    </row>
    <row r="55" spans="1:10">
      <c r="A55" s="297">
        <v>2012</v>
      </c>
      <c r="B55" s="297">
        <v>9</v>
      </c>
      <c r="C55" s="297">
        <v>9</v>
      </c>
      <c r="D55" s="297">
        <v>1971</v>
      </c>
      <c r="E55" s="297">
        <v>0</v>
      </c>
      <c r="F55" s="297">
        <v>20.2</v>
      </c>
      <c r="G55" s="297">
        <v>21</v>
      </c>
      <c r="H55" s="297">
        <v>12</v>
      </c>
      <c r="I55" s="297">
        <v>30</v>
      </c>
      <c r="J55" s="297">
        <v>788</v>
      </c>
    </row>
    <row r="56" spans="1:10">
      <c r="A56" s="297">
        <v>2012</v>
      </c>
      <c r="B56" s="297">
        <v>9</v>
      </c>
      <c r="C56" s="297">
        <v>10</v>
      </c>
      <c r="D56" s="297">
        <v>1786</v>
      </c>
      <c r="E56" s="297">
        <v>0</v>
      </c>
      <c r="F56" s="297">
        <v>20.3</v>
      </c>
      <c r="G56" s="297">
        <v>20</v>
      </c>
      <c r="H56" s="297">
        <v>11.1</v>
      </c>
      <c r="I56" s="297">
        <v>29</v>
      </c>
      <c r="J56" s="297">
        <v>721</v>
      </c>
    </row>
    <row r="57" spans="1:10">
      <c r="A57" s="297">
        <v>2012</v>
      </c>
      <c r="B57" s="297">
        <v>9</v>
      </c>
      <c r="C57" s="297">
        <v>11</v>
      </c>
      <c r="D57" s="297">
        <v>1109</v>
      </c>
      <c r="E57" s="297">
        <v>0</v>
      </c>
      <c r="F57" s="297">
        <v>20.3</v>
      </c>
      <c r="G57" s="297">
        <v>21.5</v>
      </c>
      <c r="H57" s="297">
        <v>16.600000000000001</v>
      </c>
      <c r="I57" s="297">
        <v>26.4</v>
      </c>
      <c r="J57" s="297">
        <v>465</v>
      </c>
    </row>
    <row r="58" spans="1:10">
      <c r="A58" s="297">
        <v>2012</v>
      </c>
      <c r="B58" s="297">
        <v>9</v>
      </c>
      <c r="C58" s="297">
        <v>12</v>
      </c>
      <c r="D58" s="297">
        <v>805</v>
      </c>
      <c r="E58" s="297">
        <v>2.5</v>
      </c>
      <c r="F58" s="297">
        <v>13.3</v>
      </c>
      <c r="G58" s="297">
        <v>14.8</v>
      </c>
      <c r="H58" s="297">
        <v>12.6</v>
      </c>
      <c r="I58" s="297">
        <v>16.899999999999999</v>
      </c>
      <c r="J58" s="297">
        <v>344</v>
      </c>
    </row>
    <row r="59" spans="1:10">
      <c r="A59" s="297">
        <v>2012</v>
      </c>
      <c r="B59" s="297">
        <v>9</v>
      </c>
      <c r="C59" s="297">
        <v>13</v>
      </c>
      <c r="D59" s="297">
        <v>974</v>
      </c>
      <c r="E59" s="297">
        <v>0.5</v>
      </c>
      <c r="F59" s="297">
        <v>12.7</v>
      </c>
      <c r="G59" s="297">
        <v>12.8</v>
      </c>
      <c r="H59" s="297">
        <v>8.3000000000000007</v>
      </c>
      <c r="I59" s="297">
        <v>17.3</v>
      </c>
      <c r="J59" s="297">
        <v>432</v>
      </c>
    </row>
    <row r="60" spans="1:10">
      <c r="A60" s="297">
        <v>2012</v>
      </c>
      <c r="B60" s="297">
        <v>9</v>
      </c>
      <c r="C60" s="297">
        <v>14</v>
      </c>
      <c r="D60" s="297">
        <v>1975</v>
      </c>
      <c r="E60" s="297">
        <v>0.5</v>
      </c>
      <c r="F60" s="297">
        <v>15.1</v>
      </c>
      <c r="G60" s="297">
        <v>15.5</v>
      </c>
      <c r="H60" s="297">
        <v>8.9</v>
      </c>
      <c r="I60" s="297">
        <v>22.1</v>
      </c>
      <c r="J60" s="297">
        <v>789</v>
      </c>
    </row>
    <row r="61" spans="1:10">
      <c r="A61" s="297">
        <v>2012</v>
      </c>
      <c r="B61" s="297">
        <v>9</v>
      </c>
      <c r="C61" s="297">
        <v>15</v>
      </c>
      <c r="D61" s="297">
        <v>1144</v>
      </c>
      <c r="E61" s="297">
        <v>0</v>
      </c>
      <c r="F61" s="297">
        <v>14.7</v>
      </c>
      <c r="G61" s="297">
        <v>15.2</v>
      </c>
      <c r="H61" s="297">
        <v>9.1</v>
      </c>
      <c r="I61" s="297">
        <v>21.3</v>
      </c>
      <c r="J61" s="297">
        <v>472</v>
      </c>
    </row>
    <row r="62" spans="1:10">
      <c r="A62" s="297">
        <v>2012</v>
      </c>
      <c r="B62" s="297">
        <v>9</v>
      </c>
      <c r="C62" s="297">
        <v>16</v>
      </c>
      <c r="D62" s="297">
        <v>1950</v>
      </c>
      <c r="E62" s="297">
        <v>0</v>
      </c>
      <c r="F62" s="297">
        <v>15.1</v>
      </c>
      <c r="G62" s="297">
        <v>15.7</v>
      </c>
      <c r="H62" s="297">
        <v>8</v>
      </c>
      <c r="I62" s="297">
        <v>23.4</v>
      </c>
      <c r="J62" s="297">
        <v>775</v>
      </c>
    </row>
    <row r="63" spans="1:10">
      <c r="A63" s="297">
        <v>2012</v>
      </c>
      <c r="B63" s="297">
        <v>9</v>
      </c>
      <c r="C63" s="297">
        <v>17</v>
      </c>
      <c r="D63" s="297">
        <v>1652</v>
      </c>
      <c r="E63" s="297">
        <v>0</v>
      </c>
      <c r="F63" s="297">
        <v>16.8</v>
      </c>
      <c r="G63" s="297">
        <v>17.2</v>
      </c>
      <c r="H63" s="297">
        <v>9.8000000000000007</v>
      </c>
      <c r="I63" s="297">
        <v>24.7</v>
      </c>
      <c r="J63" s="297">
        <v>656</v>
      </c>
    </row>
    <row r="64" spans="1:10">
      <c r="A64" s="297">
        <v>2012</v>
      </c>
      <c r="B64" s="297">
        <v>9</v>
      </c>
      <c r="C64" s="297">
        <v>18</v>
      </c>
      <c r="D64" s="297">
        <v>826</v>
      </c>
      <c r="E64" s="297">
        <v>0.5</v>
      </c>
      <c r="F64" s="297">
        <v>16</v>
      </c>
      <c r="G64" s="297">
        <v>15.9</v>
      </c>
      <c r="H64" s="297">
        <v>8.5</v>
      </c>
      <c r="I64" s="297">
        <v>23.4</v>
      </c>
      <c r="J64" s="297">
        <v>352</v>
      </c>
    </row>
    <row r="65" spans="1:10">
      <c r="A65" s="297">
        <v>2012</v>
      </c>
      <c r="B65" s="297">
        <v>9</v>
      </c>
      <c r="C65" s="297">
        <v>19</v>
      </c>
      <c r="D65" s="297">
        <v>1570</v>
      </c>
      <c r="E65" s="297">
        <v>0</v>
      </c>
      <c r="F65" s="297">
        <v>13.5</v>
      </c>
      <c r="G65" s="297">
        <v>14.4</v>
      </c>
      <c r="H65" s="297">
        <v>10</v>
      </c>
      <c r="I65" s="297">
        <v>18.7</v>
      </c>
      <c r="J65" s="297">
        <v>615</v>
      </c>
    </row>
    <row r="66" spans="1:10">
      <c r="A66" s="297">
        <v>2012</v>
      </c>
      <c r="B66" s="297">
        <v>9</v>
      </c>
      <c r="C66" s="297">
        <v>20</v>
      </c>
      <c r="D66" s="297">
        <v>1739</v>
      </c>
      <c r="E66" s="297">
        <v>0</v>
      </c>
      <c r="F66" s="297">
        <v>11</v>
      </c>
      <c r="G66" s="297">
        <v>10.9</v>
      </c>
      <c r="H66" s="297">
        <v>3</v>
      </c>
      <c r="I66" s="297">
        <v>18.899999999999999</v>
      </c>
      <c r="J66" s="297">
        <v>678</v>
      </c>
    </row>
    <row r="67" spans="1:10">
      <c r="A67" s="297">
        <v>2012</v>
      </c>
      <c r="B67" s="297">
        <v>9</v>
      </c>
      <c r="C67" s="297">
        <v>21</v>
      </c>
      <c r="D67" s="297">
        <v>1396</v>
      </c>
      <c r="E67" s="297">
        <v>20</v>
      </c>
      <c r="F67" s="297">
        <v>14.3</v>
      </c>
      <c r="G67" s="297">
        <v>14.1</v>
      </c>
      <c r="H67" s="297">
        <v>3.7</v>
      </c>
      <c r="I67" s="297">
        <v>24.4</v>
      </c>
      <c r="J67" s="297">
        <v>558</v>
      </c>
    </row>
    <row r="68" spans="1:10">
      <c r="A68" s="297">
        <v>2012</v>
      </c>
      <c r="B68" s="297">
        <v>9</v>
      </c>
      <c r="C68" s="297">
        <v>22</v>
      </c>
      <c r="D68" s="297">
        <v>250</v>
      </c>
      <c r="E68" s="297">
        <v>1</v>
      </c>
      <c r="F68" s="297">
        <v>13.5</v>
      </c>
      <c r="G68" s="297">
        <v>13.8</v>
      </c>
      <c r="H68" s="297">
        <v>12.4</v>
      </c>
      <c r="I68" s="297">
        <v>15.1</v>
      </c>
      <c r="J68" s="297">
        <v>122</v>
      </c>
    </row>
    <row r="69" spans="1:10">
      <c r="A69" s="297">
        <v>2012</v>
      </c>
      <c r="B69" s="297">
        <v>9</v>
      </c>
      <c r="C69" s="297">
        <v>23</v>
      </c>
      <c r="D69" s="297">
        <v>819</v>
      </c>
      <c r="E69" s="297">
        <v>9</v>
      </c>
      <c r="F69" s="297">
        <v>15.7</v>
      </c>
      <c r="G69" s="297">
        <v>17</v>
      </c>
      <c r="H69" s="297">
        <v>10.3</v>
      </c>
      <c r="I69" s="297">
        <v>23.6</v>
      </c>
      <c r="J69" s="297">
        <v>337</v>
      </c>
    </row>
    <row r="70" spans="1:10">
      <c r="A70" s="297">
        <v>2012</v>
      </c>
      <c r="B70" s="297">
        <v>9</v>
      </c>
      <c r="C70" s="297">
        <v>24</v>
      </c>
      <c r="D70" s="297">
        <v>1052</v>
      </c>
      <c r="E70" s="297">
        <v>2</v>
      </c>
      <c r="F70" s="297">
        <v>16.8</v>
      </c>
      <c r="G70" s="297">
        <v>17</v>
      </c>
      <c r="H70" s="297">
        <v>14</v>
      </c>
      <c r="I70" s="297">
        <v>20</v>
      </c>
      <c r="J70" s="297">
        <v>429</v>
      </c>
    </row>
    <row r="71" spans="1:10">
      <c r="A71" s="297">
        <v>2012</v>
      </c>
      <c r="B71" s="297">
        <v>9</v>
      </c>
      <c r="C71" s="297">
        <v>25</v>
      </c>
      <c r="D71" s="297">
        <v>498</v>
      </c>
      <c r="E71" s="297">
        <v>25</v>
      </c>
      <c r="F71" s="297">
        <v>14</v>
      </c>
      <c r="G71" s="297">
        <v>14.7</v>
      </c>
      <c r="H71" s="297">
        <v>13</v>
      </c>
      <c r="I71" s="297">
        <v>16.399999999999999</v>
      </c>
      <c r="J71" s="297">
        <v>220</v>
      </c>
    </row>
    <row r="72" spans="1:10">
      <c r="A72" s="297">
        <v>2012</v>
      </c>
      <c r="B72" s="297">
        <v>9</v>
      </c>
      <c r="C72" s="297">
        <v>26</v>
      </c>
      <c r="D72" s="297">
        <v>185</v>
      </c>
      <c r="E72" s="297">
        <v>19.5</v>
      </c>
      <c r="F72" s="297">
        <v>11.3</v>
      </c>
      <c r="G72" s="297">
        <v>11.4</v>
      </c>
      <c r="H72" s="297">
        <v>10.9</v>
      </c>
      <c r="I72" s="297">
        <v>11.9</v>
      </c>
      <c r="J72" s="297">
        <v>93</v>
      </c>
    </row>
    <row r="73" spans="1:10">
      <c r="A73" s="297">
        <v>2012</v>
      </c>
      <c r="B73" s="297">
        <v>9</v>
      </c>
      <c r="C73" s="297">
        <v>27</v>
      </c>
      <c r="D73" s="297">
        <v>1279</v>
      </c>
      <c r="E73" s="297">
        <v>4</v>
      </c>
      <c r="F73" s="297">
        <v>12.6</v>
      </c>
      <c r="G73" s="297">
        <v>13.8</v>
      </c>
      <c r="H73" s="297">
        <v>9.4</v>
      </c>
      <c r="I73" s="297">
        <v>18.3</v>
      </c>
      <c r="J73" s="297">
        <v>515</v>
      </c>
    </row>
    <row r="74" spans="1:10">
      <c r="A74" s="297">
        <v>2012</v>
      </c>
      <c r="B74" s="297">
        <v>9</v>
      </c>
      <c r="C74" s="297">
        <v>28</v>
      </c>
      <c r="D74" s="297">
        <v>1638</v>
      </c>
      <c r="E74" s="297">
        <v>0</v>
      </c>
      <c r="F74" s="297">
        <v>12.4</v>
      </c>
      <c r="G74" s="297">
        <v>12.8</v>
      </c>
      <c r="H74" s="297">
        <v>5.9</v>
      </c>
      <c r="I74" s="297">
        <v>19.7</v>
      </c>
      <c r="J74" s="297">
        <v>643</v>
      </c>
    </row>
    <row r="75" spans="1:10">
      <c r="A75" s="297">
        <v>2012</v>
      </c>
      <c r="B75" s="297">
        <v>9</v>
      </c>
      <c r="C75" s="297">
        <v>29</v>
      </c>
      <c r="D75" s="297">
        <v>1256</v>
      </c>
      <c r="E75" s="297">
        <v>0</v>
      </c>
      <c r="F75" s="297">
        <v>12.6</v>
      </c>
      <c r="G75" s="297">
        <v>12.6</v>
      </c>
      <c r="H75" s="297">
        <v>7.1</v>
      </c>
      <c r="I75" s="297">
        <v>18.100000000000001</v>
      </c>
      <c r="J75" s="297">
        <v>502</v>
      </c>
    </row>
    <row r="76" spans="1:10">
      <c r="A76" s="297">
        <v>2012</v>
      </c>
      <c r="B76" s="297">
        <v>9</v>
      </c>
      <c r="C76" s="297">
        <v>30</v>
      </c>
      <c r="D76" s="297">
        <v>1270</v>
      </c>
      <c r="E76" s="297">
        <v>0</v>
      </c>
      <c r="F76" s="297">
        <v>12.5</v>
      </c>
      <c r="G76" s="297">
        <v>13.3</v>
      </c>
      <c r="H76" s="297">
        <v>8.3000000000000007</v>
      </c>
      <c r="I76" s="297">
        <v>18.3</v>
      </c>
      <c r="J76" s="297">
        <v>501</v>
      </c>
    </row>
    <row r="77" spans="1:10">
      <c r="A77" s="297">
        <v>2012</v>
      </c>
      <c r="B77" s="297">
        <v>10</v>
      </c>
      <c r="C77" s="297">
        <v>1</v>
      </c>
      <c r="D77" s="297">
        <v>1460</v>
      </c>
      <c r="E77" s="297">
        <v>0</v>
      </c>
      <c r="F77" s="297">
        <v>12.3</v>
      </c>
      <c r="G77" s="297">
        <v>13</v>
      </c>
      <c r="H77" s="297">
        <v>6.7</v>
      </c>
      <c r="I77" s="297">
        <v>19.3</v>
      </c>
      <c r="J77" s="297">
        <v>561</v>
      </c>
    </row>
    <row r="78" spans="1:10">
      <c r="A78" s="297">
        <v>2012</v>
      </c>
      <c r="B78" s="297">
        <v>10</v>
      </c>
      <c r="C78" s="297">
        <v>2</v>
      </c>
      <c r="D78" s="297">
        <v>1523</v>
      </c>
      <c r="E78" s="297">
        <v>1</v>
      </c>
      <c r="F78" s="297">
        <v>12.9</v>
      </c>
      <c r="G78" s="297">
        <v>13.1</v>
      </c>
      <c r="H78" s="297">
        <v>6.1</v>
      </c>
      <c r="I78" s="297">
        <v>20</v>
      </c>
      <c r="J78" s="297">
        <v>598</v>
      </c>
    </row>
    <row r="79" spans="1:10">
      <c r="A79" s="297">
        <v>2012</v>
      </c>
      <c r="B79" s="297">
        <v>10</v>
      </c>
      <c r="C79" s="297">
        <v>3</v>
      </c>
      <c r="D79" s="297">
        <v>1047</v>
      </c>
      <c r="E79" s="297">
        <v>0</v>
      </c>
      <c r="F79" s="297">
        <v>15.5</v>
      </c>
      <c r="G79" s="297">
        <v>15.1</v>
      </c>
      <c r="H79" s="297">
        <v>11</v>
      </c>
      <c r="I79" s="297">
        <v>19.3</v>
      </c>
      <c r="J79" s="297">
        <v>433</v>
      </c>
    </row>
    <row r="80" spans="1:10">
      <c r="A80" s="297">
        <v>2012</v>
      </c>
      <c r="B80" s="297">
        <v>10</v>
      </c>
      <c r="C80" s="297">
        <v>4</v>
      </c>
      <c r="D80" s="297">
        <v>484</v>
      </c>
      <c r="E80" s="297">
        <v>0.5</v>
      </c>
      <c r="F80" s="297">
        <v>14.9</v>
      </c>
      <c r="G80" s="297">
        <v>15.6</v>
      </c>
      <c r="H80" s="297">
        <v>13.5</v>
      </c>
      <c r="I80" s="297">
        <v>17.8</v>
      </c>
      <c r="J80" s="297">
        <v>210</v>
      </c>
    </row>
    <row r="81" spans="1:10">
      <c r="A81" s="297">
        <v>2012</v>
      </c>
      <c r="B81" s="297">
        <v>10</v>
      </c>
      <c r="C81" s="297">
        <v>5</v>
      </c>
      <c r="D81" s="297">
        <v>1533</v>
      </c>
      <c r="E81" s="297">
        <v>0</v>
      </c>
      <c r="F81" s="297">
        <v>15.8</v>
      </c>
      <c r="G81" s="297">
        <v>16.7</v>
      </c>
      <c r="H81" s="297">
        <v>10.3</v>
      </c>
      <c r="I81" s="297">
        <v>23.1</v>
      </c>
      <c r="J81" s="297">
        <v>604</v>
      </c>
    </row>
    <row r="82" spans="1:10">
      <c r="A82" s="297">
        <v>2012</v>
      </c>
      <c r="B82" s="297">
        <v>10</v>
      </c>
      <c r="C82" s="297">
        <v>6</v>
      </c>
      <c r="D82" s="297">
        <v>1121</v>
      </c>
      <c r="E82" s="297">
        <v>4</v>
      </c>
      <c r="F82" s="297">
        <v>16.600000000000001</v>
      </c>
      <c r="G82" s="297">
        <v>16</v>
      </c>
      <c r="H82" s="297">
        <v>8.5</v>
      </c>
      <c r="I82" s="297">
        <v>23.5</v>
      </c>
      <c r="J82" s="297">
        <v>447</v>
      </c>
    </row>
    <row r="83" spans="1:10">
      <c r="A83" s="297">
        <v>2012</v>
      </c>
      <c r="B83" s="297">
        <v>10</v>
      </c>
      <c r="C83" s="297">
        <v>7</v>
      </c>
      <c r="D83" s="297">
        <v>655</v>
      </c>
      <c r="E83" s="297">
        <v>1</v>
      </c>
      <c r="F83" s="297">
        <v>15.1</v>
      </c>
      <c r="G83" s="297">
        <v>16.600000000000001</v>
      </c>
      <c r="H83" s="297">
        <v>14.7</v>
      </c>
      <c r="I83" s="297">
        <v>18.600000000000001</v>
      </c>
      <c r="J83" s="297">
        <v>281</v>
      </c>
    </row>
    <row r="84" spans="1:10">
      <c r="A84" s="297">
        <v>2012</v>
      </c>
      <c r="B84" s="297">
        <v>10</v>
      </c>
      <c r="C84" s="297">
        <v>8</v>
      </c>
      <c r="D84" s="297">
        <v>387</v>
      </c>
      <c r="E84" s="297">
        <v>22.5</v>
      </c>
      <c r="F84" s="297">
        <v>12</v>
      </c>
      <c r="G84" s="297">
        <v>12.4</v>
      </c>
      <c r="H84" s="297">
        <v>8.6</v>
      </c>
      <c r="I84" s="297">
        <v>16.3</v>
      </c>
      <c r="J84" s="297">
        <v>178</v>
      </c>
    </row>
    <row r="85" spans="1:10">
      <c r="A85" s="297">
        <v>2012</v>
      </c>
      <c r="B85" s="297">
        <v>10</v>
      </c>
      <c r="C85" s="297">
        <v>9</v>
      </c>
      <c r="D85" s="297">
        <v>691</v>
      </c>
      <c r="E85" s="297">
        <v>1.5</v>
      </c>
      <c r="F85" s="297">
        <v>16.8</v>
      </c>
      <c r="G85" s="297">
        <v>16.5</v>
      </c>
      <c r="H85" s="297">
        <v>13.4</v>
      </c>
      <c r="I85" s="297">
        <v>19.600000000000001</v>
      </c>
      <c r="J85" s="297">
        <v>295</v>
      </c>
    </row>
    <row r="86" spans="1:10">
      <c r="A86" s="297">
        <v>2012</v>
      </c>
      <c r="B86" s="297">
        <v>10</v>
      </c>
      <c r="C86" s="297">
        <v>10</v>
      </c>
      <c r="D86" s="297">
        <v>912</v>
      </c>
      <c r="E86" s="297">
        <v>17</v>
      </c>
      <c r="F86" s="297">
        <v>16.600000000000001</v>
      </c>
      <c r="G86" s="297">
        <v>17.5</v>
      </c>
      <c r="H86" s="297">
        <v>14.5</v>
      </c>
      <c r="I86" s="297">
        <v>20.5</v>
      </c>
      <c r="J86" s="297">
        <v>380</v>
      </c>
    </row>
    <row r="87" spans="1:10">
      <c r="A87" s="297">
        <v>2012</v>
      </c>
      <c r="B87" s="297">
        <v>10</v>
      </c>
      <c r="C87" s="297">
        <v>11</v>
      </c>
      <c r="D87" s="297">
        <v>532</v>
      </c>
      <c r="E87" s="297">
        <v>4.5</v>
      </c>
      <c r="F87" s="297">
        <v>15.1</v>
      </c>
      <c r="G87" s="297">
        <v>16</v>
      </c>
      <c r="H87" s="297">
        <v>13.3</v>
      </c>
      <c r="I87" s="297">
        <v>18.7</v>
      </c>
      <c r="J87" s="297">
        <v>229</v>
      </c>
    </row>
    <row r="88" spans="1:10">
      <c r="A88" s="297">
        <v>2012</v>
      </c>
      <c r="B88" s="297">
        <v>10</v>
      </c>
      <c r="C88" s="297">
        <v>12</v>
      </c>
      <c r="D88" s="297">
        <v>782</v>
      </c>
      <c r="E88" s="297">
        <v>0.5</v>
      </c>
      <c r="F88" s="297">
        <v>12.7</v>
      </c>
      <c r="G88" s="297">
        <v>13.3</v>
      </c>
      <c r="H88" s="297">
        <v>10.6</v>
      </c>
      <c r="I88" s="297">
        <v>16</v>
      </c>
      <c r="J88" s="297">
        <v>312</v>
      </c>
    </row>
    <row r="89" spans="1:10">
      <c r="A89" s="297">
        <v>2012</v>
      </c>
      <c r="B89" s="297">
        <v>10</v>
      </c>
      <c r="C89" s="297">
        <v>13</v>
      </c>
      <c r="D89" s="297">
        <v>980</v>
      </c>
      <c r="E89" s="297">
        <v>2.5</v>
      </c>
      <c r="F89" s="297">
        <v>9.1</v>
      </c>
      <c r="G89" s="297">
        <v>9.1999999999999993</v>
      </c>
      <c r="H89" s="297">
        <v>3.3</v>
      </c>
      <c r="I89" s="297">
        <v>15.1</v>
      </c>
      <c r="J89" s="297">
        <v>385</v>
      </c>
    </row>
    <row r="90" spans="1:10">
      <c r="A90" s="297">
        <v>2012</v>
      </c>
      <c r="B90" s="297">
        <v>10</v>
      </c>
      <c r="C90" s="297">
        <v>14</v>
      </c>
      <c r="D90" s="297">
        <v>311</v>
      </c>
      <c r="E90" s="297">
        <v>5</v>
      </c>
      <c r="F90" s="297">
        <v>10.199999999999999</v>
      </c>
      <c r="G90" s="297">
        <v>10.8</v>
      </c>
      <c r="H90" s="297">
        <v>9.4</v>
      </c>
      <c r="I90" s="297">
        <v>12.2</v>
      </c>
      <c r="J90" s="297">
        <v>140</v>
      </c>
    </row>
    <row r="91" spans="1:10">
      <c r="A91" s="297">
        <v>2012</v>
      </c>
      <c r="B91" s="297">
        <v>10</v>
      </c>
      <c r="C91" s="297">
        <v>15</v>
      </c>
      <c r="D91" s="297">
        <v>1090</v>
      </c>
      <c r="E91" s="297">
        <v>0.5</v>
      </c>
      <c r="F91" s="297">
        <v>7.4</v>
      </c>
      <c r="G91" s="297">
        <v>8.6</v>
      </c>
      <c r="H91" s="297">
        <v>4</v>
      </c>
      <c r="I91" s="297">
        <v>13.3</v>
      </c>
      <c r="J91" s="297">
        <v>418</v>
      </c>
    </row>
    <row r="92" spans="1:10">
      <c r="A92" s="297">
        <v>2012</v>
      </c>
      <c r="B92" s="297">
        <v>10</v>
      </c>
      <c r="C92" s="297">
        <v>16</v>
      </c>
      <c r="D92" s="297">
        <v>467</v>
      </c>
      <c r="E92" s="297">
        <v>1</v>
      </c>
      <c r="F92" s="297">
        <v>6.2</v>
      </c>
      <c r="G92" s="297">
        <v>5.8</v>
      </c>
      <c r="H92" s="297">
        <v>0.3</v>
      </c>
      <c r="I92" s="297">
        <v>11.2</v>
      </c>
      <c r="J92" s="297">
        <v>204</v>
      </c>
    </row>
    <row r="93" spans="1:10">
      <c r="A93" s="297">
        <v>2012</v>
      </c>
      <c r="B93" s="297">
        <v>10</v>
      </c>
      <c r="C93" s="297">
        <v>17</v>
      </c>
      <c r="D93" s="297">
        <v>773</v>
      </c>
      <c r="E93" s="297">
        <v>0.5</v>
      </c>
      <c r="F93" s="297">
        <v>13.8</v>
      </c>
      <c r="G93" s="297">
        <v>12.6</v>
      </c>
      <c r="H93" s="297">
        <v>6</v>
      </c>
      <c r="I93" s="297">
        <v>19.3</v>
      </c>
      <c r="J93" s="297">
        <v>314</v>
      </c>
    </row>
    <row r="94" spans="1:10">
      <c r="A94" s="297">
        <v>2012</v>
      </c>
      <c r="B94" s="297">
        <v>10</v>
      </c>
      <c r="C94" s="297">
        <v>18</v>
      </c>
      <c r="D94" s="297">
        <v>970</v>
      </c>
      <c r="E94" s="297">
        <v>0</v>
      </c>
      <c r="F94" s="297">
        <v>17.899999999999999</v>
      </c>
      <c r="G94" s="297">
        <v>19.100000000000001</v>
      </c>
      <c r="H94" s="297">
        <v>16.3</v>
      </c>
      <c r="I94" s="297">
        <v>21.9</v>
      </c>
      <c r="J94" s="297">
        <v>382</v>
      </c>
    </row>
    <row r="95" spans="1:10">
      <c r="A95" s="297">
        <v>2012</v>
      </c>
      <c r="B95" s="297">
        <v>10</v>
      </c>
      <c r="C95" s="297">
        <v>19</v>
      </c>
      <c r="D95" s="297">
        <v>891</v>
      </c>
      <c r="E95" s="297">
        <v>0</v>
      </c>
      <c r="F95" s="297">
        <v>17.2</v>
      </c>
      <c r="G95" s="297">
        <v>18.899999999999999</v>
      </c>
      <c r="H95" s="297">
        <v>14.3</v>
      </c>
      <c r="I95" s="297">
        <v>23.4</v>
      </c>
      <c r="J95" s="297">
        <v>355</v>
      </c>
    </row>
    <row r="96" spans="1:10">
      <c r="A96" s="297">
        <v>2012</v>
      </c>
      <c r="B96" s="297">
        <v>10</v>
      </c>
      <c r="C96" s="297">
        <v>20</v>
      </c>
      <c r="D96" s="297">
        <v>643</v>
      </c>
      <c r="E96" s="297">
        <v>0</v>
      </c>
      <c r="F96" s="297">
        <v>15.6</v>
      </c>
      <c r="G96" s="297">
        <v>16</v>
      </c>
      <c r="H96" s="297">
        <v>10.6</v>
      </c>
      <c r="I96" s="297">
        <v>21.5</v>
      </c>
      <c r="J96" s="297">
        <v>266</v>
      </c>
    </row>
    <row r="97" spans="1:10">
      <c r="A97" s="297">
        <v>2012</v>
      </c>
      <c r="B97" s="297">
        <v>10</v>
      </c>
      <c r="C97" s="297">
        <v>21</v>
      </c>
      <c r="D97" s="297">
        <v>908</v>
      </c>
      <c r="E97" s="297">
        <v>0</v>
      </c>
      <c r="F97" s="297">
        <v>16.100000000000001</v>
      </c>
      <c r="G97" s="297">
        <v>17.399999999999999</v>
      </c>
      <c r="H97" s="297">
        <v>11.7</v>
      </c>
      <c r="I97" s="297">
        <v>23.1</v>
      </c>
      <c r="J97" s="297">
        <v>364</v>
      </c>
    </row>
    <row r="98" spans="1:10">
      <c r="A98" s="297">
        <v>2012</v>
      </c>
      <c r="B98" s="297">
        <v>10</v>
      </c>
      <c r="C98" s="297">
        <v>22</v>
      </c>
      <c r="D98" s="297">
        <v>1072</v>
      </c>
      <c r="E98" s="297">
        <v>0</v>
      </c>
      <c r="F98" s="297">
        <v>16</v>
      </c>
      <c r="G98" s="297">
        <v>17.2</v>
      </c>
      <c r="H98" s="297">
        <v>10.6</v>
      </c>
      <c r="I98" s="297">
        <v>23.8</v>
      </c>
      <c r="J98" s="297">
        <v>429</v>
      </c>
    </row>
    <row r="99" spans="1:10">
      <c r="A99" s="297">
        <v>2012</v>
      </c>
      <c r="B99" s="297">
        <v>10</v>
      </c>
      <c r="C99" s="297">
        <v>23</v>
      </c>
      <c r="D99" s="297">
        <v>235</v>
      </c>
      <c r="E99" s="297">
        <v>0</v>
      </c>
      <c r="F99" s="297">
        <v>11.2</v>
      </c>
      <c r="G99" s="297">
        <v>10.9</v>
      </c>
      <c r="H99" s="297">
        <v>10.4</v>
      </c>
      <c r="I99" s="297">
        <v>11.5</v>
      </c>
      <c r="J99" s="297">
        <v>106</v>
      </c>
    </row>
    <row r="100" spans="1:10">
      <c r="A100" s="297">
        <v>2012</v>
      </c>
      <c r="B100" s="297">
        <v>10</v>
      </c>
      <c r="C100" s="297">
        <v>24</v>
      </c>
      <c r="D100" s="297">
        <v>287</v>
      </c>
      <c r="E100" s="297">
        <v>0</v>
      </c>
      <c r="F100" s="297">
        <v>10.5</v>
      </c>
      <c r="G100" s="297">
        <v>11.1</v>
      </c>
      <c r="H100" s="297">
        <v>9.4</v>
      </c>
      <c r="I100" s="297">
        <v>12.9</v>
      </c>
      <c r="J100" s="297">
        <v>124</v>
      </c>
    </row>
    <row r="101" spans="1:10">
      <c r="A101" s="297">
        <v>2012</v>
      </c>
      <c r="B101" s="297">
        <v>10</v>
      </c>
      <c r="C101" s="297">
        <v>25</v>
      </c>
      <c r="D101" s="297">
        <v>506</v>
      </c>
      <c r="E101" s="297">
        <v>0.5</v>
      </c>
      <c r="F101" s="297">
        <v>10.5</v>
      </c>
      <c r="G101" s="297">
        <v>11.6</v>
      </c>
      <c r="H101" s="297">
        <v>8.4</v>
      </c>
      <c r="I101" s="297">
        <v>14.9</v>
      </c>
      <c r="J101" s="297">
        <v>206</v>
      </c>
    </row>
    <row r="102" spans="1:10">
      <c r="A102" s="297">
        <v>2012</v>
      </c>
      <c r="B102" s="297">
        <v>10</v>
      </c>
      <c r="C102" s="297">
        <v>26</v>
      </c>
      <c r="D102" s="297">
        <v>307</v>
      </c>
      <c r="E102" s="297">
        <v>18</v>
      </c>
      <c r="F102" s="297">
        <v>9.6</v>
      </c>
      <c r="G102" s="297">
        <v>9.8000000000000007</v>
      </c>
      <c r="H102" s="297">
        <v>8</v>
      </c>
      <c r="I102" s="297">
        <v>11.5</v>
      </c>
      <c r="J102" s="297">
        <v>136</v>
      </c>
    </row>
    <row r="103" spans="1:10">
      <c r="A103" s="297">
        <v>2012</v>
      </c>
      <c r="B103" s="297">
        <v>10</v>
      </c>
      <c r="C103" s="297">
        <v>27</v>
      </c>
      <c r="D103" s="297">
        <v>302</v>
      </c>
      <c r="E103" s="297">
        <v>0</v>
      </c>
      <c r="F103" s="297">
        <v>4.4000000000000004</v>
      </c>
      <c r="G103" s="297">
        <v>4.0999999999999996</v>
      </c>
      <c r="H103" s="297">
        <v>2.8</v>
      </c>
      <c r="I103" s="297">
        <v>5.4</v>
      </c>
      <c r="J103" s="297">
        <v>123</v>
      </c>
    </row>
    <row r="104" spans="1:10">
      <c r="A104" s="297">
        <v>2012</v>
      </c>
      <c r="B104" s="297">
        <v>10</v>
      </c>
      <c r="C104" s="297">
        <v>28</v>
      </c>
      <c r="D104" s="297">
        <v>1052</v>
      </c>
      <c r="E104" s="297">
        <v>0</v>
      </c>
      <c r="F104" s="297">
        <v>2.1</v>
      </c>
      <c r="G104" s="297">
        <v>3.2</v>
      </c>
      <c r="H104" s="297">
        <v>-0.2</v>
      </c>
      <c r="I104" s="297">
        <v>6.5</v>
      </c>
      <c r="J104" s="297">
        <v>390</v>
      </c>
    </row>
    <row r="105" spans="1:10">
      <c r="A105" s="297">
        <v>2012</v>
      </c>
      <c r="B105" s="297">
        <v>10</v>
      </c>
      <c r="C105" s="297">
        <v>29</v>
      </c>
      <c r="D105" s="297">
        <v>1010</v>
      </c>
      <c r="E105" s="297">
        <v>0</v>
      </c>
      <c r="F105" s="297">
        <v>1.5</v>
      </c>
      <c r="G105" s="297">
        <v>1.9</v>
      </c>
      <c r="H105" s="297">
        <v>-4.2</v>
      </c>
      <c r="I105" s="297">
        <v>8</v>
      </c>
      <c r="J105" s="297">
        <v>358</v>
      </c>
    </row>
    <row r="106" spans="1:10">
      <c r="A106" s="297">
        <v>2012</v>
      </c>
      <c r="B106" s="297">
        <v>10</v>
      </c>
      <c r="C106" s="297">
        <v>30</v>
      </c>
      <c r="D106" s="297">
        <v>1118</v>
      </c>
      <c r="E106" s="297">
        <v>0.5</v>
      </c>
      <c r="F106" s="297">
        <v>2.8</v>
      </c>
      <c r="G106" s="297">
        <v>4.0999999999999996</v>
      </c>
      <c r="H106" s="297">
        <v>-2</v>
      </c>
      <c r="I106" s="297">
        <v>10.199999999999999</v>
      </c>
      <c r="J106" s="297">
        <v>409</v>
      </c>
    </row>
    <row r="107" spans="1:10">
      <c r="A107" s="297">
        <v>2012</v>
      </c>
      <c r="B107" s="297">
        <v>10</v>
      </c>
      <c r="C107" s="297">
        <v>31</v>
      </c>
      <c r="D107" s="297">
        <v>729</v>
      </c>
      <c r="E107" s="297">
        <v>0</v>
      </c>
      <c r="F107" s="297">
        <v>3</v>
      </c>
      <c r="G107" s="297">
        <v>2.8</v>
      </c>
      <c r="H107" s="297">
        <v>-2.9</v>
      </c>
      <c r="I107" s="297">
        <v>8.5</v>
      </c>
      <c r="J107" s="297">
        <v>266</v>
      </c>
    </row>
    <row r="108" spans="1:10">
      <c r="A108" s="297">
        <v>2012</v>
      </c>
      <c r="B108" s="297">
        <v>11</v>
      </c>
      <c r="C108" s="297">
        <v>1</v>
      </c>
      <c r="D108" s="297">
        <v>459</v>
      </c>
      <c r="E108" s="297">
        <v>2</v>
      </c>
      <c r="F108" s="297">
        <v>6</v>
      </c>
      <c r="G108" s="297">
        <v>5.9</v>
      </c>
      <c r="H108" s="297">
        <v>0.3</v>
      </c>
      <c r="I108" s="297">
        <v>11.5</v>
      </c>
      <c r="J108" s="297">
        <v>188</v>
      </c>
    </row>
    <row r="109" spans="1:10">
      <c r="A109" s="297">
        <v>2012</v>
      </c>
      <c r="B109" s="297">
        <v>11</v>
      </c>
      <c r="C109" s="297">
        <v>2</v>
      </c>
      <c r="D109" s="297">
        <v>533</v>
      </c>
      <c r="E109" s="297">
        <v>10</v>
      </c>
      <c r="F109" s="297">
        <v>9.3000000000000007</v>
      </c>
      <c r="G109" s="297">
        <v>9.5</v>
      </c>
      <c r="H109" s="297">
        <v>5.8</v>
      </c>
      <c r="I109" s="297">
        <v>13.2</v>
      </c>
      <c r="J109" s="297">
        <v>210</v>
      </c>
    </row>
    <row r="110" spans="1:10">
      <c r="A110" s="297">
        <v>2012</v>
      </c>
      <c r="B110" s="297">
        <v>11</v>
      </c>
      <c r="C110" s="297">
        <v>3</v>
      </c>
      <c r="D110" s="297">
        <v>758</v>
      </c>
      <c r="E110" s="297">
        <v>6</v>
      </c>
      <c r="F110" s="297">
        <v>12.8</v>
      </c>
      <c r="G110" s="297">
        <v>13.5</v>
      </c>
      <c r="H110" s="297">
        <v>9.9</v>
      </c>
      <c r="I110" s="297">
        <v>17.100000000000001</v>
      </c>
      <c r="J110" s="297">
        <v>293</v>
      </c>
    </row>
    <row r="111" spans="1:10">
      <c r="A111" s="297">
        <v>2012</v>
      </c>
      <c r="B111" s="297">
        <v>11</v>
      </c>
      <c r="C111" s="297">
        <v>4</v>
      </c>
      <c r="D111" s="297">
        <v>275</v>
      </c>
      <c r="E111" s="297">
        <v>9</v>
      </c>
      <c r="F111" s="297">
        <v>10.1</v>
      </c>
      <c r="G111" s="297">
        <v>11.1</v>
      </c>
      <c r="H111" s="297">
        <v>8.5</v>
      </c>
      <c r="I111" s="297">
        <v>13.8</v>
      </c>
      <c r="J111" s="297">
        <v>121</v>
      </c>
    </row>
    <row r="112" spans="1:10">
      <c r="A112" s="297">
        <v>2012</v>
      </c>
      <c r="B112" s="297">
        <v>11</v>
      </c>
      <c r="C112" s="297">
        <v>5</v>
      </c>
      <c r="D112" s="297">
        <v>484</v>
      </c>
      <c r="E112" s="297">
        <v>1.5</v>
      </c>
      <c r="F112" s="297">
        <v>7.8</v>
      </c>
      <c r="G112" s="297">
        <v>8.1999999999999993</v>
      </c>
      <c r="H112" s="297">
        <v>4.5999999999999996</v>
      </c>
      <c r="I112" s="297">
        <v>11.8</v>
      </c>
      <c r="J112" s="297">
        <v>198</v>
      </c>
    </row>
    <row r="113" spans="1:10">
      <c r="A113" s="297">
        <v>2012</v>
      </c>
      <c r="B113" s="297">
        <v>11</v>
      </c>
      <c r="C113" s="297">
        <v>6</v>
      </c>
      <c r="D113" s="297">
        <v>547</v>
      </c>
      <c r="E113" s="297">
        <v>1</v>
      </c>
      <c r="F113" s="297">
        <v>5.7</v>
      </c>
      <c r="G113" s="297">
        <v>7.2</v>
      </c>
      <c r="H113" s="297">
        <v>4.4000000000000004</v>
      </c>
      <c r="I113" s="297">
        <v>10.1</v>
      </c>
      <c r="J113" s="297">
        <v>220</v>
      </c>
    </row>
    <row r="114" spans="1:10">
      <c r="A114" s="297">
        <v>2012</v>
      </c>
      <c r="B114" s="297">
        <v>11</v>
      </c>
      <c r="C114" s="297">
        <v>7</v>
      </c>
      <c r="D114" s="297">
        <v>484</v>
      </c>
      <c r="E114" s="297">
        <v>0</v>
      </c>
      <c r="F114" s="297">
        <v>5.4</v>
      </c>
      <c r="G114" s="297">
        <v>5.7</v>
      </c>
      <c r="H114" s="297">
        <v>0.3</v>
      </c>
      <c r="I114" s="297">
        <v>11</v>
      </c>
      <c r="J114" s="297">
        <v>199</v>
      </c>
    </row>
    <row r="115" spans="1:10">
      <c r="A115" s="297">
        <v>2012</v>
      </c>
      <c r="B115" s="297">
        <v>11</v>
      </c>
      <c r="C115" s="297">
        <v>8</v>
      </c>
      <c r="D115" s="297">
        <v>481</v>
      </c>
      <c r="E115" s="297">
        <v>0</v>
      </c>
      <c r="F115" s="297">
        <v>4</v>
      </c>
      <c r="G115" s="297">
        <v>4.7</v>
      </c>
      <c r="H115" s="297">
        <v>1.6</v>
      </c>
      <c r="I115" s="297">
        <v>7.7</v>
      </c>
      <c r="J115" s="297">
        <v>196</v>
      </c>
    </row>
    <row r="116" spans="1:10">
      <c r="A116" s="297">
        <v>2012</v>
      </c>
      <c r="B116" s="297">
        <v>11</v>
      </c>
      <c r="C116" s="297">
        <v>9</v>
      </c>
      <c r="D116" s="297">
        <v>432</v>
      </c>
      <c r="E116" s="297">
        <v>4.5</v>
      </c>
      <c r="F116" s="297">
        <v>4.4000000000000004</v>
      </c>
      <c r="G116" s="297">
        <v>5.2</v>
      </c>
      <c r="H116" s="297">
        <v>0.1</v>
      </c>
      <c r="I116" s="297">
        <v>10.3</v>
      </c>
      <c r="J116" s="297">
        <v>183</v>
      </c>
    </row>
    <row r="117" spans="1:10">
      <c r="A117" s="297">
        <v>2012</v>
      </c>
      <c r="B117" s="297">
        <v>11</v>
      </c>
      <c r="C117" s="297">
        <v>10</v>
      </c>
      <c r="D117" s="297">
        <v>130</v>
      </c>
      <c r="E117" s="297">
        <v>10.5</v>
      </c>
      <c r="F117" s="297">
        <v>10.8</v>
      </c>
      <c r="G117" s="297">
        <v>9.5</v>
      </c>
      <c r="H117" s="297">
        <v>6.7</v>
      </c>
      <c r="I117" s="297">
        <v>12.4</v>
      </c>
      <c r="J117" s="297">
        <v>58</v>
      </c>
    </row>
    <row r="118" spans="1:10">
      <c r="A118" s="297">
        <v>2012</v>
      </c>
      <c r="B118" s="297">
        <v>11</v>
      </c>
      <c r="C118" s="297">
        <v>11</v>
      </c>
      <c r="D118" s="297">
        <v>461</v>
      </c>
      <c r="E118" s="297">
        <v>0</v>
      </c>
      <c r="F118" s="297">
        <v>8.1</v>
      </c>
      <c r="G118" s="297">
        <v>9</v>
      </c>
      <c r="H118" s="297">
        <v>6.6</v>
      </c>
      <c r="I118" s="297">
        <v>11.4</v>
      </c>
      <c r="J118" s="297">
        <v>186</v>
      </c>
    </row>
    <row r="119" spans="1:10">
      <c r="A119" s="297">
        <v>2012</v>
      </c>
      <c r="B119" s="297">
        <v>11</v>
      </c>
      <c r="C119" s="297">
        <v>12</v>
      </c>
      <c r="D119" s="297">
        <v>418</v>
      </c>
      <c r="E119" s="297">
        <v>0</v>
      </c>
      <c r="F119" s="297">
        <v>4.8</v>
      </c>
      <c r="G119" s="297">
        <v>4.3</v>
      </c>
      <c r="H119" s="297">
        <v>1.5</v>
      </c>
      <c r="I119" s="297">
        <v>7.2</v>
      </c>
      <c r="J119" s="297">
        <v>165</v>
      </c>
    </row>
    <row r="120" spans="1:10">
      <c r="A120" s="297">
        <v>2012</v>
      </c>
      <c r="B120" s="297">
        <v>11</v>
      </c>
      <c r="C120" s="297">
        <v>13</v>
      </c>
      <c r="D120" s="297">
        <v>840</v>
      </c>
      <c r="E120" s="297">
        <v>0.5</v>
      </c>
      <c r="F120" s="297">
        <v>5.0999999999999996</v>
      </c>
      <c r="G120" s="297">
        <v>5.8</v>
      </c>
      <c r="H120" s="297">
        <v>1.5</v>
      </c>
      <c r="I120" s="297">
        <v>10.199999999999999</v>
      </c>
      <c r="J120" s="297">
        <v>313</v>
      </c>
    </row>
    <row r="121" spans="1:10">
      <c r="A121" s="297">
        <v>2012</v>
      </c>
      <c r="B121" s="297">
        <v>11</v>
      </c>
      <c r="C121" s="297">
        <v>14</v>
      </c>
      <c r="D121" s="297">
        <v>140</v>
      </c>
      <c r="E121" s="297">
        <v>0</v>
      </c>
      <c r="F121" s="297">
        <v>4.2</v>
      </c>
      <c r="G121" s="297">
        <v>4</v>
      </c>
      <c r="H121" s="297">
        <v>3.1</v>
      </c>
      <c r="I121" s="297">
        <v>4.9000000000000004</v>
      </c>
      <c r="J121" s="297">
        <v>61</v>
      </c>
    </row>
    <row r="122" spans="1:10">
      <c r="A122" s="297">
        <v>2012</v>
      </c>
      <c r="B122" s="297">
        <v>11</v>
      </c>
      <c r="C122" s="297">
        <v>15</v>
      </c>
      <c r="D122" s="297">
        <v>320</v>
      </c>
      <c r="E122" s="297">
        <v>0</v>
      </c>
      <c r="F122" s="297">
        <v>3.8</v>
      </c>
      <c r="G122" s="297">
        <v>4.0999999999999996</v>
      </c>
      <c r="H122" s="297">
        <v>2.5</v>
      </c>
      <c r="I122" s="297">
        <v>5.6</v>
      </c>
      <c r="J122" s="297">
        <v>132</v>
      </c>
    </row>
    <row r="123" spans="1:10">
      <c r="A123" s="297">
        <v>2012</v>
      </c>
      <c r="B123" s="297">
        <v>11</v>
      </c>
      <c r="C123" s="297">
        <v>16</v>
      </c>
      <c r="D123" s="297">
        <v>190</v>
      </c>
      <c r="E123" s="297">
        <v>0.5</v>
      </c>
      <c r="F123" s="297">
        <v>4.5</v>
      </c>
      <c r="G123" s="297">
        <v>4.8</v>
      </c>
      <c r="H123" s="297">
        <v>2.7</v>
      </c>
      <c r="I123" s="297">
        <v>6.8</v>
      </c>
      <c r="J123" s="297">
        <v>83</v>
      </c>
    </row>
    <row r="124" spans="1:10">
      <c r="A124" s="297">
        <v>2012</v>
      </c>
      <c r="B124" s="297">
        <v>11</v>
      </c>
      <c r="C124" s="297">
        <v>17</v>
      </c>
      <c r="D124" s="297">
        <v>327</v>
      </c>
      <c r="E124" s="297">
        <v>0</v>
      </c>
      <c r="F124" s="297">
        <v>7</v>
      </c>
      <c r="G124" s="297">
        <v>8</v>
      </c>
      <c r="H124" s="297">
        <v>5.3</v>
      </c>
      <c r="I124" s="297">
        <v>10.7</v>
      </c>
      <c r="J124" s="297">
        <v>135</v>
      </c>
    </row>
    <row r="125" spans="1:10">
      <c r="A125" s="297">
        <v>2012</v>
      </c>
      <c r="B125" s="297">
        <v>11</v>
      </c>
      <c r="C125" s="297">
        <v>18</v>
      </c>
      <c r="D125" s="297">
        <v>542</v>
      </c>
      <c r="E125" s="297">
        <v>0.5</v>
      </c>
      <c r="F125" s="297">
        <v>7</v>
      </c>
      <c r="G125" s="297">
        <v>8.4</v>
      </c>
      <c r="H125" s="297">
        <v>4</v>
      </c>
      <c r="I125" s="297">
        <v>12.7</v>
      </c>
      <c r="J125" s="297">
        <v>214</v>
      </c>
    </row>
    <row r="126" spans="1:10">
      <c r="A126" s="297">
        <v>2012</v>
      </c>
      <c r="B126" s="297">
        <v>11</v>
      </c>
      <c r="C126" s="297">
        <v>19</v>
      </c>
      <c r="D126" s="297">
        <v>748</v>
      </c>
      <c r="E126" s="297">
        <v>0</v>
      </c>
      <c r="F126" s="297">
        <v>5.3</v>
      </c>
      <c r="G126" s="297">
        <v>6.4</v>
      </c>
      <c r="H126" s="297">
        <v>1.5</v>
      </c>
      <c r="I126" s="297">
        <v>11.3</v>
      </c>
      <c r="J126" s="297">
        <v>278</v>
      </c>
    </row>
    <row r="127" spans="1:10">
      <c r="A127" s="297">
        <v>2012</v>
      </c>
      <c r="B127" s="297">
        <v>11</v>
      </c>
      <c r="C127" s="297">
        <v>20</v>
      </c>
      <c r="D127" s="297">
        <v>155</v>
      </c>
      <c r="E127" s="297">
        <v>0.5</v>
      </c>
      <c r="F127" s="297">
        <v>2.8</v>
      </c>
      <c r="G127" s="297">
        <v>2.8</v>
      </c>
      <c r="H127" s="297">
        <v>2.2999999999999998</v>
      </c>
      <c r="I127" s="297">
        <v>3.2</v>
      </c>
      <c r="J127" s="297">
        <v>68</v>
      </c>
    </row>
    <row r="128" spans="1:10">
      <c r="A128" s="297">
        <v>2012</v>
      </c>
      <c r="B128" s="297">
        <v>11</v>
      </c>
      <c r="C128" s="297">
        <v>21</v>
      </c>
      <c r="D128" s="297">
        <v>211</v>
      </c>
      <c r="E128" s="297">
        <v>1.5</v>
      </c>
      <c r="F128" s="297">
        <v>4.5</v>
      </c>
      <c r="G128" s="297">
        <v>4.5</v>
      </c>
      <c r="H128" s="297">
        <v>1.7</v>
      </c>
      <c r="I128" s="297">
        <v>7.3</v>
      </c>
      <c r="J128" s="297">
        <v>90</v>
      </c>
    </row>
    <row r="129" spans="1:10">
      <c r="A129" s="297">
        <v>2012</v>
      </c>
      <c r="B129" s="297">
        <v>11</v>
      </c>
      <c r="C129" s="297">
        <v>22</v>
      </c>
      <c r="D129" s="297">
        <v>219</v>
      </c>
      <c r="E129" s="297">
        <v>0.5</v>
      </c>
      <c r="F129" s="297">
        <v>5.3</v>
      </c>
      <c r="G129" s="297">
        <v>5.0999999999999996</v>
      </c>
      <c r="H129" s="297">
        <v>3</v>
      </c>
      <c r="I129" s="297">
        <v>7.1</v>
      </c>
      <c r="J129" s="297">
        <v>93</v>
      </c>
    </row>
    <row r="130" spans="1:10">
      <c r="A130" s="297">
        <v>2012</v>
      </c>
      <c r="B130" s="297">
        <v>11</v>
      </c>
      <c r="C130" s="297">
        <v>23</v>
      </c>
      <c r="D130" s="297">
        <v>419</v>
      </c>
      <c r="E130" s="297">
        <v>0</v>
      </c>
      <c r="F130" s="297">
        <v>7.3</v>
      </c>
      <c r="G130" s="297">
        <v>8.1</v>
      </c>
      <c r="H130" s="297">
        <v>6</v>
      </c>
      <c r="I130" s="297">
        <v>10.3</v>
      </c>
      <c r="J130" s="297">
        <v>162</v>
      </c>
    </row>
    <row r="131" spans="1:10">
      <c r="A131" s="297">
        <v>2012</v>
      </c>
      <c r="B131" s="297">
        <v>11</v>
      </c>
      <c r="C131" s="297">
        <v>24</v>
      </c>
      <c r="D131" s="297">
        <v>301</v>
      </c>
      <c r="E131" s="297">
        <v>0</v>
      </c>
      <c r="F131" s="297">
        <v>8.8000000000000007</v>
      </c>
      <c r="G131" s="297">
        <v>8.5</v>
      </c>
      <c r="H131" s="297">
        <v>3</v>
      </c>
      <c r="I131" s="297">
        <v>14</v>
      </c>
      <c r="J131" s="297">
        <v>125</v>
      </c>
    </row>
    <row r="132" spans="1:10">
      <c r="A132" s="297">
        <v>2012</v>
      </c>
      <c r="B132" s="297">
        <v>11</v>
      </c>
      <c r="C132" s="297">
        <v>25</v>
      </c>
      <c r="D132" s="297">
        <v>382</v>
      </c>
      <c r="E132" s="297">
        <v>5</v>
      </c>
      <c r="F132" s="297">
        <v>11.2</v>
      </c>
      <c r="G132" s="297">
        <v>11.1</v>
      </c>
      <c r="H132" s="297">
        <v>8.6</v>
      </c>
      <c r="I132" s="297">
        <v>13.5</v>
      </c>
      <c r="J132" s="297">
        <v>148</v>
      </c>
    </row>
    <row r="133" spans="1:10">
      <c r="A133" s="297">
        <v>2012</v>
      </c>
      <c r="B133" s="297">
        <v>11</v>
      </c>
      <c r="C133" s="297">
        <v>26</v>
      </c>
      <c r="D133" s="297">
        <v>91</v>
      </c>
      <c r="E133" s="297">
        <v>16.5</v>
      </c>
      <c r="F133" s="297">
        <v>9.1</v>
      </c>
      <c r="G133" s="297">
        <v>9.8000000000000007</v>
      </c>
      <c r="H133" s="297">
        <v>8.1</v>
      </c>
      <c r="I133" s="297">
        <v>11.5</v>
      </c>
      <c r="J133" s="297">
        <v>43</v>
      </c>
    </row>
    <row r="134" spans="1:10">
      <c r="A134" s="297">
        <v>2012</v>
      </c>
      <c r="B134" s="297">
        <v>11</v>
      </c>
      <c r="C134" s="297">
        <v>27</v>
      </c>
      <c r="D134" s="297">
        <v>255</v>
      </c>
      <c r="E134" s="297">
        <v>0</v>
      </c>
      <c r="F134" s="297">
        <v>6.4</v>
      </c>
      <c r="G134" s="297">
        <v>6.9</v>
      </c>
      <c r="H134" s="297">
        <v>6.1</v>
      </c>
      <c r="I134" s="297">
        <v>7.7</v>
      </c>
      <c r="J134" s="297">
        <v>103</v>
      </c>
    </row>
    <row r="135" spans="1:10">
      <c r="A135" s="297">
        <v>2012</v>
      </c>
      <c r="B135" s="297">
        <v>11</v>
      </c>
      <c r="C135" s="297">
        <v>28</v>
      </c>
      <c r="D135" s="297">
        <v>166</v>
      </c>
      <c r="E135" s="297">
        <v>0</v>
      </c>
      <c r="F135" s="297">
        <v>5.8</v>
      </c>
      <c r="G135" s="297">
        <v>5.9</v>
      </c>
      <c r="H135" s="297">
        <v>4.5</v>
      </c>
      <c r="I135" s="297">
        <v>7.3</v>
      </c>
      <c r="J135" s="297">
        <v>71</v>
      </c>
    </row>
    <row r="136" spans="1:10">
      <c r="A136" s="297">
        <v>2012</v>
      </c>
      <c r="B136" s="297">
        <v>11</v>
      </c>
      <c r="C136" s="297">
        <v>29</v>
      </c>
      <c r="D136" s="297">
        <v>206</v>
      </c>
      <c r="E136" s="297">
        <v>0</v>
      </c>
      <c r="F136" s="297">
        <v>4.5</v>
      </c>
      <c r="G136" s="297">
        <v>4.9000000000000004</v>
      </c>
      <c r="H136" s="297">
        <v>3.9</v>
      </c>
      <c r="I136" s="297">
        <v>5.8</v>
      </c>
      <c r="J136" s="297">
        <v>84</v>
      </c>
    </row>
    <row r="137" spans="1:10">
      <c r="A137" s="297">
        <v>2012</v>
      </c>
      <c r="B137" s="297">
        <v>11</v>
      </c>
      <c r="C137" s="297">
        <v>30</v>
      </c>
      <c r="D137" s="297">
        <v>619</v>
      </c>
      <c r="E137" s="297">
        <v>0</v>
      </c>
      <c r="F137" s="297">
        <v>1.6</v>
      </c>
      <c r="G137" s="297">
        <v>2.5</v>
      </c>
      <c r="H137" s="297">
        <v>-0.1</v>
      </c>
      <c r="I137" s="297">
        <v>5.0999999999999996</v>
      </c>
      <c r="J137" s="297">
        <v>225</v>
      </c>
    </row>
    <row r="138" spans="1:10">
      <c r="A138" s="297">
        <v>2012</v>
      </c>
      <c r="B138" s="297">
        <v>12</v>
      </c>
      <c r="C138" s="297">
        <v>1</v>
      </c>
      <c r="D138" s="297">
        <v>682</v>
      </c>
      <c r="E138" s="297">
        <v>0</v>
      </c>
      <c r="F138" s="297">
        <v>-0.3</v>
      </c>
      <c r="G138" s="297">
        <v>0.9</v>
      </c>
      <c r="H138" s="297">
        <v>-2.7</v>
      </c>
      <c r="I138" s="297">
        <v>4.5</v>
      </c>
      <c r="J138" s="297">
        <v>243</v>
      </c>
    </row>
    <row r="139" spans="1:10">
      <c r="A139" s="297">
        <v>2012</v>
      </c>
      <c r="B139" s="297">
        <v>12</v>
      </c>
      <c r="C139" s="297">
        <v>2</v>
      </c>
      <c r="D139" s="297">
        <v>482</v>
      </c>
      <c r="E139" s="297">
        <v>0.5</v>
      </c>
      <c r="F139" s="297">
        <v>0</v>
      </c>
      <c r="G139" s="297">
        <v>0.8</v>
      </c>
      <c r="H139" s="297">
        <v>-3</v>
      </c>
      <c r="I139" s="297">
        <v>4.7</v>
      </c>
      <c r="J139" s="297">
        <v>179</v>
      </c>
    </row>
    <row r="140" spans="1:10">
      <c r="A140" s="297">
        <v>2012</v>
      </c>
      <c r="B140" s="297">
        <v>12</v>
      </c>
      <c r="C140" s="297">
        <v>3</v>
      </c>
      <c r="D140" s="297">
        <v>107</v>
      </c>
      <c r="E140" s="297">
        <v>1.5</v>
      </c>
      <c r="F140" s="297">
        <v>-0.1</v>
      </c>
      <c r="G140" s="297">
        <v>2.4</v>
      </c>
      <c r="H140" s="297">
        <v>-3</v>
      </c>
      <c r="I140" s="297">
        <v>7.8</v>
      </c>
      <c r="J140" s="297">
        <v>53</v>
      </c>
    </row>
    <row r="141" spans="1:10">
      <c r="A141" s="297">
        <v>2012</v>
      </c>
      <c r="B141" s="297">
        <v>12</v>
      </c>
      <c r="C141" s="297">
        <v>4</v>
      </c>
      <c r="D141" s="297">
        <v>247</v>
      </c>
      <c r="E141" s="297">
        <v>0</v>
      </c>
      <c r="F141" s="297">
        <v>5</v>
      </c>
      <c r="G141" s="297">
        <v>3.9</v>
      </c>
      <c r="H141" s="297">
        <v>1.6</v>
      </c>
      <c r="I141" s="297">
        <v>6.2</v>
      </c>
      <c r="J141" s="297">
        <v>100</v>
      </c>
    </row>
    <row r="142" spans="1:10">
      <c r="A142" s="297">
        <v>2012</v>
      </c>
      <c r="B142" s="297">
        <v>12</v>
      </c>
      <c r="C142" s="297">
        <v>5</v>
      </c>
      <c r="D142" s="297">
        <v>211</v>
      </c>
      <c r="E142" s="297">
        <v>0.5</v>
      </c>
      <c r="F142" s="297">
        <v>3</v>
      </c>
      <c r="G142" s="297">
        <v>3.3</v>
      </c>
      <c r="H142" s="297">
        <v>1.9</v>
      </c>
      <c r="I142" s="297">
        <v>4.7</v>
      </c>
      <c r="J142" s="297">
        <v>89</v>
      </c>
    </row>
    <row r="143" spans="1:10">
      <c r="A143" s="297">
        <v>2012</v>
      </c>
      <c r="B143" s="297">
        <v>12</v>
      </c>
      <c r="C143" s="297">
        <v>6</v>
      </c>
      <c r="D143" s="297">
        <v>536</v>
      </c>
      <c r="E143" s="297">
        <v>0</v>
      </c>
      <c r="F143" s="297">
        <v>0.6</v>
      </c>
      <c r="G143" s="297">
        <v>1</v>
      </c>
      <c r="H143" s="297">
        <v>-1.3</v>
      </c>
      <c r="I143" s="297">
        <v>3.3</v>
      </c>
      <c r="J143" s="297">
        <v>197</v>
      </c>
    </row>
    <row r="144" spans="1:10">
      <c r="A144" s="297">
        <v>2012</v>
      </c>
      <c r="B144" s="297">
        <v>12</v>
      </c>
      <c r="C144" s="297">
        <v>7</v>
      </c>
      <c r="D144" s="297">
        <v>252</v>
      </c>
      <c r="E144" s="297">
        <v>2</v>
      </c>
      <c r="F144" s="297">
        <v>0.6</v>
      </c>
      <c r="G144" s="297">
        <v>0.6</v>
      </c>
      <c r="H144" s="297">
        <v>-2.2999999999999998</v>
      </c>
      <c r="I144" s="297">
        <v>3.6</v>
      </c>
      <c r="J144" s="297">
        <v>107</v>
      </c>
    </row>
    <row r="145" spans="1:10">
      <c r="A145" s="297">
        <v>2012</v>
      </c>
      <c r="B145" s="297">
        <v>12</v>
      </c>
      <c r="C145" s="297">
        <v>8</v>
      </c>
      <c r="D145" s="297">
        <v>114</v>
      </c>
      <c r="E145" s="297">
        <v>0</v>
      </c>
      <c r="F145" s="297">
        <v>1.2</v>
      </c>
      <c r="G145" s="297">
        <v>1.4</v>
      </c>
      <c r="H145" s="297">
        <v>0.7</v>
      </c>
      <c r="I145" s="297">
        <v>2</v>
      </c>
      <c r="J145" s="297">
        <v>48</v>
      </c>
    </row>
    <row r="146" spans="1:10">
      <c r="A146" s="297">
        <v>2012</v>
      </c>
      <c r="B146" s="297">
        <v>12</v>
      </c>
      <c r="C146" s="297">
        <v>9</v>
      </c>
      <c r="D146" s="297">
        <v>506</v>
      </c>
      <c r="E146" s="297">
        <v>1</v>
      </c>
      <c r="F146" s="297">
        <v>1.4</v>
      </c>
      <c r="G146" s="297">
        <v>1</v>
      </c>
      <c r="H146" s="297">
        <v>-1.5</v>
      </c>
      <c r="I146" s="297">
        <v>3.4</v>
      </c>
      <c r="J146" s="297">
        <v>183</v>
      </c>
    </row>
    <row r="147" spans="1:10">
      <c r="A147" s="297">
        <v>2012</v>
      </c>
      <c r="B147" s="297">
        <v>12</v>
      </c>
      <c r="C147" s="297">
        <v>10</v>
      </c>
      <c r="D147" s="297">
        <v>394</v>
      </c>
      <c r="E147" s="297">
        <v>0</v>
      </c>
      <c r="F147" s="297">
        <v>3.2</v>
      </c>
      <c r="G147" s="297">
        <v>3.7</v>
      </c>
      <c r="H147" s="297">
        <v>1.4</v>
      </c>
      <c r="I147" s="297">
        <v>5.9</v>
      </c>
      <c r="J147" s="297">
        <v>152</v>
      </c>
    </row>
    <row r="148" spans="1:10">
      <c r="A148" s="297">
        <v>2012</v>
      </c>
      <c r="B148" s="297">
        <v>12</v>
      </c>
      <c r="C148" s="297">
        <v>11</v>
      </c>
      <c r="D148" s="297">
        <v>594</v>
      </c>
      <c r="E148" s="297">
        <v>0</v>
      </c>
      <c r="F148" s="297">
        <v>0.1</v>
      </c>
      <c r="G148" s="297">
        <v>0.2</v>
      </c>
      <c r="H148" s="297">
        <v>-1.3</v>
      </c>
      <c r="I148" s="297">
        <v>1.6</v>
      </c>
      <c r="J148" s="297">
        <v>211</v>
      </c>
    </row>
    <row r="149" spans="1:10">
      <c r="A149" s="297">
        <v>2012</v>
      </c>
      <c r="B149" s="297">
        <v>12</v>
      </c>
      <c r="C149" s="297">
        <v>12</v>
      </c>
      <c r="D149" s="297">
        <v>618</v>
      </c>
      <c r="E149" s="297">
        <v>0</v>
      </c>
      <c r="F149" s="297">
        <v>-3.6</v>
      </c>
      <c r="G149" s="297">
        <v>-3</v>
      </c>
      <c r="H149" s="297">
        <v>-5.7</v>
      </c>
      <c r="I149" s="297">
        <v>-0.3</v>
      </c>
      <c r="J149" s="297">
        <v>175</v>
      </c>
    </row>
    <row r="150" spans="1:10">
      <c r="A150" s="297">
        <v>2012</v>
      </c>
      <c r="B150" s="297">
        <v>12</v>
      </c>
      <c r="C150" s="297">
        <v>13</v>
      </c>
      <c r="D150" s="297">
        <v>248</v>
      </c>
      <c r="E150" s="297">
        <v>2.5</v>
      </c>
      <c r="F150" s="297">
        <v>-1.4</v>
      </c>
      <c r="G150" s="297">
        <v>-1.8</v>
      </c>
      <c r="H150" s="297">
        <v>-6.5</v>
      </c>
      <c r="I150" s="297">
        <v>2.9</v>
      </c>
      <c r="J150" s="297">
        <v>109</v>
      </c>
    </row>
    <row r="151" spans="1:10">
      <c r="A151" s="297">
        <v>2012</v>
      </c>
      <c r="B151" s="297">
        <v>12</v>
      </c>
      <c r="C151" s="297">
        <v>14</v>
      </c>
      <c r="D151" s="297">
        <v>145</v>
      </c>
      <c r="E151" s="297">
        <v>17</v>
      </c>
      <c r="F151" s="297">
        <v>6.7</v>
      </c>
      <c r="G151" s="297">
        <v>5.6</v>
      </c>
      <c r="H151" s="297">
        <v>1.4</v>
      </c>
      <c r="I151" s="297">
        <v>9.9</v>
      </c>
      <c r="J151" s="297">
        <v>62</v>
      </c>
    </row>
    <row r="152" spans="1:10">
      <c r="A152" s="297">
        <v>2012</v>
      </c>
      <c r="B152" s="297">
        <v>12</v>
      </c>
      <c r="C152" s="297">
        <v>15</v>
      </c>
      <c r="D152" s="297">
        <v>281</v>
      </c>
      <c r="E152" s="297">
        <v>1.5</v>
      </c>
      <c r="F152" s="297">
        <v>9.3000000000000007</v>
      </c>
      <c r="G152" s="297">
        <v>9.8000000000000007</v>
      </c>
      <c r="H152" s="297">
        <v>8.3000000000000007</v>
      </c>
      <c r="I152" s="297">
        <v>11.3</v>
      </c>
      <c r="J152" s="297">
        <v>113</v>
      </c>
    </row>
    <row r="153" spans="1:10">
      <c r="A153" s="297">
        <v>2012</v>
      </c>
      <c r="B153" s="297">
        <v>12</v>
      </c>
      <c r="C153" s="297">
        <v>16</v>
      </c>
      <c r="D153" s="297">
        <v>303</v>
      </c>
      <c r="E153" s="297">
        <v>3.5</v>
      </c>
      <c r="F153" s="297">
        <v>8.4</v>
      </c>
      <c r="G153" s="297">
        <v>8.4</v>
      </c>
      <c r="H153" s="297">
        <v>6.8</v>
      </c>
      <c r="I153" s="297">
        <v>10</v>
      </c>
      <c r="J153" s="297">
        <v>119</v>
      </c>
    </row>
    <row r="154" spans="1:10">
      <c r="A154" s="297">
        <v>2012</v>
      </c>
      <c r="B154" s="297">
        <v>12</v>
      </c>
      <c r="C154" s="297">
        <v>17</v>
      </c>
      <c r="D154" s="297">
        <v>239</v>
      </c>
      <c r="E154" s="297">
        <v>1.5</v>
      </c>
      <c r="F154" s="297">
        <v>6.8</v>
      </c>
      <c r="G154" s="297">
        <v>7.5</v>
      </c>
      <c r="H154" s="297">
        <v>5.9</v>
      </c>
      <c r="I154" s="297">
        <v>9.1</v>
      </c>
      <c r="J154" s="297">
        <v>97</v>
      </c>
    </row>
    <row r="155" spans="1:10">
      <c r="A155" s="297">
        <v>2012</v>
      </c>
      <c r="B155" s="297">
        <v>12</v>
      </c>
      <c r="C155" s="297">
        <v>18</v>
      </c>
      <c r="D155" s="297">
        <v>95</v>
      </c>
      <c r="E155" s="297">
        <v>1.5</v>
      </c>
      <c r="F155" s="297">
        <v>6</v>
      </c>
      <c r="G155" s="297">
        <v>6.5</v>
      </c>
      <c r="H155" s="297">
        <v>4.8</v>
      </c>
      <c r="I155" s="297">
        <v>8.1</v>
      </c>
      <c r="J155" s="297">
        <v>42</v>
      </c>
    </row>
    <row r="156" spans="1:10">
      <c r="A156" s="297">
        <v>2012</v>
      </c>
      <c r="B156" s="297">
        <v>12</v>
      </c>
      <c r="C156" s="297">
        <v>19</v>
      </c>
      <c r="D156" s="297">
        <v>238</v>
      </c>
      <c r="E156" s="297">
        <v>1.5</v>
      </c>
      <c r="F156" s="297">
        <v>3.4</v>
      </c>
      <c r="G156" s="297">
        <v>2.6</v>
      </c>
      <c r="H156" s="297">
        <v>1.2</v>
      </c>
      <c r="I156" s="297">
        <v>4</v>
      </c>
      <c r="J156" s="297">
        <v>94</v>
      </c>
    </row>
    <row r="157" spans="1:10">
      <c r="A157" s="297">
        <v>2012</v>
      </c>
      <c r="B157" s="297">
        <v>12</v>
      </c>
      <c r="C157" s="297">
        <v>20</v>
      </c>
      <c r="D157" s="297">
        <v>91</v>
      </c>
      <c r="E157" s="297">
        <v>8</v>
      </c>
      <c r="F157" s="297">
        <v>4.7</v>
      </c>
      <c r="G157" s="297">
        <v>5.2</v>
      </c>
      <c r="H157" s="297">
        <v>3</v>
      </c>
      <c r="I157" s="297">
        <v>7.5</v>
      </c>
      <c r="J157" s="297">
        <v>45</v>
      </c>
    </row>
    <row r="158" spans="1:10">
      <c r="A158" s="297">
        <v>2012</v>
      </c>
      <c r="B158" s="297">
        <v>12</v>
      </c>
      <c r="C158" s="297">
        <v>21</v>
      </c>
      <c r="D158" s="297">
        <v>215</v>
      </c>
      <c r="E158" s="297">
        <v>1.5</v>
      </c>
      <c r="F158" s="297">
        <v>6.1</v>
      </c>
      <c r="G158" s="297">
        <v>6.4</v>
      </c>
      <c r="H158" s="297">
        <v>4.8</v>
      </c>
      <c r="I158" s="297">
        <v>7.9</v>
      </c>
      <c r="J158" s="297">
        <v>92</v>
      </c>
    </row>
    <row r="159" spans="1:10">
      <c r="A159" s="297">
        <v>2012</v>
      </c>
      <c r="B159" s="297">
        <v>12</v>
      </c>
      <c r="C159" s="297">
        <v>22</v>
      </c>
      <c r="D159" s="297">
        <v>95</v>
      </c>
      <c r="E159" s="297">
        <v>6</v>
      </c>
      <c r="F159" s="297">
        <v>5.8</v>
      </c>
      <c r="G159" s="297">
        <v>6.7</v>
      </c>
      <c r="H159" s="297">
        <v>2.7</v>
      </c>
      <c r="I159" s="297">
        <v>10.6</v>
      </c>
      <c r="J159" s="297">
        <v>45</v>
      </c>
    </row>
    <row r="160" spans="1:10">
      <c r="A160" s="297">
        <v>2012</v>
      </c>
      <c r="B160" s="297">
        <v>12</v>
      </c>
      <c r="C160" s="297">
        <v>23</v>
      </c>
      <c r="D160" s="297">
        <v>394</v>
      </c>
      <c r="E160" s="297">
        <v>0</v>
      </c>
      <c r="F160" s="297">
        <v>10.6</v>
      </c>
      <c r="G160" s="297">
        <v>10.6</v>
      </c>
      <c r="H160" s="297">
        <v>6.6</v>
      </c>
      <c r="I160" s="297">
        <v>14.6</v>
      </c>
      <c r="J160" s="297">
        <v>162</v>
      </c>
    </row>
    <row r="161" spans="1:10">
      <c r="A161" s="297">
        <v>2012</v>
      </c>
      <c r="B161" s="297">
        <v>12</v>
      </c>
      <c r="C161" s="297">
        <v>24</v>
      </c>
      <c r="D161" s="297">
        <v>335</v>
      </c>
      <c r="E161" s="297">
        <v>0</v>
      </c>
      <c r="F161" s="297">
        <v>7.6</v>
      </c>
      <c r="G161" s="297">
        <v>6.8</v>
      </c>
      <c r="H161" s="297">
        <v>0.2</v>
      </c>
      <c r="I161" s="297">
        <v>13.3</v>
      </c>
      <c r="J161" s="297">
        <v>138</v>
      </c>
    </row>
    <row r="162" spans="1:10">
      <c r="A162" s="297">
        <v>2012</v>
      </c>
      <c r="B162" s="297">
        <v>12</v>
      </c>
      <c r="C162" s="297">
        <v>25</v>
      </c>
      <c r="D162" s="297">
        <v>97</v>
      </c>
      <c r="E162" s="297">
        <v>0</v>
      </c>
      <c r="F162" s="297">
        <v>10.7</v>
      </c>
      <c r="G162" s="297">
        <v>11.1</v>
      </c>
      <c r="H162" s="297">
        <v>9.3000000000000007</v>
      </c>
      <c r="I162" s="297">
        <v>12.8</v>
      </c>
      <c r="J162" s="297">
        <v>45</v>
      </c>
    </row>
    <row r="163" spans="1:10">
      <c r="A163" s="297">
        <v>2012</v>
      </c>
      <c r="B163" s="297">
        <v>12</v>
      </c>
      <c r="C163" s="297">
        <v>26</v>
      </c>
      <c r="D163" s="297">
        <v>432</v>
      </c>
      <c r="E163" s="297">
        <v>1</v>
      </c>
      <c r="F163" s="297">
        <v>7.8</v>
      </c>
      <c r="G163" s="297">
        <v>8</v>
      </c>
      <c r="H163" s="297">
        <v>5.9</v>
      </c>
      <c r="I163" s="297">
        <v>10.1</v>
      </c>
      <c r="J163" s="297">
        <v>175</v>
      </c>
    </row>
    <row r="164" spans="1:10">
      <c r="A164" s="297">
        <v>2012</v>
      </c>
      <c r="B164" s="297">
        <v>12</v>
      </c>
      <c r="C164" s="297">
        <v>27</v>
      </c>
      <c r="D164" s="297">
        <v>144</v>
      </c>
      <c r="E164" s="297">
        <v>5</v>
      </c>
      <c r="F164" s="297">
        <v>8.4</v>
      </c>
      <c r="G164" s="297">
        <v>8.8000000000000007</v>
      </c>
      <c r="H164" s="297">
        <v>6.5</v>
      </c>
      <c r="I164" s="297">
        <v>11.1</v>
      </c>
      <c r="J164" s="297">
        <v>62</v>
      </c>
    </row>
    <row r="165" spans="1:10">
      <c r="A165" s="297">
        <v>2012</v>
      </c>
      <c r="B165" s="297">
        <v>12</v>
      </c>
      <c r="C165" s="297">
        <v>28</v>
      </c>
      <c r="D165" s="297">
        <v>165</v>
      </c>
      <c r="E165" s="297">
        <v>0.5</v>
      </c>
      <c r="F165" s="297">
        <v>6.8</v>
      </c>
      <c r="G165" s="297">
        <v>6.2</v>
      </c>
      <c r="H165" s="297">
        <v>4.7</v>
      </c>
      <c r="I165" s="297">
        <v>7.8</v>
      </c>
      <c r="J165" s="297">
        <v>73</v>
      </c>
    </row>
    <row r="166" spans="1:10">
      <c r="A166" s="297">
        <v>2012</v>
      </c>
      <c r="B166" s="297">
        <v>12</v>
      </c>
      <c r="C166" s="297">
        <v>29</v>
      </c>
      <c r="D166" s="297">
        <v>487</v>
      </c>
      <c r="E166" s="297">
        <v>0</v>
      </c>
      <c r="F166" s="297">
        <v>7.7</v>
      </c>
      <c r="G166" s="297">
        <v>6.8</v>
      </c>
      <c r="H166" s="297">
        <v>1.3</v>
      </c>
      <c r="I166" s="297">
        <v>12.4</v>
      </c>
      <c r="J166" s="297">
        <v>195</v>
      </c>
    </row>
    <row r="167" spans="1:10">
      <c r="A167" s="297">
        <v>2012</v>
      </c>
      <c r="B167" s="297">
        <v>12</v>
      </c>
      <c r="C167" s="297">
        <v>30</v>
      </c>
      <c r="D167" s="297">
        <v>513</v>
      </c>
      <c r="E167" s="297">
        <v>0</v>
      </c>
      <c r="F167" s="297">
        <v>7.1</v>
      </c>
      <c r="G167" s="297">
        <v>8</v>
      </c>
      <c r="H167" s="297">
        <v>5.3</v>
      </c>
      <c r="I167" s="297">
        <v>10.6</v>
      </c>
      <c r="J167" s="297">
        <v>204</v>
      </c>
    </row>
    <row r="168" spans="1:10">
      <c r="A168" s="297">
        <v>2012</v>
      </c>
      <c r="B168" s="297">
        <v>12</v>
      </c>
      <c r="C168" s="297">
        <v>31</v>
      </c>
      <c r="D168" s="297">
        <v>426</v>
      </c>
      <c r="E168" s="297">
        <v>1</v>
      </c>
      <c r="F168" s="297">
        <v>5.4</v>
      </c>
      <c r="G168" s="297">
        <v>6.4</v>
      </c>
      <c r="H168" s="297">
        <v>2.9</v>
      </c>
      <c r="I168" s="297">
        <v>9.9</v>
      </c>
      <c r="J168" s="297">
        <v>169</v>
      </c>
    </row>
    <row r="169" spans="1:10">
      <c r="A169" s="297">
        <v>2013</v>
      </c>
      <c r="B169" s="297">
        <v>1</v>
      </c>
      <c r="C169" s="297">
        <v>1</v>
      </c>
      <c r="D169" s="297">
        <v>101</v>
      </c>
      <c r="E169" s="297">
        <v>8</v>
      </c>
      <c r="F169" s="297">
        <v>5.5</v>
      </c>
      <c r="G169" s="297">
        <v>4.9000000000000004</v>
      </c>
      <c r="H169" s="297">
        <v>2.1</v>
      </c>
      <c r="I169" s="297">
        <v>7.7</v>
      </c>
      <c r="J169" s="297">
        <v>46</v>
      </c>
    </row>
    <row r="170" spans="1:10">
      <c r="A170" s="297">
        <v>2013</v>
      </c>
      <c r="B170" s="297">
        <v>1</v>
      </c>
      <c r="C170" s="297">
        <v>2</v>
      </c>
      <c r="D170" s="297">
        <v>302</v>
      </c>
      <c r="E170" s="297">
        <v>0</v>
      </c>
      <c r="F170" s="297">
        <v>1.7</v>
      </c>
      <c r="G170" s="297">
        <v>3.2</v>
      </c>
      <c r="H170" s="297">
        <v>-0.2</v>
      </c>
      <c r="I170" s="297">
        <v>6.7</v>
      </c>
      <c r="J170" s="297">
        <v>123</v>
      </c>
    </row>
    <row r="171" spans="1:10">
      <c r="A171" s="297">
        <v>2013</v>
      </c>
      <c r="B171" s="297">
        <v>1</v>
      </c>
      <c r="C171" s="297">
        <v>3</v>
      </c>
      <c r="D171" s="297">
        <v>205</v>
      </c>
      <c r="E171" s="297">
        <v>0</v>
      </c>
      <c r="F171" s="297">
        <v>2.9</v>
      </c>
      <c r="G171" s="297">
        <v>2.2000000000000002</v>
      </c>
      <c r="H171" s="297">
        <v>-1.2</v>
      </c>
      <c r="I171" s="297">
        <v>5.7</v>
      </c>
      <c r="J171" s="297">
        <v>91</v>
      </c>
    </row>
    <row r="172" spans="1:10">
      <c r="A172" s="297">
        <v>2013</v>
      </c>
      <c r="B172" s="297">
        <v>1</v>
      </c>
      <c r="C172" s="297">
        <v>4</v>
      </c>
      <c r="D172" s="297">
        <v>168</v>
      </c>
      <c r="E172" s="297">
        <v>0</v>
      </c>
      <c r="F172" s="297">
        <v>6.4</v>
      </c>
      <c r="G172" s="297">
        <v>6.4</v>
      </c>
      <c r="H172" s="297">
        <v>4.5999999999999996</v>
      </c>
      <c r="I172" s="297">
        <v>8.1</v>
      </c>
      <c r="J172" s="297">
        <v>74</v>
      </c>
    </row>
    <row r="173" spans="1:10">
      <c r="A173" s="297">
        <v>2013</v>
      </c>
      <c r="B173" s="297">
        <v>1</v>
      </c>
      <c r="C173" s="297">
        <v>5</v>
      </c>
      <c r="D173" s="297">
        <v>122</v>
      </c>
      <c r="E173" s="297">
        <v>0</v>
      </c>
      <c r="F173" s="297">
        <v>6.7</v>
      </c>
      <c r="G173" s="297">
        <v>6.8</v>
      </c>
      <c r="H173" s="297">
        <v>6.1</v>
      </c>
      <c r="I173" s="297">
        <v>7.6</v>
      </c>
      <c r="J173" s="297">
        <v>55</v>
      </c>
    </row>
    <row r="174" spans="1:10">
      <c r="A174" s="297">
        <v>2013</v>
      </c>
      <c r="B174" s="297">
        <v>1</v>
      </c>
      <c r="C174" s="297">
        <v>6</v>
      </c>
      <c r="D174" s="297">
        <v>106</v>
      </c>
      <c r="E174" s="297">
        <v>0</v>
      </c>
      <c r="F174" s="297">
        <v>6.3</v>
      </c>
      <c r="G174" s="297">
        <v>6.3</v>
      </c>
      <c r="H174" s="297">
        <v>5.6</v>
      </c>
      <c r="I174" s="297">
        <v>7.1</v>
      </c>
      <c r="J174" s="297">
        <v>48</v>
      </c>
    </row>
    <row r="175" spans="1:10">
      <c r="A175" s="297">
        <v>2013</v>
      </c>
      <c r="B175" s="297">
        <v>1</v>
      </c>
      <c r="C175" s="297">
        <v>7</v>
      </c>
      <c r="D175" s="297">
        <v>172</v>
      </c>
      <c r="E175" s="297">
        <v>0</v>
      </c>
      <c r="F175" s="297">
        <v>4.5999999999999996</v>
      </c>
      <c r="G175" s="297">
        <v>4.5999999999999996</v>
      </c>
      <c r="H175" s="297">
        <v>3.5</v>
      </c>
      <c r="I175" s="297">
        <v>5.7</v>
      </c>
      <c r="J175" s="297">
        <v>73</v>
      </c>
    </row>
    <row r="176" spans="1:10">
      <c r="A176" s="297">
        <v>2013</v>
      </c>
      <c r="B176" s="297">
        <v>1</v>
      </c>
      <c r="C176" s="297">
        <v>8</v>
      </c>
      <c r="D176" s="297">
        <v>119</v>
      </c>
      <c r="E176" s="297">
        <v>0</v>
      </c>
      <c r="F176" s="297">
        <v>2.7</v>
      </c>
      <c r="G176" s="297">
        <v>2.7</v>
      </c>
      <c r="H176" s="297">
        <v>2.2000000000000002</v>
      </c>
      <c r="I176" s="297">
        <v>3.1</v>
      </c>
      <c r="J176" s="297">
        <v>53</v>
      </c>
    </row>
    <row r="177" spans="1:10">
      <c r="A177" s="297">
        <v>2013</v>
      </c>
      <c r="B177" s="297">
        <v>1</v>
      </c>
      <c r="C177" s="297">
        <v>9</v>
      </c>
      <c r="D177" s="297">
        <v>140</v>
      </c>
      <c r="E177" s="297">
        <v>2.5</v>
      </c>
      <c r="F177" s="297">
        <v>0.7</v>
      </c>
      <c r="G177" s="297">
        <v>0.5</v>
      </c>
      <c r="H177" s="297">
        <v>-0.2</v>
      </c>
      <c r="I177" s="297">
        <v>1.1000000000000001</v>
      </c>
      <c r="J177" s="297">
        <v>63</v>
      </c>
    </row>
    <row r="178" spans="1:10">
      <c r="A178" s="297">
        <v>2013</v>
      </c>
      <c r="B178" s="297">
        <v>1</v>
      </c>
      <c r="C178" s="297">
        <v>10</v>
      </c>
      <c r="D178" s="297">
        <v>122</v>
      </c>
      <c r="E178" s="297">
        <v>7</v>
      </c>
      <c r="F178" s="297">
        <v>2.2999999999999998</v>
      </c>
      <c r="G178" s="297">
        <v>3.5</v>
      </c>
      <c r="H178" s="297">
        <v>0.5</v>
      </c>
      <c r="I178" s="297">
        <v>6.5</v>
      </c>
      <c r="J178" s="297">
        <v>55</v>
      </c>
    </row>
    <row r="179" spans="1:10">
      <c r="A179" s="297">
        <v>2013</v>
      </c>
      <c r="B179" s="297">
        <v>1</v>
      </c>
      <c r="C179" s="297">
        <v>11</v>
      </c>
      <c r="D179" s="297">
        <v>240</v>
      </c>
      <c r="E179" s="297">
        <v>0.5</v>
      </c>
      <c r="F179" s="297">
        <v>4.2</v>
      </c>
      <c r="G179" s="297">
        <v>4.5999999999999996</v>
      </c>
      <c r="H179" s="297">
        <v>3.1</v>
      </c>
      <c r="I179" s="297">
        <v>6.1</v>
      </c>
      <c r="J179" s="297">
        <v>98</v>
      </c>
    </row>
    <row r="180" spans="1:10">
      <c r="A180" s="297">
        <v>2013</v>
      </c>
      <c r="B180" s="297">
        <v>1</v>
      </c>
      <c r="C180" s="297">
        <v>12</v>
      </c>
      <c r="D180" s="297">
        <v>192</v>
      </c>
      <c r="E180" s="297">
        <v>1</v>
      </c>
      <c r="F180" s="297">
        <v>1.5</v>
      </c>
      <c r="G180" s="297">
        <v>1</v>
      </c>
      <c r="H180" s="297">
        <v>-0.6</v>
      </c>
      <c r="I180" s="297">
        <v>2.6</v>
      </c>
      <c r="J180" s="297">
        <v>81</v>
      </c>
    </row>
    <row r="181" spans="1:10">
      <c r="A181" s="297">
        <v>2013</v>
      </c>
      <c r="B181" s="297">
        <v>1</v>
      </c>
      <c r="C181" s="297">
        <v>13</v>
      </c>
      <c r="D181" s="297">
        <v>280</v>
      </c>
      <c r="E181" s="297">
        <v>0</v>
      </c>
      <c r="F181" s="297">
        <v>2.9</v>
      </c>
      <c r="G181" s="297">
        <v>3.1</v>
      </c>
      <c r="H181" s="297">
        <v>1.7</v>
      </c>
      <c r="I181" s="297">
        <v>4.4000000000000004</v>
      </c>
      <c r="J181" s="297">
        <v>117</v>
      </c>
    </row>
    <row r="182" spans="1:10">
      <c r="A182" s="297">
        <v>2013</v>
      </c>
      <c r="B182" s="297">
        <v>1</v>
      </c>
      <c r="C182" s="297">
        <v>14</v>
      </c>
      <c r="D182" s="297">
        <v>119</v>
      </c>
      <c r="E182" s="297">
        <v>0</v>
      </c>
      <c r="F182" s="297">
        <v>-0.3</v>
      </c>
      <c r="G182" s="297">
        <v>-0.6</v>
      </c>
      <c r="H182" s="297">
        <v>-2.5</v>
      </c>
      <c r="I182" s="297">
        <v>1.4</v>
      </c>
      <c r="J182" s="297">
        <v>51</v>
      </c>
    </row>
    <row r="183" spans="1:10">
      <c r="A183" s="297">
        <v>2013</v>
      </c>
      <c r="B183" s="297">
        <v>1</v>
      </c>
      <c r="C183" s="297">
        <v>15</v>
      </c>
      <c r="D183" s="297">
        <v>429</v>
      </c>
      <c r="E183" s="297">
        <v>0.5</v>
      </c>
      <c r="F183" s="297">
        <v>-0.8</v>
      </c>
      <c r="G183" s="297">
        <v>-0.9</v>
      </c>
      <c r="H183" s="297">
        <v>-3.5</v>
      </c>
      <c r="I183" s="297">
        <v>1.8</v>
      </c>
      <c r="J183" s="297">
        <v>179</v>
      </c>
    </row>
    <row r="184" spans="1:10">
      <c r="A184" s="297">
        <v>2013</v>
      </c>
      <c r="B184" s="297">
        <v>1</v>
      </c>
      <c r="C184" s="297">
        <v>16</v>
      </c>
      <c r="D184" s="297">
        <v>360</v>
      </c>
      <c r="E184" s="297">
        <v>0</v>
      </c>
      <c r="F184" s="297">
        <v>-2.7</v>
      </c>
      <c r="G184" s="297">
        <v>-1</v>
      </c>
      <c r="H184" s="297">
        <v>-3.2</v>
      </c>
      <c r="I184" s="297">
        <v>1.2</v>
      </c>
      <c r="J184" s="297">
        <v>147</v>
      </c>
    </row>
    <row r="185" spans="1:10">
      <c r="A185" s="297">
        <v>2013</v>
      </c>
      <c r="B185" s="297">
        <v>1</v>
      </c>
      <c r="C185" s="297">
        <v>17</v>
      </c>
      <c r="D185" s="297">
        <v>339</v>
      </c>
      <c r="E185" s="297">
        <v>0</v>
      </c>
      <c r="F185" s="297">
        <v>-3.8</v>
      </c>
      <c r="G185" s="297">
        <v>-4.3</v>
      </c>
      <c r="H185" s="297">
        <v>-6.7</v>
      </c>
      <c r="I185" s="297">
        <v>-2</v>
      </c>
      <c r="J185" s="297">
        <v>146</v>
      </c>
    </row>
    <row r="186" spans="1:10">
      <c r="A186" s="297">
        <v>2013</v>
      </c>
      <c r="B186" s="297">
        <v>1</v>
      </c>
      <c r="C186" s="297">
        <v>18</v>
      </c>
      <c r="D186" s="297">
        <v>473</v>
      </c>
      <c r="E186" s="297">
        <v>0.5</v>
      </c>
      <c r="F186" s="297">
        <v>-4.2</v>
      </c>
      <c r="G186" s="297">
        <v>-4.7</v>
      </c>
      <c r="H186" s="297">
        <v>-7.6</v>
      </c>
      <c r="I186" s="297">
        <v>-1.8</v>
      </c>
      <c r="J186" s="297">
        <v>194</v>
      </c>
    </row>
    <row r="187" spans="1:10">
      <c r="A187" s="297">
        <v>2013</v>
      </c>
      <c r="B187" s="297">
        <v>1</v>
      </c>
      <c r="C187" s="297">
        <v>19</v>
      </c>
      <c r="D187" s="297">
        <v>267</v>
      </c>
      <c r="E187" s="297">
        <v>0</v>
      </c>
      <c r="F187" s="297">
        <v>-1</v>
      </c>
      <c r="G187" s="297">
        <v>-1.8</v>
      </c>
      <c r="H187" s="297">
        <v>-4.4000000000000004</v>
      </c>
      <c r="I187" s="297">
        <v>0.9</v>
      </c>
      <c r="J187" s="297">
        <v>124</v>
      </c>
    </row>
    <row r="188" spans="1:10">
      <c r="A188" s="297">
        <v>2013</v>
      </c>
      <c r="B188" s="297">
        <v>1</v>
      </c>
      <c r="C188" s="297">
        <v>20</v>
      </c>
      <c r="D188" s="297">
        <v>325</v>
      </c>
      <c r="E188" s="297">
        <v>0</v>
      </c>
      <c r="F188" s="297">
        <v>0.8</v>
      </c>
      <c r="G188" s="297">
        <v>1.5</v>
      </c>
      <c r="H188" s="297">
        <v>-0.5</v>
      </c>
      <c r="I188" s="297">
        <v>3.6</v>
      </c>
      <c r="J188" s="297">
        <v>137</v>
      </c>
    </row>
    <row r="189" spans="1:10">
      <c r="A189" s="297">
        <v>2013</v>
      </c>
      <c r="B189" s="297">
        <v>1</v>
      </c>
      <c r="C189" s="297">
        <v>21</v>
      </c>
      <c r="D189" s="297">
        <v>274</v>
      </c>
      <c r="E189" s="297">
        <v>1</v>
      </c>
      <c r="F189" s="297">
        <v>1.5</v>
      </c>
      <c r="G189" s="297">
        <v>1.6</v>
      </c>
      <c r="H189" s="297">
        <v>-1.4</v>
      </c>
      <c r="I189" s="297">
        <v>4.7</v>
      </c>
      <c r="J189" s="297">
        <v>115</v>
      </c>
    </row>
    <row r="190" spans="1:10">
      <c r="A190" s="297">
        <v>2013</v>
      </c>
      <c r="B190" s="297">
        <v>1</v>
      </c>
      <c r="C190" s="297">
        <v>22</v>
      </c>
      <c r="D190" s="297">
        <v>465</v>
      </c>
      <c r="E190" s="297">
        <v>0</v>
      </c>
      <c r="F190" s="297">
        <v>2.5</v>
      </c>
      <c r="G190" s="297">
        <v>3.8</v>
      </c>
      <c r="H190" s="297">
        <v>1.2</v>
      </c>
      <c r="I190" s="297">
        <v>6.5</v>
      </c>
      <c r="J190" s="297">
        <v>186</v>
      </c>
    </row>
    <row r="191" spans="1:10">
      <c r="A191" s="297">
        <v>2013</v>
      </c>
      <c r="B191" s="297">
        <v>1</v>
      </c>
      <c r="C191" s="297">
        <v>23</v>
      </c>
      <c r="D191" s="297">
        <v>567</v>
      </c>
      <c r="E191" s="297">
        <v>0</v>
      </c>
      <c r="F191" s="297">
        <v>1.1000000000000001</v>
      </c>
      <c r="G191" s="297">
        <v>1.8</v>
      </c>
      <c r="H191" s="297">
        <v>-2</v>
      </c>
      <c r="I191" s="297">
        <v>5.6</v>
      </c>
      <c r="J191" s="297">
        <v>219</v>
      </c>
    </row>
    <row r="192" spans="1:10">
      <c r="A192" s="297">
        <v>2013</v>
      </c>
      <c r="B192" s="297">
        <v>1</v>
      </c>
      <c r="C192" s="297">
        <v>24</v>
      </c>
      <c r="D192" s="297">
        <v>293</v>
      </c>
      <c r="E192" s="297">
        <v>0</v>
      </c>
      <c r="F192" s="297">
        <v>0.4</v>
      </c>
      <c r="G192" s="297">
        <v>0.9</v>
      </c>
      <c r="H192" s="297">
        <v>-0.8</v>
      </c>
      <c r="I192" s="297">
        <v>2.5</v>
      </c>
      <c r="J192" s="297">
        <v>121</v>
      </c>
    </row>
    <row r="193" spans="1:10">
      <c r="A193" s="297">
        <v>2013</v>
      </c>
      <c r="B193" s="297">
        <v>1</v>
      </c>
      <c r="C193" s="297">
        <v>25</v>
      </c>
      <c r="D193" s="297">
        <v>191</v>
      </c>
      <c r="E193" s="297">
        <v>0</v>
      </c>
      <c r="F193" s="297">
        <v>-3.1</v>
      </c>
      <c r="G193" s="297">
        <v>-3.3</v>
      </c>
      <c r="H193" s="297">
        <v>-4.5999999999999996</v>
      </c>
      <c r="I193" s="297">
        <v>-2.1</v>
      </c>
      <c r="J193" s="297">
        <v>83</v>
      </c>
    </row>
    <row r="194" spans="1:10">
      <c r="A194" s="297">
        <v>2013</v>
      </c>
      <c r="B194" s="297">
        <v>1</v>
      </c>
      <c r="C194" s="297">
        <v>26</v>
      </c>
      <c r="D194" s="297">
        <v>365</v>
      </c>
      <c r="E194" s="297">
        <v>0</v>
      </c>
      <c r="F194" s="297">
        <v>-2.4</v>
      </c>
      <c r="G194" s="297">
        <v>-3.2</v>
      </c>
      <c r="H194" s="297">
        <v>-6.7</v>
      </c>
      <c r="I194" s="297">
        <v>0.3</v>
      </c>
      <c r="J194" s="297">
        <v>153</v>
      </c>
    </row>
    <row r="195" spans="1:10">
      <c r="A195" s="297">
        <v>2013</v>
      </c>
      <c r="B195" s="297">
        <v>1</v>
      </c>
      <c r="C195" s="297">
        <v>27</v>
      </c>
      <c r="D195" s="297">
        <v>170</v>
      </c>
      <c r="E195" s="297">
        <v>8.5</v>
      </c>
      <c r="F195" s="297">
        <v>1.8</v>
      </c>
      <c r="G195" s="297">
        <v>1.2</v>
      </c>
      <c r="H195" s="297">
        <v>-0.5</v>
      </c>
      <c r="I195" s="297">
        <v>3</v>
      </c>
      <c r="J195" s="297">
        <v>76</v>
      </c>
    </row>
    <row r="196" spans="1:10">
      <c r="A196" s="297">
        <v>2013</v>
      </c>
      <c r="B196" s="297">
        <v>1</v>
      </c>
      <c r="C196" s="297">
        <v>28</v>
      </c>
      <c r="D196" s="297">
        <v>353</v>
      </c>
      <c r="E196" s="297">
        <v>0</v>
      </c>
      <c r="F196" s="297">
        <v>3</v>
      </c>
      <c r="G196" s="297">
        <v>3.2</v>
      </c>
      <c r="H196" s="297">
        <v>-0.8</v>
      </c>
      <c r="I196" s="297">
        <v>7.2</v>
      </c>
      <c r="J196" s="297">
        <v>146</v>
      </c>
    </row>
    <row r="197" spans="1:10">
      <c r="A197" s="297">
        <v>2013</v>
      </c>
      <c r="B197" s="297">
        <v>1</v>
      </c>
      <c r="C197" s="297">
        <v>29</v>
      </c>
      <c r="D197" s="297">
        <v>141</v>
      </c>
      <c r="E197" s="297">
        <v>2.5</v>
      </c>
      <c r="F197" s="297">
        <v>6.2</v>
      </c>
      <c r="G197" s="297">
        <v>5.4</v>
      </c>
      <c r="H197" s="297">
        <v>2.6</v>
      </c>
      <c r="I197" s="297">
        <v>8.3000000000000007</v>
      </c>
      <c r="J197" s="297">
        <v>66</v>
      </c>
    </row>
    <row r="198" spans="1:10">
      <c r="A198" s="297">
        <v>2013</v>
      </c>
      <c r="B198" s="297">
        <v>1</v>
      </c>
      <c r="C198" s="297">
        <v>30</v>
      </c>
      <c r="D198" s="297">
        <v>361</v>
      </c>
      <c r="E198" s="297">
        <v>1.5</v>
      </c>
      <c r="F198" s="297">
        <v>10.3</v>
      </c>
      <c r="G198" s="297">
        <v>10.6</v>
      </c>
      <c r="H198" s="297">
        <v>6.6</v>
      </c>
      <c r="I198" s="297">
        <v>14.5</v>
      </c>
      <c r="J198" s="297">
        <v>157</v>
      </c>
    </row>
    <row r="199" spans="1:10">
      <c r="A199" s="297">
        <v>2013</v>
      </c>
      <c r="B199" s="297">
        <v>1</v>
      </c>
      <c r="C199" s="297">
        <v>31</v>
      </c>
      <c r="D199" s="297">
        <v>503</v>
      </c>
      <c r="E199" s="297">
        <v>2.5</v>
      </c>
      <c r="F199" s="297">
        <v>7.6</v>
      </c>
      <c r="G199" s="297">
        <v>6.1</v>
      </c>
      <c r="H199" s="297">
        <v>1.6</v>
      </c>
      <c r="I199" s="297">
        <v>10.6</v>
      </c>
      <c r="J199" s="297">
        <v>205</v>
      </c>
    </row>
    <row r="200" spans="1:10">
      <c r="A200" s="297">
        <v>2013</v>
      </c>
      <c r="B200" s="297">
        <v>2</v>
      </c>
      <c r="C200" s="297">
        <v>1</v>
      </c>
      <c r="D200" s="297">
        <v>188</v>
      </c>
      <c r="E200" s="297">
        <v>17.5</v>
      </c>
      <c r="F200" s="297">
        <v>8.3000000000000007</v>
      </c>
      <c r="G200" s="297">
        <v>8.1</v>
      </c>
      <c r="H200" s="297">
        <v>5.3</v>
      </c>
      <c r="I200" s="297">
        <v>10.8</v>
      </c>
      <c r="J200" s="297">
        <v>85</v>
      </c>
    </row>
    <row r="201" spans="1:10">
      <c r="A201" s="297">
        <v>2013</v>
      </c>
      <c r="B201" s="297">
        <v>2</v>
      </c>
      <c r="C201" s="297">
        <v>2</v>
      </c>
      <c r="D201" s="297">
        <v>477</v>
      </c>
      <c r="E201" s="297">
        <v>0.5</v>
      </c>
      <c r="F201" s="297">
        <v>3.8</v>
      </c>
      <c r="G201" s="297">
        <v>4.5999999999999996</v>
      </c>
      <c r="H201" s="297">
        <v>2.9</v>
      </c>
      <c r="I201" s="297">
        <v>6.2</v>
      </c>
      <c r="J201" s="297">
        <v>191</v>
      </c>
    </row>
    <row r="202" spans="1:10">
      <c r="A202" s="297">
        <v>2013</v>
      </c>
      <c r="B202" s="297">
        <v>2</v>
      </c>
      <c r="C202" s="297">
        <v>3</v>
      </c>
      <c r="D202" s="297">
        <v>529</v>
      </c>
      <c r="E202" s="297">
        <v>1.5</v>
      </c>
      <c r="F202" s="297">
        <v>2.5</v>
      </c>
      <c r="G202" s="297">
        <v>2.6</v>
      </c>
      <c r="H202" s="297">
        <v>0.7</v>
      </c>
      <c r="I202" s="297">
        <v>4.5999999999999996</v>
      </c>
      <c r="J202" s="297">
        <v>214</v>
      </c>
    </row>
    <row r="203" spans="1:10">
      <c r="A203" s="297">
        <v>2013</v>
      </c>
      <c r="B203" s="297">
        <v>2</v>
      </c>
      <c r="C203" s="297">
        <v>4</v>
      </c>
      <c r="D203" s="297">
        <v>229</v>
      </c>
      <c r="E203" s="297">
        <v>1.5</v>
      </c>
      <c r="F203" s="297">
        <v>4.2</v>
      </c>
      <c r="G203" s="297">
        <v>4.2</v>
      </c>
      <c r="H203" s="297">
        <v>0.9</v>
      </c>
      <c r="I203" s="297">
        <v>7.4</v>
      </c>
      <c r="J203" s="297">
        <v>101</v>
      </c>
    </row>
    <row r="204" spans="1:10">
      <c r="A204" s="297">
        <v>2013</v>
      </c>
      <c r="B204" s="297">
        <v>2</v>
      </c>
      <c r="C204" s="297">
        <v>5</v>
      </c>
      <c r="D204" s="297">
        <v>434</v>
      </c>
      <c r="E204" s="297">
        <v>8</v>
      </c>
      <c r="F204" s="297">
        <v>4.5999999999999996</v>
      </c>
      <c r="G204" s="297">
        <v>4.5999999999999996</v>
      </c>
      <c r="H204" s="297">
        <v>0.6</v>
      </c>
      <c r="I204" s="297">
        <v>8.5</v>
      </c>
      <c r="J204" s="297">
        <v>180</v>
      </c>
    </row>
    <row r="205" spans="1:10">
      <c r="A205" s="297">
        <v>2013</v>
      </c>
      <c r="B205" s="297">
        <v>2</v>
      </c>
      <c r="C205" s="297">
        <v>6</v>
      </c>
      <c r="D205" s="297">
        <v>487</v>
      </c>
      <c r="E205" s="297">
        <v>2</v>
      </c>
      <c r="F205" s="297">
        <v>1.9</v>
      </c>
      <c r="G205" s="297">
        <v>2.6</v>
      </c>
      <c r="H205" s="297">
        <v>0.1</v>
      </c>
      <c r="I205" s="297">
        <v>5.2</v>
      </c>
      <c r="J205" s="297">
        <v>188</v>
      </c>
    </row>
    <row r="206" spans="1:10">
      <c r="A206" s="297">
        <v>2013</v>
      </c>
      <c r="B206" s="297">
        <v>2</v>
      </c>
      <c r="C206" s="297">
        <v>7</v>
      </c>
      <c r="D206" s="297">
        <v>478</v>
      </c>
      <c r="E206" s="297">
        <v>1</v>
      </c>
      <c r="F206" s="297">
        <v>1.1000000000000001</v>
      </c>
      <c r="G206" s="297">
        <v>1.9</v>
      </c>
      <c r="H206" s="297">
        <v>0</v>
      </c>
      <c r="I206" s="297">
        <v>3.7</v>
      </c>
      <c r="J206" s="297">
        <v>191</v>
      </c>
    </row>
    <row r="207" spans="1:10">
      <c r="A207" s="297">
        <v>2013</v>
      </c>
      <c r="B207" s="297">
        <v>2</v>
      </c>
      <c r="C207" s="297">
        <v>8</v>
      </c>
      <c r="D207" s="297">
        <v>782</v>
      </c>
      <c r="E207" s="297">
        <v>0.5</v>
      </c>
      <c r="F207" s="297">
        <v>-0.4</v>
      </c>
      <c r="G207" s="297">
        <v>0</v>
      </c>
      <c r="H207" s="297">
        <v>-3.4</v>
      </c>
      <c r="I207" s="297">
        <v>3.5</v>
      </c>
      <c r="J207" s="297">
        <v>314</v>
      </c>
    </row>
    <row r="208" spans="1:10">
      <c r="A208" s="297">
        <v>2013</v>
      </c>
      <c r="B208" s="297">
        <v>2</v>
      </c>
      <c r="C208" s="297">
        <v>9</v>
      </c>
      <c r="D208" s="297">
        <v>812</v>
      </c>
      <c r="E208" s="297">
        <v>0</v>
      </c>
      <c r="F208" s="297">
        <v>-0.8</v>
      </c>
      <c r="G208" s="297">
        <v>-0.7</v>
      </c>
      <c r="H208" s="297">
        <v>-4.4000000000000004</v>
      </c>
      <c r="I208" s="297">
        <v>3</v>
      </c>
      <c r="J208" s="297">
        <v>297</v>
      </c>
    </row>
    <row r="209" spans="1:10">
      <c r="A209" s="297">
        <v>2013</v>
      </c>
      <c r="B209" s="297">
        <v>2</v>
      </c>
      <c r="C209" s="297">
        <v>10</v>
      </c>
      <c r="D209" s="297">
        <v>421</v>
      </c>
      <c r="E209" s="297">
        <v>0.5</v>
      </c>
      <c r="F209" s="297">
        <v>-2.1</v>
      </c>
      <c r="G209" s="297">
        <v>-2.2999999999999998</v>
      </c>
      <c r="H209" s="297">
        <v>-5.6</v>
      </c>
      <c r="I209" s="297">
        <v>1</v>
      </c>
      <c r="J209" s="297">
        <v>187</v>
      </c>
    </row>
    <row r="210" spans="1:10">
      <c r="A210" s="297">
        <v>2013</v>
      </c>
      <c r="B210" s="297">
        <v>2</v>
      </c>
      <c r="C210" s="297">
        <v>11</v>
      </c>
      <c r="D210" s="297">
        <v>379</v>
      </c>
      <c r="E210" s="297">
        <v>1.5</v>
      </c>
      <c r="F210" s="297">
        <v>1.7</v>
      </c>
      <c r="G210" s="297">
        <v>1.5</v>
      </c>
      <c r="H210" s="297">
        <v>-0.2</v>
      </c>
      <c r="I210" s="297">
        <v>3.3</v>
      </c>
      <c r="J210" s="297">
        <v>152</v>
      </c>
    </row>
    <row r="211" spans="1:10">
      <c r="A211" s="297">
        <v>2013</v>
      </c>
      <c r="B211" s="297">
        <v>2</v>
      </c>
      <c r="C211" s="297">
        <v>12</v>
      </c>
      <c r="D211" s="297">
        <v>228</v>
      </c>
      <c r="E211" s="297">
        <v>1</v>
      </c>
      <c r="F211" s="297">
        <v>-0.2</v>
      </c>
      <c r="G211" s="297">
        <v>-0.1</v>
      </c>
      <c r="H211" s="297">
        <v>-0.8</v>
      </c>
      <c r="I211" s="297">
        <v>0.7</v>
      </c>
      <c r="J211" s="297">
        <v>110</v>
      </c>
    </row>
    <row r="212" spans="1:10">
      <c r="A212" s="297">
        <v>2013</v>
      </c>
      <c r="B212" s="297">
        <v>2</v>
      </c>
      <c r="C212" s="297">
        <v>13</v>
      </c>
      <c r="D212" s="297">
        <v>673</v>
      </c>
      <c r="E212" s="297">
        <v>0</v>
      </c>
      <c r="F212" s="297">
        <v>-1.5</v>
      </c>
      <c r="G212" s="297">
        <v>-0.8</v>
      </c>
      <c r="H212" s="297">
        <v>-2.2000000000000002</v>
      </c>
      <c r="I212" s="297">
        <v>0.6</v>
      </c>
      <c r="J212" s="297">
        <v>260</v>
      </c>
    </row>
    <row r="213" spans="1:10">
      <c r="A213" s="297">
        <v>2013</v>
      </c>
      <c r="B213" s="297">
        <v>2</v>
      </c>
      <c r="C213" s="297">
        <v>14</v>
      </c>
      <c r="D213" s="297">
        <v>398</v>
      </c>
      <c r="E213" s="297">
        <v>1.5</v>
      </c>
      <c r="F213" s="297">
        <v>-2.1</v>
      </c>
      <c r="G213" s="297">
        <v>-2.8</v>
      </c>
      <c r="H213" s="297">
        <v>-6</v>
      </c>
      <c r="I213" s="297">
        <v>0.5</v>
      </c>
      <c r="J213" s="297">
        <v>174</v>
      </c>
    </row>
    <row r="214" spans="1:10">
      <c r="A214" s="297">
        <v>2013</v>
      </c>
      <c r="B214" s="297">
        <v>2</v>
      </c>
      <c r="C214" s="297">
        <v>15</v>
      </c>
      <c r="D214" s="297">
        <v>489</v>
      </c>
      <c r="E214" s="297">
        <v>1</v>
      </c>
      <c r="F214" s="297">
        <v>2.6</v>
      </c>
      <c r="G214" s="297">
        <v>3.1</v>
      </c>
      <c r="H214" s="297">
        <v>-1</v>
      </c>
      <c r="I214" s="297">
        <v>7.2</v>
      </c>
      <c r="J214" s="297">
        <v>203</v>
      </c>
    </row>
    <row r="215" spans="1:10">
      <c r="A215" s="297">
        <v>2013</v>
      </c>
      <c r="B215" s="297">
        <v>2</v>
      </c>
      <c r="C215" s="297">
        <v>16</v>
      </c>
      <c r="D215" s="297">
        <v>1034</v>
      </c>
      <c r="E215" s="297">
        <v>0</v>
      </c>
      <c r="F215" s="297">
        <v>2.1</v>
      </c>
      <c r="G215" s="297">
        <v>3.2</v>
      </c>
      <c r="H215" s="297">
        <v>-1.7</v>
      </c>
      <c r="I215" s="297">
        <v>8.1</v>
      </c>
      <c r="J215" s="297">
        <v>399</v>
      </c>
    </row>
    <row r="216" spans="1:10">
      <c r="A216" s="297">
        <v>2013</v>
      </c>
      <c r="B216" s="297">
        <v>2</v>
      </c>
      <c r="C216" s="297">
        <v>17</v>
      </c>
      <c r="D216" s="297">
        <v>955</v>
      </c>
      <c r="E216" s="297">
        <v>0</v>
      </c>
      <c r="F216" s="297">
        <v>2.2000000000000002</v>
      </c>
      <c r="G216" s="297">
        <v>3.6</v>
      </c>
      <c r="H216" s="297">
        <v>-0.3</v>
      </c>
      <c r="I216" s="297">
        <v>7.6</v>
      </c>
      <c r="J216" s="297">
        <v>365</v>
      </c>
    </row>
    <row r="217" spans="1:10">
      <c r="A217" s="297">
        <v>2013</v>
      </c>
      <c r="B217" s="297">
        <v>2</v>
      </c>
      <c r="C217" s="297">
        <v>18</v>
      </c>
      <c r="D217" s="297">
        <v>1336</v>
      </c>
      <c r="E217" s="297">
        <v>0.5</v>
      </c>
      <c r="F217" s="297">
        <v>-0.2</v>
      </c>
      <c r="G217" s="297">
        <v>1</v>
      </c>
      <c r="H217" s="297">
        <v>-3.5</v>
      </c>
      <c r="I217" s="297">
        <v>5.4</v>
      </c>
      <c r="J217" s="297">
        <v>465</v>
      </c>
    </row>
    <row r="218" spans="1:10">
      <c r="A218" s="297">
        <v>2013</v>
      </c>
      <c r="B218" s="297">
        <v>2</v>
      </c>
      <c r="C218" s="297">
        <v>19</v>
      </c>
      <c r="D218" s="297">
        <v>397</v>
      </c>
      <c r="E218" s="297">
        <v>0</v>
      </c>
      <c r="F218" s="297">
        <v>-2.2000000000000002</v>
      </c>
      <c r="G218" s="297">
        <v>-2.1</v>
      </c>
      <c r="H218" s="297">
        <v>-4.5</v>
      </c>
      <c r="I218" s="297">
        <v>0.3</v>
      </c>
      <c r="J218" s="297">
        <v>188</v>
      </c>
    </row>
    <row r="219" spans="1:10">
      <c r="A219" s="297">
        <v>2013</v>
      </c>
      <c r="B219" s="297">
        <v>2</v>
      </c>
      <c r="C219" s="297">
        <v>20</v>
      </c>
      <c r="D219" s="297">
        <v>967</v>
      </c>
      <c r="E219" s="297">
        <v>0</v>
      </c>
      <c r="F219" s="297">
        <v>1.2</v>
      </c>
      <c r="G219" s="297">
        <v>1.7</v>
      </c>
      <c r="H219" s="297">
        <v>-3.4</v>
      </c>
      <c r="I219" s="297">
        <v>6.8</v>
      </c>
      <c r="J219" s="297">
        <v>362</v>
      </c>
    </row>
    <row r="220" spans="1:10">
      <c r="A220" s="297">
        <v>2013</v>
      </c>
      <c r="B220" s="297">
        <v>2</v>
      </c>
      <c r="C220" s="297">
        <v>21</v>
      </c>
      <c r="D220" s="297">
        <v>781</v>
      </c>
      <c r="E220" s="297">
        <v>0</v>
      </c>
      <c r="F220" s="297">
        <v>-0.9</v>
      </c>
      <c r="G220" s="297">
        <v>-0.6</v>
      </c>
      <c r="H220" s="297">
        <v>-3.1</v>
      </c>
      <c r="I220" s="297">
        <v>1.9</v>
      </c>
      <c r="J220" s="297">
        <v>302</v>
      </c>
    </row>
    <row r="221" spans="1:10">
      <c r="A221" s="297">
        <v>2013</v>
      </c>
      <c r="B221" s="297">
        <v>2</v>
      </c>
      <c r="C221" s="297">
        <v>22</v>
      </c>
      <c r="D221" s="297">
        <v>843</v>
      </c>
      <c r="E221" s="297">
        <v>0</v>
      </c>
      <c r="F221" s="297">
        <v>-2.7</v>
      </c>
      <c r="G221" s="297">
        <v>-2.2000000000000002</v>
      </c>
      <c r="H221" s="297">
        <v>-4.5999999999999996</v>
      </c>
      <c r="I221" s="297">
        <v>0.2</v>
      </c>
      <c r="J221" s="297">
        <v>317</v>
      </c>
    </row>
    <row r="222" spans="1:10">
      <c r="A222" s="297">
        <v>2013</v>
      </c>
      <c r="B222" s="297">
        <v>2</v>
      </c>
      <c r="C222" s="297">
        <v>23</v>
      </c>
      <c r="D222" s="297">
        <v>664</v>
      </c>
      <c r="E222" s="297">
        <v>0</v>
      </c>
      <c r="F222" s="297">
        <v>-3.2</v>
      </c>
      <c r="G222" s="297">
        <v>-3.2</v>
      </c>
      <c r="H222" s="297">
        <v>-5.8</v>
      </c>
      <c r="I222" s="297">
        <v>-0.6</v>
      </c>
      <c r="J222" s="297">
        <v>258</v>
      </c>
    </row>
    <row r="223" spans="1:10">
      <c r="A223" s="297">
        <v>2013</v>
      </c>
      <c r="B223" s="297">
        <v>2</v>
      </c>
      <c r="C223" s="297">
        <v>24</v>
      </c>
      <c r="D223" s="297">
        <v>442</v>
      </c>
      <c r="E223" s="297">
        <v>0</v>
      </c>
      <c r="F223" s="297">
        <v>-2.6</v>
      </c>
      <c r="G223" s="297">
        <v>-2.5</v>
      </c>
      <c r="H223" s="297">
        <v>-4</v>
      </c>
      <c r="I223" s="297">
        <v>-1</v>
      </c>
      <c r="J223" s="297">
        <v>183</v>
      </c>
    </row>
    <row r="224" spans="1:10">
      <c r="A224" s="297">
        <v>2013</v>
      </c>
      <c r="B224" s="297">
        <v>2</v>
      </c>
      <c r="C224" s="297">
        <v>25</v>
      </c>
      <c r="D224" s="297">
        <v>655</v>
      </c>
      <c r="E224" s="297">
        <v>0.5</v>
      </c>
      <c r="F224" s="297">
        <v>-2.9</v>
      </c>
      <c r="G224" s="297">
        <v>-2.8</v>
      </c>
      <c r="H224" s="297">
        <v>-7.2</v>
      </c>
      <c r="I224" s="297">
        <v>1.5</v>
      </c>
      <c r="J224" s="297">
        <v>277</v>
      </c>
    </row>
    <row r="225" spans="1:10">
      <c r="A225" s="297">
        <v>2013</v>
      </c>
      <c r="B225" s="297">
        <v>2</v>
      </c>
      <c r="C225" s="297">
        <v>26</v>
      </c>
      <c r="D225" s="297">
        <v>1361</v>
      </c>
      <c r="E225" s="297">
        <v>0.5</v>
      </c>
      <c r="F225" s="297">
        <v>-0.6</v>
      </c>
      <c r="G225" s="297">
        <v>-0.2</v>
      </c>
      <c r="H225" s="297">
        <v>-6</v>
      </c>
      <c r="I225" s="297">
        <v>5.6</v>
      </c>
      <c r="J225" s="297">
        <v>474</v>
      </c>
    </row>
    <row r="226" spans="1:10">
      <c r="A226" s="297">
        <v>2013</v>
      </c>
      <c r="B226" s="297">
        <v>2</v>
      </c>
      <c r="C226" s="297">
        <v>27</v>
      </c>
      <c r="D226" s="297">
        <v>226</v>
      </c>
      <c r="E226" s="297">
        <v>0</v>
      </c>
      <c r="F226" s="297">
        <v>2.6</v>
      </c>
      <c r="G226" s="297">
        <v>2</v>
      </c>
      <c r="H226" s="297">
        <v>-0.4</v>
      </c>
      <c r="I226" s="297">
        <v>4.4000000000000004</v>
      </c>
      <c r="J226" s="297">
        <v>100</v>
      </c>
    </row>
    <row r="227" spans="1:10">
      <c r="A227" s="297">
        <v>2013</v>
      </c>
      <c r="B227" s="297">
        <v>2</v>
      </c>
      <c r="C227" s="297">
        <v>28</v>
      </c>
      <c r="D227" s="297">
        <v>608</v>
      </c>
      <c r="E227" s="297">
        <v>0</v>
      </c>
      <c r="F227" s="297">
        <v>1.8</v>
      </c>
      <c r="G227" s="297">
        <v>2.8</v>
      </c>
      <c r="H227" s="297">
        <v>0.5</v>
      </c>
      <c r="I227" s="297">
        <v>5</v>
      </c>
      <c r="J227" s="297">
        <v>242</v>
      </c>
    </row>
    <row r="228" spans="1:10">
      <c r="A228" s="297">
        <v>2013</v>
      </c>
      <c r="B228" s="297">
        <v>3</v>
      </c>
      <c r="C228" s="297">
        <v>1</v>
      </c>
      <c r="D228" s="297">
        <v>718</v>
      </c>
      <c r="E228" s="297">
        <v>0</v>
      </c>
      <c r="F228" s="297">
        <v>1.1000000000000001</v>
      </c>
      <c r="G228" s="297">
        <v>0.6</v>
      </c>
      <c r="H228" s="297">
        <v>-2.2999999999999998</v>
      </c>
      <c r="I228" s="297">
        <v>3.5</v>
      </c>
      <c r="J228" s="297">
        <v>267</v>
      </c>
    </row>
    <row r="229" spans="1:10">
      <c r="A229" s="297">
        <v>2013</v>
      </c>
      <c r="B229" s="297">
        <v>3</v>
      </c>
      <c r="C229" s="297">
        <v>2</v>
      </c>
      <c r="D229" s="297">
        <v>298</v>
      </c>
      <c r="E229" s="297">
        <v>0</v>
      </c>
      <c r="F229" s="297">
        <v>2</v>
      </c>
      <c r="G229" s="297">
        <v>2.2999999999999998</v>
      </c>
      <c r="H229" s="297">
        <v>1.2</v>
      </c>
      <c r="I229" s="297">
        <v>3.5</v>
      </c>
      <c r="J229" s="297">
        <v>127</v>
      </c>
    </row>
    <row r="230" spans="1:10">
      <c r="A230" s="297">
        <v>2013</v>
      </c>
      <c r="B230" s="297">
        <v>3</v>
      </c>
      <c r="C230" s="297">
        <v>3</v>
      </c>
      <c r="D230" s="297">
        <v>1070</v>
      </c>
      <c r="E230" s="297">
        <v>0</v>
      </c>
      <c r="F230" s="297">
        <v>2.2999999999999998</v>
      </c>
      <c r="G230" s="297">
        <v>4.2</v>
      </c>
      <c r="H230" s="297">
        <v>0.6</v>
      </c>
      <c r="I230" s="297">
        <v>7.7</v>
      </c>
      <c r="J230" s="297">
        <v>410</v>
      </c>
    </row>
    <row r="231" spans="1:10">
      <c r="A231" s="297">
        <v>2013</v>
      </c>
      <c r="B231" s="297">
        <v>3</v>
      </c>
      <c r="C231" s="297">
        <v>4</v>
      </c>
      <c r="D231" s="297">
        <v>1468</v>
      </c>
      <c r="E231" s="297">
        <v>0</v>
      </c>
      <c r="F231" s="297">
        <v>4.5</v>
      </c>
      <c r="G231" s="297">
        <v>5.6</v>
      </c>
      <c r="H231" s="297">
        <v>-3</v>
      </c>
      <c r="I231" s="297">
        <v>14.2</v>
      </c>
      <c r="J231" s="297">
        <v>563</v>
      </c>
    </row>
    <row r="232" spans="1:10">
      <c r="A232" s="297">
        <v>2013</v>
      </c>
      <c r="B232" s="297">
        <v>3</v>
      </c>
      <c r="C232" s="297">
        <v>5</v>
      </c>
      <c r="D232" s="297">
        <v>627</v>
      </c>
      <c r="E232" s="297">
        <v>0.5</v>
      </c>
      <c r="F232" s="297">
        <v>5.2</v>
      </c>
      <c r="G232" s="297">
        <v>4.5</v>
      </c>
      <c r="H232" s="297">
        <v>-1.6</v>
      </c>
      <c r="I232" s="297">
        <v>10.7</v>
      </c>
      <c r="J232" s="297">
        <v>266</v>
      </c>
    </row>
    <row r="233" spans="1:10">
      <c r="A233" s="297">
        <v>2013</v>
      </c>
      <c r="B233" s="297">
        <v>3</v>
      </c>
      <c r="C233" s="297">
        <v>6</v>
      </c>
      <c r="D233" s="297">
        <v>584</v>
      </c>
      <c r="E233" s="297">
        <v>2.5</v>
      </c>
      <c r="F233" s="297">
        <v>9.1999999999999993</v>
      </c>
      <c r="G233" s="297">
        <v>9.6999999999999993</v>
      </c>
      <c r="H233" s="297">
        <v>6.1</v>
      </c>
      <c r="I233" s="297">
        <v>13.3</v>
      </c>
      <c r="J233" s="297">
        <v>255</v>
      </c>
    </row>
    <row r="234" spans="1:10">
      <c r="A234" s="297">
        <v>2013</v>
      </c>
      <c r="B234" s="297">
        <v>3</v>
      </c>
      <c r="C234" s="297">
        <v>7</v>
      </c>
      <c r="D234" s="297">
        <v>900</v>
      </c>
      <c r="E234" s="297">
        <v>0</v>
      </c>
      <c r="F234" s="297">
        <v>9.6999999999999993</v>
      </c>
      <c r="G234" s="297">
        <v>10.6</v>
      </c>
      <c r="H234" s="297">
        <v>5.2</v>
      </c>
      <c r="I234" s="297">
        <v>16.100000000000001</v>
      </c>
      <c r="J234" s="297">
        <v>373</v>
      </c>
    </row>
    <row r="235" spans="1:10">
      <c r="A235" s="297">
        <v>2013</v>
      </c>
      <c r="B235" s="297">
        <v>3</v>
      </c>
      <c r="C235" s="297">
        <v>8</v>
      </c>
      <c r="D235" s="297">
        <v>465</v>
      </c>
      <c r="E235" s="297">
        <v>0.5</v>
      </c>
      <c r="F235" s="297">
        <v>8.8000000000000007</v>
      </c>
      <c r="G235" s="297">
        <v>8.8000000000000007</v>
      </c>
      <c r="H235" s="297">
        <v>4.2</v>
      </c>
      <c r="I235" s="297">
        <v>13.4</v>
      </c>
      <c r="J235" s="297">
        <v>207</v>
      </c>
    </row>
    <row r="236" spans="1:10">
      <c r="A236" s="297">
        <v>2013</v>
      </c>
      <c r="B236" s="297">
        <v>3</v>
      </c>
      <c r="C236" s="297">
        <v>9</v>
      </c>
      <c r="D236" s="297">
        <v>1048</v>
      </c>
      <c r="E236" s="297">
        <v>4.5</v>
      </c>
      <c r="F236" s="297">
        <v>9.4</v>
      </c>
      <c r="G236" s="297">
        <v>9.6999999999999993</v>
      </c>
      <c r="H236" s="297">
        <v>4.2</v>
      </c>
      <c r="I236" s="297">
        <v>15.2</v>
      </c>
      <c r="J236" s="297">
        <v>432</v>
      </c>
    </row>
    <row r="237" spans="1:10">
      <c r="A237" s="297">
        <v>2013</v>
      </c>
      <c r="B237" s="297">
        <v>3</v>
      </c>
      <c r="C237" s="297">
        <v>10</v>
      </c>
      <c r="D237" s="297">
        <v>918</v>
      </c>
      <c r="E237" s="297">
        <v>3.5</v>
      </c>
      <c r="F237" s="297">
        <v>8.5</v>
      </c>
      <c r="G237" s="297">
        <v>8.4</v>
      </c>
      <c r="H237" s="297">
        <v>3.9</v>
      </c>
      <c r="I237" s="297">
        <v>12.9</v>
      </c>
      <c r="J237" s="297">
        <v>384</v>
      </c>
    </row>
    <row r="238" spans="1:10">
      <c r="A238" s="297">
        <v>2013</v>
      </c>
      <c r="B238" s="297">
        <v>3</v>
      </c>
      <c r="C238" s="297">
        <v>11</v>
      </c>
      <c r="D238" s="297">
        <v>1161</v>
      </c>
      <c r="E238" s="297">
        <v>3</v>
      </c>
      <c r="F238" s="297">
        <v>9.1</v>
      </c>
      <c r="G238" s="297">
        <v>10.3</v>
      </c>
      <c r="H238" s="297">
        <v>6.6</v>
      </c>
      <c r="I238" s="297">
        <v>14</v>
      </c>
      <c r="J238" s="297">
        <v>467</v>
      </c>
    </row>
    <row r="239" spans="1:10">
      <c r="A239" s="297">
        <v>2013</v>
      </c>
      <c r="B239" s="297">
        <v>3</v>
      </c>
      <c r="C239" s="297">
        <v>12</v>
      </c>
      <c r="D239" s="297">
        <v>586</v>
      </c>
      <c r="E239" s="297">
        <v>1</v>
      </c>
      <c r="F239" s="297">
        <v>5.2</v>
      </c>
      <c r="G239" s="297">
        <v>5.5</v>
      </c>
      <c r="H239" s="297">
        <v>2.5</v>
      </c>
      <c r="I239" s="297">
        <v>8.5</v>
      </c>
      <c r="J239" s="297">
        <v>245</v>
      </c>
    </row>
    <row r="240" spans="1:10">
      <c r="A240" s="297">
        <v>2013</v>
      </c>
      <c r="B240" s="297">
        <v>3</v>
      </c>
      <c r="C240" s="297">
        <v>13</v>
      </c>
      <c r="D240" s="297">
        <v>460</v>
      </c>
      <c r="E240" s="297">
        <v>0</v>
      </c>
      <c r="F240" s="297">
        <v>-0.2</v>
      </c>
      <c r="G240" s="297">
        <v>-0.1</v>
      </c>
      <c r="H240" s="297">
        <v>-0.6</v>
      </c>
      <c r="I240" s="297">
        <v>0.5</v>
      </c>
      <c r="J240" s="297">
        <v>188</v>
      </c>
    </row>
    <row r="241" spans="1:10">
      <c r="A241" s="297">
        <v>2013</v>
      </c>
      <c r="B241" s="297">
        <v>3</v>
      </c>
      <c r="C241" s="297">
        <v>14</v>
      </c>
      <c r="D241" s="297">
        <v>1111</v>
      </c>
      <c r="E241" s="297">
        <v>0</v>
      </c>
      <c r="F241" s="297">
        <v>-0.8</v>
      </c>
      <c r="G241" s="297">
        <v>-1</v>
      </c>
      <c r="H241" s="297">
        <v>-5.5</v>
      </c>
      <c r="I241" s="297">
        <v>3.6</v>
      </c>
      <c r="J241" s="297">
        <v>425</v>
      </c>
    </row>
    <row r="242" spans="1:10">
      <c r="A242" s="297">
        <v>2013</v>
      </c>
      <c r="B242" s="297">
        <v>3</v>
      </c>
      <c r="C242" s="297">
        <v>15</v>
      </c>
      <c r="D242" s="297">
        <v>1857</v>
      </c>
      <c r="E242" s="297">
        <v>0</v>
      </c>
      <c r="F242" s="297">
        <v>-0.2</v>
      </c>
      <c r="G242" s="297">
        <v>0.4</v>
      </c>
      <c r="H242" s="297">
        <v>-4.7</v>
      </c>
      <c r="I242" s="297">
        <v>5.4</v>
      </c>
      <c r="J242" s="297">
        <v>685</v>
      </c>
    </row>
    <row r="243" spans="1:10">
      <c r="A243" s="297">
        <v>2013</v>
      </c>
      <c r="B243" s="297">
        <v>3</v>
      </c>
      <c r="C243" s="297">
        <v>16</v>
      </c>
      <c r="D243" s="297">
        <v>1195</v>
      </c>
      <c r="E243" s="297">
        <v>1</v>
      </c>
      <c r="F243" s="297">
        <v>3.2</v>
      </c>
      <c r="G243" s="297">
        <v>1.6</v>
      </c>
      <c r="H243" s="297">
        <v>-7</v>
      </c>
      <c r="I243" s="297">
        <v>10.1</v>
      </c>
      <c r="J243" s="297">
        <v>441</v>
      </c>
    </row>
    <row r="244" spans="1:10">
      <c r="A244" s="297">
        <v>2013</v>
      </c>
      <c r="B244" s="297">
        <v>3</v>
      </c>
      <c r="C244" s="297">
        <v>17</v>
      </c>
      <c r="D244" s="297">
        <v>288</v>
      </c>
      <c r="E244" s="297">
        <v>12.5</v>
      </c>
      <c r="F244" s="297">
        <v>6.2</v>
      </c>
      <c r="G244" s="297">
        <v>6.9</v>
      </c>
      <c r="H244" s="297">
        <v>4.7</v>
      </c>
      <c r="I244" s="297">
        <v>9.1</v>
      </c>
      <c r="J244" s="297">
        <v>132</v>
      </c>
    </row>
    <row r="245" spans="1:10">
      <c r="A245" s="297">
        <v>2013</v>
      </c>
      <c r="B245" s="297">
        <v>3</v>
      </c>
      <c r="C245" s="297">
        <v>18</v>
      </c>
      <c r="D245" s="297">
        <v>1124</v>
      </c>
      <c r="E245" s="297">
        <v>4.5</v>
      </c>
      <c r="F245" s="297">
        <v>5.2</v>
      </c>
      <c r="G245" s="297">
        <v>6.2</v>
      </c>
      <c r="H245" s="297">
        <v>3</v>
      </c>
      <c r="I245" s="297">
        <v>9.3000000000000007</v>
      </c>
      <c r="J245" s="297">
        <v>448</v>
      </c>
    </row>
    <row r="246" spans="1:10">
      <c r="A246" s="297">
        <v>2013</v>
      </c>
      <c r="B246" s="297">
        <v>3</v>
      </c>
      <c r="C246" s="297">
        <v>19</v>
      </c>
      <c r="D246" s="297">
        <v>1320</v>
      </c>
      <c r="E246" s="297">
        <v>0.5</v>
      </c>
      <c r="F246" s="297">
        <v>5.9</v>
      </c>
      <c r="G246" s="297">
        <v>6.2</v>
      </c>
      <c r="H246" s="297">
        <v>1.7</v>
      </c>
      <c r="I246" s="297">
        <v>10.6</v>
      </c>
      <c r="J246" s="297">
        <v>527</v>
      </c>
    </row>
    <row r="247" spans="1:10">
      <c r="A247" s="297">
        <v>2013</v>
      </c>
      <c r="B247" s="297">
        <v>3</v>
      </c>
      <c r="C247" s="297">
        <v>20</v>
      </c>
      <c r="D247" s="297">
        <v>1121</v>
      </c>
      <c r="E247" s="297">
        <v>0.5</v>
      </c>
      <c r="F247" s="297">
        <v>6.2</v>
      </c>
      <c r="G247" s="297">
        <v>6.8</v>
      </c>
      <c r="H247" s="297">
        <v>3</v>
      </c>
      <c r="I247" s="297">
        <v>10.6</v>
      </c>
      <c r="J247" s="297">
        <v>449</v>
      </c>
    </row>
    <row r="248" spans="1:10">
      <c r="A248" s="297">
        <v>2013</v>
      </c>
      <c r="B248" s="297">
        <v>3</v>
      </c>
      <c r="C248" s="297">
        <v>21</v>
      </c>
      <c r="D248" s="297">
        <v>1496</v>
      </c>
      <c r="E248" s="297">
        <v>0</v>
      </c>
      <c r="F248" s="297">
        <v>6.6</v>
      </c>
      <c r="G248" s="297">
        <v>5.8</v>
      </c>
      <c r="H248" s="297">
        <v>-0.3</v>
      </c>
      <c r="I248" s="297">
        <v>11.9</v>
      </c>
      <c r="J248" s="297">
        <v>598</v>
      </c>
    </row>
    <row r="249" spans="1:10">
      <c r="A249" s="297">
        <v>2013</v>
      </c>
      <c r="B249" s="297">
        <v>3</v>
      </c>
      <c r="C249" s="297">
        <v>22</v>
      </c>
      <c r="D249" s="297">
        <v>1564</v>
      </c>
      <c r="E249" s="297">
        <v>0</v>
      </c>
      <c r="F249" s="297">
        <v>8.3000000000000007</v>
      </c>
      <c r="G249" s="297">
        <v>8.9</v>
      </c>
      <c r="H249" s="297">
        <v>3.2</v>
      </c>
      <c r="I249" s="297">
        <v>14.6</v>
      </c>
      <c r="J249" s="297">
        <v>626</v>
      </c>
    </row>
    <row r="250" spans="1:10">
      <c r="A250" s="297">
        <v>2013</v>
      </c>
      <c r="B250" s="297">
        <v>3</v>
      </c>
      <c r="C250" s="297">
        <v>23</v>
      </c>
      <c r="D250" s="297">
        <v>411</v>
      </c>
      <c r="E250" s="297">
        <v>1</v>
      </c>
      <c r="F250" s="297">
        <v>7.8</v>
      </c>
      <c r="G250" s="297">
        <v>7.8</v>
      </c>
      <c r="H250" s="297">
        <v>4</v>
      </c>
      <c r="I250" s="297">
        <v>11.6</v>
      </c>
      <c r="J250" s="297">
        <v>183</v>
      </c>
    </row>
    <row r="251" spans="1:10">
      <c r="A251" s="297">
        <v>2013</v>
      </c>
      <c r="B251" s="297">
        <v>3</v>
      </c>
      <c r="C251" s="297">
        <v>24</v>
      </c>
      <c r="D251" s="297">
        <v>613</v>
      </c>
      <c r="E251" s="297">
        <v>0</v>
      </c>
      <c r="F251" s="297">
        <v>5.3</v>
      </c>
      <c r="G251" s="297">
        <v>6.1</v>
      </c>
      <c r="H251" s="297">
        <v>4.0999999999999996</v>
      </c>
      <c r="I251" s="297">
        <v>8.1999999999999993</v>
      </c>
      <c r="J251" s="297">
        <v>260</v>
      </c>
    </row>
    <row r="252" spans="1:10">
      <c r="A252" s="297">
        <v>2013</v>
      </c>
      <c r="B252" s="297">
        <v>3</v>
      </c>
      <c r="C252" s="297">
        <v>25</v>
      </c>
      <c r="D252" s="297">
        <v>1427</v>
      </c>
      <c r="E252" s="297">
        <v>0</v>
      </c>
      <c r="F252" s="297">
        <v>3.6</v>
      </c>
      <c r="G252" s="297">
        <v>4.2</v>
      </c>
      <c r="H252" s="297">
        <v>0.2</v>
      </c>
      <c r="I252" s="297">
        <v>8.1</v>
      </c>
      <c r="J252" s="297">
        <v>556</v>
      </c>
    </row>
    <row r="253" spans="1:10">
      <c r="A253" s="297">
        <v>2013</v>
      </c>
      <c r="B253" s="297">
        <v>3</v>
      </c>
      <c r="C253" s="297">
        <v>26</v>
      </c>
      <c r="D253" s="297">
        <v>739</v>
      </c>
      <c r="E253" s="297">
        <v>0</v>
      </c>
      <c r="F253" s="297">
        <v>2.2999999999999998</v>
      </c>
      <c r="G253" s="297">
        <v>1.8</v>
      </c>
      <c r="H253" s="297">
        <v>-0.1</v>
      </c>
      <c r="I253" s="297">
        <v>3.6</v>
      </c>
      <c r="J253" s="297">
        <v>299</v>
      </c>
    </row>
    <row r="254" spans="1:10">
      <c r="A254" s="297">
        <v>2013</v>
      </c>
      <c r="B254" s="297">
        <v>3</v>
      </c>
      <c r="C254" s="297">
        <v>27</v>
      </c>
      <c r="D254" s="297">
        <v>757</v>
      </c>
      <c r="E254" s="297">
        <v>0</v>
      </c>
      <c r="F254" s="297">
        <v>2.4</v>
      </c>
      <c r="G254" s="297">
        <v>3.4</v>
      </c>
      <c r="H254" s="297">
        <v>0.9</v>
      </c>
      <c r="I254" s="297">
        <v>5.8</v>
      </c>
      <c r="J254" s="297">
        <v>307</v>
      </c>
    </row>
    <row r="255" spans="1:10">
      <c r="A255" s="297">
        <v>2013</v>
      </c>
      <c r="B255" s="297">
        <v>3</v>
      </c>
      <c r="C255" s="297">
        <v>28</v>
      </c>
      <c r="D255" s="297">
        <v>611</v>
      </c>
      <c r="E255" s="297">
        <v>0</v>
      </c>
      <c r="F255" s="297">
        <v>2.8</v>
      </c>
      <c r="G255" s="297">
        <v>2.2999999999999998</v>
      </c>
      <c r="H255" s="297">
        <v>-1.1000000000000001</v>
      </c>
      <c r="I255" s="297">
        <v>5.7</v>
      </c>
      <c r="J255" s="297">
        <v>257</v>
      </c>
    </row>
    <row r="256" spans="1:10">
      <c r="A256" s="297">
        <v>2013</v>
      </c>
      <c r="B256" s="297">
        <v>3</v>
      </c>
      <c r="C256" s="297">
        <v>29</v>
      </c>
      <c r="D256" s="297">
        <v>593</v>
      </c>
      <c r="E256" s="297">
        <v>1.5</v>
      </c>
      <c r="F256" s="297">
        <v>1.3</v>
      </c>
      <c r="G256" s="297">
        <v>0.7</v>
      </c>
      <c r="H256" s="297">
        <v>-4</v>
      </c>
      <c r="I256" s="297">
        <v>5.4</v>
      </c>
      <c r="J256" s="297">
        <v>262</v>
      </c>
    </row>
    <row r="257" spans="1:10">
      <c r="A257" s="297">
        <v>2013</v>
      </c>
      <c r="B257" s="297">
        <v>3</v>
      </c>
      <c r="C257" s="297">
        <v>30</v>
      </c>
      <c r="D257" s="297">
        <v>808</v>
      </c>
      <c r="E257" s="297">
        <v>4</v>
      </c>
      <c r="F257" s="297">
        <v>5</v>
      </c>
      <c r="G257" s="297">
        <v>6.2</v>
      </c>
      <c r="H257" s="297">
        <v>2.6</v>
      </c>
      <c r="I257" s="297">
        <v>9.8000000000000007</v>
      </c>
      <c r="J257" s="297">
        <v>344</v>
      </c>
    </row>
    <row r="258" spans="1:10">
      <c r="A258" s="297">
        <v>2013</v>
      </c>
      <c r="B258" s="297">
        <v>3</v>
      </c>
      <c r="C258" s="297">
        <v>31</v>
      </c>
      <c r="D258" s="297">
        <v>1867</v>
      </c>
      <c r="E258" s="297">
        <v>0</v>
      </c>
      <c r="F258" s="297">
        <v>3.1</v>
      </c>
      <c r="G258" s="297">
        <v>3.7</v>
      </c>
      <c r="H258" s="297">
        <v>-0.2</v>
      </c>
      <c r="I258" s="297">
        <v>7.6</v>
      </c>
      <c r="J258" s="297">
        <v>702</v>
      </c>
    </row>
    <row r="259" spans="1:10">
      <c r="A259" s="297">
        <v>2013</v>
      </c>
      <c r="B259" s="297">
        <v>4</v>
      </c>
      <c r="C259" s="297">
        <v>1</v>
      </c>
      <c r="D259" s="297">
        <v>2162</v>
      </c>
      <c r="E259" s="297">
        <v>0</v>
      </c>
      <c r="F259" s="297">
        <v>4.2</v>
      </c>
      <c r="G259" s="297">
        <v>4.2</v>
      </c>
      <c r="H259" s="297">
        <v>-2.7</v>
      </c>
      <c r="I259" s="297">
        <v>11</v>
      </c>
      <c r="J259" s="297">
        <v>819</v>
      </c>
    </row>
    <row r="260" spans="1:10">
      <c r="A260" s="297">
        <v>2013</v>
      </c>
      <c r="B260" s="297">
        <v>4</v>
      </c>
      <c r="C260" s="297">
        <v>2</v>
      </c>
      <c r="D260" s="297">
        <v>2112</v>
      </c>
      <c r="E260" s="297">
        <v>0</v>
      </c>
      <c r="F260" s="297">
        <v>5.4</v>
      </c>
      <c r="G260" s="297">
        <v>5.7</v>
      </c>
      <c r="H260" s="297">
        <v>-0.8</v>
      </c>
      <c r="I260" s="297">
        <v>12.1</v>
      </c>
      <c r="J260" s="297">
        <v>812</v>
      </c>
    </row>
    <row r="261" spans="1:10">
      <c r="A261" s="297">
        <v>2013</v>
      </c>
      <c r="B261" s="297">
        <v>4</v>
      </c>
      <c r="C261" s="297">
        <v>3</v>
      </c>
      <c r="D261" s="297">
        <v>1914</v>
      </c>
      <c r="E261" s="297">
        <v>0</v>
      </c>
      <c r="F261" s="297">
        <v>5.9</v>
      </c>
      <c r="G261" s="297">
        <v>6.6</v>
      </c>
      <c r="H261" s="297">
        <v>0.1</v>
      </c>
      <c r="I261" s="297">
        <v>13</v>
      </c>
      <c r="J261" s="297">
        <v>737</v>
      </c>
    </row>
    <row r="262" spans="1:10">
      <c r="A262" s="297">
        <v>2013</v>
      </c>
      <c r="B262" s="297">
        <v>4</v>
      </c>
      <c r="C262" s="297">
        <v>4</v>
      </c>
      <c r="D262" s="297">
        <v>1714</v>
      </c>
      <c r="E262" s="297">
        <v>0</v>
      </c>
      <c r="F262" s="297">
        <v>8.3000000000000007</v>
      </c>
      <c r="G262" s="297">
        <v>8.1999999999999993</v>
      </c>
      <c r="H262" s="297">
        <v>1.2</v>
      </c>
      <c r="I262" s="297">
        <v>15.2</v>
      </c>
      <c r="J262" s="297">
        <v>685</v>
      </c>
    </row>
    <row r="263" spans="1:10">
      <c r="A263" s="297">
        <v>2013</v>
      </c>
      <c r="B263" s="297">
        <v>4</v>
      </c>
      <c r="C263" s="297">
        <v>5</v>
      </c>
      <c r="D263" s="297">
        <v>827</v>
      </c>
      <c r="E263" s="297">
        <v>0</v>
      </c>
      <c r="F263" s="297">
        <v>6.9</v>
      </c>
      <c r="G263" s="297">
        <v>7.4</v>
      </c>
      <c r="H263" s="297">
        <v>4.4000000000000004</v>
      </c>
      <c r="I263" s="297">
        <v>10.4</v>
      </c>
      <c r="J263" s="297">
        <v>344</v>
      </c>
    </row>
    <row r="264" spans="1:10">
      <c r="A264" s="297">
        <v>2013</v>
      </c>
      <c r="B264" s="297">
        <v>4</v>
      </c>
      <c r="C264" s="297">
        <v>6</v>
      </c>
      <c r="D264" s="297">
        <v>1633</v>
      </c>
      <c r="E264" s="297">
        <v>0</v>
      </c>
      <c r="F264" s="297">
        <v>5.2</v>
      </c>
      <c r="G264" s="297">
        <v>5.3</v>
      </c>
      <c r="H264" s="297">
        <v>1</v>
      </c>
      <c r="I264" s="297">
        <v>9.6999999999999993</v>
      </c>
      <c r="J264" s="297">
        <v>638</v>
      </c>
    </row>
    <row r="265" spans="1:10">
      <c r="A265" s="297">
        <v>2013</v>
      </c>
      <c r="B265" s="297">
        <v>4</v>
      </c>
      <c r="C265" s="297">
        <v>7</v>
      </c>
      <c r="D265" s="297">
        <v>1319</v>
      </c>
      <c r="E265" s="297">
        <v>0</v>
      </c>
      <c r="F265" s="297">
        <v>5.7</v>
      </c>
      <c r="G265" s="297">
        <v>6.3</v>
      </c>
      <c r="H265" s="297">
        <v>3.2</v>
      </c>
      <c r="I265" s="297">
        <v>9.5</v>
      </c>
      <c r="J265" s="297">
        <v>526</v>
      </c>
    </row>
    <row r="266" spans="1:10">
      <c r="A266" s="297">
        <v>2013</v>
      </c>
      <c r="B266" s="297">
        <v>4</v>
      </c>
      <c r="C266" s="297">
        <v>8</v>
      </c>
      <c r="D266" s="297">
        <v>664</v>
      </c>
      <c r="E266" s="297">
        <v>5.5</v>
      </c>
      <c r="F266" s="297">
        <v>4.9000000000000004</v>
      </c>
      <c r="G266" s="297">
        <v>4.9000000000000004</v>
      </c>
      <c r="H266" s="297">
        <v>1</v>
      </c>
      <c r="I266" s="297">
        <v>8.8000000000000007</v>
      </c>
      <c r="J266" s="297">
        <v>284</v>
      </c>
    </row>
    <row r="267" spans="1:10">
      <c r="A267" s="297">
        <v>2013</v>
      </c>
      <c r="B267" s="297">
        <v>4</v>
      </c>
      <c r="C267" s="297">
        <v>9</v>
      </c>
      <c r="D267" s="297">
        <v>1094</v>
      </c>
      <c r="E267" s="297">
        <v>5.5</v>
      </c>
      <c r="F267" s="297">
        <v>7.4</v>
      </c>
      <c r="G267" s="297">
        <v>8</v>
      </c>
      <c r="H267" s="297">
        <v>2.5</v>
      </c>
      <c r="I267" s="297">
        <v>13.5</v>
      </c>
      <c r="J267" s="297">
        <v>453</v>
      </c>
    </row>
    <row r="268" spans="1:10">
      <c r="A268" s="297">
        <v>2013</v>
      </c>
      <c r="B268" s="297">
        <v>4</v>
      </c>
      <c r="C268" s="297">
        <v>10</v>
      </c>
      <c r="D268" s="297">
        <v>1312</v>
      </c>
      <c r="E268" s="297">
        <v>8</v>
      </c>
      <c r="F268" s="297">
        <v>10.1</v>
      </c>
      <c r="G268" s="297">
        <v>10.1</v>
      </c>
      <c r="H268" s="297">
        <v>6.7</v>
      </c>
      <c r="I268" s="297">
        <v>13.6</v>
      </c>
      <c r="J268" s="297">
        <v>548</v>
      </c>
    </row>
    <row r="269" spans="1:10">
      <c r="A269" s="297">
        <v>2013</v>
      </c>
      <c r="B269" s="297">
        <v>4</v>
      </c>
      <c r="C269" s="297">
        <v>11</v>
      </c>
      <c r="D269" s="297">
        <v>560</v>
      </c>
      <c r="E269" s="297">
        <v>8.5</v>
      </c>
      <c r="F269" s="297">
        <v>11.7</v>
      </c>
      <c r="G269" s="297">
        <v>11.2</v>
      </c>
      <c r="H269" s="297">
        <v>9.1999999999999993</v>
      </c>
      <c r="I269" s="297">
        <v>13.3</v>
      </c>
      <c r="J269" s="297">
        <v>252</v>
      </c>
    </row>
    <row r="270" spans="1:10">
      <c r="A270" s="297">
        <v>2013</v>
      </c>
      <c r="B270" s="297">
        <v>4</v>
      </c>
      <c r="C270" s="297">
        <v>12</v>
      </c>
      <c r="D270" s="297">
        <v>1351</v>
      </c>
      <c r="E270" s="297">
        <v>7</v>
      </c>
      <c r="F270" s="297">
        <v>9.8000000000000007</v>
      </c>
      <c r="G270" s="297">
        <v>10.4</v>
      </c>
      <c r="H270" s="297">
        <v>7.9</v>
      </c>
      <c r="I270" s="297">
        <v>12.9</v>
      </c>
      <c r="J270" s="297">
        <v>555</v>
      </c>
    </row>
    <row r="271" spans="1:10">
      <c r="A271" s="297">
        <v>2013</v>
      </c>
      <c r="B271" s="297">
        <v>4</v>
      </c>
      <c r="C271" s="297">
        <v>13</v>
      </c>
      <c r="D271" s="297">
        <v>2003</v>
      </c>
      <c r="E271" s="297">
        <v>0</v>
      </c>
      <c r="F271" s="297">
        <v>11.7</v>
      </c>
      <c r="G271" s="297">
        <v>11.2</v>
      </c>
      <c r="H271" s="297">
        <v>5.4</v>
      </c>
      <c r="I271" s="297">
        <v>17.100000000000001</v>
      </c>
      <c r="J271" s="297">
        <v>828</v>
      </c>
    </row>
    <row r="272" spans="1:10">
      <c r="A272" s="297">
        <v>2013</v>
      </c>
      <c r="B272" s="297">
        <v>4</v>
      </c>
      <c r="C272" s="297">
        <v>14</v>
      </c>
      <c r="D272" s="297">
        <v>2380</v>
      </c>
      <c r="E272" s="297">
        <v>0</v>
      </c>
      <c r="F272" s="297">
        <v>15.8</v>
      </c>
      <c r="G272" s="297">
        <v>14.9</v>
      </c>
      <c r="H272" s="297">
        <v>5.7</v>
      </c>
      <c r="I272" s="297">
        <v>24</v>
      </c>
      <c r="J272" s="297">
        <v>998</v>
      </c>
    </row>
    <row r="273" spans="1:10">
      <c r="A273" s="297">
        <v>2013</v>
      </c>
      <c r="B273" s="297">
        <v>4</v>
      </c>
      <c r="C273" s="297">
        <v>15</v>
      </c>
      <c r="D273" s="297">
        <v>1702</v>
      </c>
      <c r="E273" s="297">
        <v>0.5</v>
      </c>
      <c r="F273" s="297">
        <v>16.100000000000001</v>
      </c>
      <c r="G273" s="297">
        <v>15.6</v>
      </c>
      <c r="H273" s="297">
        <v>8.5</v>
      </c>
      <c r="I273" s="297">
        <v>22.6</v>
      </c>
      <c r="J273" s="297">
        <v>712</v>
      </c>
    </row>
    <row r="274" spans="1:10">
      <c r="A274" s="297">
        <v>2013</v>
      </c>
      <c r="B274" s="297">
        <v>4</v>
      </c>
      <c r="C274" s="297">
        <v>16</v>
      </c>
      <c r="D274" s="297">
        <v>1671</v>
      </c>
      <c r="E274" s="297">
        <v>0</v>
      </c>
      <c r="F274" s="297">
        <v>16.5</v>
      </c>
      <c r="G274" s="297">
        <v>16.8</v>
      </c>
      <c r="H274" s="297">
        <v>11.2</v>
      </c>
      <c r="I274" s="297">
        <v>22.3</v>
      </c>
      <c r="J274" s="297">
        <v>709</v>
      </c>
    </row>
    <row r="275" spans="1:10">
      <c r="A275" s="297">
        <v>2013</v>
      </c>
      <c r="B275" s="297">
        <v>4</v>
      </c>
      <c r="C275" s="297">
        <v>17</v>
      </c>
      <c r="D275" s="297">
        <v>2408</v>
      </c>
      <c r="E275" s="297">
        <v>0</v>
      </c>
      <c r="F275" s="297">
        <v>16.3</v>
      </c>
      <c r="G275" s="297">
        <v>16</v>
      </c>
      <c r="H275" s="297">
        <v>7</v>
      </c>
      <c r="I275" s="297">
        <v>25</v>
      </c>
      <c r="J275" s="297">
        <v>1012</v>
      </c>
    </row>
    <row r="276" spans="1:10">
      <c r="A276" s="297">
        <v>2013</v>
      </c>
      <c r="B276" s="297">
        <v>4</v>
      </c>
      <c r="C276" s="297">
        <v>18</v>
      </c>
      <c r="D276" s="297">
        <v>978</v>
      </c>
      <c r="E276" s="297">
        <v>0</v>
      </c>
      <c r="F276" s="297">
        <v>14.9</v>
      </c>
      <c r="G276" s="297">
        <v>14.5</v>
      </c>
      <c r="H276" s="297">
        <v>10.8</v>
      </c>
      <c r="I276" s="297">
        <v>18.2</v>
      </c>
      <c r="J276" s="297">
        <v>410</v>
      </c>
    </row>
    <row r="277" spans="1:10">
      <c r="A277" s="297">
        <v>2013</v>
      </c>
      <c r="B277" s="297">
        <v>4</v>
      </c>
      <c r="C277" s="297">
        <v>19</v>
      </c>
      <c r="D277" s="297">
        <v>1279</v>
      </c>
      <c r="E277" s="297">
        <v>0</v>
      </c>
      <c r="F277" s="297">
        <v>10.6</v>
      </c>
      <c r="G277" s="297">
        <v>10.9</v>
      </c>
      <c r="H277" s="297">
        <v>7.3</v>
      </c>
      <c r="I277" s="297">
        <v>14.5</v>
      </c>
      <c r="J277" s="297">
        <v>526</v>
      </c>
    </row>
    <row r="278" spans="1:10">
      <c r="A278" s="297">
        <v>2013</v>
      </c>
      <c r="B278" s="297">
        <v>4</v>
      </c>
      <c r="C278" s="297">
        <v>20</v>
      </c>
      <c r="D278" s="297">
        <v>584</v>
      </c>
      <c r="E278" s="297">
        <v>0</v>
      </c>
      <c r="F278" s="297">
        <v>8.5</v>
      </c>
      <c r="G278" s="297">
        <v>8.1999999999999993</v>
      </c>
      <c r="H278" s="297">
        <v>6.8</v>
      </c>
      <c r="I278" s="297">
        <v>9.6</v>
      </c>
      <c r="J278" s="297">
        <v>255</v>
      </c>
    </row>
    <row r="279" spans="1:10">
      <c r="A279" s="297">
        <v>2013</v>
      </c>
      <c r="B279" s="297">
        <v>4</v>
      </c>
      <c r="C279" s="297">
        <v>21</v>
      </c>
      <c r="D279" s="297">
        <v>928</v>
      </c>
      <c r="E279" s="297">
        <v>0</v>
      </c>
      <c r="F279" s="297">
        <v>9.8000000000000007</v>
      </c>
      <c r="G279" s="297">
        <v>10</v>
      </c>
      <c r="H279" s="297">
        <v>7.7</v>
      </c>
      <c r="I279" s="297">
        <v>12.3</v>
      </c>
      <c r="J279" s="297">
        <v>387</v>
      </c>
    </row>
    <row r="280" spans="1:10">
      <c r="A280" s="297">
        <v>2013</v>
      </c>
      <c r="B280" s="297">
        <v>4</v>
      </c>
      <c r="C280" s="297">
        <v>22</v>
      </c>
      <c r="D280" s="297">
        <v>1308</v>
      </c>
      <c r="E280" s="297">
        <v>0</v>
      </c>
      <c r="F280" s="297">
        <v>10.8</v>
      </c>
      <c r="G280" s="297">
        <v>11.6</v>
      </c>
      <c r="H280" s="297">
        <v>7.5</v>
      </c>
      <c r="I280" s="297">
        <v>15.7</v>
      </c>
      <c r="J280" s="297">
        <v>537</v>
      </c>
    </row>
    <row r="281" spans="1:10">
      <c r="A281" s="297">
        <v>2013</v>
      </c>
      <c r="B281" s="297">
        <v>4</v>
      </c>
      <c r="C281" s="297">
        <v>23</v>
      </c>
      <c r="D281" s="297">
        <v>2300</v>
      </c>
      <c r="E281" s="297">
        <v>0</v>
      </c>
      <c r="F281" s="297">
        <v>11.3</v>
      </c>
      <c r="G281" s="297">
        <v>10.8</v>
      </c>
      <c r="H281" s="297">
        <v>2.2000000000000002</v>
      </c>
      <c r="I281" s="297">
        <v>19.3</v>
      </c>
      <c r="J281" s="297">
        <v>954</v>
      </c>
    </row>
    <row r="282" spans="1:10">
      <c r="A282" s="297">
        <v>2013</v>
      </c>
      <c r="B282" s="297">
        <v>4</v>
      </c>
      <c r="C282" s="297">
        <v>24</v>
      </c>
      <c r="D282" s="297">
        <v>2513</v>
      </c>
      <c r="E282" s="297">
        <v>0</v>
      </c>
      <c r="F282" s="297">
        <v>13.7</v>
      </c>
      <c r="G282" s="297">
        <v>13.6</v>
      </c>
      <c r="H282" s="297">
        <v>4.9000000000000004</v>
      </c>
      <c r="I282" s="297">
        <v>22.2</v>
      </c>
      <c r="J282" s="297">
        <v>1054</v>
      </c>
    </row>
    <row r="283" spans="1:10">
      <c r="A283" s="297">
        <v>2013</v>
      </c>
      <c r="B283" s="297">
        <v>4</v>
      </c>
      <c r="C283" s="297">
        <v>25</v>
      </c>
      <c r="D283" s="297">
        <v>2558</v>
      </c>
      <c r="E283" s="297">
        <v>0</v>
      </c>
      <c r="F283" s="297">
        <v>15.8</v>
      </c>
      <c r="G283" s="297">
        <v>14.7</v>
      </c>
      <c r="H283" s="297">
        <v>4.4000000000000004</v>
      </c>
      <c r="I283" s="297">
        <v>25</v>
      </c>
      <c r="J283" s="297">
        <v>1069</v>
      </c>
    </row>
    <row r="284" spans="1:10">
      <c r="A284" s="297">
        <v>2013</v>
      </c>
      <c r="B284" s="297">
        <v>4</v>
      </c>
      <c r="C284" s="297">
        <v>26</v>
      </c>
      <c r="D284" s="297">
        <v>359</v>
      </c>
      <c r="E284" s="297">
        <v>33</v>
      </c>
      <c r="F284" s="297">
        <v>13.7</v>
      </c>
      <c r="G284" s="297">
        <v>14</v>
      </c>
      <c r="H284" s="297">
        <v>10.7</v>
      </c>
      <c r="I284" s="297">
        <v>17.2</v>
      </c>
      <c r="J284" s="297">
        <v>166</v>
      </c>
    </row>
    <row r="285" spans="1:10">
      <c r="A285" s="297">
        <v>2013</v>
      </c>
      <c r="B285" s="297">
        <v>4</v>
      </c>
      <c r="C285" s="297">
        <v>27</v>
      </c>
      <c r="D285" s="297">
        <v>380</v>
      </c>
      <c r="E285" s="297">
        <v>22</v>
      </c>
      <c r="F285" s="297">
        <v>5.4</v>
      </c>
      <c r="G285" s="297">
        <v>5.2</v>
      </c>
      <c r="H285" s="297">
        <v>4.7</v>
      </c>
      <c r="I285" s="297">
        <v>5.8</v>
      </c>
      <c r="J285" s="297">
        <v>176</v>
      </c>
    </row>
    <row r="286" spans="1:10">
      <c r="A286" s="297">
        <v>2013</v>
      </c>
      <c r="B286" s="297">
        <v>4</v>
      </c>
      <c r="C286" s="297">
        <v>28</v>
      </c>
      <c r="D286" s="297">
        <v>669</v>
      </c>
      <c r="E286" s="297">
        <v>3</v>
      </c>
      <c r="F286" s="297">
        <v>6.9</v>
      </c>
      <c r="G286" s="297">
        <v>6.8</v>
      </c>
      <c r="H286" s="297">
        <v>4.5</v>
      </c>
      <c r="I286" s="297">
        <v>9</v>
      </c>
      <c r="J286" s="297">
        <v>277</v>
      </c>
    </row>
    <row r="287" spans="1:10">
      <c r="A287" s="297">
        <v>2013</v>
      </c>
      <c r="B287" s="297">
        <v>4</v>
      </c>
      <c r="C287" s="297">
        <v>29</v>
      </c>
      <c r="D287" s="297">
        <v>1122</v>
      </c>
      <c r="E287" s="297">
        <v>4.5</v>
      </c>
      <c r="F287" s="297">
        <v>9.5</v>
      </c>
      <c r="G287" s="297">
        <v>9.3000000000000007</v>
      </c>
      <c r="H287" s="297">
        <v>6.1</v>
      </c>
      <c r="I287" s="297">
        <v>12.5</v>
      </c>
      <c r="J287" s="297">
        <v>438</v>
      </c>
    </row>
    <row r="288" spans="1:10">
      <c r="A288" s="297">
        <v>2013</v>
      </c>
      <c r="B288" s="297">
        <v>4</v>
      </c>
      <c r="C288" s="297">
        <v>30</v>
      </c>
      <c r="D288" s="297">
        <v>614</v>
      </c>
      <c r="E288" s="297">
        <v>12</v>
      </c>
      <c r="F288" s="297">
        <v>10.5</v>
      </c>
      <c r="G288" s="297">
        <v>10.6</v>
      </c>
      <c r="H288" s="297">
        <v>8.4</v>
      </c>
      <c r="I288" s="297">
        <v>12.8</v>
      </c>
      <c r="J288" s="297">
        <v>259</v>
      </c>
    </row>
    <row r="289" spans="1:10">
      <c r="A289" s="297">
        <v>2013</v>
      </c>
      <c r="B289" s="297">
        <v>5</v>
      </c>
      <c r="C289" s="297">
        <v>1</v>
      </c>
      <c r="D289" s="297">
        <v>1401</v>
      </c>
      <c r="E289" s="297">
        <v>0</v>
      </c>
      <c r="F289" s="297">
        <v>12.2</v>
      </c>
      <c r="G289" s="297">
        <v>13.3</v>
      </c>
      <c r="H289" s="297">
        <v>9.9</v>
      </c>
      <c r="I289" s="297">
        <v>16.8</v>
      </c>
      <c r="J289" s="297">
        <v>542</v>
      </c>
    </row>
    <row r="290" spans="1:10">
      <c r="A290" s="297">
        <v>2013</v>
      </c>
      <c r="B290" s="297">
        <v>5</v>
      </c>
      <c r="C290" s="297">
        <v>2</v>
      </c>
      <c r="D290" s="297">
        <v>1915</v>
      </c>
      <c r="E290" s="297">
        <v>28</v>
      </c>
      <c r="F290" s="297">
        <v>13</v>
      </c>
      <c r="G290" s="297">
        <v>13.3</v>
      </c>
      <c r="H290" s="297">
        <v>5.6</v>
      </c>
      <c r="I290" s="297">
        <v>21</v>
      </c>
      <c r="J290" s="297">
        <v>738</v>
      </c>
    </row>
    <row r="291" spans="1:10">
      <c r="A291" s="297">
        <v>2013</v>
      </c>
      <c r="B291" s="297">
        <v>5</v>
      </c>
      <c r="C291" s="297">
        <v>3</v>
      </c>
      <c r="D291" s="297">
        <v>332</v>
      </c>
      <c r="E291" s="297">
        <v>22.5</v>
      </c>
      <c r="F291" s="297">
        <v>11.4</v>
      </c>
      <c r="G291" s="297">
        <v>11.6</v>
      </c>
      <c r="H291" s="297">
        <v>11.1</v>
      </c>
      <c r="I291" s="297">
        <v>12.2</v>
      </c>
      <c r="J291" s="297">
        <v>146</v>
      </c>
    </row>
    <row r="292" spans="1:10">
      <c r="A292" s="297">
        <v>2013</v>
      </c>
      <c r="B292" s="297">
        <v>5</v>
      </c>
      <c r="C292" s="297">
        <v>4</v>
      </c>
      <c r="D292" s="297">
        <v>1801</v>
      </c>
      <c r="E292" s="297">
        <v>0</v>
      </c>
      <c r="F292" s="297">
        <v>12.6</v>
      </c>
      <c r="G292" s="297">
        <v>14.3</v>
      </c>
      <c r="H292" s="297">
        <v>10</v>
      </c>
      <c r="I292" s="297">
        <v>18.600000000000001</v>
      </c>
      <c r="J292" s="297">
        <v>695</v>
      </c>
    </row>
    <row r="293" spans="1:10">
      <c r="A293" s="297">
        <v>2013</v>
      </c>
      <c r="B293" s="297">
        <v>5</v>
      </c>
      <c r="C293" s="297">
        <v>5</v>
      </c>
      <c r="D293" s="297">
        <v>2776</v>
      </c>
      <c r="E293" s="297">
        <v>0</v>
      </c>
      <c r="F293" s="297">
        <v>14.8</v>
      </c>
      <c r="G293" s="297">
        <v>13.8</v>
      </c>
      <c r="H293" s="297">
        <v>6.9</v>
      </c>
      <c r="I293" s="297">
        <v>20.8</v>
      </c>
      <c r="J293" s="297">
        <v>1079</v>
      </c>
    </row>
    <row r="294" spans="1:10">
      <c r="A294" s="297">
        <v>2013</v>
      </c>
      <c r="B294" s="297">
        <v>5</v>
      </c>
      <c r="C294" s="297">
        <v>6</v>
      </c>
      <c r="D294" s="297">
        <v>1270</v>
      </c>
      <c r="E294" s="297">
        <v>0</v>
      </c>
      <c r="F294" s="297">
        <v>14.2</v>
      </c>
      <c r="G294" s="297">
        <v>15.8</v>
      </c>
      <c r="H294" s="297">
        <v>12.1</v>
      </c>
      <c r="I294" s="297">
        <v>19.399999999999999</v>
      </c>
      <c r="J294" s="297">
        <v>493</v>
      </c>
    </row>
    <row r="295" spans="1:10">
      <c r="A295" s="297">
        <v>2013</v>
      </c>
      <c r="B295" s="297">
        <v>5</v>
      </c>
      <c r="C295" s="297">
        <v>7</v>
      </c>
      <c r="D295" s="297">
        <v>2264</v>
      </c>
      <c r="E295" s="297">
        <v>0.5</v>
      </c>
      <c r="F295" s="297">
        <v>13.3</v>
      </c>
      <c r="G295" s="297">
        <v>13.8</v>
      </c>
      <c r="H295" s="297">
        <v>6.3</v>
      </c>
      <c r="I295" s="297">
        <v>21.2</v>
      </c>
      <c r="J295" s="297">
        <v>884</v>
      </c>
    </row>
    <row r="296" spans="1:10">
      <c r="A296" s="297">
        <v>2013</v>
      </c>
      <c r="B296" s="297">
        <v>5</v>
      </c>
      <c r="C296" s="297">
        <v>8</v>
      </c>
      <c r="D296" s="297">
        <v>1585</v>
      </c>
      <c r="E296" s="297">
        <v>0</v>
      </c>
      <c r="F296" s="297">
        <v>14.9</v>
      </c>
      <c r="G296" s="297">
        <v>13.7</v>
      </c>
      <c r="H296" s="297">
        <v>5.8</v>
      </c>
      <c r="I296" s="297">
        <v>21.6</v>
      </c>
      <c r="J296" s="297">
        <v>626</v>
      </c>
    </row>
    <row r="297" spans="1:10">
      <c r="A297" s="297">
        <v>2013</v>
      </c>
      <c r="B297" s="297">
        <v>5</v>
      </c>
      <c r="C297" s="297">
        <v>9</v>
      </c>
      <c r="D297" s="297">
        <v>1508</v>
      </c>
      <c r="E297" s="297">
        <v>7.5</v>
      </c>
      <c r="F297" s="297">
        <v>15.3</v>
      </c>
      <c r="G297" s="297">
        <v>15.8</v>
      </c>
      <c r="H297" s="297">
        <v>11.6</v>
      </c>
      <c r="I297" s="297">
        <v>19.899999999999999</v>
      </c>
      <c r="J297" s="297">
        <v>597</v>
      </c>
    </row>
    <row r="298" spans="1:10">
      <c r="A298" s="297">
        <v>2013</v>
      </c>
      <c r="B298" s="297">
        <v>5</v>
      </c>
      <c r="C298" s="297">
        <v>10</v>
      </c>
      <c r="D298" s="297">
        <v>1409</v>
      </c>
      <c r="E298" s="297">
        <v>0.5</v>
      </c>
      <c r="F298" s="297">
        <v>11.7</v>
      </c>
      <c r="G298" s="297">
        <v>10.8</v>
      </c>
      <c r="H298" s="297">
        <v>7.6</v>
      </c>
      <c r="I298" s="297">
        <v>13.9</v>
      </c>
      <c r="J298" s="297">
        <v>541</v>
      </c>
    </row>
    <row r="299" spans="1:10">
      <c r="A299" s="297">
        <v>2013</v>
      </c>
      <c r="B299" s="297">
        <v>5</v>
      </c>
      <c r="C299" s="297">
        <v>11</v>
      </c>
      <c r="D299" s="297">
        <v>1268</v>
      </c>
      <c r="E299" s="297">
        <v>2</v>
      </c>
      <c r="F299" s="297">
        <v>12</v>
      </c>
      <c r="G299" s="297">
        <v>13.2</v>
      </c>
      <c r="H299" s="297">
        <v>9.6</v>
      </c>
      <c r="I299" s="297">
        <v>16.7</v>
      </c>
      <c r="J299" s="297">
        <v>499</v>
      </c>
    </row>
    <row r="300" spans="1:10">
      <c r="A300" s="297">
        <v>2013</v>
      </c>
      <c r="B300" s="297">
        <v>5</v>
      </c>
      <c r="C300" s="297">
        <v>12</v>
      </c>
      <c r="D300" s="297">
        <v>1744</v>
      </c>
      <c r="E300" s="297">
        <v>0.5</v>
      </c>
      <c r="F300" s="297">
        <v>10.6</v>
      </c>
      <c r="G300" s="297">
        <v>11.5</v>
      </c>
      <c r="H300" s="297">
        <v>7.4</v>
      </c>
      <c r="I300" s="297">
        <v>15.6</v>
      </c>
      <c r="J300" s="297">
        <v>730</v>
      </c>
    </row>
    <row r="301" spans="1:10">
      <c r="A301" s="297">
        <v>2013</v>
      </c>
      <c r="B301" s="297">
        <v>5</v>
      </c>
      <c r="C301" s="297">
        <v>13</v>
      </c>
      <c r="D301" s="297">
        <v>1075</v>
      </c>
      <c r="E301" s="297">
        <v>0</v>
      </c>
      <c r="F301" s="297">
        <v>11.1</v>
      </c>
      <c r="G301" s="297">
        <v>11.6</v>
      </c>
      <c r="H301" s="297">
        <v>6.1</v>
      </c>
      <c r="I301" s="297">
        <v>17</v>
      </c>
      <c r="J301" s="297">
        <v>419</v>
      </c>
    </row>
    <row r="302" spans="1:10">
      <c r="A302" s="297">
        <v>2013</v>
      </c>
      <c r="B302" s="297">
        <v>5</v>
      </c>
      <c r="C302" s="297">
        <v>14</v>
      </c>
      <c r="D302" s="297">
        <v>2245</v>
      </c>
      <c r="E302" s="297">
        <v>0.5</v>
      </c>
      <c r="F302" s="297">
        <v>13.4</v>
      </c>
      <c r="G302" s="297">
        <v>12.9</v>
      </c>
      <c r="H302" s="297">
        <v>6</v>
      </c>
      <c r="I302" s="297">
        <v>19.8</v>
      </c>
      <c r="J302" s="297">
        <v>896</v>
      </c>
    </row>
    <row r="303" spans="1:10">
      <c r="A303" s="297">
        <v>2013</v>
      </c>
      <c r="B303" s="297">
        <v>5</v>
      </c>
      <c r="C303" s="297">
        <v>15</v>
      </c>
      <c r="D303" s="297">
        <v>642</v>
      </c>
      <c r="E303" s="297">
        <v>21.5</v>
      </c>
      <c r="F303" s="297">
        <v>11.6</v>
      </c>
      <c r="G303" s="297">
        <v>11.9</v>
      </c>
      <c r="H303" s="297">
        <v>9.4</v>
      </c>
      <c r="I303" s="297">
        <v>14.4</v>
      </c>
      <c r="J303" s="297">
        <v>283</v>
      </c>
    </row>
    <row r="304" spans="1:10">
      <c r="A304" s="297">
        <v>2013</v>
      </c>
      <c r="B304" s="297">
        <v>5</v>
      </c>
      <c r="C304" s="297">
        <v>16</v>
      </c>
      <c r="D304" s="297">
        <v>607</v>
      </c>
      <c r="E304" s="297">
        <v>11</v>
      </c>
      <c r="F304" s="297">
        <v>9.3000000000000007</v>
      </c>
      <c r="G304" s="297">
        <v>9.6</v>
      </c>
      <c r="H304" s="297">
        <v>7.6</v>
      </c>
      <c r="I304" s="297">
        <v>11.7</v>
      </c>
      <c r="J304" s="297">
        <v>252</v>
      </c>
    </row>
    <row r="305" spans="1:10">
      <c r="A305" s="297">
        <v>2013</v>
      </c>
      <c r="B305" s="297">
        <v>5</v>
      </c>
      <c r="C305" s="297">
        <v>17</v>
      </c>
      <c r="D305" s="297">
        <v>1132</v>
      </c>
      <c r="E305" s="297">
        <v>0.5</v>
      </c>
      <c r="F305" s="297">
        <v>10.5</v>
      </c>
      <c r="G305" s="297">
        <v>11.5</v>
      </c>
      <c r="H305" s="297">
        <v>8.4</v>
      </c>
      <c r="I305" s="297">
        <v>14.6</v>
      </c>
      <c r="J305" s="297">
        <v>463</v>
      </c>
    </row>
    <row r="306" spans="1:10">
      <c r="A306" s="297">
        <v>2013</v>
      </c>
      <c r="B306" s="297">
        <v>5</v>
      </c>
      <c r="C306" s="297">
        <v>18</v>
      </c>
      <c r="D306" s="297">
        <v>1389</v>
      </c>
      <c r="E306" s="297">
        <v>8.5</v>
      </c>
      <c r="F306" s="297">
        <v>11</v>
      </c>
      <c r="G306" s="297">
        <v>11.5</v>
      </c>
      <c r="H306" s="297">
        <v>4.8</v>
      </c>
      <c r="I306" s="297">
        <v>18.3</v>
      </c>
      <c r="J306" s="297">
        <v>564</v>
      </c>
    </row>
    <row r="307" spans="1:10">
      <c r="A307" s="297">
        <v>2013</v>
      </c>
      <c r="B307" s="297">
        <v>5</v>
      </c>
      <c r="C307" s="297">
        <v>19</v>
      </c>
      <c r="D307" s="297">
        <v>1421</v>
      </c>
      <c r="E307" s="297">
        <v>3</v>
      </c>
      <c r="F307" s="297">
        <v>10.6</v>
      </c>
      <c r="G307" s="297">
        <v>12</v>
      </c>
      <c r="H307" s="297">
        <v>8.4</v>
      </c>
      <c r="I307" s="297">
        <v>15.7</v>
      </c>
      <c r="J307" s="297">
        <v>585</v>
      </c>
    </row>
    <row r="308" spans="1:10">
      <c r="A308" s="297">
        <v>2013</v>
      </c>
      <c r="B308" s="297">
        <v>5</v>
      </c>
      <c r="C308" s="297">
        <v>20</v>
      </c>
      <c r="D308" s="297">
        <v>647</v>
      </c>
      <c r="E308" s="297">
        <v>11.5</v>
      </c>
      <c r="F308" s="297">
        <v>9.6999999999999993</v>
      </c>
      <c r="G308" s="297">
        <v>9.6</v>
      </c>
      <c r="H308" s="297">
        <v>8.6999999999999993</v>
      </c>
      <c r="I308" s="297">
        <v>10.6</v>
      </c>
      <c r="J308" s="297">
        <v>280</v>
      </c>
    </row>
    <row r="309" spans="1:10">
      <c r="A309" s="297">
        <v>2013</v>
      </c>
      <c r="B309" s="297">
        <v>5</v>
      </c>
      <c r="C309" s="297">
        <v>21</v>
      </c>
      <c r="D309" s="297">
        <v>460</v>
      </c>
      <c r="E309" s="297">
        <v>4</v>
      </c>
      <c r="F309" s="297">
        <v>10.1</v>
      </c>
      <c r="G309" s="297">
        <v>10.1</v>
      </c>
      <c r="H309" s="297">
        <v>8.8000000000000007</v>
      </c>
      <c r="I309" s="297">
        <v>11.5</v>
      </c>
      <c r="J309" s="297">
        <v>199</v>
      </c>
    </row>
    <row r="310" spans="1:10">
      <c r="A310" s="297">
        <v>2013</v>
      </c>
      <c r="B310" s="297">
        <v>5</v>
      </c>
      <c r="C310" s="297">
        <v>22</v>
      </c>
      <c r="D310" s="297">
        <v>847</v>
      </c>
      <c r="E310" s="297">
        <v>0.5</v>
      </c>
      <c r="F310" s="297">
        <v>8.9</v>
      </c>
      <c r="G310" s="297">
        <v>10.1</v>
      </c>
      <c r="H310" s="297">
        <v>8.6</v>
      </c>
      <c r="I310" s="297">
        <v>11.7</v>
      </c>
      <c r="J310" s="297">
        <v>341</v>
      </c>
    </row>
    <row r="311" spans="1:10">
      <c r="A311" s="297">
        <v>2013</v>
      </c>
      <c r="B311" s="297">
        <v>5</v>
      </c>
      <c r="C311" s="297">
        <v>23</v>
      </c>
      <c r="D311" s="297">
        <v>1341</v>
      </c>
      <c r="E311" s="297">
        <v>3</v>
      </c>
      <c r="F311" s="297">
        <v>7.5</v>
      </c>
      <c r="G311" s="297">
        <v>8.8000000000000007</v>
      </c>
      <c r="H311" s="297">
        <v>3.7</v>
      </c>
      <c r="I311" s="297">
        <v>13.9</v>
      </c>
      <c r="J311" s="297">
        <v>567</v>
      </c>
    </row>
    <row r="312" spans="1:10">
      <c r="A312" s="297">
        <v>2013</v>
      </c>
      <c r="B312" s="297">
        <v>5</v>
      </c>
      <c r="C312" s="297">
        <v>24</v>
      </c>
      <c r="D312" s="297">
        <v>1555</v>
      </c>
      <c r="E312" s="297">
        <v>10</v>
      </c>
      <c r="F312" s="297">
        <v>6.2</v>
      </c>
      <c r="G312" s="297">
        <v>6.6</v>
      </c>
      <c r="H312" s="297">
        <v>0.9</v>
      </c>
      <c r="I312" s="297">
        <v>12.3</v>
      </c>
      <c r="J312" s="297">
        <v>670</v>
      </c>
    </row>
    <row r="313" spans="1:10">
      <c r="A313" s="297">
        <v>2013</v>
      </c>
      <c r="B313" s="297">
        <v>5</v>
      </c>
      <c r="C313" s="297">
        <v>25</v>
      </c>
      <c r="D313" s="297">
        <v>1521</v>
      </c>
      <c r="E313" s="297">
        <v>7</v>
      </c>
      <c r="F313" s="297">
        <v>7.3</v>
      </c>
      <c r="G313" s="297">
        <v>8.9</v>
      </c>
      <c r="H313" s="297">
        <v>4</v>
      </c>
      <c r="I313" s="297">
        <v>13.8</v>
      </c>
      <c r="J313" s="297">
        <v>655</v>
      </c>
    </row>
    <row r="314" spans="1:10">
      <c r="A314" s="297">
        <v>2013</v>
      </c>
      <c r="B314" s="297">
        <v>5</v>
      </c>
      <c r="C314" s="297">
        <v>26</v>
      </c>
      <c r="D314" s="297">
        <v>951</v>
      </c>
      <c r="E314" s="297">
        <v>0</v>
      </c>
      <c r="F314" s="297">
        <v>8.6999999999999993</v>
      </c>
      <c r="G314" s="297">
        <v>7.7</v>
      </c>
      <c r="H314" s="297">
        <v>3.3</v>
      </c>
      <c r="I314" s="297">
        <v>12</v>
      </c>
      <c r="J314" s="297">
        <v>411</v>
      </c>
    </row>
    <row r="315" spans="1:10">
      <c r="A315" s="297">
        <v>2013</v>
      </c>
      <c r="B315" s="297">
        <v>5</v>
      </c>
      <c r="C315" s="297">
        <v>27</v>
      </c>
      <c r="D315" s="297">
        <v>2839</v>
      </c>
      <c r="E315" s="297">
        <v>0</v>
      </c>
      <c r="F315" s="297">
        <v>11.9</v>
      </c>
      <c r="G315" s="297">
        <v>11</v>
      </c>
      <c r="H315" s="297">
        <v>3.3</v>
      </c>
      <c r="I315" s="297">
        <v>18.7</v>
      </c>
      <c r="J315" s="297">
        <v>1210</v>
      </c>
    </row>
    <row r="316" spans="1:10">
      <c r="A316" s="297">
        <v>2013</v>
      </c>
      <c r="B316" s="297">
        <v>5</v>
      </c>
      <c r="C316" s="297">
        <v>28</v>
      </c>
      <c r="D316" s="297">
        <v>1240</v>
      </c>
      <c r="E316" s="297">
        <v>2.5</v>
      </c>
      <c r="F316" s="297">
        <v>10.6</v>
      </c>
      <c r="G316" s="297">
        <v>11</v>
      </c>
      <c r="H316" s="297">
        <v>4.7</v>
      </c>
      <c r="I316" s="297">
        <v>17.399999999999999</v>
      </c>
      <c r="J316" s="297">
        <v>541</v>
      </c>
    </row>
    <row r="317" spans="1:10">
      <c r="A317" s="297">
        <v>2013</v>
      </c>
      <c r="B317" s="297">
        <v>5</v>
      </c>
      <c r="C317" s="297">
        <v>29</v>
      </c>
      <c r="D317" s="297">
        <v>1461</v>
      </c>
      <c r="E317" s="297">
        <v>9.5</v>
      </c>
      <c r="F317" s="297">
        <v>9.3000000000000007</v>
      </c>
      <c r="G317" s="297">
        <v>9.6999999999999993</v>
      </c>
      <c r="H317" s="297">
        <v>5.6</v>
      </c>
      <c r="I317" s="297">
        <v>13.8</v>
      </c>
      <c r="J317" s="297">
        <v>624</v>
      </c>
    </row>
    <row r="318" spans="1:10">
      <c r="A318" s="297">
        <v>2013</v>
      </c>
      <c r="B318" s="297">
        <v>5</v>
      </c>
      <c r="C318" s="297">
        <v>30</v>
      </c>
      <c r="D318" s="297">
        <v>951</v>
      </c>
      <c r="E318" s="297">
        <v>10</v>
      </c>
      <c r="F318" s="297">
        <v>9.5</v>
      </c>
      <c r="G318" s="297">
        <v>9.4</v>
      </c>
      <c r="H318" s="297">
        <v>5.0999999999999996</v>
      </c>
      <c r="I318" s="297">
        <v>13.8</v>
      </c>
      <c r="J318" s="297">
        <v>409</v>
      </c>
    </row>
    <row r="319" spans="1:10">
      <c r="A319" s="297">
        <v>2013</v>
      </c>
      <c r="B319" s="297">
        <v>5</v>
      </c>
      <c r="C319" s="297">
        <v>31</v>
      </c>
      <c r="D319" s="297">
        <v>553</v>
      </c>
      <c r="E319" s="297">
        <v>10</v>
      </c>
      <c r="F319" s="297">
        <v>11.5</v>
      </c>
      <c r="G319" s="297">
        <v>11</v>
      </c>
      <c r="H319" s="297">
        <v>8</v>
      </c>
      <c r="I319" s="297">
        <v>14</v>
      </c>
      <c r="J319" s="297">
        <v>259</v>
      </c>
    </row>
    <row r="320" spans="1:10">
      <c r="A320" s="297">
        <v>2013</v>
      </c>
      <c r="B320" s="297">
        <v>6</v>
      </c>
      <c r="C320" s="297">
        <v>1</v>
      </c>
      <c r="D320" s="297">
        <v>1287</v>
      </c>
      <c r="E320" s="297">
        <v>0</v>
      </c>
      <c r="F320" s="297">
        <v>13.4</v>
      </c>
      <c r="G320" s="297">
        <v>13.7</v>
      </c>
      <c r="H320" s="297">
        <v>10.1</v>
      </c>
      <c r="I320" s="297">
        <v>17.2</v>
      </c>
      <c r="J320" s="297">
        <v>549</v>
      </c>
    </row>
    <row r="321" spans="1:10">
      <c r="A321" s="297">
        <v>2013</v>
      </c>
      <c r="B321" s="297">
        <v>6</v>
      </c>
      <c r="C321" s="297">
        <v>2</v>
      </c>
      <c r="D321" s="297">
        <v>1736</v>
      </c>
      <c r="E321" s="297">
        <v>0</v>
      </c>
      <c r="F321" s="297">
        <v>13.2</v>
      </c>
      <c r="G321" s="297">
        <v>14.2</v>
      </c>
      <c r="H321" s="297">
        <v>10</v>
      </c>
      <c r="I321" s="297">
        <v>18.5</v>
      </c>
      <c r="J321" s="297">
        <v>730</v>
      </c>
    </row>
    <row r="322" spans="1:10">
      <c r="A322" s="297">
        <v>2013</v>
      </c>
      <c r="B322" s="297">
        <v>6</v>
      </c>
      <c r="C322" s="297">
        <v>3</v>
      </c>
      <c r="D322" s="297">
        <v>2531</v>
      </c>
      <c r="E322" s="297">
        <v>0</v>
      </c>
      <c r="F322" s="297">
        <v>12.8</v>
      </c>
      <c r="G322" s="297">
        <v>13</v>
      </c>
      <c r="H322" s="297">
        <v>7.7</v>
      </c>
      <c r="I322" s="297">
        <v>18.2</v>
      </c>
      <c r="J322" s="297">
        <v>1063</v>
      </c>
    </row>
    <row r="323" spans="1:10">
      <c r="A323" s="297">
        <v>2013</v>
      </c>
      <c r="B323" s="297">
        <v>6</v>
      </c>
      <c r="C323" s="297">
        <v>4</v>
      </c>
      <c r="D323" s="297">
        <v>2434</v>
      </c>
      <c r="E323" s="297">
        <v>0</v>
      </c>
      <c r="F323" s="297">
        <v>14.4</v>
      </c>
      <c r="G323" s="297">
        <v>13.5</v>
      </c>
      <c r="H323" s="297">
        <v>6.6</v>
      </c>
      <c r="I323" s="297">
        <v>20.399999999999999</v>
      </c>
      <c r="J323" s="297">
        <v>1050</v>
      </c>
    </row>
    <row r="324" spans="1:10">
      <c r="A324" s="297">
        <v>2013</v>
      </c>
      <c r="B324" s="297">
        <v>6</v>
      </c>
      <c r="C324" s="297">
        <v>5</v>
      </c>
      <c r="D324" s="297">
        <v>2941</v>
      </c>
      <c r="E324" s="297">
        <v>0</v>
      </c>
      <c r="F324" s="297">
        <v>17.5</v>
      </c>
      <c r="G324" s="297">
        <v>17</v>
      </c>
      <c r="H324" s="297">
        <v>9.1999999999999993</v>
      </c>
      <c r="I324" s="297">
        <v>24.9</v>
      </c>
      <c r="J324" s="297">
        <v>1268</v>
      </c>
    </row>
    <row r="325" spans="1:10">
      <c r="A325" s="297">
        <v>2013</v>
      </c>
      <c r="B325" s="297">
        <v>6</v>
      </c>
      <c r="C325" s="297">
        <v>6</v>
      </c>
      <c r="D325" s="297">
        <v>2906</v>
      </c>
      <c r="E325" s="297">
        <v>0</v>
      </c>
      <c r="F325" s="297">
        <v>18.899999999999999</v>
      </c>
      <c r="G325" s="297">
        <v>18.3</v>
      </c>
      <c r="H325" s="297">
        <v>9.6999999999999993</v>
      </c>
      <c r="I325" s="297">
        <v>26.9</v>
      </c>
      <c r="J325" s="297">
        <v>1259</v>
      </c>
    </row>
    <row r="326" spans="1:10">
      <c r="A326" s="297">
        <v>2013</v>
      </c>
      <c r="B326" s="297">
        <v>6</v>
      </c>
      <c r="C326" s="297">
        <v>7</v>
      </c>
      <c r="D326" s="297">
        <v>2956</v>
      </c>
      <c r="E326" s="297">
        <v>0</v>
      </c>
      <c r="F326" s="297">
        <v>19.600000000000001</v>
      </c>
      <c r="G326" s="297">
        <v>19.3</v>
      </c>
      <c r="H326" s="297">
        <v>11.4</v>
      </c>
      <c r="I326" s="297">
        <v>27.3</v>
      </c>
      <c r="J326" s="297">
        <v>1263</v>
      </c>
    </row>
    <row r="327" spans="1:10">
      <c r="A327" s="297">
        <v>2013</v>
      </c>
      <c r="B327" s="297">
        <v>6</v>
      </c>
      <c r="C327" s="297">
        <v>8</v>
      </c>
      <c r="D327" s="297">
        <v>2194</v>
      </c>
      <c r="E327" s="297">
        <v>7.5</v>
      </c>
      <c r="F327" s="297">
        <v>19.100000000000001</v>
      </c>
      <c r="G327" s="297">
        <v>19.5</v>
      </c>
      <c r="H327" s="297">
        <v>12.4</v>
      </c>
      <c r="I327" s="297">
        <v>26.6</v>
      </c>
      <c r="J327" s="297">
        <v>950</v>
      </c>
    </row>
    <row r="328" spans="1:10">
      <c r="A328" s="297">
        <v>2013</v>
      </c>
      <c r="B328" s="297">
        <v>6</v>
      </c>
      <c r="C328" s="297">
        <v>9</v>
      </c>
      <c r="D328" s="297">
        <v>2179</v>
      </c>
      <c r="E328" s="297">
        <v>0</v>
      </c>
      <c r="F328" s="297">
        <v>16.600000000000001</v>
      </c>
      <c r="G328" s="297">
        <v>18.2</v>
      </c>
      <c r="H328" s="297">
        <v>13.6</v>
      </c>
      <c r="I328" s="297">
        <v>22.7</v>
      </c>
      <c r="J328" s="297">
        <v>941</v>
      </c>
    </row>
    <row r="329" spans="1:10">
      <c r="A329" s="297">
        <v>2013</v>
      </c>
      <c r="B329" s="297">
        <v>6</v>
      </c>
      <c r="C329" s="297">
        <v>10</v>
      </c>
      <c r="D329" s="297">
        <v>1549</v>
      </c>
      <c r="E329" s="297">
        <v>0</v>
      </c>
      <c r="F329" s="297">
        <v>16.3</v>
      </c>
      <c r="G329" s="297">
        <v>16.8</v>
      </c>
      <c r="H329" s="297">
        <v>13</v>
      </c>
      <c r="I329" s="297">
        <v>20.5</v>
      </c>
      <c r="J329" s="297">
        <v>670</v>
      </c>
    </row>
    <row r="330" spans="1:10">
      <c r="A330" s="297">
        <v>2013</v>
      </c>
      <c r="B330" s="297">
        <v>6</v>
      </c>
      <c r="C330" s="297">
        <v>11</v>
      </c>
      <c r="D330" s="297">
        <v>1985</v>
      </c>
      <c r="E330" s="297">
        <v>0</v>
      </c>
      <c r="F330" s="297">
        <v>17.3</v>
      </c>
      <c r="G330" s="297">
        <v>17.3</v>
      </c>
      <c r="H330" s="297">
        <v>11.4</v>
      </c>
      <c r="I330" s="297">
        <v>23.3</v>
      </c>
      <c r="J330" s="297">
        <v>844</v>
      </c>
    </row>
    <row r="331" spans="1:10">
      <c r="A331" s="297">
        <v>2013</v>
      </c>
      <c r="B331" s="297">
        <v>6</v>
      </c>
      <c r="C331" s="297">
        <v>12</v>
      </c>
      <c r="D331" s="297">
        <v>1922</v>
      </c>
      <c r="E331" s="297">
        <v>0</v>
      </c>
      <c r="F331" s="297">
        <v>18.8</v>
      </c>
      <c r="G331" s="297">
        <v>19.100000000000001</v>
      </c>
      <c r="H331" s="297">
        <v>13</v>
      </c>
      <c r="I331" s="297">
        <v>25.3</v>
      </c>
      <c r="J331" s="297">
        <v>833</v>
      </c>
    </row>
    <row r="332" spans="1:10">
      <c r="A332" s="297">
        <v>2013</v>
      </c>
      <c r="B332" s="297">
        <v>6</v>
      </c>
      <c r="C332" s="297">
        <v>13</v>
      </c>
      <c r="D332" s="297">
        <v>2298</v>
      </c>
      <c r="E332" s="297">
        <v>13</v>
      </c>
      <c r="F332" s="297">
        <v>16.7</v>
      </c>
      <c r="G332" s="297">
        <v>19.600000000000001</v>
      </c>
      <c r="H332" s="297">
        <v>11.4</v>
      </c>
      <c r="I332" s="297">
        <v>27.9</v>
      </c>
      <c r="J332" s="297">
        <v>1029</v>
      </c>
    </row>
    <row r="333" spans="1:10">
      <c r="A333" s="297">
        <v>2013</v>
      </c>
      <c r="B333" s="297">
        <v>6</v>
      </c>
      <c r="C333" s="297">
        <v>14</v>
      </c>
      <c r="D333" s="297">
        <v>2190</v>
      </c>
      <c r="E333" s="297">
        <v>0</v>
      </c>
      <c r="F333" s="297">
        <v>14</v>
      </c>
      <c r="G333" s="297">
        <v>13.8</v>
      </c>
      <c r="H333" s="297">
        <v>7.2</v>
      </c>
      <c r="I333" s="297">
        <v>20.3</v>
      </c>
      <c r="J333" s="297">
        <v>943</v>
      </c>
    </row>
    <row r="334" spans="1:10">
      <c r="A334" s="297">
        <v>2013</v>
      </c>
      <c r="B334" s="297">
        <v>6</v>
      </c>
      <c r="C334" s="297">
        <v>15</v>
      </c>
      <c r="D334" s="297">
        <v>2616</v>
      </c>
      <c r="E334" s="297">
        <v>0</v>
      </c>
      <c r="F334" s="297">
        <v>17.3</v>
      </c>
      <c r="G334" s="297">
        <v>16.8</v>
      </c>
      <c r="H334" s="297">
        <v>9.1</v>
      </c>
      <c r="I334" s="297">
        <v>24.5</v>
      </c>
      <c r="J334" s="297">
        <v>1148</v>
      </c>
    </row>
    <row r="335" spans="1:10">
      <c r="A335" s="297">
        <v>2013</v>
      </c>
      <c r="B335" s="297">
        <v>6</v>
      </c>
      <c r="C335" s="297">
        <v>16</v>
      </c>
      <c r="D335" s="297">
        <v>2939</v>
      </c>
      <c r="E335" s="297">
        <v>0</v>
      </c>
      <c r="F335" s="297">
        <v>20.100000000000001</v>
      </c>
      <c r="G335" s="297">
        <v>19.2</v>
      </c>
      <c r="H335" s="297">
        <v>10.6</v>
      </c>
      <c r="I335" s="297">
        <v>27.8</v>
      </c>
      <c r="J335" s="297">
        <v>1289</v>
      </c>
    </row>
    <row r="336" spans="1:10">
      <c r="A336" s="297">
        <v>2013</v>
      </c>
      <c r="B336" s="297">
        <v>6</v>
      </c>
      <c r="C336" s="297">
        <v>17</v>
      </c>
      <c r="D336" s="297">
        <v>2874</v>
      </c>
      <c r="E336" s="297">
        <v>0</v>
      </c>
      <c r="F336" s="297">
        <v>23.7</v>
      </c>
      <c r="G336" s="297">
        <v>22.6</v>
      </c>
      <c r="H336" s="297">
        <v>13.7</v>
      </c>
      <c r="I336" s="297">
        <v>31.6</v>
      </c>
      <c r="J336" s="297">
        <v>1244</v>
      </c>
    </row>
    <row r="337" spans="1:10">
      <c r="A337" s="297">
        <v>2013</v>
      </c>
      <c r="B337" s="297">
        <v>6</v>
      </c>
      <c r="C337" s="297">
        <v>18</v>
      </c>
      <c r="D337" s="297">
        <v>2563</v>
      </c>
      <c r="E337" s="297">
        <v>1.5</v>
      </c>
      <c r="F337" s="297">
        <v>25.2</v>
      </c>
      <c r="G337" s="297">
        <v>25.8</v>
      </c>
      <c r="H337" s="297">
        <v>17.3</v>
      </c>
      <c r="I337" s="297">
        <v>34.299999999999997</v>
      </c>
      <c r="J337" s="297">
        <v>1119</v>
      </c>
    </row>
    <row r="338" spans="1:10">
      <c r="A338" s="297">
        <v>2013</v>
      </c>
      <c r="B338" s="297">
        <v>6</v>
      </c>
      <c r="C338" s="297">
        <v>19</v>
      </c>
      <c r="D338" s="297">
        <v>2189</v>
      </c>
      <c r="E338" s="297">
        <v>41</v>
      </c>
      <c r="F338" s="297">
        <v>23.8</v>
      </c>
      <c r="G338" s="297">
        <v>24.2</v>
      </c>
      <c r="H338" s="297">
        <v>18.399999999999999</v>
      </c>
      <c r="I338" s="297">
        <v>30.1</v>
      </c>
      <c r="J338" s="297">
        <v>943</v>
      </c>
    </row>
    <row r="339" spans="1:10">
      <c r="A339" s="297">
        <v>2013</v>
      </c>
      <c r="B339" s="297">
        <v>6</v>
      </c>
      <c r="C339" s="297">
        <v>20</v>
      </c>
      <c r="D339" s="297">
        <v>1172</v>
      </c>
      <c r="E339" s="297">
        <v>4.5</v>
      </c>
      <c r="F339" s="297">
        <v>17.600000000000001</v>
      </c>
      <c r="G339" s="297">
        <v>19.399999999999999</v>
      </c>
      <c r="H339" s="297">
        <v>16.7</v>
      </c>
      <c r="I339" s="297">
        <v>22.1</v>
      </c>
      <c r="J339" s="297">
        <v>510</v>
      </c>
    </row>
    <row r="340" spans="1:10">
      <c r="A340" s="297">
        <v>2013</v>
      </c>
      <c r="B340" s="297">
        <v>6</v>
      </c>
      <c r="C340" s="297">
        <v>21</v>
      </c>
      <c r="D340" s="297">
        <v>2144</v>
      </c>
      <c r="E340" s="297">
        <v>0</v>
      </c>
      <c r="F340" s="297">
        <v>16.899999999999999</v>
      </c>
      <c r="G340" s="297">
        <v>18</v>
      </c>
      <c r="H340" s="297">
        <v>13.6</v>
      </c>
      <c r="I340" s="297">
        <v>22.4</v>
      </c>
      <c r="J340" s="297">
        <v>925</v>
      </c>
    </row>
    <row r="341" spans="1:10">
      <c r="A341" s="297">
        <v>2013</v>
      </c>
      <c r="B341" s="297">
        <v>6</v>
      </c>
      <c r="C341" s="297">
        <v>22</v>
      </c>
      <c r="D341" s="297">
        <v>1866</v>
      </c>
      <c r="E341" s="297">
        <v>0</v>
      </c>
      <c r="F341" s="297">
        <v>17.100000000000001</v>
      </c>
      <c r="G341" s="297">
        <v>16.7</v>
      </c>
      <c r="H341" s="297">
        <v>11.1</v>
      </c>
      <c r="I341" s="297">
        <v>22.2</v>
      </c>
      <c r="J341" s="297">
        <v>811</v>
      </c>
    </row>
    <row r="342" spans="1:10">
      <c r="A342" s="297">
        <v>2013</v>
      </c>
      <c r="B342" s="297">
        <v>6</v>
      </c>
      <c r="C342" s="297">
        <v>23</v>
      </c>
      <c r="D342" s="297">
        <v>1499</v>
      </c>
      <c r="E342" s="297">
        <v>0.5</v>
      </c>
      <c r="F342" s="297">
        <v>15.6</v>
      </c>
      <c r="G342" s="297">
        <v>16.5</v>
      </c>
      <c r="H342" s="297">
        <v>13.6</v>
      </c>
      <c r="I342" s="297">
        <v>19.399999999999999</v>
      </c>
      <c r="J342" s="297">
        <v>637</v>
      </c>
    </row>
    <row r="343" spans="1:10">
      <c r="A343" s="297">
        <v>2013</v>
      </c>
      <c r="B343" s="297">
        <v>6</v>
      </c>
      <c r="C343" s="297">
        <v>24</v>
      </c>
      <c r="D343" s="297">
        <v>957</v>
      </c>
      <c r="E343" s="297">
        <v>0</v>
      </c>
      <c r="F343" s="297">
        <v>13.4</v>
      </c>
      <c r="G343" s="297">
        <v>14.1</v>
      </c>
      <c r="H343" s="297">
        <v>11.4</v>
      </c>
      <c r="I343" s="297">
        <v>16.7</v>
      </c>
      <c r="J343" s="297">
        <v>419</v>
      </c>
    </row>
    <row r="344" spans="1:10">
      <c r="A344" s="297">
        <v>2013</v>
      </c>
      <c r="B344" s="297">
        <v>6</v>
      </c>
      <c r="C344" s="297">
        <v>25</v>
      </c>
      <c r="D344" s="297">
        <v>1656</v>
      </c>
      <c r="E344" s="297">
        <v>0</v>
      </c>
      <c r="F344" s="297">
        <v>13.3</v>
      </c>
      <c r="G344" s="297">
        <v>13.4</v>
      </c>
      <c r="H344" s="297">
        <v>8.8000000000000007</v>
      </c>
      <c r="I344" s="297">
        <v>18</v>
      </c>
      <c r="J344" s="297">
        <v>701</v>
      </c>
    </row>
    <row r="345" spans="1:10">
      <c r="A345" s="297">
        <v>2013</v>
      </c>
      <c r="B345" s="297">
        <v>6</v>
      </c>
      <c r="C345" s="297">
        <v>26</v>
      </c>
      <c r="D345" s="297">
        <v>2365</v>
      </c>
      <c r="E345" s="297">
        <v>0</v>
      </c>
      <c r="F345" s="297">
        <v>13.9</v>
      </c>
      <c r="G345" s="297">
        <v>13.6</v>
      </c>
      <c r="H345" s="297">
        <v>7.1</v>
      </c>
      <c r="I345" s="297">
        <v>20</v>
      </c>
      <c r="J345" s="297">
        <v>995</v>
      </c>
    </row>
    <row r="346" spans="1:10">
      <c r="A346" s="297">
        <v>2013</v>
      </c>
      <c r="B346" s="297">
        <v>6</v>
      </c>
      <c r="C346" s="297">
        <v>27</v>
      </c>
      <c r="D346" s="297">
        <v>1508</v>
      </c>
      <c r="E346" s="297">
        <v>3.5</v>
      </c>
      <c r="F346" s="297">
        <v>13</v>
      </c>
      <c r="G346" s="297">
        <v>13.4</v>
      </c>
      <c r="H346" s="297">
        <v>6.6</v>
      </c>
      <c r="I346" s="297">
        <v>20.100000000000001</v>
      </c>
      <c r="J346" s="297">
        <v>657</v>
      </c>
    </row>
    <row r="347" spans="1:10">
      <c r="A347" s="297">
        <v>2013</v>
      </c>
      <c r="B347" s="297">
        <v>6</v>
      </c>
      <c r="C347" s="297">
        <v>28</v>
      </c>
      <c r="D347" s="297">
        <v>815</v>
      </c>
      <c r="E347" s="297">
        <v>5.5</v>
      </c>
      <c r="F347" s="297">
        <v>12.3</v>
      </c>
      <c r="G347" s="297">
        <v>11.9</v>
      </c>
      <c r="H347" s="297">
        <v>8</v>
      </c>
      <c r="I347" s="297">
        <v>15.9</v>
      </c>
      <c r="J347" s="297">
        <v>375</v>
      </c>
    </row>
    <row r="348" spans="1:10">
      <c r="A348" s="297">
        <v>2013</v>
      </c>
      <c r="B348" s="297">
        <v>6</v>
      </c>
      <c r="C348" s="297">
        <v>29</v>
      </c>
      <c r="D348" s="297">
        <v>1033</v>
      </c>
      <c r="E348" s="297">
        <v>3</v>
      </c>
      <c r="F348" s="297">
        <v>15.1</v>
      </c>
      <c r="G348" s="297">
        <v>16.600000000000001</v>
      </c>
      <c r="H348" s="297">
        <v>13</v>
      </c>
      <c r="I348" s="297">
        <v>20.3</v>
      </c>
      <c r="J348" s="297">
        <v>410</v>
      </c>
    </row>
    <row r="349" spans="1:10">
      <c r="A349" s="297">
        <v>2013</v>
      </c>
      <c r="B349" s="297">
        <v>6</v>
      </c>
      <c r="C349" s="297">
        <v>30</v>
      </c>
      <c r="D349" s="297">
        <v>2424</v>
      </c>
      <c r="E349" s="297">
        <v>0</v>
      </c>
      <c r="F349" s="297">
        <v>15.5</v>
      </c>
      <c r="G349" s="297">
        <v>15.2</v>
      </c>
      <c r="H349" s="297">
        <v>7.6</v>
      </c>
      <c r="I349" s="297">
        <v>22.8</v>
      </c>
      <c r="J349" s="297">
        <v>929</v>
      </c>
    </row>
    <row r="350" spans="1:10">
      <c r="A350" s="297">
        <v>2013</v>
      </c>
      <c r="B350" s="297">
        <v>7</v>
      </c>
      <c r="C350" s="297">
        <v>1</v>
      </c>
      <c r="D350" s="297">
        <v>2871</v>
      </c>
      <c r="E350" s="297">
        <v>0</v>
      </c>
      <c r="F350" s="297">
        <v>18</v>
      </c>
      <c r="G350" s="297">
        <v>17.5</v>
      </c>
      <c r="H350" s="297">
        <v>8.8000000000000007</v>
      </c>
      <c r="I350" s="297">
        <v>26.3</v>
      </c>
      <c r="J350" s="297">
        <v>1107</v>
      </c>
    </row>
    <row r="351" spans="1:10">
      <c r="A351" s="297">
        <v>2013</v>
      </c>
      <c r="B351" s="297">
        <v>7</v>
      </c>
      <c r="C351" s="297">
        <v>2</v>
      </c>
      <c r="D351" s="297">
        <v>2220</v>
      </c>
      <c r="E351" s="297">
        <v>18</v>
      </c>
      <c r="F351" s="297">
        <v>18.899999999999999</v>
      </c>
      <c r="G351" s="297">
        <v>18.5</v>
      </c>
      <c r="H351" s="297">
        <v>10.4</v>
      </c>
      <c r="I351" s="297">
        <v>26.7</v>
      </c>
      <c r="J351" s="297">
        <v>859</v>
      </c>
    </row>
    <row r="352" spans="1:10">
      <c r="A352" s="297">
        <v>2013</v>
      </c>
      <c r="B352" s="297">
        <v>7</v>
      </c>
      <c r="C352" s="297">
        <v>3</v>
      </c>
      <c r="D352" s="297">
        <v>737</v>
      </c>
      <c r="E352" s="297">
        <v>1.5</v>
      </c>
      <c r="F352" s="297">
        <v>17.2</v>
      </c>
      <c r="G352" s="297">
        <v>18.399999999999999</v>
      </c>
      <c r="H352" s="297">
        <v>15.6</v>
      </c>
      <c r="I352" s="297">
        <v>21.1</v>
      </c>
      <c r="J352" s="297">
        <v>320</v>
      </c>
    </row>
    <row r="353" spans="1:10">
      <c r="A353" s="297">
        <v>2013</v>
      </c>
      <c r="B353" s="297">
        <v>7</v>
      </c>
      <c r="C353" s="297">
        <v>4</v>
      </c>
      <c r="D353" s="297">
        <v>1453</v>
      </c>
      <c r="E353" s="297">
        <v>0</v>
      </c>
      <c r="F353" s="297">
        <v>17.8</v>
      </c>
      <c r="G353" s="297">
        <v>18.7</v>
      </c>
      <c r="H353" s="297">
        <v>14.4</v>
      </c>
      <c r="I353" s="297">
        <v>23</v>
      </c>
      <c r="J353" s="297">
        <v>582</v>
      </c>
    </row>
    <row r="354" spans="1:10">
      <c r="A354" s="297">
        <v>2013</v>
      </c>
      <c r="B354" s="297">
        <v>7</v>
      </c>
      <c r="C354" s="297">
        <v>5</v>
      </c>
      <c r="D354" s="297">
        <v>1904</v>
      </c>
      <c r="E354" s="297">
        <v>0.5</v>
      </c>
      <c r="F354" s="297">
        <v>19.100000000000001</v>
      </c>
      <c r="G354" s="297">
        <v>20.399999999999999</v>
      </c>
      <c r="H354" s="297">
        <v>16.399999999999999</v>
      </c>
      <c r="I354" s="297">
        <v>24.4</v>
      </c>
      <c r="J354" s="297">
        <v>742</v>
      </c>
    </row>
    <row r="355" spans="1:10">
      <c r="A355" s="297">
        <v>2013</v>
      </c>
      <c r="B355" s="297">
        <v>7</v>
      </c>
      <c r="C355" s="297">
        <v>6</v>
      </c>
      <c r="D355" s="297">
        <v>2878</v>
      </c>
      <c r="E355" s="297">
        <v>0</v>
      </c>
      <c r="F355" s="297">
        <v>21.2</v>
      </c>
      <c r="G355" s="297">
        <v>21</v>
      </c>
      <c r="H355" s="297">
        <v>13.7</v>
      </c>
      <c r="I355" s="297">
        <v>28.4</v>
      </c>
      <c r="J355" s="297">
        <v>1159</v>
      </c>
    </row>
    <row r="356" spans="1:10">
      <c r="A356" s="297">
        <v>2013</v>
      </c>
      <c r="B356" s="297">
        <v>7</v>
      </c>
      <c r="C356" s="297">
        <v>7</v>
      </c>
      <c r="D356" s="297">
        <v>2722</v>
      </c>
      <c r="E356" s="297">
        <v>0</v>
      </c>
      <c r="F356" s="297">
        <v>22.4</v>
      </c>
      <c r="G356" s="297">
        <v>22</v>
      </c>
      <c r="H356" s="297">
        <v>15.4</v>
      </c>
      <c r="I356" s="297">
        <v>28.7</v>
      </c>
      <c r="J356" s="297">
        <v>1095</v>
      </c>
    </row>
    <row r="357" spans="1:10">
      <c r="A357" s="297">
        <v>2013</v>
      </c>
      <c r="B357" s="297">
        <v>7</v>
      </c>
      <c r="C357" s="297">
        <v>8</v>
      </c>
      <c r="D357" s="297">
        <v>2828</v>
      </c>
      <c r="E357" s="297">
        <v>0</v>
      </c>
      <c r="F357" s="297">
        <v>22.6</v>
      </c>
      <c r="G357" s="297">
        <v>22.4</v>
      </c>
      <c r="H357" s="297">
        <v>15.3</v>
      </c>
      <c r="I357" s="297">
        <v>29.5</v>
      </c>
      <c r="J357" s="297">
        <v>1141</v>
      </c>
    </row>
    <row r="358" spans="1:10">
      <c r="A358" s="297">
        <v>2013</v>
      </c>
      <c r="B358" s="297">
        <v>7</v>
      </c>
      <c r="C358" s="297">
        <v>9</v>
      </c>
      <c r="D358" s="297">
        <v>2551</v>
      </c>
      <c r="E358" s="297">
        <v>0</v>
      </c>
      <c r="F358" s="297">
        <v>22.8</v>
      </c>
      <c r="G358" s="297">
        <v>22.1</v>
      </c>
      <c r="H358" s="297">
        <v>15.5</v>
      </c>
      <c r="I358" s="297">
        <v>28.8</v>
      </c>
      <c r="J358" s="297">
        <v>1026</v>
      </c>
    </row>
    <row r="359" spans="1:10">
      <c r="A359" s="297">
        <v>2013</v>
      </c>
      <c r="B359" s="297">
        <v>7</v>
      </c>
      <c r="C359" s="297">
        <v>10</v>
      </c>
      <c r="D359" s="297">
        <v>2730</v>
      </c>
      <c r="E359" s="297">
        <v>0</v>
      </c>
      <c r="F359" s="297">
        <v>23.5</v>
      </c>
      <c r="G359" s="297">
        <v>23.6</v>
      </c>
      <c r="H359" s="297">
        <v>17.100000000000001</v>
      </c>
      <c r="I359" s="297">
        <v>30.1</v>
      </c>
      <c r="J359" s="297">
        <v>1104</v>
      </c>
    </row>
    <row r="360" spans="1:10">
      <c r="A360" s="297">
        <v>2013</v>
      </c>
      <c r="B360" s="297">
        <v>7</v>
      </c>
      <c r="C360" s="297">
        <v>11</v>
      </c>
      <c r="D360" s="297">
        <v>2854</v>
      </c>
      <c r="E360" s="297">
        <v>0</v>
      </c>
      <c r="F360" s="297">
        <v>20.399999999999999</v>
      </c>
      <c r="G360" s="297">
        <v>21</v>
      </c>
      <c r="H360" s="297">
        <v>15.6</v>
      </c>
      <c r="I360" s="297">
        <v>26.5</v>
      </c>
      <c r="J360" s="297">
        <v>1146</v>
      </c>
    </row>
    <row r="361" spans="1:10">
      <c r="A361" s="297">
        <v>2013</v>
      </c>
      <c r="B361" s="297">
        <v>7</v>
      </c>
      <c r="C361" s="297">
        <v>12</v>
      </c>
      <c r="D361" s="297">
        <v>2915</v>
      </c>
      <c r="E361" s="297">
        <v>0</v>
      </c>
      <c r="F361" s="297">
        <v>20</v>
      </c>
      <c r="G361" s="297">
        <v>20</v>
      </c>
      <c r="H361" s="297">
        <v>12.2</v>
      </c>
      <c r="I361" s="297">
        <v>27.8</v>
      </c>
      <c r="J361" s="297">
        <v>1167</v>
      </c>
    </row>
    <row r="362" spans="1:10">
      <c r="A362" s="297">
        <v>2013</v>
      </c>
      <c r="B362" s="297">
        <v>7</v>
      </c>
      <c r="C362" s="297">
        <v>13</v>
      </c>
      <c r="D362" s="297">
        <v>2725</v>
      </c>
      <c r="E362" s="297">
        <v>0</v>
      </c>
      <c r="F362" s="297">
        <v>20.6</v>
      </c>
      <c r="G362" s="297">
        <v>20</v>
      </c>
      <c r="H362" s="297">
        <v>12.6</v>
      </c>
      <c r="I362" s="297">
        <v>27.5</v>
      </c>
      <c r="J362" s="297">
        <v>1094</v>
      </c>
    </row>
    <row r="363" spans="1:10">
      <c r="A363" s="297">
        <v>2013</v>
      </c>
      <c r="B363" s="297">
        <v>7</v>
      </c>
      <c r="C363" s="297">
        <v>14</v>
      </c>
      <c r="D363" s="297">
        <v>2774</v>
      </c>
      <c r="E363" s="297">
        <v>0</v>
      </c>
      <c r="F363" s="297">
        <v>21.6</v>
      </c>
      <c r="G363" s="297">
        <v>21.6</v>
      </c>
      <c r="H363" s="297">
        <v>14.3</v>
      </c>
      <c r="I363" s="297">
        <v>29</v>
      </c>
      <c r="J363" s="297">
        <v>1121</v>
      </c>
    </row>
    <row r="364" spans="1:10">
      <c r="A364" s="297">
        <v>2013</v>
      </c>
      <c r="B364" s="297">
        <v>7</v>
      </c>
      <c r="C364" s="297">
        <v>15</v>
      </c>
      <c r="D364" s="297">
        <v>2773</v>
      </c>
      <c r="E364" s="297">
        <v>0</v>
      </c>
      <c r="F364" s="297">
        <v>21.8</v>
      </c>
      <c r="G364" s="297">
        <v>21.7</v>
      </c>
      <c r="H364" s="297">
        <v>14.4</v>
      </c>
      <c r="I364" s="297">
        <v>29</v>
      </c>
      <c r="J364" s="297">
        <v>1134</v>
      </c>
    </row>
    <row r="365" spans="1:10">
      <c r="A365" s="297">
        <v>2013</v>
      </c>
      <c r="B365" s="297">
        <v>7</v>
      </c>
      <c r="C365" s="297">
        <v>16</v>
      </c>
      <c r="D365" s="297">
        <v>2787</v>
      </c>
      <c r="E365" s="297">
        <v>0</v>
      </c>
      <c r="F365" s="297">
        <v>22.7</v>
      </c>
      <c r="G365" s="297">
        <v>22.1</v>
      </c>
      <c r="H365" s="297">
        <v>13.9</v>
      </c>
      <c r="I365" s="297">
        <v>30.4</v>
      </c>
      <c r="J365" s="297">
        <v>1144</v>
      </c>
    </row>
    <row r="366" spans="1:10">
      <c r="A366" s="297">
        <v>2013</v>
      </c>
      <c r="B366" s="297">
        <v>7</v>
      </c>
      <c r="C366" s="297">
        <v>17</v>
      </c>
      <c r="D366" s="297">
        <v>2298</v>
      </c>
      <c r="E366" s="297">
        <v>0</v>
      </c>
      <c r="F366" s="297">
        <v>23.5</v>
      </c>
      <c r="G366" s="297">
        <v>23</v>
      </c>
      <c r="H366" s="297">
        <v>15</v>
      </c>
      <c r="I366" s="297">
        <v>31.1</v>
      </c>
      <c r="J366" s="297">
        <v>943</v>
      </c>
    </row>
    <row r="367" spans="1:10">
      <c r="A367" s="297">
        <v>2013</v>
      </c>
      <c r="B367" s="297">
        <v>7</v>
      </c>
      <c r="C367" s="297">
        <v>18</v>
      </c>
      <c r="D367" s="297">
        <v>1827</v>
      </c>
      <c r="E367" s="297">
        <v>7.5</v>
      </c>
      <c r="F367" s="297">
        <v>23.2</v>
      </c>
      <c r="G367" s="297">
        <v>24.7</v>
      </c>
      <c r="H367" s="297">
        <v>18.600000000000001</v>
      </c>
      <c r="I367" s="297">
        <v>30.7</v>
      </c>
      <c r="J367" s="297">
        <v>773</v>
      </c>
    </row>
    <row r="368" spans="1:10">
      <c r="A368" s="297">
        <v>2013</v>
      </c>
      <c r="B368" s="297">
        <v>7</v>
      </c>
      <c r="C368" s="297">
        <v>19</v>
      </c>
      <c r="D368" s="297">
        <v>2177</v>
      </c>
      <c r="E368" s="297">
        <v>0.5</v>
      </c>
      <c r="F368" s="297">
        <v>22.4</v>
      </c>
      <c r="G368" s="297">
        <v>23.1</v>
      </c>
      <c r="H368" s="297">
        <v>17.7</v>
      </c>
      <c r="I368" s="297">
        <v>28.5</v>
      </c>
      <c r="J368" s="297">
        <v>921</v>
      </c>
    </row>
    <row r="369" spans="1:10">
      <c r="A369" s="297">
        <v>2013</v>
      </c>
      <c r="B369" s="297">
        <v>7</v>
      </c>
      <c r="C369" s="297">
        <v>20</v>
      </c>
      <c r="D369" s="297">
        <v>2591</v>
      </c>
      <c r="E369" s="297">
        <v>0</v>
      </c>
      <c r="F369" s="297">
        <v>23.9</v>
      </c>
      <c r="G369" s="297">
        <v>23.8</v>
      </c>
      <c r="H369" s="297">
        <v>16.7</v>
      </c>
      <c r="I369" s="297">
        <v>30.9</v>
      </c>
      <c r="J369" s="297">
        <v>1084</v>
      </c>
    </row>
    <row r="370" spans="1:10">
      <c r="A370" s="297">
        <v>2013</v>
      </c>
      <c r="B370" s="297">
        <v>7</v>
      </c>
      <c r="C370" s="297">
        <v>21</v>
      </c>
      <c r="D370" s="297">
        <v>2556</v>
      </c>
      <c r="E370" s="297">
        <v>0</v>
      </c>
      <c r="F370" s="297">
        <v>25.2</v>
      </c>
      <c r="G370" s="297">
        <v>25.2</v>
      </c>
      <c r="H370" s="297">
        <v>17.100000000000001</v>
      </c>
      <c r="I370" s="297">
        <v>33.200000000000003</v>
      </c>
      <c r="J370" s="297">
        <v>1075</v>
      </c>
    </row>
    <row r="371" spans="1:10">
      <c r="A371" s="297">
        <v>2013</v>
      </c>
      <c r="B371" s="297">
        <v>7</v>
      </c>
      <c r="C371" s="297">
        <v>22</v>
      </c>
      <c r="D371" s="297">
        <v>2233</v>
      </c>
      <c r="E371" s="297">
        <v>0</v>
      </c>
      <c r="F371" s="297">
        <v>25.4</v>
      </c>
      <c r="G371" s="297">
        <v>25.1</v>
      </c>
      <c r="H371" s="297">
        <v>16.2</v>
      </c>
      <c r="I371" s="297">
        <v>34</v>
      </c>
      <c r="J371" s="297">
        <v>944</v>
      </c>
    </row>
    <row r="372" spans="1:10">
      <c r="A372" s="297">
        <v>2013</v>
      </c>
      <c r="B372" s="297">
        <v>7</v>
      </c>
      <c r="C372" s="297">
        <v>23</v>
      </c>
      <c r="D372" s="297">
        <v>1433</v>
      </c>
      <c r="E372" s="297">
        <v>0</v>
      </c>
      <c r="F372" s="297">
        <v>23.1</v>
      </c>
      <c r="G372" s="297">
        <v>23.9</v>
      </c>
      <c r="H372" s="297">
        <v>16.399999999999999</v>
      </c>
      <c r="I372" s="297">
        <v>31.4</v>
      </c>
      <c r="J372" s="297">
        <v>607</v>
      </c>
    </row>
    <row r="373" spans="1:10">
      <c r="A373" s="297">
        <v>2013</v>
      </c>
      <c r="B373" s="297">
        <v>7</v>
      </c>
      <c r="C373" s="297">
        <v>24</v>
      </c>
      <c r="D373" s="297">
        <v>2592</v>
      </c>
      <c r="E373" s="297">
        <v>0</v>
      </c>
      <c r="F373" s="297">
        <v>23.8</v>
      </c>
      <c r="G373" s="297">
        <v>24</v>
      </c>
      <c r="H373" s="297">
        <v>17.8</v>
      </c>
      <c r="I373" s="297">
        <v>30.3</v>
      </c>
      <c r="J373" s="297">
        <v>1092</v>
      </c>
    </row>
    <row r="374" spans="1:10">
      <c r="A374" s="297">
        <v>2013</v>
      </c>
      <c r="B374" s="297">
        <v>7</v>
      </c>
      <c r="C374" s="297">
        <v>25</v>
      </c>
      <c r="D374" s="297">
        <v>2101</v>
      </c>
      <c r="E374" s="297">
        <v>0</v>
      </c>
      <c r="F374" s="297">
        <v>25</v>
      </c>
      <c r="G374" s="297">
        <v>24.8</v>
      </c>
      <c r="H374" s="297">
        <v>17.600000000000001</v>
      </c>
      <c r="I374" s="297">
        <v>32</v>
      </c>
      <c r="J374" s="297">
        <v>880</v>
      </c>
    </row>
    <row r="375" spans="1:10">
      <c r="A375" s="297">
        <v>2013</v>
      </c>
      <c r="B375" s="297">
        <v>7</v>
      </c>
      <c r="C375" s="297">
        <v>26</v>
      </c>
      <c r="D375" s="297">
        <v>2190</v>
      </c>
      <c r="E375" s="297">
        <v>0</v>
      </c>
      <c r="F375" s="297">
        <v>25.6</v>
      </c>
      <c r="G375" s="297">
        <v>24.8</v>
      </c>
      <c r="H375" s="297">
        <v>16.600000000000001</v>
      </c>
      <c r="I375" s="297">
        <v>32.9</v>
      </c>
      <c r="J375" s="297">
        <v>916</v>
      </c>
    </row>
    <row r="376" spans="1:10">
      <c r="A376" s="297">
        <v>2013</v>
      </c>
      <c r="B376" s="297">
        <v>7</v>
      </c>
      <c r="C376" s="297">
        <v>27</v>
      </c>
      <c r="D376" s="297">
        <v>2555</v>
      </c>
      <c r="E376" s="297">
        <v>1.5</v>
      </c>
      <c r="F376" s="297">
        <v>27.3</v>
      </c>
      <c r="G376" s="297">
        <v>27</v>
      </c>
      <c r="H376" s="297">
        <v>18</v>
      </c>
      <c r="I376" s="297">
        <v>36.1</v>
      </c>
      <c r="J376" s="297">
        <v>1061</v>
      </c>
    </row>
    <row r="377" spans="1:10">
      <c r="A377" s="297">
        <v>2013</v>
      </c>
      <c r="B377" s="297">
        <v>7</v>
      </c>
      <c r="C377" s="297">
        <v>28</v>
      </c>
      <c r="D377" s="297">
        <v>134</v>
      </c>
      <c r="E377" s="297">
        <v>70</v>
      </c>
      <c r="F377" s="297">
        <v>19</v>
      </c>
      <c r="G377" s="297">
        <v>19</v>
      </c>
      <c r="H377" s="297">
        <v>18</v>
      </c>
      <c r="I377" s="297">
        <v>19.899999999999999</v>
      </c>
      <c r="J377" s="297">
        <v>73</v>
      </c>
    </row>
    <row r="378" spans="1:10">
      <c r="A378" s="297">
        <v>2013</v>
      </c>
      <c r="B378" s="297">
        <v>7</v>
      </c>
      <c r="C378" s="297">
        <v>29</v>
      </c>
      <c r="D378" s="297">
        <v>1378</v>
      </c>
      <c r="E378" s="297">
        <v>1</v>
      </c>
      <c r="F378" s="297">
        <v>19.100000000000001</v>
      </c>
      <c r="G378" s="297">
        <v>20.399999999999999</v>
      </c>
      <c r="H378" s="297">
        <v>16.7</v>
      </c>
      <c r="I378" s="297">
        <v>24</v>
      </c>
      <c r="J378" s="297">
        <v>601</v>
      </c>
    </row>
    <row r="379" spans="1:10">
      <c r="A379" s="297">
        <v>2013</v>
      </c>
      <c r="B379" s="297">
        <v>7</v>
      </c>
      <c r="C379" s="297">
        <v>30</v>
      </c>
      <c r="D379" s="297">
        <v>2075</v>
      </c>
      <c r="E379" s="297">
        <v>0</v>
      </c>
      <c r="F379" s="297">
        <v>19.7</v>
      </c>
      <c r="G379" s="297">
        <v>20</v>
      </c>
      <c r="H379" s="297">
        <v>14.5</v>
      </c>
      <c r="I379" s="297">
        <v>25.4</v>
      </c>
      <c r="J379" s="297">
        <v>888</v>
      </c>
    </row>
    <row r="380" spans="1:10">
      <c r="A380" s="297">
        <v>2013</v>
      </c>
      <c r="B380" s="297">
        <v>7</v>
      </c>
      <c r="C380" s="297">
        <v>31</v>
      </c>
      <c r="D380" s="297">
        <v>2508</v>
      </c>
      <c r="E380" s="297">
        <v>0</v>
      </c>
      <c r="F380" s="297">
        <v>22.6</v>
      </c>
      <c r="G380" s="297">
        <v>22.8</v>
      </c>
      <c r="H380" s="297">
        <v>16.3</v>
      </c>
      <c r="I380" s="297">
        <v>29.2</v>
      </c>
      <c r="J380" s="297">
        <v>1062</v>
      </c>
    </row>
    <row r="381" spans="1:10">
      <c r="A381" s="297">
        <v>2013</v>
      </c>
      <c r="B381" s="297">
        <v>8</v>
      </c>
      <c r="C381" s="297">
        <v>1</v>
      </c>
      <c r="D381" s="297">
        <v>2697</v>
      </c>
      <c r="E381" s="297">
        <v>0</v>
      </c>
      <c r="F381" s="297">
        <v>23.9</v>
      </c>
      <c r="G381" s="297">
        <v>23.5</v>
      </c>
      <c r="H381" s="297">
        <v>14.6</v>
      </c>
      <c r="I381" s="297">
        <v>32.299999999999997</v>
      </c>
      <c r="J381" s="297">
        <v>1135</v>
      </c>
    </row>
    <row r="382" spans="1:10">
      <c r="A382" s="297">
        <v>2013</v>
      </c>
      <c r="B382" s="297">
        <v>8</v>
      </c>
      <c r="C382" s="297">
        <v>2</v>
      </c>
      <c r="D382" s="297">
        <v>2524</v>
      </c>
      <c r="E382" s="297">
        <v>0</v>
      </c>
      <c r="F382" s="297">
        <v>24.7</v>
      </c>
      <c r="G382" s="297">
        <v>24</v>
      </c>
      <c r="H382" s="297">
        <v>15</v>
      </c>
      <c r="I382" s="297">
        <v>33</v>
      </c>
      <c r="J382" s="297">
        <v>1042</v>
      </c>
    </row>
    <row r="383" spans="1:10">
      <c r="A383" s="297">
        <v>2013</v>
      </c>
      <c r="B383" s="297">
        <v>8</v>
      </c>
      <c r="C383" s="297">
        <v>3</v>
      </c>
      <c r="D383" s="297">
        <v>2163</v>
      </c>
      <c r="E383" s="297">
        <v>0</v>
      </c>
      <c r="F383" s="297">
        <v>23.3</v>
      </c>
      <c r="G383" s="297">
        <v>23.5</v>
      </c>
      <c r="H383" s="297">
        <v>18.600000000000001</v>
      </c>
      <c r="I383" s="297">
        <v>28.5</v>
      </c>
      <c r="J383" s="297">
        <v>918</v>
      </c>
    </row>
    <row r="384" spans="1:10">
      <c r="A384" s="297">
        <v>2013</v>
      </c>
      <c r="B384" s="297">
        <v>8</v>
      </c>
      <c r="C384" s="297">
        <v>4</v>
      </c>
      <c r="D384" s="297">
        <v>2082</v>
      </c>
      <c r="E384" s="297">
        <v>0</v>
      </c>
      <c r="F384" s="297">
        <v>23</v>
      </c>
      <c r="G384" s="297">
        <v>23.5</v>
      </c>
      <c r="H384" s="297">
        <v>17.8</v>
      </c>
      <c r="I384" s="297">
        <v>29.3</v>
      </c>
      <c r="J384" s="297">
        <v>873</v>
      </c>
    </row>
    <row r="385" spans="1:10">
      <c r="A385" s="297">
        <v>2013</v>
      </c>
      <c r="B385" s="297">
        <v>8</v>
      </c>
      <c r="C385" s="297">
        <v>5</v>
      </c>
      <c r="D385" s="297">
        <v>2344</v>
      </c>
      <c r="E385" s="297">
        <v>0</v>
      </c>
      <c r="F385" s="297">
        <v>24.7</v>
      </c>
      <c r="G385" s="297">
        <v>24.3</v>
      </c>
      <c r="H385" s="297">
        <v>16.8</v>
      </c>
      <c r="I385" s="297">
        <v>31.8</v>
      </c>
      <c r="J385" s="297">
        <v>994</v>
      </c>
    </row>
    <row r="386" spans="1:10">
      <c r="A386" s="297">
        <v>2013</v>
      </c>
      <c r="B386" s="297">
        <v>8</v>
      </c>
      <c r="C386" s="297">
        <v>6</v>
      </c>
      <c r="D386" s="297">
        <v>1453</v>
      </c>
      <c r="E386" s="297">
        <v>10</v>
      </c>
      <c r="F386" s="297">
        <v>21.6</v>
      </c>
      <c r="G386" s="297">
        <v>21.7</v>
      </c>
      <c r="H386" s="297">
        <v>18.8</v>
      </c>
      <c r="I386" s="297">
        <v>24.6</v>
      </c>
      <c r="J386" s="297">
        <v>624</v>
      </c>
    </row>
    <row r="387" spans="1:10">
      <c r="A387" s="297">
        <v>2013</v>
      </c>
      <c r="B387" s="297">
        <v>8</v>
      </c>
      <c r="C387" s="297">
        <v>7</v>
      </c>
      <c r="D387" s="297">
        <v>931</v>
      </c>
      <c r="E387" s="297">
        <v>2</v>
      </c>
      <c r="F387" s="297">
        <v>18.8</v>
      </c>
      <c r="G387" s="297">
        <v>19.600000000000001</v>
      </c>
      <c r="H387" s="297">
        <v>18.100000000000001</v>
      </c>
      <c r="I387" s="297">
        <v>21.1</v>
      </c>
      <c r="J387" s="297">
        <v>426</v>
      </c>
    </row>
    <row r="388" spans="1:10">
      <c r="A388" s="297">
        <v>2013</v>
      </c>
      <c r="B388" s="297">
        <v>8</v>
      </c>
      <c r="C388" s="297">
        <v>8</v>
      </c>
      <c r="D388" s="297">
        <v>919</v>
      </c>
      <c r="E388" s="297">
        <v>0</v>
      </c>
      <c r="F388" s="297">
        <v>17.399999999999999</v>
      </c>
      <c r="G388" s="297">
        <v>18.2</v>
      </c>
      <c r="H388" s="297">
        <v>15.3</v>
      </c>
      <c r="I388" s="297">
        <v>21.1</v>
      </c>
      <c r="J388" s="297">
        <v>408</v>
      </c>
    </row>
    <row r="389" spans="1:10">
      <c r="A389" s="297">
        <v>2013</v>
      </c>
      <c r="B389" s="297">
        <v>8</v>
      </c>
      <c r="C389" s="297">
        <v>9</v>
      </c>
      <c r="D389" s="297">
        <v>1766</v>
      </c>
      <c r="E389" s="297">
        <v>0</v>
      </c>
      <c r="F389" s="297">
        <v>17.899999999999999</v>
      </c>
      <c r="G389" s="297">
        <v>18</v>
      </c>
      <c r="H389" s="297">
        <v>10.199999999999999</v>
      </c>
      <c r="I389" s="297">
        <v>25.7</v>
      </c>
      <c r="J389" s="297">
        <v>748</v>
      </c>
    </row>
    <row r="390" spans="1:10">
      <c r="A390" s="297">
        <v>2013</v>
      </c>
      <c r="B390" s="297">
        <v>8</v>
      </c>
      <c r="C390" s="297">
        <v>10</v>
      </c>
      <c r="D390" s="297">
        <v>2250</v>
      </c>
      <c r="E390" s="297">
        <v>0</v>
      </c>
      <c r="F390" s="297">
        <v>18.7</v>
      </c>
      <c r="G390" s="297">
        <v>18.8</v>
      </c>
      <c r="H390" s="297">
        <v>11.9</v>
      </c>
      <c r="I390" s="297">
        <v>25.8</v>
      </c>
      <c r="J390" s="297">
        <v>942</v>
      </c>
    </row>
    <row r="391" spans="1:10">
      <c r="A391" s="297">
        <v>2013</v>
      </c>
      <c r="B391" s="297">
        <v>8</v>
      </c>
      <c r="C391" s="297">
        <v>11</v>
      </c>
      <c r="D391" s="297">
        <v>2510</v>
      </c>
      <c r="E391" s="297">
        <v>0</v>
      </c>
      <c r="F391" s="297">
        <v>19.399999999999999</v>
      </c>
      <c r="G391" s="297">
        <v>17.899999999999999</v>
      </c>
      <c r="H391" s="297">
        <v>9.6999999999999993</v>
      </c>
      <c r="I391" s="297">
        <v>26</v>
      </c>
      <c r="J391" s="297">
        <v>1052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 activeCell="F5" sqref="F5"/>
    </sheetView>
  </sheetViews>
  <sheetFormatPr baseColWidth="10" defaultRowHeight="15"/>
  <cols>
    <col min="1" max="1" width="22.7109375" style="199" customWidth="1"/>
    <col min="2" max="6" width="11.42578125" style="199"/>
    <col min="7" max="7" width="23.7109375" style="198" bestFit="1" customWidth="1"/>
    <col min="8" max="16384" width="11.42578125" style="198"/>
  </cols>
  <sheetData>
    <row r="1" spans="1:10" ht="15.75">
      <c r="A1" s="329" t="s">
        <v>7747</v>
      </c>
      <c r="B1" s="329"/>
      <c r="C1" s="329"/>
      <c r="D1" s="329"/>
      <c r="E1" s="329"/>
      <c r="F1" s="329"/>
      <c r="G1" s="329"/>
    </row>
    <row r="2" spans="1:10" ht="15.75" thickBot="1"/>
    <row r="3" spans="1:10" ht="32.25" thickBot="1">
      <c r="A3" s="235" t="s">
        <v>7748</v>
      </c>
      <c r="B3" s="236" t="s">
        <v>7749</v>
      </c>
      <c r="C3" s="236" t="s">
        <v>7750</v>
      </c>
      <c r="D3" s="236" t="s">
        <v>7751</v>
      </c>
      <c r="G3" s="238" t="s">
        <v>7782</v>
      </c>
      <c r="H3" s="239" t="s">
        <v>7783</v>
      </c>
      <c r="I3" s="239" t="s">
        <v>7784</v>
      </c>
      <c r="J3" s="239" t="s">
        <v>7726</v>
      </c>
    </row>
    <row r="4" spans="1:10" ht="16.5" thickBot="1">
      <c r="A4" s="334" t="s">
        <v>7752</v>
      </c>
      <c r="B4" s="237" t="s">
        <v>7753</v>
      </c>
      <c r="C4" s="237" t="s">
        <v>7754</v>
      </c>
      <c r="D4" s="237" t="s">
        <v>7755</v>
      </c>
      <c r="G4" s="240" t="s">
        <v>7785</v>
      </c>
      <c r="H4" s="241">
        <v>19</v>
      </c>
      <c r="I4" s="241">
        <v>18.5</v>
      </c>
      <c r="J4" s="242"/>
    </row>
    <row r="5" spans="1:10" ht="16.5" thickBot="1">
      <c r="A5" s="335"/>
      <c r="B5" s="237" t="s">
        <v>7756</v>
      </c>
      <c r="C5" s="237" t="s">
        <v>7757</v>
      </c>
      <c r="D5" s="237" t="s">
        <v>7758</v>
      </c>
      <c r="G5" s="243" t="s">
        <v>7786</v>
      </c>
      <c r="H5" s="330">
        <v>4.0999999999999996</v>
      </c>
      <c r="I5" s="330">
        <v>5.4</v>
      </c>
      <c r="J5" s="332">
        <v>9.5</v>
      </c>
    </row>
    <row r="6" spans="1:10" ht="32.25" thickBot="1">
      <c r="A6" s="335"/>
      <c r="B6" s="237" t="s">
        <v>7759</v>
      </c>
      <c r="C6" s="237" t="s">
        <v>7760</v>
      </c>
      <c r="D6" s="237" t="s">
        <v>7761</v>
      </c>
      <c r="G6" s="244" t="s">
        <v>7787</v>
      </c>
      <c r="H6" s="331"/>
      <c r="I6" s="331"/>
      <c r="J6" s="333"/>
    </row>
    <row r="7" spans="1:10" ht="16.5" thickBot="1">
      <c r="A7" s="335"/>
      <c r="B7" s="237" t="s">
        <v>7762</v>
      </c>
      <c r="C7" s="237" t="s">
        <v>7763</v>
      </c>
      <c r="D7" s="237" t="s">
        <v>7764</v>
      </c>
      <c r="G7" s="243" t="s">
        <v>7788</v>
      </c>
      <c r="H7" s="330">
        <v>36.200000000000003</v>
      </c>
      <c r="I7" s="330">
        <v>28</v>
      </c>
      <c r="J7" s="332">
        <v>64.2</v>
      </c>
    </row>
    <row r="8" spans="1:10" ht="32.25" thickBot="1">
      <c r="A8" s="336"/>
      <c r="B8" s="237" t="s">
        <v>7765</v>
      </c>
      <c r="C8" s="237" t="s">
        <v>7766</v>
      </c>
      <c r="D8" s="237" t="s">
        <v>7767</v>
      </c>
      <c r="G8" s="244" t="s">
        <v>7789</v>
      </c>
      <c r="H8" s="331"/>
      <c r="I8" s="331"/>
      <c r="J8" s="333"/>
    </row>
    <row r="9" spans="1:10" ht="16.5" thickBot="1">
      <c r="A9" s="337" t="s">
        <v>7768</v>
      </c>
      <c r="B9" s="237" t="s">
        <v>7769</v>
      </c>
      <c r="C9" s="237" t="s">
        <v>7770</v>
      </c>
      <c r="D9" s="237" t="s">
        <v>7771</v>
      </c>
      <c r="G9" s="243" t="s">
        <v>7790</v>
      </c>
      <c r="H9" s="332">
        <v>40.299999999999997</v>
      </c>
      <c r="I9" s="332">
        <v>33.4</v>
      </c>
      <c r="J9" s="332">
        <v>73.7</v>
      </c>
    </row>
    <row r="10" spans="1:10" ht="16.5" thickBot="1">
      <c r="A10" s="338"/>
      <c r="B10" s="237" t="s">
        <v>7772</v>
      </c>
      <c r="C10" s="237" t="s">
        <v>7773</v>
      </c>
      <c r="D10" s="237" t="s">
        <v>7774</v>
      </c>
      <c r="G10" s="244" t="s">
        <v>7791</v>
      </c>
      <c r="H10" s="333"/>
      <c r="I10" s="333"/>
      <c r="J10" s="333"/>
    </row>
    <row r="11" spans="1:10" ht="16.5" thickBot="1">
      <c r="A11" s="338"/>
      <c r="B11" s="237" t="s">
        <v>7775</v>
      </c>
      <c r="C11" s="237" t="s">
        <v>7773</v>
      </c>
      <c r="D11" s="237" t="s">
        <v>7776</v>
      </c>
    </row>
    <row r="12" spans="1:10" ht="32.25" thickBot="1">
      <c r="A12" s="338"/>
      <c r="B12" s="237" t="s">
        <v>7777</v>
      </c>
      <c r="C12" s="237" t="s">
        <v>7778</v>
      </c>
      <c r="D12" s="237" t="s">
        <v>7779</v>
      </c>
      <c r="G12" s="245" t="s">
        <v>7792</v>
      </c>
      <c r="H12" s="239" t="s">
        <v>7783</v>
      </c>
      <c r="I12" s="239" t="s">
        <v>7784</v>
      </c>
      <c r="J12" s="239" t="s">
        <v>7726</v>
      </c>
    </row>
    <row r="13" spans="1:10" ht="16.5" thickBot="1">
      <c r="A13" s="339"/>
      <c r="B13" s="237" t="s">
        <v>7780</v>
      </c>
      <c r="C13" s="237" t="s">
        <v>7766</v>
      </c>
      <c r="D13" s="237" t="s">
        <v>7781</v>
      </c>
      <c r="G13" s="240" t="s">
        <v>7785</v>
      </c>
      <c r="H13" s="241">
        <v>22.9</v>
      </c>
      <c r="I13" s="241">
        <v>18</v>
      </c>
      <c r="J13" s="241"/>
    </row>
    <row r="14" spans="1:10">
      <c r="G14" s="243" t="s">
        <v>7786</v>
      </c>
      <c r="H14" s="330">
        <v>3.6</v>
      </c>
      <c r="I14" s="330">
        <v>3.7</v>
      </c>
      <c r="J14" s="332">
        <v>7.3</v>
      </c>
    </row>
    <row r="15" spans="1:10" ht="15.75" thickBot="1">
      <c r="G15" s="244" t="s">
        <v>7787</v>
      </c>
      <c r="H15" s="331"/>
      <c r="I15" s="331"/>
      <c r="J15" s="333"/>
    </row>
    <row r="16" spans="1:10">
      <c r="G16" s="243" t="s">
        <v>7788</v>
      </c>
      <c r="H16" s="330">
        <v>16.2</v>
      </c>
      <c r="I16" s="330">
        <v>17.100000000000001</v>
      </c>
      <c r="J16" s="332">
        <v>33.299999999999997</v>
      </c>
    </row>
    <row r="17" spans="7:10" ht="15.75" thickBot="1">
      <c r="G17" s="244" t="s">
        <v>7789</v>
      </c>
      <c r="H17" s="331"/>
      <c r="I17" s="331"/>
      <c r="J17" s="333"/>
    </row>
    <row r="18" spans="7:10">
      <c r="G18" s="243" t="s">
        <v>7790</v>
      </c>
      <c r="H18" s="332">
        <v>19.8</v>
      </c>
      <c r="I18" s="332">
        <v>20.8</v>
      </c>
      <c r="J18" s="332">
        <v>40.6</v>
      </c>
    </row>
    <row r="19" spans="7:10" ht="15.75" thickBot="1">
      <c r="G19" s="244" t="s">
        <v>7791</v>
      </c>
      <c r="H19" s="333"/>
      <c r="I19" s="333"/>
      <c r="J19" s="333"/>
    </row>
  </sheetData>
  <mergeCells count="21">
    <mergeCell ref="H18:H19"/>
    <mergeCell ref="I18:I19"/>
    <mergeCell ref="J18:J19"/>
    <mergeCell ref="H14:H15"/>
    <mergeCell ref="I14:I15"/>
    <mergeCell ref="J14:J15"/>
    <mergeCell ref="H16:H17"/>
    <mergeCell ref="I16:I17"/>
    <mergeCell ref="J16:J17"/>
    <mergeCell ref="A1:G1"/>
    <mergeCell ref="H7:H8"/>
    <mergeCell ref="I7:I8"/>
    <mergeCell ref="J7:J8"/>
    <mergeCell ref="H9:H10"/>
    <mergeCell ref="I9:I10"/>
    <mergeCell ref="J9:J10"/>
    <mergeCell ref="A4:A8"/>
    <mergeCell ref="A9:A13"/>
    <mergeCell ref="H5:H6"/>
    <mergeCell ref="I5:I6"/>
    <mergeCell ref="J5:J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zoomScaleNormal="100" workbookViewId="0">
      <selection activeCell="Q46" sqref="Q46"/>
    </sheetView>
  </sheetViews>
  <sheetFormatPr baseColWidth="10" defaultRowHeight="12.75"/>
  <cols>
    <col min="1" max="1" width="11.7109375" style="200" customWidth="1"/>
    <col min="2" max="2" width="10.140625" style="200" bestFit="1" customWidth="1"/>
    <col min="3" max="4" width="3" style="200" bestFit="1" customWidth="1"/>
    <col min="5" max="5" width="8.85546875" style="200" bestFit="1" customWidth="1"/>
    <col min="6" max="6" width="11.140625" style="200" bestFit="1" customWidth="1"/>
    <col min="7" max="7" width="6.28515625" style="200" bestFit="1" customWidth="1"/>
    <col min="8" max="8" width="4.140625" style="200" bestFit="1" customWidth="1"/>
    <col min="9" max="9" width="6.5703125" style="200" bestFit="1" customWidth="1"/>
    <col min="10" max="10" width="12" style="200" bestFit="1" customWidth="1"/>
    <col min="11" max="11" width="4.140625" style="200" bestFit="1" customWidth="1"/>
    <col min="12" max="12" width="12" style="200" bestFit="1" customWidth="1"/>
    <col min="13" max="13" width="14.28515625" style="200" bestFit="1" customWidth="1"/>
    <col min="14" max="14" width="11.140625" style="200" bestFit="1" customWidth="1"/>
    <col min="15" max="15" width="7.42578125" style="200" bestFit="1" customWidth="1"/>
    <col min="16" max="16" width="14.42578125" style="200" bestFit="1" customWidth="1"/>
    <col min="17" max="17" width="11.28515625" style="200" bestFit="1" customWidth="1"/>
    <col min="18" max="18" width="10.42578125" style="200" bestFit="1" customWidth="1"/>
    <col min="19" max="19" width="13" style="197" bestFit="1" customWidth="1"/>
    <col min="20" max="20" width="11.42578125" style="197"/>
    <col min="21" max="21" width="12.42578125" style="200" customWidth="1"/>
    <col min="22" max="22" width="11.85546875" style="200" customWidth="1"/>
    <col min="23" max="23" width="11.42578125" style="197"/>
    <col min="24" max="24" width="15.85546875" style="197" bestFit="1" customWidth="1"/>
    <col min="25" max="16384" width="11.42578125" style="197"/>
  </cols>
  <sheetData>
    <row r="1" spans="1:25" ht="15.75">
      <c r="C1" s="211"/>
      <c r="D1" s="211"/>
      <c r="E1" s="211"/>
      <c r="F1" s="211"/>
      <c r="G1" s="211"/>
      <c r="H1" s="363" t="s">
        <v>7706</v>
      </c>
      <c r="I1" s="361"/>
      <c r="J1" s="362"/>
      <c r="K1" s="360" t="s">
        <v>7705</v>
      </c>
      <c r="L1" s="361"/>
      <c r="M1" s="361"/>
      <c r="N1" s="361"/>
      <c r="O1" s="361"/>
      <c r="P1" s="361"/>
      <c r="Q1" s="361"/>
      <c r="R1" s="362"/>
      <c r="S1" s="364" t="s">
        <v>7726</v>
      </c>
      <c r="T1" s="365"/>
      <c r="U1" s="366" t="s">
        <v>7704</v>
      </c>
      <c r="V1" s="366"/>
      <c r="W1" s="367"/>
      <c r="X1" s="226"/>
    </row>
    <row r="2" spans="1:25">
      <c r="A2" s="210" t="s">
        <v>7703</v>
      </c>
      <c r="B2" s="210" t="s">
        <v>213</v>
      </c>
      <c r="C2" s="210" t="s">
        <v>22</v>
      </c>
      <c r="D2" s="210" t="s">
        <v>21</v>
      </c>
      <c r="E2" s="210" t="s">
        <v>7702</v>
      </c>
      <c r="F2" s="210" t="s">
        <v>7701</v>
      </c>
      <c r="G2" s="210" t="s">
        <v>7700</v>
      </c>
      <c r="H2" s="210" t="s">
        <v>7698</v>
      </c>
      <c r="I2" s="210" t="s">
        <v>7699</v>
      </c>
      <c r="J2" s="217" t="s">
        <v>7722</v>
      </c>
      <c r="K2" s="222" t="s">
        <v>7698</v>
      </c>
      <c r="L2" s="210" t="s">
        <v>7719</v>
      </c>
      <c r="M2" s="214" t="s">
        <v>7697</v>
      </c>
      <c r="N2" s="214" t="s">
        <v>7696</v>
      </c>
      <c r="O2" s="210" t="s">
        <v>7721</v>
      </c>
      <c r="P2" s="214" t="s">
        <v>7695</v>
      </c>
      <c r="Q2" s="214" t="s">
        <v>7694</v>
      </c>
      <c r="R2" s="223" t="s">
        <v>7720</v>
      </c>
      <c r="S2" s="220" t="s">
        <v>7724</v>
      </c>
      <c r="T2" s="214" t="s">
        <v>7725</v>
      </c>
      <c r="U2" s="209" t="s">
        <v>7693</v>
      </c>
      <c r="V2" s="209" t="s">
        <v>7692</v>
      </c>
      <c r="W2" s="225" t="s">
        <v>7727</v>
      </c>
      <c r="X2" s="227" t="s">
        <v>7728</v>
      </c>
      <c r="Y2" s="228" t="s">
        <v>7729</v>
      </c>
    </row>
    <row r="3" spans="1:25">
      <c r="A3" s="206" t="s">
        <v>7691</v>
      </c>
      <c r="B3" s="207">
        <v>41261</v>
      </c>
      <c r="C3" s="206"/>
      <c r="D3" s="206"/>
      <c r="E3" s="205" t="s">
        <v>7796</v>
      </c>
      <c r="F3" s="206" t="s">
        <v>7440</v>
      </c>
      <c r="G3" s="205"/>
      <c r="H3" s="200" t="s">
        <v>7718</v>
      </c>
      <c r="I3" s="200" t="s">
        <v>7718</v>
      </c>
      <c r="J3" s="218" t="e">
        <f>I3*L3</f>
        <v>#VALUE!</v>
      </c>
      <c r="K3" s="205">
        <v>21</v>
      </c>
      <c r="L3" s="213">
        <f>R3/O3</f>
        <v>0.13986380303823992</v>
      </c>
      <c r="M3" s="340">
        <v>190.9</v>
      </c>
      <c r="N3" s="341"/>
      <c r="O3" s="216">
        <f t="shared" ref="O3:O10" si="0">M3+N3</f>
        <v>190.9</v>
      </c>
      <c r="P3" s="344">
        <v>26.7</v>
      </c>
      <c r="Q3" s="345"/>
      <c r="R3" s="218">
        <f t="shared" ref="R3:R10" si="1">P3+Q3</f>
        <v>26.7</v>
      </c>
      <c r="S3" s="221">
        <f>(R3)/100</f>
        <v>0.26700000000000002</v>
      </c>
      <c r="T3" s="219">
        <f>MIN(4.63,4.48*S3^(-0.25))</f>
        <v>4.63</v>
      </c>
      <c r="U3" s="354"/>
      <c r="V3" s="354"/>
      <c r="W3" s="204">
        <f>(U3*P3)</f>
        <v>0</v>
      </c>
      <c r="X3" s="204">
        <v>4.4634</v>
      </c>
      <c r="Y3" s="204">
        <f>X3/T3</f>
        <v>0.96401727861771058</v>
      </c>
    </row>
    <row r="4" spans="1:25">
      <c r="A4" s="206" t="s">
        <v>7691</v>
      </c>
      <c r="B4" s="207">
        <v>41261</v>
      </c>
      <c r="C4" s="206"/>
      <c r="D4" s="206"/>
      <c r="E4" s="205" t="s">
        <v>7796</v>
      </c>
      <c r="F4" s="206" t="s">
        <v>7439</v>
      </c>
      <c r="G4" s="205"/>
      <c r="H4" s="200" t="s">
        <v>7718</v>
      </c>
      <c r="I4" s="200" t="s">
        <v>7718</v>
      </c>
      <c r="J4" s="218" t="e">
        <f t="shared" ref="J4:J22" si="2">I4*L4</f>
        <v>#VALUE!</v>
      </c>
      <c r="K4" s="205">
        <v>31</v>
      </c>
      <c r="L4" s="213">
        <f t="shared" ref="L4:L22" si="3">R4/O4</f>
        <v>0.14648910411622276</v>
      </c>
      <c r="M4" s="340">
        <v>165.2</v>
      </c>
      <c r="N4" s="341"/>
      <c r="O4" s="216">
        <f t="shared" si="0"/>
        <v>165.2</v>
      </c>
      <c r="P4" s="344">
        <v>24.2</v>
      </c>
      <c r="Q4" s="345"/>
      <c r="R4" s="218">
        <f t="shared" si="1"/>
        <v>24.2</v>
      </c>
      <c r="S4" s="221">
        <f t="shared" ref="S4:S22" si="4">(R4)/100</f>
        <v>0.24199999999999999</v>
      </c>
      <c r="T4" s="219">
        <f t="shared" ref="T4:T22" si="5">MIN(4.63,4.48*S4^(-0.25))</f>
        <v>4.63</v>
      </c>
      <c r="U4" s="354"/>
      <c r="V4" s="354"/>
      <c r="W4" s="204">
        <f t="shared" ref="W4:W10" si="6">(U4*P4)</f>
        <v>0</v>
      </c>
      <c r="X4" s="204">
        <v>4.6393000000000004</v>
      </c>
      <c r="Y4" s="204">
        <f t="shared" ref="Y4:Y22" si="7">X4/T4</f>
        <v>1.0020086393088554</v>
      </c>
    </row>
    <row r="5" spans="1:25">
      <c r="A5" s="206" t="s">
        <v>7691</v>
      </c>
      <c r="B5" s="207">
        <v>41261</v>
      </c>
      <c r="C5" s="206"/>
      <c r="D5" s="206"/>
      <c r="E5" s="205" t="s">
        <v>7797</v>
      </c>
      <c r="F5" s="206" t="s">
        <v>7440</v>
      </c>
      <c r="G5" s="205"/>
      <c r="H5" s="200" t="s">
        <v>7718</v>
      </c>
      <c r="I5" s="200" t="s">
        <v>7718</v>
      </c>
      <c r="J5" s="218" t="e">
        <f t="shared" si="2"/>
        <v>#VALUE!</v>
      </c>
      <c r="K5" s="205">
        <v>37</v>
      </c>
      <c r="L5" s="213">
        <f t="shared" si="3"/>
        <v>0.14304947829013798</v>
      </c>
      <c r="M5" s="340">
        <v>297.10000000000002</v>
      </c>
      <c r="N5" s="341"/>
      <c r="O5" s="216">
        <f t="shared" si="0"/>
        <v>297.10000000000002</v>
      </c>
      <c r="P5" s="344">
        <v>42.5</v>
      </c>
      <c r="Q5" s="345"/>
      <c r="R5" s="218">
        <f t="shared" si="1"/>
        <v>42.5</v>
      </c>
      <c r="S5" s="221">
        <f t="shared" si="4"/>
        <v>0.42499999999999999</v>
      </c>
      <c r="T5" s="219">
        <f t="shared" si="5"/>
        <v>4.63</v>
      </c>
      <c r="U5" s="354"/>
      <c r="V5" s="354"/>
      <c r="W5" s="204">
        <f t="shared" si="6"/>
        <v>0</v>
      </c>
      <c r="X5" s="204">
        <v>4.5566000000000004</v>
      </c>
      <c r="Y5" s="204">
        <f t="shared" si="7"/>
        <v>0.9841468682505401</v>
      </c>
    </row>
    <row r="6" spans="1:25">
      <c r="A6" s="206" t="s">
        <v>7691</v>
      </c>
      <c r="B6" s="207">
        <v>41261</v>
      </c>
      <c r="C6" s="206"/>
      <c r="D6" s="206"/>
      <c r="E6" s="205" t="s">
        <v>7797</v>
      </c>
      <c r="F6" s="206" t="s">
        <v>7439</v>
      </c>
      <c r="G6" s="205"/>
      <c r="H6" s="200" t="s">
        <v>7718</v>
      </c>
      <c r="I6" s="200" t="s">
        <v>7718</v>
      </c>
      <c r="J6" s="218" t="e">
        <f t="shared" si="2"/>
        <v>#VALUE!</v>
      </c>
      <c r="K6" s="205">
        <v>36</v>
      </c>
      <c r="L6" s="213">
        <f t="shared" si="3"/>
        <v>0.15124153498871334</v>
      </c>
      <c r="M6" s="340">
        <v>88.6</v>
      </c>
      <c r="N6" s="341"/>
      <c r="O6" s="216">
        <f t="shared" si="0"/>
        <v>88.6</v>
      </c>
      <c r="P6" s="344">
        <v>13.4</v>
      </c>
      <c r="Q6" s="345"/>
      <c r="R6" s="218">
        <f t="shared" si="1"/>
        <v>13.4</v>
      </c>
      <c r="S6" s="221">
        <f t="shared" si="4"/>
        <v>0.13400000000000001</v>
      </c>
      <c r="T6" s="219">
        <f t="shared" si="5"/>
        <v>4.63</v>
      </c>
      <c r="U6" s="354"/>
      <c r="V6" s="354"/>
      <c r="W6" s="204">
        <f t="shared" si="6"/>
        <v>0</v>
      </c>
      <c r="X6" s="204">
        <v>4.6520999999999999</v>
      </c>
      <c r="Y6" s="204">
        <f t="shared" si="7"/>
        <v>1.0047732181425486</v>
      </c>
    </row>
    <row r="7" spans="1:25">
      <c r="A7" s="246" t="s">
        <v>7691</v>
      </c>
      <c r="B7" s="247">
        <v>41261</v>
      </c>
      <c r="C7" s="246"/>
      <c r="D7" s="246"/>
      <c r="E7" s="248" t="s">
        <v>7798</v>
      </c>
      <c r="F7" s="246" t="s">
        <v>7440</v>
      </c>
      <c r="G7" s="248"/>
      <c r="H7" s="200" t="s">
        <v>7718</v>
      </c>
      <c r="I7" s="200" t="s">
        <v>7718</v>
      </c>
      <c r="J7" s="249" t="e">
        <f t="shared" si="2"/>
        <v>#VALUE!</v>
      </c>
      <c r="K7" s="248">
        <v>29</v>
      </c>
      <c r="L7" s="231">
        <f t="shared" si="3"/>
        <v>0.1375968992248062</v>
      </c>
      <c r="M7" s="350">
        <v>103.2</v>
      </c>
      <c r="N7" s="351"/>
      <c r="O7" s="250">
        <f t="shared" si="0"/>
        <v>103.2</v>
      </c>
      <c r="P7" s="357">
        <v>14.2</v>
      </c>
      <c r="Q7" s="358"/>
      <c r="R7" s="249">
        <f t="shared" si="1"/>
        <v>14.2</v>
      </c>
      <c r="S7" s="251">
        <f t="shared" si="4"/>
        <v>0.14199999999999999</v>
      </c>
      <c r="T7" s="252">
        <f t="shared" si="5"/>
        <v>4.63</v>
      </c>
      <c r="U7" s="359"/>
      <c r="V7" s="359"/>
      <c r="W7" s="253">
        <f t="shared" si="6"/>
        <v>0</v>
      </c>
      <c r="X7" s="253">
        <v>4.6387999999999998</v>
      </c>
      <c r="Y7" s="253">
        <f t="shared" si="7"/>
        <v>1.001900647948164</v>
      </c>
    </row>
    <row r="8" spans="1:25" s="271" customFormat="1" ht="13.5" thickBot="1">
      <c r="A8" s="262" t="s">
        <v>7691</v>
      </c>
      <c r="B8" s="263">
        <v>41261</v>
      </c>
      <c r="C8" s="262"/>
      <c r="D8" s="262"/>
      <c r="E8" s="264" t="s">
        <v>7798</v>
      </c>
      <c r="F8" s="262" t="s">
        <v>7439</v>
      </c>
      <c r="G8" s="266"/>
      <c r="H8" s="281" t="s">
        <v>7718</v>
      </c>
      <c r="I8" s="281" t="s">
        <v>7718</v>
      </c>
      <c r="J8" s="276" t="e">
        <f t="shared" si="2"/>
        <v>#VALUE!</v>
      </c>
      <c r="K8" s="264">
        <v>38</v>
      </c>
      <c r="L8" s="266">
        <f t="shared" si="3"/>
        <v>0.16014669926650366</v>
      </c>
      <c r="M8" s="352">
        <v>163.6</v>
      </c>
      <c r="N8" s="353"/>
      <c r="O8" s="267">
        <f t="shared" si="0"/>
        <v>163.6</v>
      </c>
      <c r="P8" s="346">
        <v>26.2</v>
      </c>
      <c r="Q8" s="347"/>
      <c r="R8" s="265">
        <f t="shared" si="1"/>
        <v>26.2</v>
      </c>
      <c r="S8" s="268">
        <f t="shared" si="4"/>
        <v>0.26200000000000001</v>
      </c>
      <c r="T8" s="269">
        <f t="shared" si="5"/>
        <v>4.63</v>
      </c>
      <c r="U8" s="355"/>
      <c r="V8" s="355"/>
      <c r="W8" s="270">
        <f t="shared" si="6"/>
        <v>0</v>
      </c>
      <c r="X8" s="270">
        <v>4.7861000000000002</v>
      </c>
      <c r="Y8" s="270">
        <f t="shared" si="7"/>
        <v>1.0337149028077754</v>
      </c>
    </row>
    <row r="9" spans="1:25" ht="13.5" thickTop="1">
      <c r="A9" s="254" t="s">
        <v>7690</v>
      </c>
      <c r="B9" s="255">
        <v>41313</v>
      </c>
      <c r="C9" s="256"/>
      <c r="D9" s="256"/>
      <c r="E9" s="254" t="s">
        <v>7799</v>
      </c>
      <c r="F9" s="215" t="s">
        <v>7439</v>
      </c>
      <c r="G9" s="257"/>
      <c r="H9" s="282" t="s">
        <v>7718</v>
      </c>
      <c r="I9" s="282" t="s">
        <v>7718</v>
      </c>
      <c r="J9" s="277" t="e">
        <f t="shared" si="2"/>
        <v>#VALUE!</v>
      </c>
      <c r="K9" s="258">
        <v>24</v>
      </c>
      <c r="L9" s="257">
        <f t="shared" si="3"/>
        <v>0.17562380038387715</v>
      </c>
      <c r="M9" s="348">
        <v>104.2</v>
      </c>
      <c r="N9" s="349"/>
      <c r="O9" s="259">
        <f t="shared" si="0"/>
        <v>104.2</v>
      </c>
      <c r="P9" s="344">
        <v>18.3</v>
      </c>
      <c r="Q9" s="345"/>
      <c r="R9" s="257">
        <f t="shared" si="1"/>
        <v>18.3</v>
      </c>
      <c r="S9" s="284">
        <f t="shared" si="4"/>
        <v>0.183</v>
      </c>
      <c r="T9" s="260">
        <f t="shared" si="5"/>
        <v>4.63</v>
      </c>
      <c r="U9" s="356"/>
      <c r="V9" s="356"/>
      <c r="W9" s="261">
        <f t="shared" si="6"/>
        <v>0</v>
      </c>
      <c r="X9" s="261">
        <v>4.5056000000000003</v>
      </c>
      <c r="Y9" s="261">
        <f t="shared" si="7"/>
        <v>0.97313174946004333</v>
      </c>
    </row>
    <row r="10" spans="1:25">
      <c r="A10" s="206" t="s">
        <v>7690</v>
      </c>
      <c r="B10" s="207">
        <v>41313</v>
      </c>
      <c r="C10" s="229"/>
      <c r="D10" s="229"/>
      <c r="E10" s="206" t="s">
        <v>7799</v>
      </c>
      <c r="F10" s="205" t="s">
        <v>7440</v>
      </c>
      <c r="G10" s="230"/>
      <c r="H10" s="280" t="s">
        <v>7718</v>
      </c>
      <c r="I10" s="280" t="s">
        <v>7718</v>
      </c>
      <c r="J10" s="278" t="e">
        <f t="shared" si="2"/>
        <v>#VALUE!</v>
      </c>
      <c r="K10" s="224">
        <v>34</v>
      </c>
      <c r="L10" s="213">
        <f t="shared" si="3"/>
        <v>0.15250809061488674</v>
      </c>
      <c r="M10" s="340">
        <v>247.2</v>
      </c>
      <c r="N10" s="341"/>
      <c r="O10" s="216">
        <f t="shared" si="0"/>
        <v>247.2</v>
      </c>
      <c r="P10" s="344">
        <v>37.700000000000003</v>
      </c>
      <c r="Q10" s="345"/>
      <c r="R10" s="230">
        <f t="shared" si="1"/>
        <v>37.700000000000003</v>
      </c>
      <c r="S10" s="283">
        <f t="shared" si="4"/>
        <v>0.377</v>
      </c>
      <c r="T10" s="221">
        <f t="shared" si="5"/>
        <v>4.63</v>
      </c>
      <c r="U10" s="354"/>
      <c r="V10" s="354"/>
      <c r="W10" s="204">
        <f t="shared" si="6"/>
        <v>0</v>
      </c>
      <c r="X10" s="204">
        <v>4.8512000000000004</v>
      </c>
      <c r="Y10" s="204">
        <f t="shared" si="7"/>
        <v>1.0477753779697625</v>
      </c>
    </row>
    <row r="11" spans="1:25">
      <c r="A11" s="206" t="s">
        <v>7690</v>
      </c>
      <c r="B11" s="207">
        <v>41313</v>
      </c>
      <c r="C11" s="229"/>
      <c r="D11" s="229"/>
      <c r="E11" s="206" t="s">
        <v>7800</v>
      </c>
      <c r="F11" s="205" t="s">
        <v>7439</v>
      </c>
      <c r="G11" s="230"/>
      <c r="H11" s="280" t="s">
        <v>7718</v>
      </c>
      <c r="I11" s="280" t="s">
        <v>7718</v>
      </c>
      <c r="J11" s="278" t="e">
        <f t="shared" si="2"/>
        <v>#VALUE!</v>
      </c>
      <c r="K11" s="224">
        <v>27</v>
      </c>
      <c r="L11" s="213">
        <f t="shared" si="3"/>
        <v>0.15583508036338226</v>
      </c>
      <c r="M11" s="340">
        <v>143.1</v>
      </c>
      <c r="N11" s="341"/>
      <c r="O11" s="216">
        <f>M11+N11</f>
        <v>143.1</v>
      </c>
      <c r="P11" s="344">
        <v>22.3</v>
      </c>
      <c r="Q11" s="345"/>
      <c r="R11" s="230">
        <f>P11+Q11</f>
        <v>22.3</v>
      </c>
      <c r="S11" s="283">
        <f t="shared" si="4"/>
        <v>0.223</v>
      </c>
      <c r="T11" s="221">
        <f t="shared" si="5"/>
        <v>4.63</v>
      </c>
      <c r="U11" s="204"/>
      <c r="V11" s="204"/>
      <c r="W11" s="204">
        <f>(U11*P11)+(V11*Q11)</f>
        <v>0</v>
      </c>
      <c r="X11" s="204">
        <v>4.7754000000000003</v>
      </c>
      <c r="Y11" s="204">
        <f t="shared" si="7"/>
        <v>1.0314038876889851</v>
      </c>
    </row>
    <row r="12" spans="1:25">
      <c r="A12" s="206" t="s">
        <v>7690</v>
      </c>
      <c r="B12" s="207">
        <v>41313</v>
      </c>
      <c r="C12" s="229"/>
      <c r="D12" s="229"/>
      <c r="E12" s="206" t="s">
        <v>7800</v>
      </c>
      <c r="F12" s="205" t="s">
        <v>7440</v>
      </c>
      <c r="G12" s="230"/>
      <c r="H12" s="280" t="s">
        <v>7718</v>
      </c>
      <c r="I12" s="280" t="s">
        <v>7718</v>
      </c>
      <c r="J12" s="278" t="e">
        <f t="shared" si="2"/>
        <v>#VALUE!</v>
      </c>
      <c r="K12" s="224">
        <v>40</v>
      </c>
      <c r="L12" s="213">
        <f t="shared" si="3"/>
        <v>0.14381164492523069</v>
      </c>
      <c r="M12" s="340">
        <v>314.3</v>
      </c>
      <c r="N12" s="341"/>
      <c r="O12" s="216">
        <f t="shared" ref="O12:O22" si="8">M12+N12</f>
        <v>314.3</v>
      </c>
      <c r="P12" s="344">
        <v>45.2</v>
      </c>
      <c r="Q12" s="345"/>
      <c r="R12" s="230">
        <f t="shared" ref="R12:R22" si="9">P12+Q12</f>
        <v>45.2</v>
      </c>
      <c r="S12" s="283">
        <f t="shared" si="4"/>
        <v>0.45200000000000001</v>
      </c>
      <c r="T12" s="221">
        <f t="shared" si="5"/>
        <v>4.63</v>
      </c>
      <c r="U12" s="204"/>
      <c r="V12" s="204"/>
      <c r="W12" s="204">
        <f t="shared" ref="W12:W22" si="10">(U12*P12)+(V12*Q12)</f>
        <v>0</v>
      </c>
      <c r="X12" s="204">
        <v>4.8167999999999997</v>
      </c>
      <c r="Y12" s="204">
        <f t="shared" si="7"/>
        <v>1.0403455723542117</v>
      </c>
    </row>
    <row r="13" spans="1:25">
      <c r="A13" s="246" t="s">
        <v>7690</v>
      </c>
      <c r="B13" s="247">
        <v>41313</v>
      </c>
      <c r="C13" s="272"/>
      <c r="D13" s="272"/>
      <c r="E13" s="246" t="s">
        <v>7801</v>
      </c>
      <c r="F13" s="248" t="s">
        <v>7439</v>
      </c>
      <c r="G13" s="231"/>
      <c r="H13" s="280" t="s">
        <v>7718</v>
      </c>
      <c r="I13" s="280" t="s">
        <v>7718</v>
      </c>
      <c r="J13" s="279" t="e">
        <f t="shared" si="2"/>
        <v>#VALUE!</v>
      </c>
      <c r="K13" s="273">
        <v>38</v>
      </c>
      <c r="L13" s="231">
        <f t="shared" si="3"/>
        <v>0.1486220472440945</v>
      </c>
      <c r="M13" s="340">
        <v>101.6</v>
      </c>
      <c r="N13" s="341"/>
      <c r="O13" s="250">
        <f t="shared" si="8"/>
        <v>101.6</v>
      </c>
      <c r="P13" s="344">
        <v>15.1</v>
      </c>
      <c r="Q13" s="345"/>
      <c r="R13" s="231">
        <f t="shared" si="9"/>
        <v>15.1</v>
      </c>
      <c r="S13" s="283">
        <f t="shared" si="4"/>
        <v>0.151</v>
      </c>
      <c r="T13" s="251">
        <f t="shared" si="5"/>
        <v>4.63</v>
      </c>
      <c r="U13" s="253"/>
      <c r="V13" s="253"/>
      <c r="W13" s="253">
        <f t="shared" si="10"/>
        <v>0</v>
      </c>
      <c r="X13" s="253">
        <v>5.0468000000000002</v>
      </c>
      <c r="Y13" s="253">
        <f t="shared" si="7"/>
        <v>1.0900215982721382</v>
      </c>
    </row>
    <row r="14" spans="1:25" s="271" customFormat="1" ht="13.5" thickBot="1">
      <c r="A14" s="262" t="s">
        <v>7690</v>
      </c>
      <c r="B14" s="263">
        <v>41313</v>
      </c>
      <c r="C14" s="274"/>
      <c r="D14" s="274"/>
      <c r="E14" s="262" t="s">
        <v>7801</v>
      </c>
      <c r="F14" s="264" t="s">
        <v>7440</v>
      </c>
      <c r="G14" s="266"/>
      <c r="H14" s="281" t="s">
        <v>7718</v>
      </c>
      <c r="I14" s="281" t="s">
        <v>7718</v>
      </c>
      <c r="J14" s="276" t="e">
        <f t="shared" si="2"/>
        <v>#VALUE!</v>
      </c>
      <c r="K14" s="275">
        <v>33</v>
      </c>
      <c r="L14" s="266">
        <f t="shared" si="3"/>
        <v>0.14622015915119363</v>
      </c>
      <c r="M14" s="342">
        <v>301.60000000000002</v>
      </c>
      <c r="N14" s="343"/>
      <c r="O14" s="267">
        <f t="shared" si="8"/>
        <v>301.60000000000002</v>
      </c>
      <c r="P14" s="346">
        <v>44.1</v>
      </c>
      <c r="Q14" s="347"/>
      <c r="R14" s="266">
        <f t="shared" si="9"/>
        <v>44.1</v>
      </c>
      <c r="S14" s="285">
        <f t="shared" si="4"/>
        <v>0.441</v>
      </c>
      <c r="T14" s="268">
        <f t="shared" si="5"/>
        <v>4.63</v>
      </c>
      <c r="U14" s="270"/>
      <c r="V14" s="270"/>
      <c r="W14" s="270">
        <f t="shared" si="10"/>
        <v>0</v>
      </c>
      <c r="X14" s="270">
        <v>4.9115000000000002</v>
      </c>
      <c r="Y14" s="270">
        <f t="shared" si="7"/>
        <v>1.0607991360691145</v>
      </c>
    </row>
    <row r="15" spans="1:25" ht="13.5" thickTop="1">
      <c r="A15" s="254" t="s">
        <v>7689</v>
      </c>
      <c r="B15" s="255">
        <v>41386</v>
      </c>
      <c r="C15" s="256"/>
      <c r="D15" s="256"/>
      <c r="E15" s="256" t="s">
        <v>7796</v>
      </c>
      <c r="F15" s="215" t="s">
        <v>7439</v>
      </c>
      <c r="G15" s="257"/>
      <c r="H15" s="282" t="s">
        <v>7718</v>
      </c>
      <c r="I15" s="282" t="s">
        <v>7718</v>
      </c>
      <c r="J15" s="277" t="e">
        <f t="shared" si="2"/>
        <v>#VALUE!</v>
      </c>
      <c r="K15" s="258">
        <v>15</v>
      </c>
      <c r="L15" s="257">
        <f t="shared" si="3"/>
        <v>0.11529472864191119</v>
      </c>
      <c r="M15" s="215">
        <v>779</v>
      </c>
      <c r="N15" s="215">
        <v>376.3</v>
      </c>
      <c r="O15" s="259">
        <f t="shared" si="8"/>
        <v>1155.3</v>
      </c>
      <c r="P15" s="215">
        <v>92</v>
      </c>
      <c r="Q15" s="215">
        <v>41.2</v>
      </c>
      <c r="R15" s="257">
        <f t="shared" si="9"/>
        <v>133.19999999999999</v>
      </c>
      <c r="S15" s="284">
        <f t="shared" si="4"/>
        <v>1.3319999999999999</v>
      </c>
      <c r="T15" s="260">
        <f t="shared" si="5"/>
        <v>4.1701526981319672</v>
      </c>
      <c r="U15" s="261">
        <v>4.3772000000000002</v>
      </c>
      <c r="V15" s="261">
        <v>3.4573</v>
      </c>
      <c r="W15" s="261">
        <f t="shared" si="10"/>
        <v>545.14316000000008</v>
      </c>
      <c r="X15" s="261">
        <f t="shared" ref="X15:X22" si="11">W15/R15</f>
        <v>4.0926663663663669</v>
      </c>
      <c r="Y15" s="261">
        <f t="shared" si="7"/>
        <v>0.98141882626976451</v>
      </c>
    </row>
    <row r="16" spans="1:25">
      <c r="A16" s="206" t="s">
        <v>7689</v>
      </c>
      <c r="B16" s="255">
        <v>41386</v>
      </c>
      <c r="C16" s="229"/>
      <c r="D16" s="229"/>
      <c r="E16" s="229" t="s">
        <v>7799</v>
      </c>
      <c r="F16" s="205" t="s">
        <v>7440</v>
      </c>
      <c r="G16" s="257"/>
      <c r="H16" s="280" t="s">
        <v>7718</v>
      </c>
      <c r="I16" s="280" t="s">
        <v>7718</v>
      </c>
      <c r="J16" s="278" t="e">
        <f t="shared" si="2"/>
        <v>#VALUE!</v>
      </c>
      <c r="K16" s="224">
        <v>24</v>
      </c>
      <c r="L16" s="213">
        <f t="shared" si="3"/>
        <v>0.10088331008833101</v>
      </c>
      <c r="M16" s="205">
        <v>1631.2</v>
      </c>
      <c r="N16" s="205">
        <v>1165.0999999999999</v>
      </c>
      <c r="O16" s="216">
        <f t="shared" si="8"/>
        <v>2796.3</v>
      </c>
      <c r="P16" s="205">
        <v>170.1</v>
      </c>
      <c r="Q16" s="205">
        <v>112</v>
      </c>
      <c r="R16" s="230">
        <f t="shared" si="9"/>
        <v>282.10000000000002</v>
      </c>
      <c r="S16" s="283">
        <f t="shared" si="4"/>
        <v>2.8210000000000002</v>
      </c>
      <c r="T16" s="221">
        <f t="shared" si="5"/>
        <v>3.4568237924977088</v>
      </c>
      <c r="U16" s="204">
        <v>3.8738999999999999</v>
      </c>
      <c r="V16" s="204">
        <v>3.0470000000000002</v>
      </c>
      <c r="W16" s="204">
        <f t="shared" si="10"/>
        <v>1000.21439</v>
      </c>
      <c r="X16" s="204">
        <f t="shared" si="11"/>
        <v>3.5456022332506199</v>
      </c>
      <c r="Y16" s="204">
        <f t="shared" si="7"/>
        <v>1.0256820845035797</v>
      </c>
    </row>
    <row r="17" spans="1:25">
      <c r="A17" s="206" t="s">
        <v>7689</v>
      </c>
      <c r="B17" s="255">
        <v>41386</v>
      </c>
      <c r="C17" s="229"/>
      <c r="D17" s="229"/>
      <c r="E17" s="229" t="s">
        <v>7799</v>
      </c>
      <c r="F17" s="205" t="s">
        <v>7439</v>
      </c>
      <c r="G17" s="257"/>
      <c r="H17" s="280" t="s">
        <v>7718</v>
      </c>
      <c r="I17" s="280" t="s">
        <v>7718</v>
      </c>
      <c r="J17" s="278" t="e">
        <f t="shared" si="2"/>
        <v>#VALUE!</v>
      </c>
      <c r="K17" s="224">
        <v>33</v>
      </c>
      <c r="L17" s="213">
        <f t="shared" si="3"/>
        <v>0.11532889017676037</v>
      </c>
      <c r="M17" s="205">
        <v>1218.5</v>
      </c>
      <c r="N17" s="205">
        <v>852.1</v>
      </c>
      <c r="O17" s="216">
        <f t="shared" si="8"/>
        <v>2070.6</v>
      </c>
      <c r="P17" s="205">
        <v>142.80000000000001</v>
      </c>
      <c r="Q17" s="205">
        <v>96</v>
      </c>
      <c r="R17" s="230">
        <f t="shared" si="9"/>
        <v>238.8</v>
      </c>
      <c r="S17" s="283">
        <f t="shared" si="4"/>
        <v>2.3879999999999999</v>
      </c>
      <c r="T17" s="221">
        <f t="shared" si="5"/>
        <v>3.6038726289555614</v>
      </c>
      <c r="U17" s="208">
        <v>3.5497000000000001</v>
      </c>
      <c r="V17" s="208">
        <v>2.7202000000000002</v>
      </c>
      <c r="W17" s="204">
        <f t="shared" si="10"/>
        <v>768.03636000000006</v>
      </c>
      <c r="X17" s="204">
        <f t="shared" si="11"/>
        <v>3.2162326633165832</v>
      </c>
      <c r="Y17" s="204">
        <f t="shared" si="7"/>
        <v>0.89243793953080963</v>
      </c>
    </row>
    <row r="18" spans="1:25">
      <c r="A18" s="206" t="s">
        <v>7689</v>
      </c>
      <c r="B18" s="255">
        <v>41386</v>
      </c>
      <c r="C18" s="229"/>
      <c r="D18" s="229"/>
      <c r="E18" s="229" t="s">
        <v>7796</v>
      </c>
      <c r="F18" s="205" t="s">
        <v>7440</v>
      </c>
      <c r="G18" s="257"/>
      <c r="H18" s="280" t="s">
        <v>7718</v>
      </c>
      <c r="I18" s="280" t="s">
        <v>7718</v>
      </c>
      <c r="J18" s="278" t="e">
        <f t="shared" si="2"/>
        <v>#VALUE!</v>
      </c>
      <c r="K18" s="224">
        <v>30</v>
      </c>
      <c r="L18" s="213">
        <f t="shared" si="3"/>
        <v>0.10380228136882129</v>
      </c>
      <c r="M18" s="205">
        <v>1437.5</v>
      </c>
      <c r="N18" s="205">
        <v>1192.5</v>
      </c>
      <c r="O18" s="216">
        <f t="shared" si="8"/>
        <v>2630</v>
      </c>
      <c r="P18" s="205">
        <v>152.1</v>
      </c>
      <c r="Q18" s="205">
        <v>120.9</v>
      </c>
      <c r="R18" s="230">
        <f t="shared" si="9"/>
        <v>273</v>
      </c>
      <c r="S18" s="283">
        <f t="shared" si="4"/>
        <v>2.73</v>
      </c>
      <c r="T18" s="221">
        <f t="shared" si="5"/>
        <v>3.4852774167454643</v>
      </c>
      <c r="U18" s="204">
        <v>4.0782999999999996</v>
      </c>
      <c r="V18" s="204">
        <v>3.2965</v>
      </c>
      <c r="W18" s="204">
        <f t="shared" si="10"/>
        <v>1018.85628</v>
      </c>
      <c r="X18" s="204">
        <f t="shared" si="11"/>
        <v>3.7320742857142855</v>
      </c>
      <c r="Y18" s="204">
        <f t="shared" si="7"/>
        <v>1.0708112553058342</v>
      </c>
    </row>
    <row r="19" spans="1:25">
      <c r="A19" s="206" t="s">
        <v>7689</v>
      </c>
      <c r="B19" s="207">
        <v>41419</v>
      </c>
      <c r="C19" s="229"/>
      <c r="D19" s="229"/>
      <c r="E19" s="229" t="s">
        <v>7800</v>
      </c>
      <c r="F19" s="205" t="s">
        <v>7439</v>
      </c>
      <c r="G19" s="257"/>
      <c r="H19" s="280" t="s">
        <v>7718</v>
      </c>
      <c r="I19" s="280" t="s">
        <v>7718</v>
      </c>
      <c r="J19" s="278" t="e">
        <f t="shared" si="2"/>
        <v>#VALUE!</v>
      </c>
      <c r="K19" s="224">
        <v>38</v>
      </c>
      <c r="L19" s="213">
        <f t="shared" si="3"/>
        <v>0.12569250717064162</v>
      </c>
      <c r="M19" s="205">
        <v>1189.8</v>
      </c>
      <c r="N19" s="205">
        <v>1355.3</v>
      </c>
      <c r="O19" s="216">
        <f t="shared" si="8"/>
        <v>2545.1</v>
      </c>
      <c r="P19" s="205">
        <v>123.2</v>
      </c>
      <c r="Q19" s="205">
        <v>196.7</v>
      </c>
      <c r="R19" s="230">
        <f t="shared" si="9"/>
        <v>319.89999999999998</v>
      </c>
      <c r="S19" s="283">
        <f t="shared" si="4"/>
        <v>3.1989999999999998</v>
      </c>
      <c r="T19" s="221">
        <f t="shared" si="5"/>
        <v>3.3498430070947842</v>
      </c>
      <c r="U19" s="204">
        <v>3.8045</v>
      </c>
      <c r="V19" s="204">
        <v>2.6377999999999999</v>
      </c>
      <c r="W19" s="204">
        <f t="shared" si="10"/>
        <v>987.56965999999989</v>
      </c>
      <c r="X19" s="204">
        <f t="shared" si="11"/>
        <v>3.0871199124726476</v>
      </c>
      <c r="Y19" s="204">
        <f>X19/T19</f>
        <v>0.92157152019790078</v>
      </c>
    </row>
    <row r="20" spans="1:25">
      <c r="A20" s="206" t="s">
        <v>7689</v>
      </c>
      <c r="B20" s="207">
        <v>41419</v>
      </c>
      <c r="C20" s="229"/>
      <c r="D20" s="229"/>
      <c r="E20" s="229" t="s">
        <v>7800</v>
      </c>
      <c r="F20" s="205" t="s">
        <v>7440</v>
      </c>
      <c r="G20" s="257"/>
      <c r="H20" s="280" t="s">
        <v>7718</v>
      </c>
      <c r="I20" s="280" t="s">
        <v>7718</v>
      </c>
      <c r="J20" s="278" t="e">
        <f t="shared" si="2"/>
        <v>#VALUE!</v>
      </c>
      <c r="K20" s="224">
        <v>50</v>
      </c>
      <c r="L20" s="213">
        <f t="shared" si="3"/>
        <v>0.1049564315933989</v>
      </c>
      <c r="M20" s="205">
        <v>1598.8</v>
      </c>
      <c r="N20" s="205">
        <v>1970.3</v>
      </c>
      <c r="O20" s="216">
        <f t="shared" si="8"/>
        <v>3569.1</v>
      </c>
      <c r="P20" s="205">
        <v>150.5</v>
      </c>
      <c r="Q20" s="205">
        <v>224.1</v>
      </c>
      <c r="R20" s="230">
        <f t="shared" si="9"/>
        <v>374.6</v>
      </c>
      <c r="S20" s="283">
        <f t="shared" si="4"/>
        <v>3.7460000000000004</v>
      </c>
      <c r="T20" s="221">
        <f t="shared" si="5"/>
        <v>3.2202239132705426</v>
      </c>
      <c r="U20" s="204">
        <v>3.7698999999999998</v>
      </c>
      <c r="V20" s="204">
        <v>2.5478000000000001</v>
      </c>
      <c r="W20" s="204">
        <f t="shared" si="10"/>
        <v>1138.3319300000001</v>
      </c>
      <c r="X20" s="204">
        <f t="shared" si="11"/>
        <v>3.0387931927389213</v>
      </c>
      <c r="Y20" s="204">
        <f t="shared" si="7"/>
        <v>0.94365897359374751</v>
      </c>
    </row>
    <row r="21" spans="1:25">
      <c r="A21" s="206" t="s">
        <v>7689</v>
      </c>
      <c r="B21" s="207">
        <v>41419</v>
      </c>
      <c r="C21" s="229"/>
      <c r="D21" s="229"/>
      <c r="E21" s="229" t="s">
        <v>7797</v>
      </c>
      <c r="F21" s="205" t="s">
        <v>7439</v>
      </c>
      <c r="G21" s="257"/>
      <c r="H21" s="280" t="s">
        <v>7718</v>
      </c>
      <c r="I21" s="280" t="s">
        <v>7718</v>
      </c>
      <c r="J21" s="278" t="e">
        <f t="shared" si="2"/>
        <v>#VALUE!</v>
      </c>
      <c r="K21" s="224">
        <v>27</v>
      </c>
      <c r="L21" s="213">
        <f t="shared" si="3"/>
        <v>0.10108995649529869</v>
      </c>
      <c r="M21" s="205">
        <v>938.1</v>
      </c>
      <c r="N21" s="205">
        <v>1199.5999999999999</v>
      </c>
      <c r="O21" s="216">
        <f t="shared" si="8"/>
        <v>2137.6999999999998</v>
      </c>
      <c r="P21" s="205">
        <v>78.400000000000006</v>
      </c>
      <c r="Q21" s="205">
        <v>137.69999999999999</v>
      </c>
      <c r="R21" s="230">
        <f t="shared" si="9"/>
        <v>216.1</v>
      </c>
      <c r="S21" s="283">
        <f t="shared" si="4"/>
        <v>2.161</v>
      </c>
      <c r="T21" s="221">
        <f t="shared" si="5"/>
        <v>3.6949989751754182</v>
      </c>
      <c r="U21" s="204">
        <v>2.0276999999999998</v>
      </c>
      <c r="V21" s="204">
        <v>4.5663</v>
      </c>
      <c r="W21" s="204">
        <f t="shared" si="10"/>
        <v>787.75118999999995</v>
      </c>
      <c r="X21" s="204">
        <f t="shared" si="11"/>
        <v>3.6453086071263301</v>
      </c>
      <c r="Y21" s="204">
        <f t="shared" si="7"/>
        <v>0.9865519940917632</v>
      </c>
    </row>
    <row r="22" spans="1:25" s="294" customFormat="1" ht="13.5" thickBot="1">
      <c r="A22" s="286" t="s">
        <v>7689</v>
      </c>
      <c r="B22" s="287">
        <v>41419</v>
      </c>
      <c r="C22" s="288"/>
      <c r="D22" s="288"/>
      <c r="E22" s="288" t="s">
        <v>7797</v>
      </c>
      <c r="F22" s="289" t="s">
        <v>7440</v>
      </c>
      <c r="G22" s="295"/>
      <c r="H22" s="281" t="s">
        <v>7718</v>
      </c>
      <c r="I22" s="281" t="s">
        <v>7718</v>
      </c>
      <c r="J22" s="291" t="e">
        <f t="shared" si="2"/>
        <v>#VALUE!</v>
      </c>
      <c r="K22" s="292">
        <v>40</v>
      </c>
      <c r="L22" s="290">
        <f t="shared" si="3"/>
        <v>9.2883830046050914E-2</v>
      </c>
      <c r="M22" s="289">
        <v>1906.3</v>
      </c>
      <c r="N22" s="289">
        <v>2697.3</v>
      </c>
      <c r="O22" s="267">
        <f t="shared" si="8"/>
        <v>4603.6000000000004</v>
      </c>
      <c r="P22" s="289">
        <v>164.5</v>
      </c>
      <c r="Q22" s="289">
        <v>263.10000000000002</v>
      </c>
      <c r="R22" s="290">
        <f t="shared" si="9"/>
        <v>427.6</v>
      </c>
      <c r="S22" s="285">
        <f t="shared" si="4"/>
        <v>4.2759999999999998</v>
      </c>
      <c r="T22" s="293">
        <f t="shared" si="5"/>
        <v>3.1154342484839881</v>
      </c>
      <c r="U22" s="270">
        <v>2.7488999999999999</v>
      </c>
      <c r="V22" s="270">
        <v>3.4297</v>
      </c>
      <c r="W22" s="270">
        <f t="shared" si="10"/>
        <v>1354.5481200000002</v>
      </c>
      <c r="X22" s="270">
        <f t="shared" si="11"/>
        <v>3.1677926099158094</v>
      </c>
      <c r="Y22" s="270">
        <f t="shared" si="7"/>
        <v>1.0168061198715073</v>
      </c>
    </row>
    <row r="23" spans="1:25" ht="13.5" thickTop="1">
      <c r="P23" s="203"/>
      <c r="Q23" s="203"/>
    </row>
    <row r="24" spans="1:25">
      <c r="A24" s="202" t="s">
        <v>7688</v>
      </c>
      <c r="P24" s="203"/>
      <c r="Q24" s="203"/>
    </row>
    <row r="25" spans="1:25">
      <c r="A25" s="201" t="s">
        <v>7687</v>
      </c>
      <c r="P25" s="203"/>
      <c r="Q25" s="203"/>
    </row>
    <row r="26" spans="1:25">
      <c r="A26" s="201" t="s">
        <v>7686</v>
      </c>
    </row>
    <row r="27" spans="1:25">
      <c r="A27" s="201" t="s">
        <v>7685</v>
      </c>
    </row>
    <row r="28" spans="1:25">
      <c r="A28" s="202" t="s">
        <v>7802</v>
      </c>
      <c r="P28" s="203"/>
      <c r="Q28" s="203"/>
    </row>
    <row r="29" spans="1:25">
      <c r="A29" s="202" t="s">
        <v>7684</v>
      </c>
      <c r="P29" s="203"/>
      <c r="Q29" s="203"/>
    </row>
    <row r="30" spans="1:25">
      <c r="A30" s="202" t="s">
        <v>7683</v>
      </c>
    </row>
    <row r="31" spans="1:25">
      <c r="A31" s="201" t="s">
        <v>7682</v>
      </c>
    </row>
    <row r="32" spans="1:25">
      <c r="A32" s="201" t="s">
        <v>7681</v>
      </c>
    </row>
    <row r="33" spans="1:1">
      <c r="A33" s="201" t="s">
        <v>7680</v>
      </c>
    </row>
    <row r="34" spans="1:1">
      <c r="A34" s="201" t="s">
        <v>7679</v>
      </c>
    </row>
    <row r="36" spans="1:1">
      <c r="A36" s="200" t="s">
        <v>7723</v>
      </c>
    </row>
  </sheetData>
  <sheetProtection selectLockedCells="1" selectUnlockedCells="1"/>
  <mergeCells count="36">
    <mergeCell ref="K1:R1"/>
    <mergeCell ref="H1:J1"/>
    <mergeCell ref="U3:V3"/>
    <mergeCell ref="S1:T1"/>
    <mergeCell ref="U1:W1"/>
    <mergeCell ref="M3:N3"/>
    <mergeCell ref="U10:V10"/>
    <mergeCell ref="U8:V8"/>
    <mergeCell ref="U9:V9"/>
    <mergeCell ref="P3:Q3"/>
    <mergeCell ref="P4:Q4"/>
    <mergeCell ref="P5:Q5"/>
    <mergeCell ref="P6:Q6"/>
    <mergeCell ref="P7:Q7"/>
    <mergeCell ref="P8:Q8"/>
    <mergeCell ref="U4:V4"/>
    <mergeCell ref="U5:V5"/>
    <mergeCell ref="U7:V7"/>
    <mergeCell ref="U6:V6"/>
    <mergeCell ref="P9:Q9"/>
    <mergeCell ref="P10:Q10"/>
    <mergeCell ref="M9:N9"/>
    <mergeCell ref="M10:N10"/>
    <mergeCell ref="M4:N4"/>
    <mergeCell ref="M5:N5"/>
    <mergeCell ref="M6:N6"/>
    <mergeCell ref="M7:N7"/>
    <mergeCell ref="M8:N8"/>
    <mergeCell ref="M11:N11"/>
    <mergeCell ref="M12:N12"/>
    <mergeCell ref="M13:N13"/>
    <mergeCell ref="M14:N14"/>
    <mergeCell ref="P11:Q11"/>
    <mergeCell ref="P12:Q12"/>
    <mergeCell ref="P13:Q13"/>
    <mergeCell ref="P14:Q14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8"/>
  <sheetViews>
    <sheetView zoomScale="60" zoomScaleNormal="60" workbookViewId="0">
      <selection activeCell="M79" sqref="M79"/>
    </sheetView>
  </sheetViews>
  <sheetFormatPr baseColWidth="10" defaultRowHeight="12"/>
  <cols>
    <col min="2" max="2" width="3.7109375" customWidth="1"/>
    <col min="9" max="9" width="3.7109375" customWidth="1"/>
  </cols>
  <sheetData>
    <row r="1" spans="1:10">
      <c r="C1" t="s">
        <v>7948</v>
      </c>
      <c r="D1" s="308" t="s">
        <v>7949</v>
      </c>
      <c r="E1" s="309"/>
      <c r="F1" s="309"/>
      <c r="G1" s="309"/>
      <c r="H1" s="309"/>
    </row>
    <row r="2" spans="1:10" ht="13.5" thickBot="1">
      <c r="E2" s="310"/>
      <c r="F2" s="310"/>
      <c r="G2" s="179"/>
      <c r="H2" s="179"/>
    </row>
    <row r="3" spans="1:10">
      <c r="B3" s="375">
        <v>1</v>
      </c>
      <c r="C3" s="416" t="s">
        <v>7950</v>
      </c>
      <c r="D3" s="416" t="s">
        <v>7950</v>
      </c>
      <c r="E3" s="416" t="s">
        <v>7950</v>
      </c>
      <c r="F3" s="416" t="s">
        <v>7950</v>
      </c>
      <c r="G3" s="416" t="s">
        <v>7950</v>
      </c>
      <c r="H3" s="416" t="s">
        <v>7950</v>
      </c>
      <c r="I3" s="375">
        <v>1</v>
      </c>
    </row>
    <row r="4" spans="1:10">
      <c r="A4" t="s">
        <v>7951</v>
      </c>
      <c r="B4" s="376"/>
      <c r="C4" s="416"/>
      <c r="D4" s="416"/>
      <c r="E4" s="416"/>
      <c r="F4" s="416"/>
      <c r="G4" s="416"/>
      <c r="H4" s="416"/>
      <c r="I4" s="376"/>
    </row>
    <row r="5" spans="1:10" ht="12.75" thickBot="1">
      <c r="B5" s="376"/>
      <c r="C5" s="416"/>
      <c r="D5" s="416"/>
      <c r="E5" s="416"/>
      <c r="F5" s="416"/>
      <c r="G5" s="416"/>
      <c r="H5" s="416"/>
      <c r="I5" s="396"/>
    </row>
    <row r="6" spans="1:10">
      <c r="A6" s="381" t="s">
        <v>7952</v>
      </c>
      <c r="B6" s="375">
        <v>2</v>
      </c>
      <c r="C6" s="417">
        <v>69</v>
      </c>
      <c r="D6" s="378">
        <v>27</v>
      </c>
      <c r="E6" s="378">
        <v>24</v>
      </c>
      <c r="F6" s="369">
        <v>76</v>
      </c>
      <c r="G6" s="369">
        <v>62</v>
      </c>
      <c r="H6" s="420">
        <v>1</v>
      </c>
      <c r="I6" s="375">
        <v>2</v>
      </c>
      <c r="J6" s="381" t="s">
        <v>7953</v>
      </c>
    </row>
    <row r="7" spans="1:10">
      <c r="A7" s="382"/>
      <c r="B7" s="376"/>
      <c r="C7" s="418"/>
      <c r="D7" s="379"/>
      <c r="E7" s="379"/>
      <c r="F7" s="370"/>
      <c r="G7" s="370"/>
      <c r="H7" s="421"/>
      <c r="I7" s="376"/>
      <c r="J7" s="382"/>
    </row>
    <row r="8" spans="1:10" ht="12.75" thickBot="1">
      <c r="A8" s="382"/>
      <c r="B8" s="376"/>
      <c r="C8" s="419"/>
      <c r="D8" s="380"/>
      <c r="E8" s="380"/>
      <c r="F8" s="371"/>
      <c r="G8" s="371"/>
      <c r="H8" s="422"/>
      <c r="I8" s="396"/>
      <c r="J8" s="382"/>
    </row>
    <row r="9" spans="1:10">
      <c r="A9" s="382"/>
      <c r="B9" s="375">
        <v>3</v>
      </c>
      <c r="C9" s="405" t="s">
        <v>7954</v>
      </c>
      <c r="D9" s="378" t="s">
        <v>7955</v>
      </c>
      <c r="E9" s="378" t="s">
        <v>7956</v>
      </c>
      <c r="F9" s="369" t="s">
        <v>7957</v>
      </c>
      <c r="G9" s="369" t="s">
        <v>7958</v>
      </c>
      <c r="H9" s="410" t="s">
        <v>7959</v>
      </c>
      <c r="I9" s="413">
        <v>3</v>
      </c>
      <c r="J9" s="382"/>
    </row>
    <row r="10" spans="1:10">
      <c r="A10" s="382"/>
      <c r="B10" s="376"/>
      <c r="C10" s="406"/>
      <c r="D10" s="408"/>
      <c r="E10" s="408"/>
      <c r="F10" s="408"/>
      <c r="G10" s="408"/>
      <c r="H10" s="411"/>
      <c r="I10" s="414"/>
      <c r="J10" s="382"/>
    </row>
    <row r="11" spans="1:10" ht="12.75" thickBot="1">
      <c r="A11" s="382"/>
      <c r="B11" s="376"/>
      <c r="C11" s="407"/>
      <c r="D11" s="409"/>
      <c r="E11" s="409"/>
      <c r="F11" s="409"/>
      <c r="G11" s="409"/>
      <c r="H11" s="412"/>
      <c r="I11" s="415"/>
      <c r="J11" s="382"/>
    </row>
    <row r="12" spans="1:10">
      <c r="A12" s="382"/>
      <c r="B12" s="375">
        <v>4</v>
      </c>
      <c r="C12" s="405" t="s">
        <v>7960</v>
      </c>
      <c r="D12" s="378" t="s">
        <v>7961</v>
      </c>
      <c r="E12" s="378" t="s">
        <v>7962</v>
      </c>
      <c r="F12" s="369" t="s">
        <v>7963</v>
      </c>
      <c r="G12" s="369" t="s">
        <v>7964</v>
      </c>
      <c r="H12" s="410" t="s">
        <v>7965</v>
      </c>
      <c r="I12" s="413">
        <v>4</v>
      </c>
      <c r="J12" s="382"/>
    </row>
    <row r="13" spans="1:10">
      <c r="A13" s="382"/>
      <c r="B13" s="376"/>
      <c r="C13" s="406"/>
      <c r="D13" s="408"/>
      <c r="E13" s="408"/>
      <c r="F13" s="408"/>
      <c r="G13" s="408"/>
      <c r="H13" s="411"/>
      <c r="I13" s="414"/>
      <c r="J13" s="382"/>
    </row>
    <row r="14" spans="1:10" ht="12.75" thickBot="1">
      <c r="A14" s="382"/>
      <c r="B14" s="376"/>
      <c r="C14" s="407"/>
      <c r="D14" s="409"/>
      <c r="E14" s="409"/>
      <c r="F14" s="409"/>
      <c r="G14" s="409"/>
      <c r="H14" s="412"/>
      <c r="I14" s="415"/>
      <c r="J14" s="382"/>
    </row>
    <row r="15" spans="1:10">
      <c r="A15" s="382"/>
      <c r="B15" s="375">
        <v>5</v>
      </c>
      <c r="C15" s="378" t="s">
        <v>7966</v>
      </c>
      <c r="D15" s="378" t="s">
        <v>7967</v>
      </c>
      <c r="E15" s="378" t="s">
        <v>7968</v>
      </c>
      <c r="F15" s="369" t="s">
        <v>7967</v>
      </c>
      <c r="G15" s="369" t="s">
        <v>7969</v>
      </c>
      <c r="H15" s="369" t="s">
        <v>7970</v>
      </c>
      <c r="I15" s="372">
        <v>5</v>
      </c>
      <c r="J15" s="382"/>
    </row>
    <row r="16" spans="1:10">
      <c r="A16" s="382"/>
      <c r="B16" s="376"/>
      <c r="C16" s="379"/>
      <c r="D16" s="379"/>
      <c r="E16" s="379"/>
      <c r="F16" s="370"/>
      <c r="G16" s="370"/>
      <c r="H16" s="370"/>
      <c r="I16" s="373"/>
      <c r="J16" s="382"/>
    </row>
    <row r="17" spans="1:13" ht="6" customHeight="1" thickBot="1">
      <c r="A17" s="382"/>
      <c r="B17" s="376"/>
      <c r="C17" s="380"/>
      <c r="D17" s="380"/>
      <c r="E17" s="380"/>
      <c r="F17" s="371"/>
      <c r="G17" s="371"/>
      <c r="H17" s="371"/>
      <c r="I17" s="374"/>
      <c r="J17" s="382"/>
    </row>
    <row r="18" spans="1:13" ht="6" customHeight="1">
      <c r="A18" s="382"/>
      <c r="B18" s="375">
        <v>6</v>
      </c>
      <c r="C18" s="378" t="s">
        <v>7971</v>
      </c>
      <c r="D18" s="378" t="s">
        <v>7972</v>
      </c>
      <c r="E18" s="378" t="s">
        <v>7973</v>
      </c>
      <c r="F18" s="369" t="s">
        <v>7974</v>
      </c>
      <c r="G18" s="369" t="s">
        <v>7975</v>
      </c>
      <c r="H18" s="369" t="s">
        <v>7976</v>
      </c>
      <c r="I18" s="372">
        <v>6</v>
      </c>
      <c r="J18" s="382"/>
    </row>
    <row r="19" spans="1:13" ht="6" customHeight="1">
      <c r="A19" s="382"/>
      <c r="B19" s="376"/>
      <c r="C19" s="379"/>
      <c r="D19" s="379"/>
      <c r="E19" s="379"/>
      <c r="F19" s="370"/>
      <c r="G19" s="370"/>
      <c r="H19" s="370"/>
      <c r="I19" s="373"/>
      <c r="J19" s="382"/>
    </row>
    <row r="20" spans="1:13" ht="6" customHeight="1" thickBot="1">
      <c r="A20" s="382"/>
      <c r="B20" s="376"/>
      <c r="C20" s="380"/>
      <c r="D20" s="380"/>
      <c r="E20" s="380"/>
      <c r="F20" s="371"/>
      <c r="G20" s="371"/>
      <c r="H20" s="371"/>
      <c r="I20" s="374"/>
      <c r="J20" s="382"/>
    </row>
    <row r="21" spans="1:13" ht="6" customHeight="1">
      <c r="A21" s="382"/>
      <c r="B21" s="375">
        <v>7</v>
      </c>
      <c r="C21" s="378" t="s">
        <v>7977</v>
      </c>
      <c r="D21" s="378" t="s">
        <v>7978</v>
      </c>
      <c r="E21" s="378" t="s">
        <v>7976</v>
      </c>
      <c r="F21" s="369" t="s">
        <v>7979</v>
      </c>
      <c r="G21" s="369" t="s">
        <v>7980</v>
      </c>
      <c r="H21" s="369" t="s">
        <v>7956</v>
      </c>
      <c r="I21" s="372">
        <v>7</v>
      </c>
      <c r="J21" s="382"/>
    </row>
    <row r="22" spans="1:13" ht="6" customHeight="1">
      <c r="A22" s="382"/>
      <c r="B22" s="376"/>
      <c r="C22" s="379"/>
      <c r="D22" s="379"/>
      <c r="E22" s="379"/>
      <c r="F22" s="370"/>
      <c r="G22" s="370"/>
      <c r="H22" s="370"/>
      <c r="I22" s="373"/>
      <c r="J22" s="382"/>
    </row>
    <row r="23" spans="1:13" ht="6" customHeight="1" thickBot="1">
      <c r="A23" s="382"/>
      <c r="B23" s="376"/>
      <c r="C23" s="380"/>
      <c r="D23" s="380"/>
      <c r="E23" s="380"/>
      <c r="F23" s="371"/>
      <c r="G23" s="371"/>
      <c r="H23" s="371"/>
      <c r="I23" s="374"/>
      <c r="J23" s="382"/>
    </row>
    <row r="24" spans="1:13" ht="6" customHeight="1">
      <c r="A24" s="382"/>
      <c r="B24" s="375">
        <v>8</v>
      </c>
      <c r="C24" s="378" t="s">
        <v>7981</v>
      </c>
      <c r="D24" s="378" t="s">
        <v>7982</v>
      </c>
      <c r="E24" s="378" t="s">
        <v>7983</v>
      </c>
      <c r="F24" s="369" t="s">
        <v>7984</v>
      </c>
      <c r="G24" s="369" t="s">
        <v>7985</v>
      </c>
      <c r="H24" s="369" t="s">
        <v>7960</v>
      </c>
      <c r="I24" s="372">
        <v>8</v>
      </c>
      <c r="J24" s="382"/>
      <c r="K24" s="311"/>
      <c r="L24" s="402" t="s">
        <v>7440</v>
      </c>
    </row>
    <row r="25" spans="1:13" ht="6" customHeight="1">
      <c r="A25" s="382"/>
      <c r="B25" s="376"/>
      <c r="C25" s="379"/>
      <c r="D25" s="379"/>
      <c r="E25" s="379"/>
      <c r="F25" s="370"/>
      <c r="G25" s="370"/>
      <c r="H25" s="370"/>
      <c r="I25" s="373"/>
      <c r="J25" s="382"/>
      <c r="K25" s="312"/>
      <c r="L25" s="402"/>
    </row>
    <row r="26" spans="1:13" ht="6" customHeight="1" thickBot="1">
      <c r="A26" s="382"/>
      <c r="B26" s="376"/>
      <c r="C26" s="380"/>
      <c r="D26" s="380"/>
      <c r="E26" s="380"/>
      <c r="F26" s="371"/>
      <c r="G26" s="371"/>
      <c r="H26" s="371"/>
      <c r="I26" s="374"/>
      <c r="J26" s="382"/>
      <c r="K26" s="313"/>
      <c r="L26" s="402"/>
    </row>
    <row r="27" spans="1:13" ht="6" customHeight="1">
      <c r="A27" s="382"/>
      <c r="B27" s="375">
        <v>9</v>
      </c>
      <c r="C27" s="378" t="s">
        <v>7986</v>
      </c>
      <c r="D27" s="378" t="s">
        <v>7987</v>
      </c>
      <c r="E27" s="378" t="s">
        <v>7988</v>
      </c>
      <c r="F27" s="369" t="s">
        <v>7954</v>
      </c>
      <c r="G27" s="369" t="s">
        <v>7989</v>
      </c>
      <c r="H27" s="369" t="s">
        <v>7990</v>
      </c>
      <c r="I27" s="372">
        <v>9</v>
      </c>
      <c r="J27" s="382"/>
      <c r="K27" s="392"/>
      <c r="L27" s="403" t="s">
        <v>7991</v>
      </c>
      <c r="M27" s="404"/>
    </row>
    <row r="28" spans="1:13" ht="6" customHeight="1">
      <c r="A28" s="382"/>
      <c r="B28" s="376"/>
      <c r="C28" s="379"/>
      <c r="D28" s="379"/>
      <c r="E28" s="379"/>
      <c r="F28" s="370"/>
      <c r="G28" s="370"/>
      <c r="H28" s="370"/>
      <c r="I28" s="373"/>
      <c r="J28" s="382"/>
      <c r="K28" s="393"/>
      <c r="L28" s="403"/>
      <c r="M28" s="404"/>
    </row>
    <row r="29" spans="1:13" ht="6" customHeight="1" thickBot="1">
      <c r="A29" s="382"/>
      <c r="B29" s="376"/>
      <c r="C29" s="380"/>
      <c r="D29" s="380"/>
      <c r="E29" s="380"/>
      <c r="F29" s="371"/>
      <c r="G29" s="371"/>
      <c r="H29" s="371"/>
      <c r="I29" s="374"/>
      <c r="J29" s="382"/>
      <c r="K29" s="394"/>
      <c r="L29" s="403"/>
      <c r="M29" s="404"/>
    </row>
    <row r="30" spans="1:13" ht="6" customHeight="1">
      <c r="A30" s="382"/>
      <c r="B30" s="375">
        <v>10</v>
      </c>
      <c r="C30" s="378" t="s">
        <v>7992</v>
      </c>
      <c r="D30" s="378" t="s">
        <v>7993</v>
      </c>
      <c r="E30" s="383" t="s">
        <v>7994</v>
      </c>
      <c r="F30" s="369" t="s">
        <v>7981</v>
      </c>
      <c r="G30" s="369" t="s">
        <v>7995</v>
      </c>
      <c r="H30" s="369" t="s">
        <v>7996</v>
      </c>
      <c r="I30" s="372">
        <v>10</v>
      </c>
      <c r="J30" s="382"/>
      <c r="K30" s="314"/>
      <c r="L30" s="402" t="s">
        <v>7439</v>
      </c>
    </row>
    <row r="31" spans="1:13" ht="6" customHeight="1">
      <c r="A31" s="382"/>
      <c r="B31" s="376"/>
      <c r="C31" s="379"/>
      <c r="D31" s="379"/>
      <c r="E31" s="384"/>
      <c r="F31" s="370"/>
      <c r="G31" s="370"/>
      <c r="H31" s="370"/>
      <c r="I31" s="373"/>
      <c r="J31" s="382"/>
      <c r="K31" s="315"/>
      <c r="L31" s="402"/>
    </row>
    <row r="32" spans="1:13" ht="6" customHeight="1" thickBot="1">
      <c r="A32" s="382"/>
      <c r="B32" s="376"/>
      <c r="C32" s="380"/>
      <c r="D32" s="380"/>
      <c r="E32" s="385"/>
      <c r="F32" s="371"/>
      <c r="G32" s="371"/>
      <c r="H32" s="371"/>
      <c r="I32" s="374"/>
      <c r="J32" s="382"/>
      <c r="K32" s="316"/>
      <c r="L32" s="402"/>
    </row>
    <row r="33" spans="1:13" ht="6" customHeight="1">
      <c r="A33" s="382"/>
      <c r="B33" s="375">
        <v>11</v>
      </c>
      <c r="C33" s="378" t="s">
        <v>7990</v>
      </c>
      <c r="D33" s="378" t="s">
        <v>7997</v>
      </c>
      <c r="E33" s="378" t="s">
        <v>7984</v>
      </c>
      <c r="F33" s="369" t="s">
        <v>7998</v>
      </c>
      <c r="G33" s="369" t="s">
        <v>7999</v>
      </c>
      <c r="H33" s="369" t="s">
        <v>8000</v>
      </c>
      <c r="I33" s="372">
        <v>11</v>
      </c>
      <c r="J33" s="382"/>
      <c r="K33" s="389"/>
      <c r="L33" s="403" t="s">
        <v>7991</v>
      </c>
      <c r="M33" s="404"/>
    </row>
    <row r="34" spans="1:13" ht="6" customHeight="1">
      <c r="A34" s="382"/>
      <c r="B34" s="376"/>
      <c r="C34" s="379"/>
      <c r="D34" s="379"/>
      <c r="E34" s="379"/>
      <c r="F34" s="370"/>
      <c r="G34" s="370"/>
      <c r="H34" s="370"/>
      <c r="I34" s="373"/>
      <c r="J34" s="382"/>
      <c r="K34" s="390"/>
      <c r="L34" s="403"/>
      <c r="M34" s="404"/>
    </row>
    <row r="35" spans="1:13" ht="6" customHeight="1" thickBot="1">
      <c r="A35" s="382"/>
      <c r="B35" s="376"/>
      <c r="C35" s="380"/>
      <c r="D35" s="380"/>
      <c r="E35" s="380"/>
      <c r="F35" s="371"/>
      <c r="G35" s="371"/>
      <c r="H35" s="371"/>
      <c r="I35" s="374"/>
      <c r="J35" s="382"/>
      <c r="K35" s="391"/>
      <c r="L35" s="403"/>
      <c r="M35" s="404"/>
    </row>
    <row r="36" spans="1:13" ht="6" customHeight="1">
      <c r="A36" s="382"/>
      <c r="B36" s="375">
        <v>12</v>
      </c>
      <c r="C36" s="378" t="s">
        <v>8001</v>
      </c>
      <c r="D36" s="378" t="s">
        <v>7989</v>
      </c>
      <c r="E36" s="392" t="s">
        <v>8002</v>
      </c>
      <c r="F36" s="369" t="s">
        <v>8003</v>
      </c>
      <c r="G36" s="369" t="s">
        <v>7978</v>
      </c>
      <c r="H36" s="369" t="s">
        <v>7997</v>
      </c>
      <c r="I36" s="372">
        <v>12</v>
      </c>
      <c r="J36" s="382"/>
    </row>
    <row r="37" spans="1:13" ht="6" customHeight="1">
      <c r="A37" s="382"/>
      <c r="B37" s="376"/>
      <c r="C37" s="379"/>
      <c r="D37" s="379"/>
      <c r="E37" s="393"/>
      <c r="F37" s="370"/>
      <c r="G37" s="370"/>
      <c r="H37" s="370"/>
      <c r="I37" s="373"/>
      <c r="J37" s="382"/>
    </row>
    <row r="38" spans="1:13" ht="6" customHeight="1" thickBot="1">
      <c r="A38" s="382"/>
      <c r="B38" s="376"/>
      <c r="C38" s="380"/>
      <c r="D38" s="380"/>
      <c r="E38" s="394"/>
      <c r="F38" s="371"/>
      <c r="G38" s="371"/>
      <c r="H38" s="371"/>
      <c r="I38" s="374"/>
      <c r="J38" s="382"/>
      <c r="K38" s="397" t="s">
        <v>213</v>
      </c>
      <c r="L38" s="401" t="s">
        <v>8004</v>
      </c>
      <c r="M38" s="400" t="s">
        <v>7949</v>
      </c>
    </row>
    <row r="39" spans="1:13" ht="6" customHeight="1">
      <c r="A39" s="382"/>
      <c r="B39" s="375">
        <v>13</v>
      </c>
      <c r="C39" s="378" t="s">
        <v>8005</v>
      </c>
      <c r="D39" s="378" t="s">
        <v>8006</v>
      </c>
      <c r="E39" s="378" t="s">
        <v>7996</v>
      </c>
      <c r="F39" s="369" t="s">
        <v>7986</v>
      </c>
      <c r="G39" s="369" t="s">
        <v>7961</v>
      </c>
      <c r="H39" s="386" t="s">
        <v>8007</v>
      </c>
      <c r="I39" s="372">
        <v>13</v>
      </c>
      <c r="J39" s="382"/>
      <c r="K39" s="397"/>
      <c r="L39" s="397"/>
      <c r="M39" s="398"/>
    </row>
    <row r="40" spans="1:13" ht="6" customHeight="1">
      <c r="A40" s="382"/>
      <c r="B40" s="376"/>
      <c r="C40" s="379"/>
      <c r="D40" s="379"/>
      <c r="E40" s="379"/>
      <c r="F40" s="370"/>
      <c r="G40" s="370"/>
      <c r="H40" s="387"/>
      <c r="I40" s="373"/>
      <c r="J40" s="382"/>
      <c r="K40" s="397"/>
      <c r="L40" s="397"/>
      <c r="M40" s="398"/>
    </row>
    <row r="41" spans="1:13" ht="6" customHeight="1" thickBot="1">
      <c r="A41" s="382"/>
      <c r="B41" s="376"/>
      <c r="C41" s="380"/>
      <c r="D41" s="380"/>
      <c r="E41" s="380"/>
      <c r="F41" s="371"/>
      <c r="G41" s="371"/>
      <c r="H41" s="388"/>
      <c r="I41" s="374"/>
      <c r="J41" s="382"/>
      <c r="K41" s="399">
        <v>41319</v>
      </c>
      <c r="L41" s="397">
        <v>50</v>
      </c>
      <c r="M41" s="398">
        <v>60</v>
      </c>
    </row>
    <row r="42" spans="1:13" ht="6" customHeight="1">
      <c r="A42" s="382"/>
      <c r="B42" s="375">
        <v>14</v>
      </c>
      <c r="C42" s="378" t="s">
        <v>8008</v>
      </c>
      <c r="D42" s="378" t="s">
        <v>7963</v>
      </c>
      <c r="E42" s="378" t="s">
        <v>8009</v>
      </c>
      <c r="F42" s="369" t="s">
        <v>7955</v>
      </c>
      <c r="G42" s="369" t="s">
        <v>7993</v>
      </c>
      <c r="H42" s="369" t="s">
        <v>8010</v>
      </c>
      <c r="I42" s="372">
        <v>14</v>
      </c>
      <c r="J42" s="382"/>
      <c r="K42" s="397"/>
      <c r="L42" s="397"/>
      <c r="M42" s="398"/>
    </row>
    <row r="43" spans="1:13" ht="6" customHeight="1">
      <c r="A43" s="382"/>
      <c r="B43" s="376"/>
      <c r="C43" s="379"/>
      <c r="D43" s="379"/>
      <c r="E43" s="379"/>
      <c r="F43" s="370"/>
      <c r="G43" s="370"/>
      <c r="H43" s="370"/>
      <c r="I43" s="373"/>
      <c r="J43" s="382"/>
      <c r="K43" s="397"/>
      <c r="L43" s="397"/>
      <c r="M43" s="398"/>
    </row>
    <row r="44" spans="1:13" ht="6" customHeight="1" thickBot="1">
      <c r="A44" s="382"/>
      <c r="B44" s="376"/>
      <c r="C44" s="380"/>
      <c r="D44" s="380"/>
      <c r="E44" s="380"/>
      <c r="F44" s="371"/>
      <c r="G44" s="371"/>
      <c r="H44" s="371"/>
      <c r="I44" s="374"/>
      <c r="J44" s="382"/>
      <c r="K44" s="399">
        <v>41347</v>
      </c>
      <c r="L44" s="397">
        <v>70</v>
      </c>
      <c r="M44" s="398">
        <v>70</v>
      </c>
    </row>
    <row r="45" spans="1:13" ht="6" customHeight="1">
      <c r="A45" s="382"/>
      <c r="B45" s="375">
        <v>15</v>
      </c>
      <c r="C45" s="378" t="s">
        <v>7999</v>
      </c>
      <c r="D45" s="378" t="s">
        <v>8000</v>
      </c>
      <c r="E45" s="378" t="s">
        <v>7957</v>
      </c>
      <c r="F45" s="392" t="s">
        <v>8002</v>
      </c>
      <c r="G45" s="369" t="s">
        <v>8011</v>
      </c>
      <c r="H45" s="369" t="s">
        <v>8005</v>
      </c>
      <c r="I45" s="372">
        <v>15</v>
      </c>
      <c r="J45" s="382"/>
      <c r="K45" s="397"/>
      <c r="L45" s="397"/>
      <c r="M45" s="398"/>
    </row>
    <row r="46" spans="1:13" ht="6" customHeight="1">
      <c r="A46" s="382"/>
      <c r="B46" s="376"/>
      <c r="C46" s="379"/>
      <c r="D46" s="379"/>
      <c r="E46" s="379"/>
      <c r="F46" s="393"/>
      <c r="G46" s="370"/>
      <c r="H46" s="370"/>
      <c r="I46" s="373"/>
      <c r="J46" s="382"/>
      <c r="K46" s="397"/>
      <c r="L46" s="397"/>
      <c r="M46" s="398"/>
    </row>
    <row r="47" spans="1:13" ht="6" customHeight="1" thickBot="1">
      <c r="A47" s="382"/>
      <c r="B47" s="376"/>
      <c r="C47" s="380"/>
      <c r="D47" s="380"/>
      <c r="E47" s="380"/>
      <c r="F47" s="394"/>
      <c r="G47" s="371"/>
      <c r="H47" s="371"/>
      <c r="I47" s="374"/>
      <c r="J47" s="382"/>
      <c r="K47" s="399">
        <v>41383</v>
      </c>
      <c r="L47" s="397">
        <v>0</v>
      </c>
      <c r="M47" s="398">
        <v>50</v>
      </c>
    </row>
    <row r="48" spans="1:13" ht="6" customHeight="1">
      <c r="A48" s="382"/>
      <c r="B48" s="375">
        <v>16</v>
      </c>
      <c r="C48" s="378" t="s">
        <v>7959</v>
      </c>
      <c r="D48" s="378" t="s">
        <v>7958</v>
      </c>
      <c r="E48" s="378" t="s">
        <v>7995</v>
      </c>
      <c r="F48" s="369" t="s">
        <v>7966</v>
      </c>
      <c r="G48" s="369" t="s">
        <v>8012</v>
      </c>
      <c r="H48" s="369" t="s">
        <v>7988</v>
      </c>
      <c r="I48" s="372">
        <v>16</v>
      </c>
      <c r="J48" s="382"/>
      <c r="K48" s="397"/>
      <c r="L48" s="397"/>
      <c r="M48" s="398"/>
    </row>
    <row r="49" spans="1:13" ht="6" customHeight="1">
      <c r="A49" s="382"/>
      <c r="B49" s="376"/>
      <c r="C49" s="379"/>
      <c r="D49" s="379"/>
      <c r="E49" s="379"/>
      <c r="F49" s="370"/>
      <c r="G49" s="370"/>
      <c r="H49" s="370"/>
      <c r="I49" s="373"/>
      <c r="J49" s="382"/>
      <c r="K49" s="397"/>
      <c r="L49" s="397"/>
      <c r="M49" s="398"/>
    </row>
    <row r="50" spans="1:13" ht="6" customHeight="1" thickBot="1">
      <c r="A50" s="382"/>
      <c r="B50" s="376"/>
      <c r="C50" s="380"/>
      <c r="D50" s="380"/>
      <c r="E50" s="380"/>
      <c r="F50" s="371"/>
      <c r="G50" s="371"/>
      <c r="H50" s="371"/>
      <c r="I50" s="374"/>
      <c r="J50" s="382"/>
    </row>
    <row r="51" spans="1:13" ht="6" customHeight="1">
      <c r="A51" s="382"/>
      <c r="B51" s="375">
        <v>17</v>
      </c>
      <c r="C51" s="378" t="s">
        <v>7985</v>
      </c>
      <c r="D51" s="378" t="s">
        <v>8013</v>
      </c>
      <c r="E51" s="378" t="s">
        <v>8014</v>
      </c>
      <c r="F51" s="369" t="s">
        <v>8015</v>
      </c>
      <c r="G51" s="369" t="s">
        <v>7982</v>
      </c>
      <c r="H51" s="369" t="s">
        <v>7962</v>
      </c>
      <c r="I51" s="372">
        <v>17</v>
      </c>
      <c r="J51" s="382"/>
    </row>
    <row r="52" spans="1:13" ht="6" customHeight="1">
      <c r="A52" s="382"/>
      <c r="B52" s="376"/>
      <c r="C52" s="379"/>
      <c r="D52" s="379"/>
      <c r="E52" s="379"/>
      <c r="F52" s="370"/>
      <c r="G52" s="370"/>
      <c r="H52" s="370"/>
      <c r="I52" s="373"/>
      <c r="J52" s="382"/>
    </row>
    <row r="53" spans="1:13" ht="6" customHeight="1" thickBot="1">
      <c r="A53" s="382"/>
      <c r="B53" s="376"/>
      <c r="C53" s="380"/>
      <c r="D53" s="380"/>
      <c r="E53" s="380"/>
      <c r="F53" s="371"/>
      <c r="G53" s="371"/>
      <c r="H53" s="371"/>
      <c r="I53" s="374"/>
      <c r="J53" s="382"/>
    </row>
    <row r="54" spans="1:13" ht="6" customHeight="1">
      <c r="A54" s="382"/>
      <c r="B54" s="375">
        <v>18</v>
      </c>
      <c r="C54" s="378" t="s">
        <v>8016</v>
      </c>
      <c r="D54" s="386" t="s">
        <v>8007</v>
      </c>
      <c r="E54" s="378" t="s">
        <v>8017</v>
      </c>
      <c r="F54" s="369" t="s">
        <v>8018</v>
      </c>
      <c r="G54" s="369" t="s">
        <v>8001</v>
      </c>
      <c r="H54" s="369" t="s">
        <v>8019</v>
      </c>
      <c r="I54" s="372">
        <v>18</v>
      </c>
      <c r="J54" s="382"/>
    </row>
    <row r="55" spans="1:13" ht="6" customHeight="1">
      <c r="A55" s="382"/>
      <c r="B55" s="376"/>
      <c r="C55" s="379"/>
      <c r="D55" s="387"/>
      <c r="E55" s="379"/>
      <c r="F55" s="370"/>
      <c r="G55" s="370"/>
      <c r="H55" s="370"/>
      <c r="I55" s="373"/>
      <c r="J55" s="382"/>
    </row>
    <row r="56" spans="1:13" ht="6" customHeight="1" thickBot="1">
      <c r="A56" s="382"/>
      <c r="B56" s="376"/>
      <c r="C56" s="380"/>
      <c r="D56" s="388"/>
      <c r="E56" s="380"/>
      <c r="F56" s="371"/>
      <c r="G56" s="371"/>
      <c r="H56" s="371"/>
      <c r="I56" s="374"/>
      <c r="J56" s="382"/>
    </row>
    <row r="57" spans="1:13" ht="6" customHeight="1">
      <c r="A57" s="382"/>
      <c r="B57" s="375">
        <v>19</v>
      </c>
      <c r="C57" s="378" t="s">
        <v>8011</v>
      </c>
      <c r="D57" s="378" t="s">
        <v>7974</v>
      </c>
      <c r="E57" s="378" t="s">
        <v>8020</v>
      </c>
      <c r="F57" s="369" t="s">
        <v>8021</v>
      </c>
      <c r="G57" s="369" t="s">
        <v>7987</v>
      </c>
      <c r="H57" s="369" t="s">
        <v>8009</v>
      </c>
      <c r="I57" s="372">
        <v>19</v>
      </c>
      <c r="J57" s="382"/>
    </row>
    <row r="58" spans="1:13" ht="6" customHeight="1">
      <c r="A58" s="382"/>
      <c r="B58" s="376"/>
      <c r="C58" s="379"/>
      <c r="D58" s="379"/>
      <c r="E58" s="379"/>
      <c r="F58" s="370"/>
      <c r="G58" s="370"/>
      <c r="H58" s="370"/>
      <c r="I58" s="373"/>
      <c r="J58" s="382"/>
    </row>
    <row r="59" spans="1:13" ht="6" customHeight="1" thickBot="1">
      <c r="A59" s="382"/>
      <c r="B59" s="376"/>
      <c r="C59" s="380"/>
      <c r="D59" s="380"/>
      <c r="E59" s="380"/>
      <c r="F59" s="371"/>
      <c r="G59" s="371"/>
      <c r="H59" s="371"/>
      <c r="I59" s="374"/>
      <c r="J59" s="382"/>
    </row>
    <row r="60" spans="1:13" ht="6" customHeight="1">
      <c r="A60" s="382"/>
      <c r="B60" s="375">
        <v>20</v>
      </c>
      <c r="C60" s="383" t="s">
        <v>8022</v>
      </c>
      <c r="D60" s="378" t="s">
        <v>8023</v>
      </c>
      <c r="E60" s="378" t="s">
        <v>8024</v>
      </c>
      <c r="F60" s="369" t="s">
        <v>8025</v>
      </c>
      <c r="G60" s="369" t="s">
        <v>8026</v>
      </c>
      <c r="H60" s="383" t="s">
        <v>8027</v>
      </c>
      <c r="I60" s="372">
        <v>20</v>
      </c>
      <c r="J60" s="382"/>
    </row>
    <row r="61" spans="1:13" ht="6" customHeight="1">
      <c r="A61" s="382"/>
      <c r="B61" s="376"/>
      <c r="C61" s="384"/>
      <c r="D61" s="379"/>
      <c r="E61" s="379"/>
      <c r="F61" s="370"/>
      <c r="G61" s="370"/>
      <c r="H61" s="384"/>
      <c r="I61" s="373"/>
      <c r="J61" s="382"/>
    </row>
    <row r="62" spans="1:13" ht="6" customHeight="1" thickBot="1">
      <c r="A62" s="382"/>
      <c r="B62" s="376"/>
      <c r="C62" s="385"/>
      <c r="D62" s="380"/>
      <c r="E62" s="380"/>
      <c r="F62" s="371"/>
      <c r="G62" s="371"/>
      <c r="H62" s="385"/>
      <c r="I62" s="374"/>
      <c r="J62" s="382"/>
    </row>
    <row r="63" spans="1:13" ht="6" customHeight="1">
      <c r="A63" s="382"/>
      <c r="B63" s="375">
        <v>21</v>
      </c>
      <c r="C63" s="389" t="s">
        <v>8027</v>
      </c>
      <c r="D63" s="378" t="s">
        <v>8028</v>
      </c>
      <c r="E63" s="378" t="s">
        <v>7980</v>
      </c>
      <c r="F63" s="369" t="s">
        <v>8029</v>
      </c>
      <c r="G63" s="369" t="s">
        <v>8014</v>
      </c>
      <c r="H63" s="369" t="s">
        <v>7971</v>
      </c>
      <c r="I63" s="372">
        <v>21</v>
      </c>
      <c r="J63" s="382"/>
    </row>
    <row r="64" spans="1:13" ht="6" customHeight="1">
      <c r="A64" s="382"/>
      <c r="B64" s="376"/>
      <c r="C64" s="390"/>
      <c r="D64" s="379"/>
      <c r="E64" s="379"/>
      <c r="F64" s="370"/>
      <c r="G64" s="370"/>
      <c r="H64" s="370"/>
      <c r="I64" s="373"/>
      <c r="J64" s="382"/>
    </row>
    <row r="65" spans="1:10" ht="12.75" thickBot="1">
      <c r="A65" s="382"/>
      <c r="B65" s="376"/>
      <c r="C65" s="391"/>
      <c r="D65" s="380"/>
      <c r="E65" s="380"/>
      <c r="F65" s="371"/>
      <c r="G65" s="371"/>
      <c r="H65" s="371"/>
      <c r="I65" s="374"/>
      <c r="J65" s="382"/>
    </row>
    <row r="66" spans="1:10">
      <c r="A66" s="382"/>
      <c r="B66" s="375">
        <v>22</v>
      </c>
      <c r="C66" s="378" t="s">
        <v>8021</v>
      </c>
      <c r="D66" s="378" t="s">
        <v>7998</v>
      </c>
      <c r="E66" s="378" t="s">
        <v>7979</v>
      </c>
      <c r="F66" s="369" t="s">
        <v>8030</v>
      </c>
      <c r="G66" s="369" t="s">
        <v>8028</v>
      </c>
      <c r="H66" s="369" t="s">
        <v>8024</v>
      </c>
      <c r="I66" s="372">
        <v>22</v>
      </c>
      <c r="J66" s="382"/>
    </row>
    <row r="67" spans="1:10">
      <c r="A67" s="382"/>
      <c r="B67" s="376"/>
      <c r="C67" s="379"/>
      <c r="D67" s="379"/>
      <c r="E67" s="379"/>
      <c r="F67" s="370"/>
      <c r="G67" s="370"/>
      <c r="H67" s="370"/>
      <c r="I67" s="373"/>
      <c r="J67" s="382"/>
    </row>
    <row r="68" spans="1:10" ht="12.75" thickBot="1">
      <c r="A68" s="382"/>
      <c r="B68" s="376"/>
      <c r="C68" s="380"/>
      <c r="D68" s="380"/>
      <c r="E68" s="380"/>
      <c r="F68" s="371"/>
      <c r="G68" s="371"/>
      <c r="H68" s="371"/>
      <c r="I68" s="374"/>
      <c r="J68" s="382"/>
    </row>
    <row r="69" spans="1:10">
      <c r="A69" s="382"/>
      <c r="B69" s="375">
        <v>23</v>
      </c>
      <c r="C69" s="378" t="s">
        <v>8026</v>
      </c>
      <c r="D69" s="378" t="s">
        <v>7964</v>
      </c>
      <c r="E69" s="378" t="s">
        <v>7975</v>
      </c>
      <c r="F69" s="369" t="s">
        <v>8013</v>
      </c>
      <c r="G69" s="369" t="s">
        <v>8017</v>
      </c>
      <c r="H69" s="369" t="s">
        <v>8031</v>
      </c>
      <c r="I69" s="372">
        <v>23</v>
      </c>
      <c r="J69" s="382"/>
    </row>
    <row r="70" spans="1:10">
      <c r="A70" s="382"/>
      <c r="B70" s="376"/>
      <c r="C70" s="379"/>
      <c r="D70" s="379"/>
      <c r="E70" s="379"/>
      <c r="F70" s="370"/>
      <c r="G70" s="370"/>
      <c r="H70" s="370"/>
      <c r="I70" s="373"/>
      <c r="J70" s="382"/>
    </row>
    <row r="71" spans="1:10" ht="12.75" thickBot="1">
      <c r="A71" s="382"/>
      <c r="B71" s="376"/>
      <c r="C71" s="380"/>
      <c r="D71" s="380"/>
      <c r="E71" s="380"/>
      <c r="F71" s="371"/>
      <c r="G71" s="371"/>
      <c r="H71" s="371"/>
      <c r="I71" s="374"/>
      <c r="J71" s="382"/>
    </row>
    <row r="72" spans="1:10">
      <c r="A72" s="382"/>
      <c r="B72" s="375">
        <v>24</v>
      </c>
      <c r="C72" s="378" t="s">
        <v>8003</v>
      </c>
      <c r="D72" s="378" t="s">
        <v>8025</v>
      </c>
      <c r="E72" s="378" t="s">
        <v>7969</v>
      </c>
      <c r="F72" s="389" t="s">
        <v>7994</v>
      </c>
      <c r="G72" s="369" t="s">
        <v>8032</v>
      </c>
      <c r="H72" s="369" t="s">
        <v>8006</v>
      </c>
      <c r="I72" s="372">
        <v>24</v>
      </c>
      <c r="J72" s="382"/>
    </row>
    <row r="73" spans="1:10">
      <c r="A73" s="382"/>
      <c r="B73" s="376"/>
      <c r="C73" s="379"/>
      <c r="D73" s="379"/>
      <c r="E73" s="379"/>
      <c r="F73" s="390"/>
      <c r="G73" s="370"/>
      <c r="H73" s="370"/>
      <c r="I73" s="373"/>
      <c r="J73" s="382"/>
    </row>
    <row r="74" spans="1:10" ht="12.75" thickBot="1">
      <c r="A74" s="382"/>
      <c r="B74" s="376"/>
      <c r="C74" s="380"/>
      <c r="D74" s="380"/>
      <c r="E74" s="380"/>
      <c r="F74" s="391"/>
      <c r="G74" s="371"/>
      <c r="H74" s="371"/>
      <c r="I74" s="374"/>
      <c r="J74" s="382"/>
    </row>
    <row r="75" spans="1:10">
      <c r="A75" s="382"/>
      <c r="B75" s="375">
        <v>25</v>
      </c>
      <c r="C75" s="378" t="s">
        <v>8032</v>
      </c>
      <c r="D75" s="378" t="s">
        <v>8015</v>
      </c>
      <c r="E75" s="378" t="s">
        <v>8033</v>
      </c>
      <c r="F75" s="369" t="s">
        <v>8023</v>
      </c>
      <c r="G75" s="369" t="s">
        <v>8020</v>
      </c>
      <c r="H75" s="369" t="s">
        <v>7973</v>
      </c>
      <c r="I75" s="372">
        <v>25</v>
      </c>
      <c r="J75" s="382"/>
    </row>
    <row r="76" spans="1:10">
      <c r="A76" s="382"/>
      <c r="B76" s="376"/>
      <c r="C76" s="379"/>
      <c r="D76" s="379"/>
      <c r="E76" s="379"/>
      <c r="F76" s="370"/>
      <c r="G76" s="370"/>
      <c r="H76" s="370"/>
      <c r="I76" s="373"/>
      <c r="J76" s="382"/>
    </row>
    <row r="77" spans="1:10" ht="12.75" thickBot="1">
      <c r="A77" s="382"/>
      <c r="B77" s="376"/>
      <c r="C77" s="380"/>
      <c r="D77" s="380"/>
      <c r="E77" s="380"/>
      <c r="F77" s="371"/>
      <c r="G77" s="371"/>
      <c r="H77" s="371"/>
      <c r="I77" s="374"/>
      <c r="J77" s="382"/>
    </row>
    <row r="78" spans="1:10">
      <c r="A78" s="382"/>
      <c r="B78" s="375">
        <v>26</v>
      </c>
      <c r="C78" s="378" t="s">
        <v>8034</v>
      </c>
      <c r="D78" s="378" t="s">
        <v>8035</v>
      </c>
      <c r="E78" s="378" t="s">
        <v>7965</v>
      </c>
      <c r="F78" s="369" t="s">
        <v>8034</v>
      </c>
      <c r="G78" s="369" t="s">
        <v>8036</v>
      </c>
      <c r="H78" s="369" t="s">
        <v>7972</v>
      </c>
      <c r="I78" s="372">
        <v>26</v>
      </c>
      <c r="J78" s="382"/>
    </row>
    <row r="79" spans="1:10">
      <c r="A79" s="382"/>
      <c r="B79" s="376"/>
      <c r="C79" s="379"/>
      <c r="D79" s="379"/>
      <c r="E79" s="379"/>
      <c r="F79" s="370"/>
      <c r="G79" s="370"/>
      <c r="H79" s="370"/>
      <c r="I79" s="373"/>
      <c r="J79" s="382"/>
    </row>
    <row r="80" spans="1:10" ht="12.75" thickBot="1">
      <c r="A80" s="382"/>
      <c r="B80" s="376"/>
      <c r="C80" s="380"/>
      <c r="D80" s="380"/>
      <c r="E80" s="380"/>
      <c r="F80" s="371"/>
      <c r="G80" s="371"/>
      <c r="H80" s="371"/>
      <c r="I80" s="374"/>
      <c r="J80" s="382"/>
    </row>
    <row r="81" spans="1:10">
      <c r="A81" s="382"/>
      <c r="B81" s="375">
        <v>27</v>
      </c>
      <c r="C81" s="378" t="s">
        <v>8018</v>
      </c>
      <c r="D81" s="378" t="s">
        <v>8012</v>
      </c>
      <c r="E81" s="378" t="s">
        <v>8019</v>
      </c>
      <c r="F81" s="369" t="s">
        <v>7977</v>
      </c>
      <c r="G81" s="369" t="s">
        <v>8008</v>
      </c>
      <c r="H81" s="369" t="s">
        <v>8033</v>
      </c>
      <c r="I81" s="372">
        <v>27</v>
      </c>
      <c r="J81" s="382"/>
    </row>
    <row r="82" spans="1:10">
      <c r="A82" s="382"/>
      <c r="B82" s="376"/>
      <c r="C82" s="379"/>
      <c r="D82" s="379"/>
      <c r="E82" s="379"/>
      <c r="F82" s="370"/>
      <c r="G82" s="370"/>
      <c r="H82" s="370"/>
      <c r="I82" s="373"/>
      <c r="J82" s="382"/>
    </row>
    <row r="83" spans="1:10" ht="12.75" thickBot="1">
      <c r="A83" s="382"/>
      <c r="B83" s="376"/>
      <c r="C83" s="380"/>
      <c r="D83" s="380"/>
      <c r="E83" s="380"/>
      <c r="F83" s="371"/>
      <c r="G83" s="371"/>
      <c r="H83" s="371"/>
      <c r="I83" s="374"/>
      <c r="J83" s="382"/>
    </row>
    <row r="84" spans="1:10">
      <c r="A84" s="382"/>
      <c r="B84" s="375">
        <v>28</v>
      </c>
      <c r="C84" s="378" t="s">
        <v>8010</v>
      </c>
      <c r="D84" s="378" t="s">
        <v>8037</v>
      </c>
      <c r="E84" s="378" t="s">
        <v>7970</v>
      </c>
      <c r="F84" s="369" t="s">
        <v>7992</v>
      </c>
      <c r="G84" s="369" t="s">
        <v>8037</v>
      </c>
      <c r="H84" s="369" t="s">
        <v>8016</v>
      </c>
      <c r="I84" s="372">
        <v>28</v>
      </c>
      <c r="J84" s="382"/>
    </row>
    <row r="85" spans="1:10">
      <c r="A85" s="382"/>
      <c r="B85" s="376"/>
      <c r="C85" s="379"/>
      <c r="D85" s="379"/>
      <c r="E85" s="379"/>
      <c r="F85" s="370"/>
      <c r="G85" s="370"/>
      <c r="H85" s="370"/>
      <c r="I85" s="373"/>
      <c r="J85" s="382"/>
    </row>
    <row r="86" spans="1:10" ht="12.75" thickBot="1">
      <c r="A86" s="382"/>
      <c r="B86" s="376"/>
      <c r="C86" s="380"/>
      <c r="D86" s="380"/>
      <c r="E86" s="380"/>
      <c r="F86" s="371"/>
      <c r="G86" s="371"/>
      <c r="H86" s="371"/>
      <c r="I86" s="374"/>
      <c r="J86" s="382"/>
    </row>
    <row r="87" spans="1:10">
      <c r="A87" s="382"/>
      <c r="B87" s="375">
        <v>29</v>
      </c>
      <c r="C87" s="378" t="s">
        <v>8030</v>
      </c>
      <c r="D87" s="386" t="s">
        <v>8038</v>
      </c>
      <c r="E87" s="378" t="s">
        <v>8039</v>
      </c>
      <c r="F87" s="369" t="s">
        <v>8035</v>
      </c>
      <c r="G87" s="383" t="s">
        <v>8022</v>
      </c>
      <c r="H87" s="369" t="s">
        <v>7983</v>
      </c>
      <c r="I87" s="372">
        <v>29</v>
      </c>
      <c r="J87" s="382"/>
    </row>
    <row r="88" spans="1:10">
      <c r="A88" s="382"/>
      <c r="B88" s="376"/>
      <c r="C88" s="379" t="s">
        <v>7950</v>
      </c>
      <c r="D88" s="387" t="s">
        <v>7950</v>
      </c>
      <c r="E88" s="379" t="s">
        <v>7950</v>
      </c>
      <c r="F88" s="370" t="s">
        <v>7950</v>
      </c>
      <c r="G88" s="384" t="s">
        <v>7950</v>
      </c>
      <c r="H88" s="370" t="s">
        <v>7950</v>
      </c>
      <c r="I88" s="373"/>
      <c r="J88" s="382"/>
    </row>
    <row r="89" spans="1:10" ht="12.75" thickBot="1">
      <c r="A89" s="382"/>
      <c r="B89" s="376"/>
      <c r="C89" s="380"/>
      <c r="D89" s="388"/>
      <c r="E89" s="380"/>
      <c r="F89" s="371"/>
      <c r="G89" s="385"/>
      <c r="H89" s="371"/>
      <c r="I89" s="374"/>
      <c r="J89" s="382"/>
    </row>
    <row r="90" spans="1:10">
      <c r="B90" s="375">
        <v>30</v>
      </c>
      <c r="C90" s="395" t="s">
        <v>7950</v>
      </c>
      <c r="D90" s="395" t="s">
        <v>7950</v>
      </c>
      <c r="E90" s="395" t="s">
        <v>7950</v>
      </c>
      <c r="F90" s="395" t="s">
        <v>7950</v>
      </c>
      <c r="G90" s="395" t="s">
        <v>7950</v>
      </c>
      <c r="H90" s="395" t="s">
        <v>7950</v>
      </c>
      <c r="I90" s="375">
        <v>30</v>
      </c>
    </row>
    <row r="91" spans="1:10">
      <c r="B91" s="376"/>
      <c r="C91" s="395"/>
      <c r="D91" s="395"/>
      <c r="E91" s="395"/>
      <c r="F91" s="395"/>
      <c r="G91" s="395"/>
      <c r="H91" s="395"/>
      <c r="I91" s="376"/>
    </row>
    <row r="92" spans="1:10" ht="12.75" thickBot="1">
      <c r="B92" s="376"/>
      <c r="C92" s="395"/>
      <c r="D92" s="395"/>
      <c r="E92" s="395"/>
      <c r="F92" s="395"/>
      <c r="G92" s="395"/>
      <c r="H92" s="395"/>
      <c r="I92" s="396"/>
    </row>
    <row r="93" spans="1:10">
      <c r="A93" s="381" t="s">
        <v>8040</v>
      </c>
      <c r="B93" s="375">
        <v>31</v>
      </c>
      <c r="C93" s="369" t="s">
        <v>8029</v>
      </c>
      <c r="D93" s="369" t="s">
        <v>8019</v>
      </c>
      <c r="E93" s="369" t="s">
        <v>7968</v>
      </c>
      <c r="F93" s="378" t="s">
        <v>7988</v>
      </c>
      <c r="G93" s="378" t="s">
        <v>7971</v>
      </c>
      <c r="H93" s="378" t="s">
        <v>8000</v>
      </c>
      <c r="I93" s="372">
        <v>31</v>
      </c>
      <c r="J93" s="381" t="s">
        <v>8041</v>
      </c>
    </row>
    <row r="94" spans="1:10">
      <c r="A94" s="382"/>
      <c r="B94" s="376"/>
      <c r="C94" s="370"/>
      <c r="D94" s="370"/>
      <c r="E94" s="370"/>
      <c r="F94" s="379"/>
      <c r="G94" s="379"/>
      <c r="H94" s="379"/>
      <c r="I94" s="373"/>
      <c r="J94" s="382"/>
    </row>
    <row r="95" spans="1:10" ht="12.75" thickBot="1">
      <c r="A95" s="382"/>
      <c r="B95" s="376"/>
      <c r="C95" s="371"/>
      <c r="D95" s="371"/>
      <c r="E95" s="371"/>
      <c r="F95" s="380"/>
      <c r="G95" s="380"/>
      <c r="H95" s="380"/>
      <c r="I95" s="374"/>
      <c r="J95" s="382"/>
    </row>
    <row r="96" spans="1:10">
      <c r="A96" s="382"/>
      <c r="B96" s="375">
        <v>32</v>
      </c>
      <c r="C96" s="369" t="s">
        <v>7988</v>
      </c>
      <c r="D96" s="369" t="s">
        <v>7972</v>
      </c>
      <c r="E96" s="369" t="s">
        <v>7958</v>
      </c>
      <c r="F96" s="378" t="s">
        <v>7989</v>
      </c>
      <c r="G96" s="378" t="s">
        <v>8010</v>
      </c>
      <c r="H96" s="378" t="s">
        <v>7955</v>
      </c>
      <c r="I96" s="372">
        <v>32</v>
      </c>
      <c r="J96" s="382"/>
    </row>
    <row r="97" spans="1:10">
      <c r="A97" s="382"/>
      <c r="B97" s="376"/>
      <c r="C97" s="370"/>
      <c r="D97" s="370"/>
      <c r="E97" s="370"/>
      <c r="F97" s="379"/>
      <c r="G97" s="379"/>
      <c r="H97" s="379"/>
      <c r="I97" s="373"/>
      <c r="J97" s="382"/>
    </row>
    <row r="98" spans="1:10" ht="12.75" thickBot="1">
      <c r="A98" s="382"/>
      <c r="B98" s="376"/>
      <c r="C98" s="371"/>
      <c r="D98" s="371"/>
      <c r="E98" s="371"/>
      <c r="F98" s="380"/>
      <c r="G98" s="380"/>
      <c r="H98" s="380"/>
      <c r="I98" s="374"/>
      <c r="J98" s="382"/>
    </row>
    <row r="99" spans="1:10">
      <c r="A99" s="382"/>
      <c r="B99" s="375">
        <v>33</v>
      </c>
      <c r="C99" s="369" t="s">
        <v>7984</v>
      </c>
      <c r="D99" s="369" t="s">
        <v>7993</v>
      </c>
      <c r="E99" s="369" t="s">
        <v>7998</v>
      </c>
      <c r="F99" s="378" t="s">
        <v>8001</v>
      </c>
      <c r="G99" s="378" t="s">
        <v>8033</v>
      </c>
      <c r="H99" s="378" t="s">
        <v>7957</v>
      </c>
      <c r="I99" s="372">
        <v>33</v>
      </c>
      <c r="J99" s="382"/>
    </row>
    <row r="100" spans="1:10">
      <c r="A100" s="382"/>
      <c r="B100" s="376"/>
      <c r="C100" s="370"/>
      <c r="D100" s="370"/>
      <c r="E100" s="370"/>
      <c r="F100" s="379"/>
      <c r="G100" s="379"/>
      <c r="H100" s="379"/>
      <c r="I100" s="373"/>
      <c r="J100" s="382"/>
    </row>
    <row r="101" spans="1:10" ht="12.75" thickBot="1">
      <c r="A101" s="382"/>
      <c r="B101" s="376"/>
      <c r="C101" s="371"/>
      <c r="D101" s="371"/>
      <c r="E101" s="371"/>
      <c r="F101" s="380"/>
      <c r="G101" s="380"/>
      <c r="H101" s="380"/>
      <c r="I101" s="374"/>
      <c r="J101" s="382"/>
    </row>
    <row r="102" spans="1:10">
      <c r="A102" s="382"/>
      <c r="B102" s="375">
        <v>34</v>
      </c>
      <c r="C102" s="369" t="s">
        <v>7981</v>
      </c>
      <c r="D102" s="383" t="s">
        <v>7994</v>
      </c>
      <c r="E102" s="369" t="s">
        <v>7960</v>
      </c>
      <c r="F102" s="378" t="s">
        <v>7967</v>
      </c>
      <c r="G102" s="378" t="s">
        <v>7986</v>
      </c>
      <c r="H102" s="378" t="s">
        <v>8008</v>
      </c>
      <c r="I102" s="372">
        <v>34</v>
      </c>
      <c r="J102" s="382"/>
    </row>
    <row r="103" spans="1:10">
      <c r="A103" s="382"/>
      <c r="B103" s="376"/>
      <c r="C103" s="370"/>
      <c r="D103" s="384"/>
      <c r="E103" s="370"/>
      <c r="F103" s="379"/>
      <c r="G103" s="379"/>
      <c r="H103" s="379"/>
      <c r="I103" s="373"/>
      <c r="J103" s="382"/>
    </row>
    <row r="104" spans="1:10" ht="12.75" thickBot="1">
      <c r="A104" s="382"/>
      <c r="B104" s="376"/>
      <c r="C104" s="371"/>
      <c r="D104" s="385"/>
      <c r="E104" s="371"/>
      <c r="F104" s="380"/>
      <c r="G104" s="380"/>
      <c r="H104" s="380"/>
      <c r="I104" s="374"/>
      <c r="J104" s="382"/>
    </row>
    <row r="105" spans="1:10">
      <c r="A105" s="382"/>
      <c r="B105" s="375">
        <v>35</v>
      </c>
      <c r="C105" s="369" t="s">
        <v>8017</v>
      </c>
      <c r="D105" s="369" t="s">
        <v>8026</v>
      </c>
      <c r="E105" s="392" t="s">
        <v>8007</v>
      </c>
      <c r="F105" s="378" t="s">
        <v>8029</v>
      </c>
      <c r="G105" s="378" t="s">
        <v>7996</v>
      </c>
      <c r="H105" s="378" t="s">
        <v>7995</v>
      </c>
      <c r="I105" s="372">
        <v>35</v>
      </c>
      <c r="J105" s="382"/>
    </row>
    <row r="106" spans="1:10">
      <c r="A106" s="382"/>
      <c r="B106" s="376"/>
      <c r="C106" s="370"/>
      <c r="D106" s="370"/>
      <c r="E106" s="393"/>
      <c r="F106" s="379"/>
      <c r="G106" s="379"/>
      <c r="H106" s="379"/>
      <c r="I106" s="373"/>
      <c r="J106" s="382"/>
    </row>
    <row r="107" spans="1:10" ht="12.75" thickBot="1">
      <c r="A107" s="382"/>
      <c r="B107" s="376"/>
      <c r="C107" s="371"/>
      <c r="D107" s="371"/>
      <c r="E107" s="394"/>
      <c r="F107" s="380"/>
      <c r="G107" s="380"/>
      <c r="H107" s="380"/>
      <c r="I107" s="374"/>
      <c r="J107" s="382"/>
    </row>
    <row r="108" spans="1:10">
      <c r="A108" s="382"/>
      <c r="B108" s="375">
        <v>36</v>
      </c>
      <c r="C108" s="369" t="s">
        <v>8028</v>
      </c>
      <c r="D108" s="369" t="s">
        <v>7954</v>
      </c>
      <c r="E108" s="369" t="s">
        <v>7980</v>
      </c>
      <c r="F108" s="378" t="s">
        <v>7976</v>
      </c>
      <c r="G108" s="378" t="s">
        <v>7981</v>
      </c>
      <c r="H108" s="378" t="s">
        <v>8031</v>
      </c>
      <c r="I108" s="372">
        <v>36</v>
      </c>
      <c r="J108" s="382"/>
    </row>
    <row r="109" spans="1:10">
      <c r="A109" s="382"/>
      <c r="B109" s="376"/>
      <c r="C109" s="370"/>
      <c r="D109" s="370"/>
      <c r="E109" s="370"/>
      <c r="F109" s="379"/>
      <c r="G109" s="379"/>
      <c r="H109" s="379"/>
      <c r="I109" s="373"/>
      <c r="J109" s="382"/>
    </row>
    <row r="110" spans="1:10" ht="12.75" thickBot="1">
      <c r="A110" s="382"/>
      <c r="B110" s="376"/>
      <c r="C110" s="371"/>
      <c r="D110" s="371"/>
      <c r="E110" s="371"/>
      <c r="F110" s="380"/>
      <c r="G110" s="380"/>
      <c r="H110" s="380"/>
      <c r="I110" s="374"/>
      <c r="J110" s="382"/>
    </row>
    <row r="111" spans="1:10">
      <c r="A111" s="382"/>
      <c r="B111" s="375">
        <v>37</v>
      </c>
      <c r="C111" s="369" t="s">
        <v>7955</v>
      </c>
      <c r="D111" s="369" t="s">
        <v>7999</v>
      </c>
      <c r="E111" s="369" t="s">
        <v>7971</v>
      </c>
      <c r="F111" s="378" t="s">
        <v>8019</v>
      </c>
      <c r="G111" s="378" t="s">
        <v>7956</v>
      </c>
      <c r="H111" s="378" t="s">
        <v>8020</v>
      </c>
      <c r="I111" s="372">
        <v>37</v>
      </c>
      <c r="J111" s="382"/>
    </row>
    <row r="112" spans="1:10">
      <c r="A112" s="382"/>
      <c r="B112" s="376"/>
      <c r="C112" s="370"/>
      <c r="D112" s="370"/>
      <c r="E112" s="370"/>
      <c r="F112" s="379"/>
      <c r="G112" s="379"/>
      <c r="H112" s="379"/>
      <c r="I112" s="373"/>
      <c r="J112" s="382"/>
    </row>
    <row r="113" spans="1:10" ht="12.75" thickBot="1">
      <c r="A113" s="382"/>
      <c r="B113" s="376"/>
      <c r="C113" s="371"/>
      <c r="D113" s="371"/>
      <c r="E113" s="371"/>
      <c r="F113" s="380"/>
      <c r="G113" s="380"/>
      <c r="H113" s="380"/>
      <c r="I113" s="374"/>
      <c r="J113" s="382"/>
    </row>
    <row r="114" spans="1:10">
      <c r="A114" s="382"/>
      <c r="B114" s="375">
        <v>38</v>
      </c>
      <c r="C114" s="369" t="s">
        <v>8008</v>
      </c>
      <c r="D114" s="369" t="s">
        <v>7965</v>
      </c>
      <c r="E114" s="386" t="s">
        <v>8002</v>
      </c>
      <c r="F114" s="378" t="s">
        <v>7963</v>
      </c>
      <c r="G114" s="378" t="s">
        <v>8009</v>
      </c>
      <c r="H114" s="378" t="s">
        <v>8021</v>
      </c>
      <c r="I114" s="372">
        <v>38</v>
      </c>
      <c r="J114" s="382"/>
    </row>
    <row r="115" spans="1:10">
      <c r="A115" s="382"/>
      <c r="B115" s="376"/>
      <c r="C115" s="370"/>
      <c r="D115" s="370"/>
      <c r="E115" s="387"/>
      <c r="F115" s="379"/>
      <c r="G115" s="379"/>
      <c r="H115" s="379"/>
      <c r="I115" s="373"/>
      <c r="J115" s="382"/>
    </row>
    <row r="116" spans="1:10" ht="12.75" thickBot="1">
      <c r="A116" s="382"/>
      <c r="B116" s="376"/>
      <c r="C116" s="371"/>
      <c r="D116" s="371"/>
      <c r="E116" s="388"/>
      <c r="F116" s="380"/>
      <c r="G116" s="380"/>
      <c r="H116" s="380"/>
      <c r="I116" s="374"/>
      <c r="J116" s="382"/>
    </row>
    <row r="117" spans="1:10">
      <c r="A117" s="382"/>
      <c r="B117" s="375">
        <v>39</v>
      </c>
      <c r="C117" s="369" t="s">
        <v>8010</v>
      </c>
      <c r="D117" s="369" t="s">
        <v>8006</v>
      </c>
      <c r="E117" s="369" t="s">
        <v>8023</v>
      </c>
      <c r="F117" s="378" t="s">
        <v>7972</v>
      </c>
      <c r="G117" s="378" t="s">
        <v>8018</v>
      </c>
      <c r="H117" s="378" t="s">
        <v>7962</v>
      </c>
      <c r="I117" s="372">
        <v>39</v>
      </c>
      <c r="J117" s="382"/>
    </row>
    <row r="118" spans="1:10">
      <c r="A118" s="382"/>
      <c r="B118" s="376"/>
      <c r="C118" s="370"/>
      <c r="D118" s="370"/>
      <c r="E118" s="370"/>
      <c r="F118" s="379"/>
      <c r="G118" s="379"/>
      <c r="H118" s="379"/>
      <c r="I118" s="373"/>
      <c r="J118" s="382"/>
    </row>
    <row r="119" spans="1:10" ht="12.75" thickBot="1">
      <c r="A119" s="382"/>
      <c r="B119" s="376"/>
      <c r="C119" s="371"/>
      <c r="D119" s="371"/>
      <c r="E119" s="371"/>
      <c r="F119" s="380"/>
      <c r="G119" s="380"/>
      <c r="H119" s="380"/>
      <c r="I119" s="374"/>
      <c r="J119" s="382"/>
    </row>
    <row r="120" spans="1:10">
      <c r="A120" s="382"/>
      <c r="B120" s="375">
        <v>40</v>
      </c>
      <c r="C120" s="369" t="s">
        <v>8036</v>
      </c>
      <c r="D120" s="369" t="s">
        <v>8039</v>
      </c>
      <c r="E120" s="389" t="s">
        <v>8027</v>
      </c>
      <c r="F120" s="378" t="s">
        <v>8025</v>
      </c>
      <c r="G120" s="378" t="s">
        <v>8014</v>
      </c>
      <c r="H120" s="378" t="s">
        <v>7975</v>
      </c>
      <c r="I120" s="372">
        <v>40</v>
      </c>
      <c r="J120" s="382"/>
    </row>
    <row r="121" spans="1:10">
      <c r="A121" s="382"/>
      <c r="B121" s="376"/>
      <c r="C121" s="370"/>
      <c r="D121" s="370"/>
      <c r="E121" s="390"/>
      <c r="F121" s="379"/>
      <c r="G121" s="379"/>
      <c r="H121" s="379"/>
      <c r="I121" s="373"/>
      <c r="J121" s="382"/>
    </row>
    <row r="122" spans="1:10" ht="12.75" thickBot="1">
      <c r="A122" s="382"/>
      <c r="B122" s="376"/>
      <c r="C122" s="371"/>
      <c r="D122" s="371"/>
      <c r="E122" s="391"/>
      <c r="F122" s="380"/>
      <c r="G122" s="380"/>
      <c r="H122" s="380"/>
      <c r="I122" s="374"/>
      <c r="J122" s="382"/>
    </row>
    <row r="123" spans="1:10">
      <c r="A123" s="382"/>
      <c r="B123" s="375">
        <v>41</v>
      </c>
      <c r="C123" s="369" t="s">
        <v>7976</v>
      </c>
      <c r="D123" s="369" t="s">
        <v>8000</v>
      </c>
      <c r="E123" s="369" t="s">
        <v>8001</v>
      </c>
      <c r="F123" s="378" t="s">
        <v>7954</v>
      </c>
      <c r="G123" s="378" t="s">
        <v>7998</v>
      </c>
      <c r="H123" s="378" t="s">
        <v>8036</v>
      </c>
      <c r="I123" s="372">
        <v>41</v>
      </c>
      <c r="J123" s="382"/>
    </row>
    <row r="124" spans="1:10">
      <c r="A124" s="382"/>
      <c r="B124" s="376"/>
      <c r="C124" s="370"/>
      <c r="D124" s="370"/>
      <c r="E124" s="370"/>
      <c r="F124" s="379"/>
      <c r="G124" s="379"/>
      <c r="H124" s="379"/>
      <c r="I124" s="373"/>
      <c r="J124" s="382"/>
    </row>
    <row r="125" spans="1:10" ht="12.75" thickBot="1">
      <c r="A125" s="382"/>
      <c r="B125" s="376"/>
      <c r="C125" s="371"/>
      <c r="D125" s="371"/>
      <c r="E125" s="371"/>
      <c r="F125" s="380"/>
      <c r="G125" s="380"/>
      <c r="H125" s="380"/>
      <c r="I125" s="374"/>
      <c r="J125" s="382"/>
    </row>
    <row r="126" spans="1:10">
      <c r="A126" s="382"/>
      <c r="B126" s="375">
        <v>42</v>
      </c>
      <c r="C126" s="369" t="s">
        <v>8005</v>
      </c>
      <c r="D126" s="369" t="s">
        <v>7996</v>
      </c>
      <c r="E126" s="369" t="s">
        <v>8037</v>
      </c>
      <c r="F126" s="378" t="s">
        <v>7978</v>
      </c>
      <c r="G126" s="378" t="s">
        <v>8035</v>
      </c>
      <c r="H126" s="378" t="s">
        <v>7973</v>
      </c>
      <c r="I126" s="372">
        <v>42</v>
      </c>
      <c r="J126" s="382"/>
    </row>
    <row r="127" spans="1:10">
      <c r="A127" s="382"/>
      <c r="B127" s="376"/>
      <c r="C127" s="370"/>
      <c r="D127" s="370"/>
      <c r="E127" s="370"/>
      <c r="F127" s="379"/>
      <c r="G127" s="379"/>
      <c r="H127" s="379"/>
      <c r="I127" s="373"/>
      <c r="J127" s="382"/>
    </row>
    <row r="128" spans="1:10" ht="12.75" thickBot="1">
      <c r="A128" s="382"/>
      <c r="B128" s="376"/>
      <c r="C128" s="371"/>
      <c r="D128" s="371"/>
      <c r="E128" s="371"/>
      <c r="F128" s="380"/>
      <c r="G128" s="380"/>
      <c r="H128" s="380"/>
      <c r="I128" s="374"/>
      <c r="J128" s="382"/>
    </row>
    <row r="129" spans="1:10">
      <c r="A129" s="382"/>
      <c r="B129" s="375">
        <v>43</v>
      </c>
      <c r="C129" s="369" t="s">
        <v>8031</v>
      </c>
      <c r="D129" s="369" t="s">
        <v>8013</v>
      </c>
      <c r="E129" s="369" t="s">
        <v>8035</v>
      </c>
      <c r="F129" s="392" t="s">
        <v>8002</v>
      </c>
      <c r="G129" s="389" t="s">
        <v>7994</v>
      </c>
      <c r="H129" s="378" t="s">
        <v>8026</v>
      </c>
      <c r="I129" s="372">
        <v>43</v>
      </c>
      <c r="J129" s="382"/>
    </row>
    <row r="130" spans="1:10">
      <c r="A130" s="382"/>
      <c r="B130" s="376"/>
      <c r="C130" s="370"/>
      <c r="D130" s="370"/>
      <c r="E130" s="370"/>
      <c r="F130" s="393"/>
      <c r="G130" s="390"/>
      <c r="H130" s="379"/>
      <c r="I130" s="373"/>
      <c r="J130" s="382"/>
    </row>
    <row r="131" spans="1:10" ht="12.75" thickBot="1">
      <c r="A131" s="382"/>
      <c r="B131" s="376"/>
      <c r="C131" s="371"/>
      <c r="D131" s="371"/>
      <c r="E131" s="371"/>
      <c r="F131" s="394"/>
      <c r="G131" s="391"/>
      <c r="H131" s="380"/>
      <c r="I131" s="374"/>
      <c r="J131" s="382"/>
    </row>
    <row r="132" spans="1:10">
      <c r="A132" s="382"/>
      <c r="B132" s="375">
        <v>44</v>
      </c>
      <c r="C132" s="369" t="s">
        <v>7959</v>
      </c>
      <c r="D132" s="369" t="s">
        <v>7985</v>
      </c>
      <c r="E132" s="369" t="s">
        <v>8011</v>
      </c>
      <c r="F132" s="378" t="s">
        <v>7999</v>
      </c>
      <c r="G132" s="386" t="s">
        <v>8038</v>
      </c>
      <c r="H132" s="378" t="s">
        <v>8030</v>
      </c>
      <c r="I132" s="372">
        <v>44</v>
      </c>
      <c r="J132" s="382"/>
    </row>
    <row r="133" spans="1:10">
      <c r="A133" s="382"/>
      <c r="B133" s="376"/>
      <c r="C133" s="370"/>
      <c r="D133" s="370"/>
      <c r="E133" s="370"/>
      <c r="F133" s="379"/>
      <c r="G133" s="387"/>
      <c r="H133" s="379"/>
      <c r="I133" s="373"/>
      <c r="J133" s="382"/>
    </row>
    <row r="134" spans="1:10" ht="12.75" thickBot="1">
      <c r="A134" s="382"/>
      <c r="B134" s="376"/>
      <c r="C134" s="371"/>
      <c r="D134" s="371"/>
      <c r="E134" s="371"/>
      <c r="F134" s="380"/>
      <c r="G134" s="388"/>
      <c r="H134" s="380"/>
      <c r="I134" s="374"/>
      <c r="J134" s="382"/>
    </row>
    <row r="135" spans="1:10">
      <c r="A135" s="382"/>
      <c r="B135" s="375">
        <v>45</v>
      </c>
      <c r="C135" s="386" t="s">
        <v>8038</v>
      </c>
      <c r="D135" s="369" t="s">
        <v>7975</v>
      </c>
      <c r="E135" s="369" t="s">
        <v>8009</v>
      </c>
      <c r="F135" s="378" t="s">
        <v>8034</v>
      </c>
      <c r="G135" s="378" t="s">
        <v>7985</v>
      </c>
      <c r="H135" s="378" t="s">
        <v>7966</v>
      </c>
      <c r="I135" s="372">
        <v>45</v>
      </c>
      <c r="J135" s="382"/>
    </row>
    <row r="136" spans="1:10">
      <c r="A136" s="382"/>
      <c r="B136" s="376"/>
      <c r="C136" s="387"/>
      <c r="D136" s="370"/>
      <c r="E136" s="370"/>
      <c r="F136" s="379"/>
      <c r="G136" s="379"/>
      <c r="H136" s="379"/>
      <c r="I136" s="373"/>
      <c r="J136" s="382"/>
    </row>
    <row r="137" spans="1:10" ht="12.75" thickBot="1">
      <c r="A137" s="382"/>
      <c r="B137" s="376"/>
      <c r="C137" s="388"/>
      <c r="D137" s="371"/>
      <c r="E137" s="371"/>
      <c r="F137" s="380"/>
      <c r="G137" s="380"/>
      <c r="H137" s="380"/>
      <c r="I137" s="374"/>
      <c r="J137" s="382"/>
    </row>
    <row r="138" spans="1:10">
      <c r="A138" s="382"/>
      <c r="B138" s="375">
        <v>46</v>
      </c>
      <c r="C138" s="369" t="s">
        <v>7977</v>
      </c>
      <c r="D138" s="369" t="s">
        <v>8033</v>
      </c>
      <c r="E138" s="369" t="s">
        <v>8032</v>
      </c>
      <c r="F138" s="378" t="s">
        <v>8012</v>
      </c>
      <c r="G138" s="378" t="s">
        <v>7982</v>
      </c>
      <c r="H138" s="378" t="s">
        <v>8006</v>
      </c>
      <c r="I138" s="372">
        <v>46</v>
      </c>
      <c r="J138" s="382"/>
    </row>
    <row r="139" spans="1:10">
      <c r="A139" s="382"/>
      <c r="B139" s="376"/>
      <c r="C139" s="370"/>
      <c r="D139" s="370"/>
      <c r="E139" s="370"/>
      <c r="F139" s="379"/>
      <c r="G139" s="379"/>
      <c r="H139" s="379"/>
      <c r="I139" s="373"/>
      <c r="J139" s="382"/>
    </row>
    <row r="140" spans="1:10" ht="12.75" thickBot="1">
      <c r="A140" s="382"/>
      <c r="B140" s="376"/>
      <c r="C140" s="371"/>
      <c r="D140" s="371"/>
      <c r="E140" s="371"/>
      <c r="F140" s="380"/>
      <c r="G140" s="380"/>
      <c r="H140" s="380"/>
      <c r="I140" s="374"/>
      <c r="J140" s="382"/>
    </row>
    <row r="141" spans="1:10">
      <c r="A141" s="382"/>
      <c r="B141" s="375">
        <v>47</v>
      </c>
      <c r="C141" s="369" t="s">
        <v>7957</v>
      </c>
      <c r="D141" s="369" t="s">
        <v>8014</v>
      </c>
      <c r="E141" s="369" t="s">
        <v>7997</v>
      </c>
      <c r="F141" s="378" t="s">
        <v>7990</v>
      </c>
      <c r="G141" s="378" t="s">
        <v>7987</v>
      </c>
      <c r="H141" s="378" t="s">
        <v>8011</v>
      </c>
      <c r="I141" s="372">
        <v>47</v>
      </c>
      <c r="J141" s="382"/>
    </row>
    <row r="142" spans="1:10">
      <c r="A142" s="382"/>
      <c r="B142" s="376"/>
      <c r="C142" s="370"/>
      <c r="D142" s="370"/>
      <c r="E142" s="370"/>
      <c r="F142" s="379"/>
      <c r="G142" s="379"/>
      <c r="H142" s="379"/>
      <c r="I142" s="373"/>
      <c r="J142" s="382"/>
    </row>
    <row r="143" spans="1:10" ht="12.75" thickBot="1">
      <c r="A143" s="382"/>
      <c r="B143" s="376"/>
      <c r="C143" s="371"/>
      <c r="D143" s="371"/>
      <c r="E143" s="371"/>
      <c r="F143" s="380"/>
      <c r="G143" s="380"/>
      <c r="H143" s="380"/>
      <c r="I143" s="374"/>
      <c r="J143" s="382"/>
    </row>
    <row r="144" spans="1:10">
      <c r="A144" s="382"/>
      <c r="B144" s="375">
        <v>48</v>
      </c>
      <c r="C144" s="369" t="s">
        <v>8012</v>
      </c>
      <c r="D144" s="369" t="s">
        <v>8025</v>
      </c>
      <c r="E144" s="369" t="s">
        <v>7986</v>
      </c>
      <c r="F144" s="378" t="s">
        <v>7970</v>
      </c>
      <c r="G144" s="378" t="s">
        <v>7979</v>
      </c>
      <c r="H144" s="378" t="s">
        <v>7958</v>
      </c>
      <c r="I144" s="372">
        <v>48</v>
      </c>
      <c r="J144" s="382"/>
    </row>
    <row r="145" spans="1:10">
      <c r="A145" s="382"/>
      <c r="B145" s="376"/>
      <c r="C145" s="370"/>
      <c r="D145" s="370"/>
      <c r="E145" s="370"/>
      <c r="F145" s="379"/>
      <c r="G145" s="379"/>
      <c r="H145" s="379"/>
      <c r="I145" s="373"/>
      <c r="J145" s="382"/>
    </row>
    <row r="146" spans="1:10" ht="12.75" thickBot="1">
      <c r="A146" s="382"/>
      <c r="B146" s="376"/>
      <c r="C146" s="371"/>
      <c r="D146" s="371"/>
      <c r="E146" s="371"/>
      <c r="F146" s="380"/>
      <c r="G146" s="380"/>
      <c r="H146" s="380"/>
      <c r="I146" s="374"/>
      <c r="J146" s="382"/>
    </row>
    <row r="147" spans="1:10">
      <c r="A147" s="382"/>
      <c r="B147" s="375">
        <v>49</v>
      </c>
      <c r="C147" s="369" t="s">
        <v>7990</v>
      </c>
      <c r="D147" s="369" t="s">
        <v>7963</v>
      </c>
      <c r="E147" s="383" t="s">
        <v>8022</v>
      </c>
      <c r="F147" s="378" t="s">
        <v>7977</v>
      </c>
      <c r="G147" s="386" t="s">
        <v>8007</v>
      </c>
      <c r="H147" s="378" t="s">
        <v>7961</v>
      </c>
      <c r="I147" s="372">
        <v>49</v>
      </c>
      <c r="J147" s="382"/>
    </row>
    <row r="148" spans="1:10">
      <c r="A148" s="382"/>
      <c r="B148" s="376"/>
      <c r="C148" s="370"/>
      <c r="D148" s="370"/>
      <c r="E148" s="384"/>
      <c r="F148" s="379"/>
      <c r="G148" s="387"/>
      <c r="H148" s="379"/>
      <c r="I148" s="373"/>
      <c r="J148" s="382"/>
    </row>
    <row r="149" spans="1:10" ht="12.75" thickBot="1">
      <c r="A149" s="382"/>
      <c r="B149" s="376"/>
      <c r="C149" s="371"/>
      <c r="D149" s="371"/>
      <c r="E149" s="385"/>
      <c r="F149" s="380"/>
      <c r="G149" s="388"/>
      <c r="H149" s="380"/>
      <c r="I149" s="374"/>
      <c r="J149" s="382"/>
    </row>
    <row r="150" spans="1:10">
      <c r="A150" s="382"/>
      <c r="B150" s="375">
        <v>50</v>
      </c>
      <c r="C150" s="369" t="s">
        <v>7982</v>
      </c>
      <c r="D150" s="369" t="s">
        <v>7979</v>
      </c>
      <c r="E150" s="369" t="s">
        <v>7983</v>
      </c>
      <c r="F150" s="378" t="s">
        <v>8039</v>
      </c>
      <c r="G150" s="378" t="s">
        <v>7997</v>
      </c>
      <c r="H150" s="378" t="s">
        <v>7965</v>
      </c>
      <c r="I150" s="372">
        <v>50</v>
      </c>
      <c r="J150" s="382"/>
    </row>
    <row r="151" spans="1:10">
      <c r="A151" s="382"/>
      <c r="B151" s="376"/>
      <c r="C151" s="370"/>
      <c r="D151" s="370"/>
      <c r="E151" s="370"/>
      <c r="F151" s="379"/>
      <c r="G151" s="379"/>
      <c r="H151" s="379"/>
      <c r="I151" s="373"/>
      <c r="J151" s="382"/>
    </row>
    <row r="152" spans="1:10" ht="12.75" thickBot="1">
      <c r="A152" s="382"/>
      <c r="B152" s="376"/>
      <c r="C152" s="371"/>
      <c r="D152" s="371"/>
      <c r="E152" s="371"/>
      <c r="F152" s="380"/>
      <c r="G152" s="380"/>
      <c r="H152" s="380"/>
      <c r="I152" s="374"/>
      <c r="J152" s="382"/>
    </row>
    <row r="153" spans="1:10">
      <c r="A153" s="382"/>
      <c r="B153" s="375">
        <v>51</v>
      </c>
      <c r="C153" s="369" t="s">
        <v>8020</v>
      </c>
      <c r="D153" s="369" t="s">
        <v>7969</v>
      </c>
      <c r="E153" s="369" t="s">
        <v>7956</v>
      </c>
      <c r="F153" s="378" t="s">
        <v>8037</v>
      </c>
      <c r="G153" s="378" t="s">
        <v>8023</v>
      </c>
      <c r="H153" s="378" t="s">
        <v>7993</v>
      </c>
      <c r="I153" s="372">
        <v>51</v>
      </c>
      <c r="J153" s="382"/>
    </row>
    <row r="154" spans="1:10">
      <c r="A154" s="382"/>
      <c r="B154" s="376"/>
      <c r="C154" s="370"/>
      <c r="D154" s="370"/>
      <c r="E154" s="370"/>
      <c r="F154" s="379"/>
      <c r="G154" s="379"/>
      <c r="H154" s="379"/>
      <c r="I154" s="373"/>
      <c r="J154" s="382"/>
    </row>
    <row r="155" spans="1:10" ht="12.75" thickBot="1">
      <c r="A155" s="382"/>
      <c r="B155" s="376"/>
      <c r="C155" s="371"/>
      <c r="D155" s="371"/>
      <c r="E155" s="371"/>
      <c r="F155" s="380"/>
      <c r="G155" s="380"/>
      <c r="H155" s="380"/>
      <c r="I155" s="374"/>
      <c r="J155" s="382"/>
    </row>
    <row r="156" spans="1:10">
      <c r="A156" s="382"/>
      <c r="B156" s="375">
        <v>52</v>
      </c>
      <c r="C156" s="369" t="s">
        <v>7973</v>
      </c>
      <c r="D156" s="369" t="s">
        <v>8016</v>
      </c>
      <c r="E156" s="369" t="s">
        <v>7962</v>
      </c>
      <c r="F156" s="378" t="s">
        <v>8016</v>
      </c>
      <c r="G156" s="378" t="s">
        <v>7968</v>
      </c>
      <c r="H156" s="383" t="s">
        <v>8022</v>
      </c>
      <c r="I156" s="372">
        <v>52</v>
      </c>
      <c r="J156" s="382"/>
    </row>
    <row r="157" spans="1:10">
      <c r="A157" s="382"/>
      <c r="B157" s="376"/>
      <c r="C157" s="370"/>
      <c r="D157" s="370"/>
      <c r="E157" s="370"/>
      <c r="F157" s="379"/>
      <c r="G157" s="379"/>
      <c r="H157" s="384"/>
      <c r="I157" s="373"/>
      <c r="J157" s="382"/>
    </row>
    <row r="158" spans="1:10" ht="12.75" thickBot="1">
      <c r="A158" s="382"/>
      <c r="B158" s="376"/>
      <c r="C158" s="371"/>
      <c r="D158" s="371"/>
      <c r="E158" s="371"/>
      <c r="F158" s="380"/>
      <c r="G158" s="380"/>
      <c r="H158" s="385"/>
      <c r="I158" s="374"/>
      <c r="J158" s="382"/>
    </row>
    <row r="159" spans="1:10">
      <c r="A159" s="382"/>
      <c r="B159" s="375">
        <v>53</v>
      </c>
      <c r="C159" s="369" t="s">
        <v>8018</v>
      </c>
      <c r="D159" s="369" t="s">
        <v>8021</v>
      </c>
      <c r="E159" s="369" t="s">
        <v>7989</v>
      </c>
      <c r="F159" s="378" t="s">
        <v>7984</v>
      </c>
      <c r="G159" s="378" t="s">
        <v>8032</v>
      </c>
      <c r="H159" s="378" t="s">
        <v>8005</v>
      </c>
      <c r="I159" s="372">
        <v>53</v>
      </c>
      <c r="J159" s="382"/>
    </row>
    <row r="160" spans="1:10">
      <c r="A160" s="382"/>
      <c r="B160" s="376"/>
      <c r="C160" s="370"/>
      <c r="D160" s="370"/>
      <c r="E160" s="370"/>
      <c r="F160" s="379"/>
      <c r="G160" s="379"/>
      <c r="H160" s="379"/>
      <c r="I160" s="373"/>
      <c r="J160" s="382"/>
    </row>
    <row r="161" spans="1:10" ht="12.75" thickBot="1">
      <c r="A161" s="382"/>
      <c r="B161" s="376"/>
      <c r="C161" s="371"/>
      <c r="D161" s="371"/>
      <c r="E161" s="371"/>
      <c r="F161" s="380"/>
      <c r="G161" s="380"/>
      <c r="H161" s="380"/>
      <c r="I161" s="374"/>
      <c r="J161" s="382"/>
    </row>
    <row r="162" spans="1:10">
      <c r="A162" s="382"/>
      <c r="B162" s="375">
        <v>54</v>
      </c>
      <c r="C162" s="369" t="s">
        <v>7978</v>
      </c>
      <c r="D162" s="369" t="s">
        <v>7964</v>
      </c>
      <c r="E162" s="369" t="s">
        <v>7970</v>
      </c>
      <c r="F162" s="378" t="s">
        <v>7964</v>
      </c>
      <c r="G162" s="378" t="s">
        <v>7983</v>
      </c>
      <c r="H162" s="378" t="s">
        <v>7959</v>
      </c>
      <c r="I162" s="372">
        <v>54</v>
      </c>
      <c r="J162" s="382"/>
    </row>
    <row r="163" spans="1:10">
      <c r="A163" s="382"/>
      <c r="B163" s="376"/>
      <c r="C163" s="370"/>
      <c r="D163" s="370"/>
      <c r="E163" s="370"/>
      <c r="F163" s="379"/>
      <c r="G163" s="379"/>
      <c r="H163" s="379"/>
      <c r="I163" s="373"/>
      <c r="J163" s="382"/>
    </row>
    <row r="164" spans="1:10" ht="12.75" thickBot="1">
      <c r="A164" s="382"/>
      <c r="B164" s="376"/>
      <c r="C164" s="371"/>
      <c r="D164" s="371"/>
      <c r="E164" s="371"/>
      <c r="F164" s="380"/>
      <c r="G164" s="380"/>
      <c r="H164" s="380"/>
      <c r="I164" s="374"/>
      <c r="J164" s="382"/>
    </row>
    <row r="165" spans="1:10">
      <c r="A165" s="382"/>
      <c r="B165" s="375">
        <v>55</v>
      </c>
      <c r="C165" s="369" t="s">
        <v>7974</v>
      </c>
      <c r="D165" s="369" t="s">
        <v>8034</v>
      </c>
      <c r="E165" s="369" t="s">
        <v>7967</v>
      </c>
      <c r="F165" s="383" t="s">
        <v>8027</v>
      </c>
      <c r="G165" s="378" t="s">
        <v>7974</v>
      </c>
      <c r="H165" s="378" t="s">
        <v>7960</v>
      </c>
      <c r="I165" s="372">
        <v>55</v>
      </c>
      <c r="J165" s="382"/>
    </row>
    <row r="166" spans="1:10">
      <c r="A166" s="382"/>
      <c r="B166" s="376"/>
      <c r="C166" s="370"/>
      <c r="D166" s="370"/>
      <c r="E166" s="370"/>
      <c r="F166" s="384"/>
      <c r="G166" s="379"/>
      <c r="H166" s="379"/>
      <c r="I166" s="373"/>
      <c r="J166" s="382"/>
    </row>
    <row r="167" spans="1:10" ht="12.75" thickBot="1">
      <c r="A167" s="382"/>
      <c r="B167" s="376"/>
      <c r="C167" s="371"/>
      <c r="D167" s="371"/>
      <c r="E167" s="371"/>
      <c r="F167" s="385"/>
      <c r="G167" s="380"/>
      <c r="H167" s="380"/>
      <c r="I167" s="374"/>
      <c r="J167" s="382"/>
    </row>
    <row r="168" spans="1:10">
      <c r="A168" s="382"/>
      <c r="B168" s="375">
        <v>56</v>
      </c>
      <c r="C168" s="369" t="s">
        <v>7966</v>
      </c>
      <c r="D168" s="369" t="s">
        <v>7995</v>
      </c>
      <c r="E168" s="369" t="s">
        <v>7992</v>
      </c>
      <c r="F168" s="378" t="s">
        <v>8024</v>
      </c>
      <c r="G168" s="378" t="s">
        <v>7980</v>
      </c>
      <c r="H168" s="378" t="s">
        <v>8017</v>
      </c>
      <c r="I168" s="372">
        <v>56</v>
      </c>
      <c r="J168" s="382"/>
    </row>
    <row r="169" spans="1:10">
      <c r="A169" s="382"/>
      <c r="B169" s="376"/>
      <c r="C169" s="370"/>
      <c r="D169" s="370"/>
      <c r="E169" s="370"/>
      <c r="F169" s="379"/>
      <c r="G169" s="379"/>
      <c r="H169" s="379"/>
      <c r="I169" s="373"/>
      <c r="J169" s="382"/>
    </row>
    <row r="170" spans="1:10" ht="12.75" thickBot="1">
      <c r="A170" s="382"/>
      <c r="B170" s="376"/>
      <c r="C170" s="371"/>
      <c r="D170" s="371"/>
      <c r="E170" s="371"/>
      <c r="F170" s="380"/>
      <c r="G170" s="380"/>
      <c r="H170" s="380"/>
      <c r="I170" s="374"/>
      <c r="J170" s="382"/>
    </row>
    <row r="171" spans="1:10">
      <c r="A171" s="382"/>
      <c r="B171" s="375">
        <v>57</v>
      </c>
      <c r="C171" s="369" t="s">
        <v>7987</v>
      </c>
      <c r="D171" s="369" t="s">
        <v>7961</v>
      </c>
      <c r="E171" s="369" t="s">
        <v>8030</v>
      </c>
      <c r="F171" s="378" t="s">
        <v>8013</v>
      </c>
      <c r="G171" s="378" t="s">
        <v>8003</v>
      </c>
      <c r="H171" s="378" t="s">
        <v>8015</v>
      </c>
      <c r="I171" s="372">
        <v>57</v>
      </c>
      <c r="J171" s="382"/>
    </row>
    <row r="172" spans="1:10">
      <c r="A172" s="382"/>
      <c r="B172" s="376"/>
      <c r="C172" s="370"/>
      <c r="D172" s="370"/>
      <c r="E172" s="370"/>
      <c r="F172" s="379"/>
      <c r="G172" s="379"/>
      <c r="H172" s="379"/>
      <c r="I172" s="373"/>
      <c r="J172" s="382"/>
    </row>
    <row r="173" spans="1:10" ht="12.75" thickBot="1">
      <c r="A173" s="382"/>
      <c r="B173" s="376"/>
      <c r="C173" s="371"/>
      <c r="D173" s="371"/>
      <c r="E173" s="371"/>
      <c r="F173" s="380"/>
      <c r="G173" s="380"/>
      <c r="H173" s="380"/>
      <c r="I173" s="374"/>
      <c r="J173" s="382"/>
    </row>
    <row r="174" spans="1:10">
      <c r="A174" s="382"/>
      <c r="B174" s="375">
        <v>58</v>
      </c>
      <c r="C174" s="369" t="s">
        <v>8003</v>
      </c>
      <c r="D174" s="369" t="s">
        <v>8015</v>
      </c>
      <c r="E174" s="369" t="s">
        <v>8024</v>
      </c>
      <c r="F174" s="378" t="s">
        <v>8028</v>
      </c>
      <c r="G174" s="378" t="s">
        <v>7992</v>
      </c>
      <c r="H174" s="378" t="s">
        <v>7969</v>
      </c>
      <c r="I174" s="372">
        <v>58</v>
      </c>
      <c r="J174" s="382"/>
    </row>
    <row r="175" spans="1:10">
      <c r="A175" s="382"/>
      <c r="B175" s="376"/>
      <c r="C175" s="370" t="s">
        <v>7950</v>
      </c>
      <c r="D175" s="370" t="s">
        <v>7950</v>
      </c>
      <c r="E175" s="370" t="s">
        <v>7950</v>
      </c>
      <c r="F175" s="379" t="s">
        <v>7950</v>
      </c>
      <c r="G175" s="379" t="s">
        <v>7950</v>
      </c>
      <c r="H175" s="379" t="s">
        <v>7950</v>
      </c>
      <c r="I175" s="373"/>
      <c r="J175" s="382"/>
    </row>
    <row r="176" spans="1:10" ht="12.75" thickBot="1">
      <c r="A176" s="382"/>
      <c r="B176" s="376"/>
      <c r="C176" s="371"/>
      <c r="D176" s="371"/>
      <c r="E176" s="371"/>
      <c r="F176" s="380"/>
      <c r="G176" s="380"/>
      <c r="H176" s="380"/>
      <c r="I176" s="374"/>
      <c r="J176" s="382"/>
    </row>
    <row r="177" spans="1:10">
      <c r="B177" s="375">
        <v>59</v>
      </c>
      <c r="C177" s="395" t="s">
        <v>7950</v>
      </c>
      <c r="D177" s="395" t="s">
        <v>7950</v>
      </c>
      <c r="E177" s="395" t="s">
        <v>7950</v>
      </c>
      <c r="F177" s="395" t="s">
        <v>7950</v>
      </c>
      <c r="G177" s="395" t="s">
        <v>7950</v>
      </c>
      <c r="H177" s="395" t="s">
        <v>7950</v>
      </c>
      <c r="I177" s="375">
        <v>59</v>
      </c>
    </row>
    <row r="178" spans="1:10">
      <c r="B178" s="376"/>
      <c r="C178" s="395"/>
      <c r="D178" s="395"/>
      <c r="E178" s="395"/>
      <c r="F178" s="395"/>
      <c r="G178" s="395"/>
      <c r="H178" s="395"/>
      <c r="I178" s="376"/>
    </row>
    <row r="179" spans="1:10" ht="12.75" thickBot="1">
      <c r="B179" s="376"/>
      <c r="C179" s="395"/>
      <c r="D179" s="395"/>
      <c r="E179" s="395"/>
      <c r="F179" s="395"/>
      <c r="G179" s="395"/>
      <c r="H179" s="395"/>
      <c r="I179" s="396"/>
    </row>
    <row r="180" spans="1:10">
      <c r="A180" s="381" t="s">
        <v>8042</v>
      </c>
      <c r="B180" s="375">
        <v>60</v>
      </c>
      <c r="C180" s="378" t="s">
        <v>7975</v>
      </c>
      <c r="D180" s="378" t="s">
        <v>8034</v>
      </c>
      <c r="E180" s="378" t="s">
        <v>8026</v>
      </c>
      <c r="F180" s="369" t="s">
        <v>8010</v>
      </c>
      <c r="G180" s="369" t="s">
        <v>7986</v>
      </c>
      <c r="H180" s="369" t="s">
        <v>8031</v>
      </c>
      <c r="I180" s="372">
        <v>60</v>
      </c>
      <c r="J180" s="381" t="s">
        <v>8043</v>
      </c>
    </row>
    <row r="181" spans="1:10">
      <c r="A181" s="382"/>
      <c r="B181" s="376"/>
      <c r="C181" s="379"/>
      <c r="D181" s="379"/>
      <c r="E181" s="379"/>
      <c r="F181" s="370"/>
      <c r="G181" s="370"/>
      <c r="H181" s="370"/>
      <c r="I181" s="373"/>
      <c r="J181" s="382"/>
    </row>
    <row r="182" spans="1:10" ht="12.75" thickBot="1">
      <c r="A182" s="382"/>
      <c r="B182" s="376"/>
      <c r="C182" s="380"/>
      <c r="D182" s="380"/>
      <c r="E182" s="380"/>
      <c r="F182" s="371"/>
      <c r="G182" s="371"/>
      <c r="H182" s="371"/>
      <c r="I182" s="374"/>
      <c r="J182" s="382"/>
    </row>
    <row r="183" spans="1:10">
      <c r="A183" s="382"/>
      <c r="B183" s="375">
        <v>61</v>
      </c>
      <c r="C183" s="378" t="s">
        <v>8013</v>
      </c>
      <c r="D183" s="378" t="s">
        <v>7962</v>
      </c>
      <c r="E183" s="378" t="s">
        <v>7969</v>
      </c>
      <c r="F183" s="369" t="s">
        <v>8016</v>
      </c>
      <c r="G183" s="369" t="s">
        <v>7969</v>
      </c>
      <c r="H183" s="369" t="s">
        <v>8029</v>
      </c>
      <c r="I183" s="372">
        <v>61</v>
      </c>
      <c r="J183" s="382"/>
    </row>
    <row r="184" spans="1:10">
      <c r="A184" s="382"/>
      <c r="B184" s="376"/>
      <c r="C184" s="379"/>
      <c r="D184" s="379"/>
      <c r="E184" s="379"/>
      <c r="F184" s="370"/>
      <c r="G184" s="370"/>
      <c r="H184" s="370"/>
      <c r="I184" s="373"/>
      <c r="J184" s="382"/>
    </row>
    <row r="185" spans="1:10" ht="12.75" thickBot="1">
      <c r="A185" s="382"/>
      <c r="B185" s="376"/>
      <c r="C185" s="380"/>
      <c r="D185" s="380"/>
      <c r="E185" s="380"/>
      <c r="F185" s="371"/>
      <c r="G185" s="371"/>
      <c r="H185" s="371"/>
      <c r="I185" s="374"/>
      <c r="J185" s="382"/>
    </row>
    <row r="186" spans="1:10">
      <c r="A186" s="382"/>
      <c r="B186" s="375">
        <v>62</v>
      </c>
      <c r="C186" s="378" t="s">
        <v>7968</v>
      </c>
      <c r="D186" s="378" t="s">
        <v>7954</v>
      </c>
      <c r="E186" s="378" t="s">
        <v>7960</v>
      </c>
      <c r="F186" s="369" t="s">
        <v>7974</v>
      </c>
      <c r="G186" s="369" t="s">
        <v>7989</v>
      </c>
      <c r="H186" s="369" t="s">
        <v>7976</v>
      </c>
      <c r="I186" s="372">
        <v>62</v>
      </c>
      <c r="J186" s="382"/>
    </row>
    <row r="187" spans="1:10">
      <c r="A187" s="382"/>
      <c r="B187" s="376"/>
      <c r="C187" s="379"/>
      <c r="D187" s="379"/>
      <c r="E187" s="379"/>
      <c r="F187" s="370"/>
      <c r="G187" s="370"/>
      <c r="H187" s="370"/>
      <c r="I187" s="373"/>
      <c r="J187" s="382"/>
    </row>
    <row r="188" spans="1:10" ht="12.75" thickBot="1">
      <c r="A188" s="382"/>
      <c r="B188" s="376"/>
      <c r="C188" s="380"/>
      <c r="D188" s="380"/>
      <c r="E188" s="380"/>
      <c r="F188" s="371"/>
      <c r="G188" s="371"/>
      <c r="H188" s="371"/>
      <c r="I188" s="374"/>
      <c r="J188" s="382"/>
    </row>
    <row r="189" spans="1:10">
      <c r="A189" s="382"/>
      <c r="B189" s="375">
        <v>63</v>
      </c>
      <c r="C189" s="378" t="s">
        <v>7967</v>
      </c>
      <c r="D189" s="378" t="s">
        <v>7996</v>
      </c>
      <c r="E189" s="378" t="s">
        <v>7964</v>
      </c>
      <c r="F189" s="392" t="s">
        <v>8002</v>
      </c>
      <c r="G189" s="369" t="s">
        <v>7985</v>
      </c>
      <c r="H189" s="369" t="s">
        <v>8019</v>
      </c>
      <c r="I189" s="372">
        <v>63</v>
      </c>
      <c r="J189" s="382"/>
    </row>
    <row r="190" spans="1:10">
      <c r="A190" s="382"/>
      <c r="B190" s="376"/>
      <c r="C190" s="379"/>
      <c r="D190" s="379"/>
      <c r="E190" s="379"/>
      <c r="F190" s="393"/>
      <c r="G190" s="370"/>
      <c r="H190" s="370"/>
      <c r="I190" s="373"/>
      <c r="J190" s="382"/>
    </row>
    <row r="191" spans="1:10" ht="12.75" thickBot="1">
      <c r="A191" s="382"/>
      <c r="B191" s="376"/>
      <c r="C191" s="380"/>
      <c r="D191" s="380"/>
      <c r="E191" s="380"/>
      <c r="F191" s="394"/>
      <c r="G191" s="371"/>
      <c r="H191" s="371"/>
      <c r="I191" s="374"/>
      <c r="J191" s="382"/>
    </row>
    <row r="192" spans="1:10">
      <c r="A192" s="382"/>
      <c r="B192" s="375">
        <v>64</v>
      </c>
      <c r="C192" s="378" t="s">
        <v>7997</v>
      </c>
      <c r="D192" s="378" t="s">
        <v>8017</v>
      </c>
      <c r="E192" s="378" t="s">
        <v>7963</v>
      </c>
      <c r="F192" s="369" t="s">
        <v>7965</v>
      </c>
      <c r="G192" s="369" t="s">
        <v>7998</v>
      </c>
      <c r="H192" s="369" t="s">
        <v>7967</v>
      </c>
      <c r="I192" s="372">
        <v>64</v>
      </c>
      <c r="J192" s="382"/>
    </row>
    <row r="193" spans="1:10">
      <c r="A193" s="382"/>
      <c r="B193" s="376"/>
      <c r="C193" s="379"/>
      <c r="D193" s="379"/>
      <c r="E193" s="379"/>
      <c r="F193" s="370"/>
      <c r="G193" s="370"/>
      <c r="H193" s="370"/>
      <c r="I193" s="373"/>
      <c r="J193" s="382"/>
    </row>
    <row r="194" spans="1:10" ht="12.75" thickBot="1">
      <c r="A194" s="382"/>
      <c r="B194" s="376"/>
      <c r="C194" s="380"/>
      <c r="D194" s="380"/>
      <c r="E194" s="380"/>
      <c r="F194" s="371"/>
      <c r="G194" s="371"/>
      <c r="H194" s="371"/>
      <c r="I194" s="374"/>
      <c r="J194" s="382"/>
    </row>
    <row r="195" spans="1:10">
      <c r="A195" s="382"/>
      <c r="B195" s="375">
        <v>65</v>
      </c>
      <c r="C195" s="383" t="s">
        <v>8022</v>
      </c>
      <c r="D195" s="386" t="s">
        <v>8038</v>
      </c>
      <c r="E195" s="378" t="s">
        <v>8036</v>
      </c>
      <c r="F195" s="369" t="s">
        <v>8034</v>
      </c>
      <c r="G195" s="369" t="s">
        <v>7988</v>
      </c>
      <c r="H195" s="389" t="s">
        <v>8027</v>
      </c>
      <c r="I195" s="372">
        <v>65</v>
      </c>
      <c r="J195" s="382"/>
    </row>
    <row r="196" spans="1:10">
      <c r="A196" s="382"/>
      <c r="B196" s="376"/>
      <c r="C196" s="384"/>
      <c r="D196" s="387"/>
      <c r="E196" s="379"/>
      <c r="F196" s="370"/>
      <c r="G196" s="370"/>
      <c r="H196" s="390"/>
      <c r="I196" s="373"/>
      <c r="J196" s="382"/>
    </row>
    <row r="197" spans="1:10" ht="12.75" thickBot="1">
      <c r="A197" s="382"/>
      <c r="B197" s="376"/>
      <c r="C197" s="385"/>
      <c r="D197" s="388"/>
      <c r="E197" s="380"/>
      <c r="F197" s="371"/>
      <c r="G197" s="371"/>
      <c r="H197" s="391"/>
      <c r="I197" s="374"/>
      <c r="J197" s="382"/>
    </row>
    <row r="198" spans="1:10">
      <c r="A198" s="382"/>
      <c r="B198" s="375">
        <v>66</v>
      </c>
      <c r="C198" s="378" t="s">
        <v>7998</v>
      </c>
      <c r="D198" s="392" t="s">
        <v>8007</v>
      </c>
      <c r="E198" s="378" t="s">
        <v>7970</v>
      </c>
      <c r="F198" s="369" t="s">
        <v>7962</v>
      </c>
      <c r="G198" s="369" t="s">
        <v>7966</v>
      </c>
      <c r="H198" s="369" t="s">
        <v>8012</v>
      </c>
      <c r="I198" s="372">
        <v>66</v>
      </c>
      <c r="J198" s="382"/>
    </row>
    <row r="199" spans="1:10">
      <c r="A199" s="382"/>
      <c r="B199" s="376"/>
      <c r="C199" s="379"/>
      <c r="D199" s="393"/>
      <c r="E199" s="379"/>
      <c r="F199" s="370"/>
      <c r="G199" s="370"/>
      <c r="H199" s="370"/>
      <c r="I199" s="373"/>
      <c r="J199" s="382"/>
    </row>
    <row r="200" spans="1:10" ht="12.75" thickBot="1">
      <c r="A200" s="382"/>
      <c r="B200" s="376"/>
      <c r="C200" s="380"/>
      <c r="D200" s="394"/>
      <c r="E200" s="380"/>
      <c r="F200" s="371"/>
      <c r="G200" s="371"/>
      <c r="H200" s="371"/>
      <c r="I200" s="374"/>
      <c r="J200" s="382"/>
    </row>
    <row r="201" spans="1:10">
      <c r="A201" s="382"/>
      <c r="B201" s="375">
        <v>67</v>
      </c>
      <c r="C201" s="378" t="s">
        <v>8020</v>
      </c>
      <c r="D201" s="378" t="s">
        <v>7985</v>
      </c>
      <c r="E201" s="378" t="s">
        <v>8030</v>
      </c>
      <c r="F201" s="369" t="s">
        <v>7963</v>
      </c>
      <c r="G201" s="369" t="s">
        <v>7958</v>
      </c>
      <c r="H201" s="369" t="s">
        <v>8008</v>
      </c>
      <c r="I201" s="372">
        <v>67</v>
      </c>
      <c r="J201" s="382"/>
    </row>
    <row r="202" spans="1:10">
      <c r="A202" s="382"/>
      <c r="B202" s="376"/>
      <c r="C202" s="379"/>
      <c r="D202" s="379"/>
      <c r="E202" s="379"/>
      <c r="F202" s="370"/>
      <c r="G202" s="370"/>
      <c r="H202" s="370"/>
      <c r="I202" s="373"/>
      <c r="J202" s="382"/>
    </row>
    <row r="203" spans="1:10" ht="12.75" thickBot="1">
      <c r="A203" s="382"/>
      <c r="B203" s="376"/>
      <c r="C203" s="380"/>
      <c r="D203" s="380"/>
      <c r="E203" s="380"/>
      <c r="F203" s="371"/>
      <c r="G203" s="371"/>
      <c r="H203" s="371"/>
      <c r="I203" s="374"/>
      <c r="J203" s="382"/>
    </row>
    <row r="204" spans="1:10">
      <c r="A204" s="382"/>
      <c r="B204" s="375">
        <v>68</v>
      </c>
      <c r="C204" s="378" t="s">
        <v>8008</v>
      </c>
      <c r="D204" s="378" t="s">
        <v>7974</v>
      </c>
      <c r="E204" s="378" t="s">
        <v>7955</v>
      </c>
      <c r="F204" s="369" t="s">
        <v>8037</v>
      </c>
      <c r="G204" s="369" t="s">
        <v>7982</v>
      </c>
      <c r="H204" s="369" t="s">
        <v>8001</v>
      </c>
      <c r="I204" s="372">
        <v>68</v>
      </c>
      <c r="J204" s="382"/>
    </row>
    <row r="205" spans="1:10">
      <c r="A205" s="382"/>
      <c r="B205" s="376"/>
      <c r="C205" s="379"/>
      <c r="D205" s="379"/>
      <c r="E205" s="379"/>
      <c r="F205" s="370"/>
      <c r="G205" s="370"/>
      <c r="H205" s="370"/>
      <c r="I205" s="373"/>
      <c r="J205" s="382"/>
    </row>
    <row r="206" spans="1:10" ht="12.75" thickBot="1">
      <c r="A206" s="382"/>
      <c r="B206" s="376"/>
      <c r="C206" s="380"/>
      <c r="D206" s="380"/>
      <c r="E206" s="380"/>
      <c r="F206" s="371"/>
      <c r="G206" s="371"/>
      <c r="H206" s="371"/>
      <c r="I206" s="374"/>
      <c r="J206" s="382"/>
    </row>
    <row r="207" spans="1:10">
      <c r="A207" s="382"/>
      <c r="B207" s="375">
        <v>69</v>
      </c>
      <c r="C207" s="378" t="s">
        <v>8005</v>
      </c>
      <c r="D207" s="378" t="s">
        <v>8031</v>
      </c>
      <c r="E207" s="378" t="s">
        <v>8025</v>
      </c>
      <c r="F207" s="369" t="s">
        <v>7957</v>
      </c>
      <c r="G207" s="369" t="s">
        <v>7980</v>
      </c>
      <c r="H207" s="383" t="s">
        <v>7994</v>
      </c>
      <c r="I207" s="372">
        <v>69</v>
      </c>
      <c r="J207" s="382"/>
    </row>
    <row r="208" spans="1:10">
      <c r="A208" s="382"/>
      <c r="B208" s="376"/>
      <c r="C208" s="379"/>
      <c r="D208" s="379"/>
      <c r="E208" s="379"/>
      <c r="F208" s="370"/>
      <c r="G208" s="370"/>
      <c r="H208" s="384"/>
      <c r="I208" s="373"/>
      <c r="J208" s="382"/>
    </row>
    <row r="209" spans="1:10" ht="12.75" thickBot="1">
      <c r="A209" s="382"/>
      <c r="B209" s="376"/>
      <c r="C209" s="380"/>
      <c r="D209" s="380"/>
      <c r="E209" s="380"/>
      <c r="F209" s="371"/>
      <c r="G209" s="371"/>
      <c r="H209" s="385"/>
      <c r="I209" s="374"/>
      <c r="J209" s="382"/>
    </row>
    <row r="210" spans="1:10">
      <c r="A210" s="382"/>
      <c r="B210" s="375">
        <v>70</v>
      </c>
      <c r="C210" s="378" t="s">
        <v>7979</v>
      </c>
      <c r="D210" s="378" t="s">
        <v>7981</v>
      </c>
      <c r="E210" s="378" t="s">
        <v>8032</v>
      </c>
      <c r="F210" s="369" t="s">
        <v>8025</v>
      </c>
      <c r="G210" s="369" t="s">
        <v>8006</v>
      </c>
      <c r="H210" s="369" t="s">
        <v>7990</v>
      </c>
      <c r="I210" s="372">
        <v>70</v>
      </c>
      <c r="J210" s="382"/>
    </row>
    <row r="211" spans="1:10">
      <c r="A211" s="382"/>
      <c r="B211" s="376"/>
      <c r="C211" s="379"/>
      <c r="D211" s="379"/>
      <c r="E211" s="379"/>
      <c r="F211" s="370"/>
      <c r="G211" s="370"/>
      <c r="H211" s="370"/>
      <c r="I211" s="373"/>
      <c r="J211" s="382"/>
    </row>
    <row r="212" spans="1:10" ht="12.75" thickBot="1">
      <c r="A212" s="382"/>
      <c r="B212" s="376"/>
      <c r="C212" s="380"/>
      <c r="D212" s="380"/>
      <c r="E212" s="380"/>
      <c r="F212" s="371"/>
      <c r="G212" s="371"/>
      <c r="H212" s="371"/>
      <c r="I212" s="374"/>
      <c r="J212" s="382"/>
    </row>
    <row r="213" spans="1:10">
      <c r="A213" s="382"/>
      <c r="B213" s="375">
        <v>71</v>
      </c>
      <c r="C213" s="378" t="s">
        <v>7976</v>
      </c>
      <c r="D213" s="378" t="s">
        <v>7995</v>
      </c>
      <c r="E213" s="378" t="s">
        <v>7992</v>
      </c>
      <c r="F213" s="369" t="s">
        <v>7993</v>
      </c>
      <c r="G213" s="369" t="s">
        <v>8018</v>
      </c>
      <c r="H213" s="369" t="s">
        <v>7971</v>
      </c>
      <c r="I213" s="372">
        <v>71</v>
      </c>
      <c r="J213" s="382"/>
    </row>
    <row r="214" spans="1:10">
      <c r="A214" s="382"/>
      <c r="B214" s="376"/>
      <c r="C214" s="379"/>
      <c r="D214" s="379"/>
      <c r="E214" s="379"/>
      <c r="F214" s="370"/>
      <c r="G214" s="370"/>
      <c r="H214" s="370"/>
      <c r="I214" s="373"/>
      <c r="J214" s="382"/>
    </row>
    <row r="215" spans="1:10" ht="12.75" thickBot="1">
      <c r="A215" s="382"/>
      <c r="B215" s="376"/>
      <c r="C215" s="380"/>
      <c r="D215" s="380"/>
      <c r="E215" s="380"/>
      <c r="F215" s="371"/>
      <c r="G215" s="371"/>
      <c r="H215" s="371"/>
      <c r="I215" s="374"/>
      <c r="J215" s="382"/>
    </row>
    <row r="216" spans="1:10">
      <c r="A216" s="382"/>
      <c r="B216" s="375">
        <v>72</v>
      </c>
      <c r="C216" s="378" t="s">
        <v>7988</v>
      </c>
      <c r="D216" s="378" t="s">
        <v>7999</v>
      </c>
      <c r="E216" s="378" t="s">
        <v>8011</v>
      </c>
      <c r="F216" s="369" t="s">
        <v>7992</v>
      </c>
      <c r="G216" s="369" t="s">
        <v>8017</v>
      </c>
      <c r="H216" s="369" t="s">
        <v>8028</v>
      </c>
      <c r="I216" s="372">
        <v>72</v>
      </c>
      <c r="J216" s="382"/>
    </row>
    <row r="217" spans="1:10">
      <c r="A217" s="382"/>
      <c r="B217" s="376"/>
      <c r="C217" s="379"/>
      <c r="D217" s="379"/>
      <c r="E217" s="379"/>
      <c r="F217" s="370"/>
      <c r="G217" s="370"/>
      <c r="H217" s="370"/>
      <c r="I217" s="373"/>
      <c r="J217" s="382"/>
    </row>
    <row r="218" spans="1:10" ht="12.75" thickBot="1">
      <c r="A218" s="382"/>
      <c r="B218" s="376"/>
      <c r="C218" s="380"/>
      <c r="D218" s="380"/>
      <c r="E218" s="380"/>
      <c r="F218" s="371"/>
      <c r="G218" s="371"/>
      <c r="H218" s="371"/>
      <c r="I218" s="374"/>
      <c r="J218" s="382"/>
    </row>
    <row r="219" spans="1:10">
      <c r="A219" s="382"/>
      <c r="B219" s="375">
        <v>73</v>
      </c>
      <c r="C219" s="378" t="s">
        <v>7973</v>
      </c>
      <c r="D219" s="378" t="s">
        <v>8029</v>
      </c>
      <c r="E219" s="378" t="s">
        <v>7958</v>
      </c>
      <c r="F219" s="369" t="s">
        <v>8020</v>
      </c>
      <c r="G219" s="369" t="s">
        <v>8011</v>
      </c>
      <c r="H219" s="369" t="s">
        <v>8005</v>
      </c>
      <c r="I219" s="372">
        <v>73</v>
      </c>
      <c r="J219" s="382"/>
    </row>
    <row r="220" spans="1:10">
      <c r="A220" s="382"/>
      <c r="B220" s="376"/>
      <c r="C220" s="379"/>
      <c r="D220" s="379"/>
      <c r="E220" s="379"/>
      <c r="F220" s="370"/>
      <c r="G220" s="370"/>
      <c r="H220" s="370"/>
      <c r="I220" s="373"/>
      <c r="J220" s="382"/>
    </row>
    <row r="221" spans="1:10" ht="12.75" thickBot="1">
      <c r="A221" s="382"/>
      <c r="B221" s="376"/>
      <c r="C221" s="380"/>
      <c r="D221" s="380"/>
      <c r="E221" s="380"/>
      <c r="F221" s="371"/>
      <c r="G221" s="371"/>
      <c r="H221" s="371"/>
      <c r="I221" s="374"/>
      <c r="J221" s="382"/>
    </row>
    <row r="222" spans="1:10">
      <c r="A222" s="382"/>
      <c r="B222" s="375">
        <v>74</v>
      </c>
      <c r="C222" s="378" t="s">
        <v>7956</v>
      </c>
      <c r="D222" s="378" t="s">
        <v>8010</v>
      </c>
      <c r="E222" s="378" t="s">
        <v>8003</v>
      </c>
      <c r="F222" s="369" t="s">
        <v>8039</v>
      </c>
      <c r="G222" s="369" t="s">
        <v>8032</v>
      </c>
      <c r="H222" s="369" t="s">
        <v>8026</v>
      </c>
      <c r="I222" s="372">
        <v>74</v>
      </c>
      <c r="J222" s="382"/>
    </row>
    <row r="223" spans="1:10">
      <c r="A223" s="382"/>
      <c r="B223" s="376"/>
      <c r="C223" s="379"/>
      <c r="D223" s="379"/>
      <c r="E223" s="379"/>
      <c r="F223" s="370"/>
      <c r="G223" s="370"/>
      <c r="H223" s="370"/>
      <c r="I223" s="373"/>
      <c r="J223" s="382"/>
    </row>
    <row r="224" spans="1:10" ht="12.75" thickBot="1">
      <c r="A224" s="382"/>
      <c r="B224" s="376"/>
      <c r="C224" s="380"/>
      <c r="D224" s="380"/>
      <c r="E224" s="380"/>
      <c r="F224" s="371"/>
      <c r="G224" s="371"/>
      <c r="H224" s="371"/>
      <c r="I224" s="374"/>
      <c r="J224" s="382"/>
    </row>
    <row r="225" spans="1:10">
      <c r="A225" s="382"/>
      <c r="B225" s="375">
        <v>75</v>
      </c>
      <c r="C225" s="378" t="s">
        <v>7972</v>
      </c>
      <c r="D225" s="378" t="s">
        <v>8018</v>
      </c>
      <c r="E225" s="389" t="s">
        <v>8027</v>
      </c>
      <c r="F225" s="369" t="s">
        <v>7978</v>
      </c>
      <c r="G225" s="369" t="s">
        <v>7981</v>
      </c>
      <c r="H225" s="369" t="s">
        <v>7973</v>
      </c>
      <c r="I225" s="372">
        <v>75</v>
      </c>
      <c r="J225" s="382"/>
    </row>
    <row r="226" spans="1:10">
      <c r="A226" s="382"/>
      <c r="B226" s="376"/>
      <c r="C226" s="379"/>
      <c r="D226" s="379"/>
      <c r="E226" s="390"/>
      <c r="F226" s="370"/>
      <c r="G226" s="370"/>
      <c r="H226" s="370"/>
      <c r="I226" s="373"/>
      <c r="J226" s="382"/>
    </row>
    <row r="227" spans="1:10" ht="12.75" thickBot="1">
      <c r="A227" s="382"/>
      <c r="B227" s="376"/>
      <c r="C227" s="380"/>
      <c r="D227" s="380"/>
      <c r="E227" s="391"/>
      <c r="F227" s="371"/>
      <c r="G227" s="371"/>
      <c r="H227" s="371"/>
      <c r="I227" s="374"/>
      <c r="J227" s="382"/>
    </row>
    <row r="228" spans="1:10">
      <c r="A228" s="382"/>
      <c r="B228" s="375">
        <v>76</v>
      </c>
      <c r="C228" s="378" t="s">
        <v>7978</v>
      </c>
      <c r="D228" s="378" t="s">
        <v>8014</v>
      </c>
      <c r="E228" s="378" t="s">
        <v>7961</v>
      </c>
      <c r="F228" s="369" t="s">
        <v>7983</v>
      </c>
      <c r="G228" s="369" t="s">
        <v>7975</v>
      </c>
      <c r="H228" s="369" t="s">
        <v>8014</v>
      </c>
      <c r="I228" s="372">
        <v>76</v>
      </c>
      <c r="J228" s="382"/>
    </row>
    <row r="229" spans="1:10">
      <c r="A229" s="382"/>
      <c r="B229" s="376"/>
      <c r="C229" s="379"/>
      <c r="D229" s="379"/>
      <c r="E229" s="379"/>
      <c r="F229" s="370"/>
      <c r="G229" s="370"/>
      <c r="H229" s="370"/>
      <c r="I229" s="373"/>
      <c r="J229" s="382"/>
    </row>
    <row r="230" spans="1:10" ht="12.75" thickBot="1">
      <c r="A230" s="382"/>
      <c r="B230" s="376"/>
      <c r="C230" s="380"/>
      <c r="D230" s="380"/>
      <c r="E230" s="380"/>
      <c r="F230" s="371"/>
      <c r="G230" s="371"/>
      <c r="H230" s="371"/>
      <c r="I230" s="374"/>
      <c r="J230" s="382"/>
    </row>
    <row r="231" spans="1:10">
      <c r="A231" s="382"/>
      <c r="B231" s="375">
        <v>77</v>
      </c>
      <c r="C231" s="378" t="s">
        <v>7971</v>
      </c>
      <c r="D231" s="378" t="s">
        <v>7984</v>
      </c>
      <c r="E231" s="378" t="s">
        <v>8012</v>
      </c>
      <c r="F231" s="369" t="s">
        <v>7995</v>
      </c>
      <c r="G231" s="369" t="s">
        <v>7959</v>
      </c>
      <c r="H231" s="369" t="s">
        <v>8035</v>
      </c>
      <c r="I231" s="372">
        <v>77</v>
      </c>
      <c r="J231" s="382"/>
    </row>
    <row r="232" spans="1:10">
      <c r="A232" s="382"/>
      <c r="B232" s="376"/>
      <c r="C232" s="379"/>
      <c r="D232" s="379"/>
      <c r="E232" s="379"/>
      <c r="F232" s="370"/>
      <c r="G232" s="370"/>
      <c r="H232" s="370"/>
      <c r="I232" s="373"/>
      <c r="J232" s="382"/>
    </row>
    <row r="233" spans="1:10" ht="12.75" thickBot="1">
      <c r="A233" s="382"/>
      <c r="B233" s="376"/>
      <c r="C233" s="380"/>
      <c r="D233" s="380"/>
      <c r="E233" s="380"/>
      <c r="F233" s="371"/>
      <c r="G233" s="371"/>
      <c r="H233" s="371"/>
      <c r="I233" s="374"/>
      <c r="J233" s="382"/>
    </row>
    <row r="234" spans="1:10">
      <c r="A234" s="382"/>
      <c r="B234" s="375">
        <v>78</v>
      </c>
      <c r="C234" s="378" t="s">
        <v>8023</v>
      </c>
      <c r="D234" s="378" t="s">
        <v>8024</v>
      </c>
      <c r="E234" s="378" t="s">
        <v>7989</v>
      </c>
      <c r="F234" s="369" t="s">
        <v>7954</v>
      </c>
      <c r="G234" s="369" t="s">
        <v>8000</v>
      </c>
      <c r="H234" s="386" t="s">
        <v>8038</v>
      </c>
      <c r="I234" s="372">
        <v>78</v>
      </c>
      <c r="J234" s="382"/>
    </row>
    <row r="235" spans="1:10">
      <c r="A235" s="382"/>
      <c r="B235" s="376"/>
      <c r="C235" s="379"/>
      <c r="D235" s="379"/>
      <c r="E235" s="379"/>
      <c r="F235" s="370"/>
      <c r="G235" s="370"/>
      <c r="H235" s="387"/>
      <c r="I235" s="373"/>
      <c r="J235" s="382"/>
    </row>
    <row r="236" spans="1:10" ht="12.75" thickBot="1">
      <c r="A236" s="382"/>
      <c r="B236" s="376"/>
      <c r="C236" s="380"/>
      <c r="D236" s="380"/>
      <c r="E236" s="380"/>
      <c r="F236" s="371"/>
      <c r="G236" s="371"/>
      <c r="H236" s="388"/>
      <c r="I236" s="374"/>
      <c r="J236" s="382"/>
    </row>
    <row r="237" spans="1:10">
      <c r="A237" s="382"/>
      <c r="B237" s="375">
        <v>79</v>
      </c>
      <c r="C237" s="378" t="s">
        <v>8001</v>
      </c>
      <c r="D237" s="383" t="s">
        <v>7994</v>
      </c>
      <c r="E237" s="378" t="s">
        <v>8037</v>
      </c>
      <c r="F237" s="386" t="s">
        <v>8007</v>
      </c>
      <c r="G237" s="369" t="s">
        <v>8024</v>
      </c>
      <c r="H237" s="369" t="s">
        <v>8009</v>
      </c>
      <c r="I237" s="372">
        <v>79</v>
      </c>
      <c r="J237" s="382"/>
    </row>
    <row r="238" spans="1:10">
      <c r="A238" s="382"/>
      <c r="B238" s="376"/>
      <c r="C238" s="379"/>
      <c r="D238" s="384"/>
      <c r="E238" s="379"/>
      <c r="F238" s="387"/>
      <c r="G238" s="370"/>
      <c r="H238" s="370"/>
      <c r="I238" s="373"/>
      <c r="J238" s="382"/>
    </row>
    <row r="239" spans="1:10" ht="12.75" thickBot="1">
      <c r="A239" s="382"/>
      <c r="B239" s="376"/>
      <c r="C239" s="380"/>
      <c r="D239" s="385"/>
      <c r="E239" s="380"/>
      <c r="F239" s="388"/>
      <c r="G239" s="371"/>
      <c r="H239" s="371"/>
      <c r="I239" s="374"/>
      <c r="J239" s="382"/>
    </row>
    <row r="240" spans="1:10">
      <c r="A240" s="382"/>
      <c r="B240" s="375">
        <v>80</v>
      </c>
      <c r="C240" s="378" t="s">
        <v>8009</v>
      </c>
      <c r="D240" s="378" t="s">
        <v>8028</v>
      </c>
      <c r="E240" s="378" t="s">
        <v>7983</v>
      </c>
      <c r="F240" s="369" t="s">
        <v>7964</v>
      </c>
      <c r="G240" s="369" t="s">
        <v>7972</v>
      </c>
      <c r="H240" s="369" t="s">
        <v>7984</v>
      </c>
      <c r="I240" s="372">
        <v>80</v>
      </c>
      <c r="J240" s="382"/>
    </row>
    <row r="241" spans="1:10">
      <c r="A241" s="382"/>
      <c r="B241" s="376"/>
      <c r="C241" s="379"/>
      <c r="D241" s="379"/>
      <c r="E241" s="379"/>
      <c r="F241" s="370"/>
      <c r="G241" s="370"/>
      <c r="H241" s="370"/>
      <c r="I241" s="373"/>
      <c r="J241" s="382"/>
    </row>
    <row r="242" spans="1:10" ht="12.75" thickBot="1">
      <c r="A242" s="382"/>
      <c r="B242" s="376"/>
      <c r="C242" s="380"/>
      <c r="D242" s="380"/>
      <c r="E242" s="380"/>
      <c r="F242" s="371"/>
      <c r="G242" s="371"/>
      <c r="H242" s="371"/>
      <c r="I242" s="374"/>
      <c r="J242" s="382"/>
    </row>
    <row r="243" spans="1:10">
      <c r="A243" s="382"/>
      <c r="B243" s="375">
        <v>81</v>
      </c>
      <c r="C243" s="378" t="s">
        <v>8016</v>
      </c>
      <c r="D243" s="386" t="s">
        <v>8002</v>
      </c>
      <c r="E243" s="378" t="s">
        <v>7957</v>
      </c>
      <c r="F243" s="369" t="s">
        <v>7970</v>
      </c>
      <c r="G243" s="369" t="s">
        <v>7996</v>
      </c>
      <c r="H243" s="369" t="s">
        <v>8015</v>
      </c>
      <c r="I243" s="372">
        <v>81</v>
      </c>
      <c r="J243" s="382"/>
    </row>
    <row r="244" spans="1:10">
      <c r="A244" s="382"/>
      <c r="B244" s="376"/>
      <c r="C244" s="379"/>
      <c r="D244" s="387"/>
      <c r="E244" s="379"/>
      <c r="F244" s="370"/>
      <c r="G244" s="370"/>
      <c r="H244" s="370"/>
      <c r="I244" s="373"/>
      <c r="J244" s="382"/>
    </row>
    <row r="245" spans="1:10" ht="12.75" thickBot="1">
      <c r="A245" s="382"/>
      <c r="B245" s="376"/>
      <c r="C245" s="380"/>
      <c r="D245" s="388"/>
      <c r="E245" s="380"/>
      <c r="F245" s="371"/>
      <c r="G245" s="371"/>
      <c r="H245" s="371"/>
      <c r="I245" s="374"/>
      <c r="J245" s="382"/>
    </row>
    <row r="246" spans="1:10">
      <c r="A246" s="382"/>
      <c r="B246" s="375">
        <v>82</v>
      </c>
      <c r="C246" s="378" t="s">
        <v>7959</v>
      </c>
      <c r="D246" s="378" t="s">
        <v>7993</v>
      </c>
      <c r="E246" s="378" t="s">
        <v>8035</v>
      </c>
      <c r="F246" s="369" t="s">
        <v>7999</v>
      </c>
      <c r="G246" s="369" t="s">
        <v>7956</v>
      </c>
      <c r="H246" s="369" t="s">
        <v>8036</v>
      </c>
      <c r="I246" s="372">
        <v>82</v>
      </c>
      <c r="J246" s="382"/>
    </row>
    <row r="247" spans="1:10">
      <c r="A247" s="382"/>
      <c r="B247" s="376"/>
      <c r="C247" s="379"/>
      <c r="D247" s="379"/>
      <c r="E247" s="379"/>
      <c r="F247" s="370"/>
      <c r="G247" s="370"/>
      <c r="H247" s="370"/>
      <c r="I247" s="373"/>
      <c r="J247" s="382"/>
    </row>
    <row r="248" spans="1:10" ht="12.75" thickBot="1">
      <c r="A248" s="382"/>
      <c r="B248" s="376"/>
      <c r="C248" s="380"/>
      <c r="D248" s="380"/>
      <c r="E248" s="380"/>
      <c r="F248" s="371"/>
      <c r="G248" s="371"/>
      <c r="H248" s="371"/>
      <c r="I248" s="374"/>
      <c r="J248" s="382"/>
    </row>
    <row r="249" spans="1:10">
      <c r="A249" s="382"/>
      <c r="B249" s="375">
        <v>83</v>
      </c>
      <c r="C249" s="378" t="s">
        <v>7982</v>
      </c>
      <c r="D249" s="378" t="s">
        <v>7965</v>
      </c>
      <c r="E249" s="378" t="s">
        <v>8015</v>
      </c>
      <c r="F249" s="369" t="s">
        <v>8013</v>
      </c>
      <c r="G249" s="369" t="s">
        <v>8003</v>
      </c>
      <c r="H249" s="369" t="s">
        <v>7977</v>
      </c>
      <c r="I249" s="372">
        <v>83</v>
      </c>
      <c r="J249" s="382"/>
    </row>
    <row r="250" spans="1:10">
      <c r="A250" s="382"/>
      <c r="B250" s="376"/>
      <c r="C250" s="379"/>
      <c r="D250" s="379"/>
      <c r="E250" s="379"/>
      <c r="F250" s="370"/>
      <c r="G250" s="370"/>
      <c r="H250" s="370"/>
      <c r="I250" s="373"/>
      <c r="J250" s="382"/>
    </row>
    <row r="251" spans="1:10" ht="12.75" thickBot="1">
      <c r="A251" s="382"/>
      <c r="B251" s="376"/>
      <c r="C251" s="380"/>
      <c r="D251" s="380"/>
      <c r="E251" s="380"/>
      <c r="F251" s="371"/>
      <c r="G251" s="371"/>
      <c r="H251" s="371"/>
      <c r="I251" s="374"/>
      <c r="J251" s="382"/>
    </row>
    <row r="252" spans="1:10">
      <c r="A252" s="382"/>
      <c r="B252" s="375">
        <v>84</v>
      </c>
      <c r="C252" s="378" t="s">
        <v>8006</v>
      </c>
      <c r="D252" s="378" t="s">
        <v>7966</v>
      </c>
      <c r="E252" s="378" t="s">
        <v>7986</v>
      </c>
      <c r="F252" s="369" t="s">
        <v>8021</v>
      </c>
      <c r="G252" s="383" t="s">
        <v>8022</v>
      </c>
      <c r="H252" s="369" t="s">
        <v>8033</v>
      </c>
      <c r="I252" s="372">
        <v>84</v>
      </c>
      <c r="J252" s="382"/>
    </row>
    <row r="253" spans="1:10">
      <c r="A253" s="382"/>
      <c r="B253" s="376"/>
      <c r="C253" s="379"/>
      <c r="D253" s="379"/>
      <c r="E253" s="379"/>
      <c r="F253" s="370"/>
      <c r="G253" s="384"/>
      <c r="H253" s="370"/>
      <c r="I253" s="373"/>
      <c r="J253" s="382"/>
    </row>
    <row r="254" spans="1:10" ht="12.75" thickBot="1">
      <c r="A254" s="382"/>
      <c r="B254" s="376"/>
      <c r="C254" s="380"/>
      <c r="D254" s="380"/>
      <c r="E254" s="380"/>
      <c r="F254" s="371"/>
      <c r="G254" s="385"/>
      <c r="H254" s="371"/>
      <c r="I254" s="374"/>
      <c r="J254" s="382"/>
    </row>
    <row r="255" spans="1:10">
      <c r="A255" s="382"/>
      <c r="B255" s="375">
        <v>85</v>
      </c>
      <c r="C255" s="378" t="s">
        <v>8019</v>
      </c>
      <c r="D255" s="378" t="s">
        <v>8039</v>
      </c>
      <c r="E255" s="378" t="s">
        <v>8033</v>
      </c>
      <c r="F255" s="369" t="s">
        <v>7960</v>
      </c>
      <c r="G255" s="369" t="s">
        <v>7968</v>
      </c>
      <c r="H255" s="369" t="s">
        <v>7955</v>
      </c>
      <c r="I255" s="372">
        <v>85</v>
      </c>
      <c r="J255" s="382"/>
    </row>
    <row r="256" spans="1:10">
      <c r="A256" s="382"/>
      <c r="B256" s="376"/>
      <c r="C256" s="379"/>
      <c r="D256" s="379"/>
      <c r="E256" s="379"/>
      <c r="F256" s="370"/>
      <c r="G256" s="370"/>
      <c r="H256" s="370"/>
      <c r="I256" s="373"/>
      <c r="J256" s="382"/>
    </row>
    <row r="257" spans="1:11" ht="12.75" thickBot="1">
      <c r="A257" s="382"/>
      <c r="B257" s="376"/>
      <c r="C257" s="380"/>
      <c r="D257" s="380"/>
      <c r="E257" s="380"/>
      <c r="F257" s="371"/>
      <c r="G257" s="371"/>
      <c r="H257" s="371"/>
      <c r="I257" s="374"/>
      <c r="J257" s="382"/>
    </row>
    <row r="258" spans="1:11">
      <c r="A258" s="382"/>
      <c r="B258" s="375">
        <v>86</v>
      </c>
      <c r="C258" s="378" t="s">
        <v>7990</v>
      </c>
      <c r="D258" s="378" t="s">
        <v>7977</v>
      </c>
      <c r="E258" s="378" t="s">
        <v>8000</v>
      </c>
      <c r="F258" s="369" t="s">
        <v>8030</v>
      </c>
      <c r="G258" s="369" t="s">
        <v>7979</v>
      </c>
      <c r="H258" s="369" t="s">
        <v>8023</v>
      </c>
      <c r="I258" s="372">
        <v>86</v>
      </c>
      <c r="J258" s="382"/>
    </row>
    <row r="259" spans="1:11">
      <c r="A259" s="382"/>
      <c r="B259" s="376"/>
      <c r="C259" s="379"/>
      <c r="D259" s="379"/>
      <c r="E259" s="379"/>
      <c r="F259" s="370"/>
      <c r="G259" s="370"/>
      <c r="H259" s="370"/>
      <c r="I259" s="373"/>
      <c r="J259" s="382"/>
    </row>
    <row r="260" spans="1:11" ht="12.75" thickBot="1">
      <c r="A260" s="382"/>
      <c r="B260" s="376"/>
      <c r="C260" s="380"/>
      <c r="D260" s="380"/>
      <c r="E260" s="380"/>
      <c r="F260" s="371"/>
      <c r="G260" s="371"/>
      <c r="H260" s="371"/>
      <c r="I260" s="374"/>
      <c r="J260" s="382"/>
    </row>
    <row r="261" spans="1:11">
      <c r="A261" s="382"/>
      <c r="B261" s="375">
        <v>87</v>
      </c>
      <c r="C261" s="378" t="s">
        <v>7987</v>
      </c>
      <c r="D261" s="378" t="s">
        <v>8021</v>
      </c>
      <c r="E261" s="378" t="s">
        <v>7980</v>
      </c>
      <c r="F261" s="369" t="s">
        <v>7987</v>
      </c>
      <c r="G261" s="369" t="s">
        <v>7997</v>
      </c>
      <c r="H261" s="369" t="s">
        <v>7961</v>
      </c>
      <c r="I261" s="372">
        <v>87</v>
      </c>
      <c r="J261" s="382"/>
    </row>
    <row r="262" spans="1:11">
      <c r="A262" s="382"/>
      <c r="B262" s="376"/>
      <c r="C262" s="379" t="s">
        <v>7950</v>
      </c>
      <c r="D262" s="379" t="s">
        <v>7950</v>
      </c>
      <c r="E262" s="379" t="s">
        <v>7950</v>
      </c>
      <c r="F262" s="370" t="s">
        <v>7950</v>
      </c>
      <c r="G262" s="370" t="s">
        <v>7950</v>
      </c>
      <c r="H262" s="370" t="s">
        <v>7950</v>
      </c>
      <c r="I262" s="373"/>
      <c r="J262" s="382"/>
    </row>
    <row r="263" spans="1:11" ht="12.75" thickBot="1">
      <c r="A263" s="382"/>
      <c r="B263" s="376"/>
      <c r="C263" s="380"/>
      <c r="D263" s="380"/>
      <c r="E263" s="380"/>
      <c r="F263" s="371"/>
      <c r="G263" s="371"/>
      <c r="H263" s="371"/>
      <c r="I263" s="374"/>
      <c r="J263" s="382"/>
    </row>
    <row r="264" spans="1:11">
      <c r="B264" s="375">
        <v>88</v>
      </c>
      <c r="C264" s="377" t="s">
        <v>7950</v>
      </c>
      <c r="D264" s="377" t="s">
        <v>7950</v>
      </c>
      <c r="E264" s="377" t="s">
        <v>7950</v>
      </c>
      <c r="F264" s="377" t="s">
        <v>7950</v>
      </c>
      <c r="G264" s="377" t="s">
        <v>7950</v>
      </c>
      <c r="H264" s="377" t="s">
        <v>7950</v>
      </c>
      <c r="I264" s="375">
        <v>88</v>
      </c>
    </row>
    <row r="265" spans="1:11">
      <c r="B265" s="376"/>
      <c r="C265" s="377"/>
      <c r="D265" s="377"/>
      <c r="E265" s="377"/>
      <c r="F265" s="377"/>
      <c r="G265" s="377"/>
      <c r="H265" s="377"/>
      <c r="I265" s="376"/>
    </row>
    <row r="266" spans="1:11">
      <c r="B266" s="376"/>
      <c r="C266" s="377"/>
      <c r="D266" s="377"/>
      <c r="E266" s="377"/>
      <c r="F266" s="377"/>
      <c r="G266" s="377"/>
      <c r="H266" s="377"/>
      <c r="I266" s="376"/>
    </row>
    <row r="268" spans="1:11" ht="12.75">
      <c r="A268" s="368" t="s">
        <v>8044</v>
      </c>
      <c r="B268" s="368"/>
      <c r="C268" s="368"/>
      <c r="D268" s="368"/>
      <c r="E268" s="368"/>
      <c r="F268" s="368"/>
      <c r="G268" s="368"/>
      <c r="H268" s="368"/>
      <c r="I268" s="368"/>
      <c r="J268" s="368"/>
      <c r="K268" s="368"/>
    </row>
  </sheetData>
  <sheetProtection selectLockedCells="1" selectUnlockedCells="1"/>
  <mergeCells count="729">
    <mergeCell ref="G3:G5"/>
    <mergeCell ref="F15:F17"/>
    <mergeCell ref="G15:G17"/>
    <mergeCell ref="B21:B23"/>
    <mergeCell ref="C21:C23"/>
    <mergeCell ref="D21:D23"/>
    <mergeCell ref="E21:E23"/>
    <mergeCell ref="F12:F14"/>
    <mergeCell ref="G12:G14"/>
    <mergeCell ref="B18:B20"/>
    <mergeCell ref="C18:C20"/>
    <mergeCell ref="D18:D20"/>
    <mergeCell ref="E18:E20"/>
    <mergeCell ref="F18:F20"/>
    <mergeCell ref="G18:G20"/>
    <mergeCell ref="H12:H14"/>
    <mergeCell ref="H3:H5"/>
    <mergeCell ref="I3:I5"/>
    <mergeCell ref="A6:A89"/>
    <mergeCell ref="B6:B8"/>
    <mergeCell ref="C6:C8"/>
    <mergeCell ref="D6:D8"/>
    <mergeCell ref="E6:E8"/>
    <mergeCell ref="F6:F8"/>
    <mergeCell ref="G6:G8"/>
    <mergeCell ref="H6:H8"/>
    <mergeCell ref="I6:I8"/>
    <mergeCell ref="I12:I14"/>
    <mergeCell ref="B15:B17"/>
    <mergeCell ref="C15:C17"/>
    <mergeCell ref="D15:D17"/>
    <mergeCell ref="E15:E17"/>
    <mergeCell ref="B3:B5"/>
    <mergeCell ref="C3:C5"/>
    <mergeCell ref="D3:D5"/>
    <mergeCell ref="E3:E5"/>
    <mergeCell ref="F3:F5"/>
    <mergeCell ref="H15:H17"/>
    <mergeCell ref="I15:I17"/>
    <mergeCell ref="H18:H20"/>
    <mergeCell ref="I18:I20"/>
    <mergeCell ref="F21:F23"/>
    <mergeCell ref="G21:G23"/>
    <mergeCell ref="H21:H23"/>
    <mergeCell ref="I21:I23"/>
    <mergeCell ref="B24:B26"/>
    <mergeCell ref="C24:C26"/>
    <mergeCell ref="D24:D26"/>
    <mergeCell ref="E24:E26"/>
    <mergeCell ref="F24:F26"/>
    <mergeCell ref="G24:G26"/>
    <mergeCell ref="H24:H26"/>
    <mergeCell ref="I24:I26"/>
    <mergeCell ref="L24:L26"/>
    <mergeCell ref="B27:B29"/>
    <mergeCell ref="C27:C29"/>
    <mergeCell ref="D27:D29"/>
    <mergeCell ref="E27:E29"/>
    <mergeCell ref="F27:F29"/>
    <mergeCell ref="G27:G29"/>
    <mergeCell ref="H27:H29"/>
    <mergeCell ref="I27:I29"/>
    <mergeCell ref="K27:K29"/>
    <mergeCell ref="L27:M29"/>
    <mergeCell ref="J6:J89"/>
    <mergeCell ref="B9:B11"/>
    <mergeCell ref="C9:C11"/>
    <mergeCell ref="D9:D11"/>
    <mergeCell ref="E9:E11"/>
    <mergeCell ref="F9:F11"/>
    <mergeCell ref="G9:G11"/>
    <mergeCell ref="H9:H11"/>
    <mergeCell ref="I9:I11"/>
    <mergeCell ref="B12:B14"/>
    <mergeCell ref="C12:C14"/>
    <mergeCell ref="D12:D14"/>
    <mergeCell ref="E12:E14"/>
    <mergeCell ref="C36:C38"/>
    <mergeCell ref="D36:D38"/>
    <mergeCell ref="E36:E38"/>
    <mergeCell ref="F36:F38"/>
    <mergeCell ref="G30:G32"/>
    <mergeCell ref="H30:H32"/>
    <mergeCell ref="I30:I32"/>
    <mergeCell ref="L30:L32"/>
    <mergeCell ref="B33:B35"/>
    <mergeCell ref="C33:C35"/>
    <mergeCell ref="D33:D35"/>
    <mergeCell ref="E33:E35"/>
    <mergeCell ref="F33:F35"/>
    <mergeCell ref="G33:G35"/>
    <mergeCell ref="H33:H35"/>
    <mergeCell ref="I33:I35"/>
    <mergeCell ref="K33:K35"/>
    <mergeCell ref="L33:M35"/>
    <mergeCell ref="B30:B32"/>
    <mergeCell ref="C30:C32"/>
    <mergeCell ref="D30:D32"/>
    <mergeCell ref="E30:E32"/>
    <mergeCell ref="F30:F32"/>
    <mergeCell ref="I42:I44"/>
    <mergeCell ref="K44:K46"/>
    <mergeCell ref="M38:M40"/>
    <mergeCell ref="B39:B41"/>
    <mergeCell ref="C39:C41"/>
    <mergeCell ref="D39:D41"/>
    <mergeCell ref="E39:E41"/>
    <mergeCell ref="F39:F41"/>
    <mergeCell ref="G39:G41"/>
    <mergeCell ref="H39:H41"/>
    <mergeCell ref="I39:I41"/>
    <mergeCell ref="K41:K43"/>
    <mergeCell ref="L41:L43"/>
    <mergeCell ref="M41:M43"/>
    <mergeCell ref="B42:B44"/>
    <mergeCell ref="C42:C44"/>
    <mergeCell ref="D42:D44"/>
    <mergeCell ref="E42:E44"/>
    <mergeCell ref="G36:G38"/>
    <mergeCell ref="H36:H38"/>
    <mergeCell ref="I36:I38"/>
    <mergeCell ref="K38:K40"/>
    <mergeCell ref="L38:L40"/>
    <mergeCell ref="B36:B38"/>
    <mergeCell ref="E48:E50"/>
    <mergeCell ref="F48:F50"/>
    <mergeCell ref="G48:G50"/>
    <mergeCell ref="H48:H50"/>
    <mergeCell ref="I48:I50"/>
    <mergeCell ref="L44:L46"/>
    <mergeCell ref="M44:M46"/>
    <mergeCell ref="B45:B47"/>
    <mergeCell ref="C45:C47"/>
    <mergeCell ref="D45:D47"/>
    <mergeCell ref="E45:E47"/>
    <mergeCell ref="F45:F47"/>
    <mergeCell ref="G45:G47"/>
    <mergeCell ref="H45:H47"/>
    <mergeCell ref="I45:I47"/>
    <mergeCell ref="K47:K49"/>
    <mergeCell ref="L47:L49"/>
    <mergeCell ref="M47:M49"/>
    <mergeCell ref="B48:B50"/>
    <mergeCell ref="C48:C50"/>
    <mergeCell ref="D48:D50"/>
    <mergeCell ref="F42:F44"/>
    <mergeCell ref="G42:G44"/>
    <mergeCell ref="H42:H44"/>
    <mergeCell ref="G51:G53"/>
    <mergeCell ref="H51:H53"/>
    <mergeCell ref="I51:I53"/>
    <mergeCell ref="B54:B56"/>
    <mergeCell ref="C54:C56"/>
    <mergeCell ref="D54:D56"/>
    <mergeCell ref="E54:E56"/>
    <mergeCell ref="F54:F56"/>
    <mergeCell ref="G54:G56"/>
    <mergeCell ref="H54:H56"/>
    <mergeCell ref="I54:I56"/>
    <mergeCell ref="B51:B53"/>
    <mergeCell ref="C51:C53"/>
    <mergeCell ref="D51:D53"/>
    <mergeCell ref="E51:E53"/>
    <mergeCell ref="F51:F53"/>
    <mergeCell ref="G57:G59"/>
    <mergeCell ref="H57:H59"/>
    <mergeCell ref="I57:I59"/>
    <mergeCell ref="B60:B62"/>
    <mergeCell ref="C60:C62"/>
    <mergeCell ref="D60:D62"/>
    <mergeCell ref="E60:E62"/>
    <mergeCell ref="F60:F62"/>
    <mergeCell ref="G60:G62"/>
    <mergeCell ref="H60:H62"/>
    <mergeCell ref="I60:I62"/>
    <mergeCell ref="B57:B59"/>
    <mergeCell ref="C57:C59"/>
    <mergeCell ref="D57:D59"/>
    <mergeCell ref="E57:E59"/>
    <mergeCell ref="F57:F59"/>
    <mergeCell ref="G63:G65"/>
    <mergeCell ref="H63:H65"/>
    <mergeCell ref="I63:I65"/>
    <mergeCell ref="B66:B68"/>
    <mergeCell ref="C66:C68"/>
    <mergeCell ref="D66:D68"/>
    <mergeCell ref="E66:E68"/>
    <mergeCell ref="F66:F68"/>
    <mergeCell ref="G66:G68"/>
    <mergeCell ref="H66:H68"/>
    <mergeCell ref="I66:I68"/>
    <mergeCell ref="B63:B65"/>
    <mergeCell ref="C63:C65"/>
    <mergeCell ref="D63:D65"/>
    <mergeCell ref="E63:E65"/>
    <mergeCell ref="F63:F65"/>
    <mergeCell ref="G69:G71"/>
    <mergeCell ref="H69:H71"/>
    <mergeCell ref="I69:I71"/>
    <mergeCell ref="B72:B74"/>
    <mergeCell ref="C72:C74"/>
    <mergeCell ref="D72:D74"/>
    <mergeCell ref="E72:E74"/>
    <mergeCell ref="F72:F74"/>
    <mergeCell ref="G72:G74"/>
    <mergeCell ref="H72:H74"/>
    <mergeCell ref="I72:I74"/>
    <mergeCell ref="B69:B71"/>
    <mergeCell ref="C69:C71"/>
    <mergeCell ref="D69:D71"/>
    <mergeCell ref="E69:E71"/>
    <mergeCell ref="F69:F71"/>
    <mergeCell ref="G75:G77"/>
    <mergeCell ref="H75:H77"/>
    <mergeCell ref="I75:I77"/>
    <mergeCell ref="B78:B80"/>
    <mergeCell ref="C78:C80"/>
    <mergeCell ref="D78:D80"/>
    <mergeCell ref="E78:E80"/>
    <mergeCell ref="F78:F80"/>
    <mergeCell ref="G78:G80"/>
    <mergeCell ref="H78:H80"/>
    <mergeCell ref="I78:I80"/>
    <mergeCell ref="B75:B77"/>
    <mergeCell ref="C75:C77"/>
    <mergeCell ref="D75:D77"/>
    <mergeCell ref="E75:E77"/>
    <mergeCell ref="F75:F77"/>
    <mergeCell ref="G81:G83"/>
    <mergeCell ref="H81:H83"/>
    <mergeCell ref="I81:I83"/>
    <mergeCell ref="B84:B86"/>
    <mergeCell ref="C84:C86"/>
    <mergeCell ref="D84:D86"/>
    <mergeCell ref="E84:E86"/>
    <mergeCell ref="F84:F86"/>
    <mergeCell ref="G84:G86"/>
    <mergeCell ref="H84:H86"/>
    <mergeCell ref="I84:I86"/>
    <mergeCell ref="B81:B83"/>
    <mergeCell ref="C81:C83"/>
    <mergeCell ref="D81:D83"/>
    <mergeCell ref="E81:E83"/>
    <mergeCell ref="F81:F83"/>
    <mergeCell ref="G87:G89"/>
    <mergeCell ref="H87:H89"/>
    <mergeCell ref="I87:I89"/>
    <mergeCell ref="B90:B92"/>
    <mergeCell ref="C90:C92"/>
    <mergeCell ref="D90:D92"/>
    <mergeCell ref="E90:E92"/>
    <mergeCell ref="F90:F92"/>
    <mergeCell ref="G90:G92"/>
    <mergeCell ref="H90:H92"/>
    <mergeCell ref="I90:I92"/>
    <mergeCell ref="B87:B89"/>
    <mergeCell ref="C87:C89"/>
    <mergeCell ref="D87:D89"/>
    <mergeCell ref="E87:E89"/>
    <mergeCell ref="F87:F89"/>
    <mergeCell ref="A93:A176"/>
    <mergeCell ref="B93:B95"/>
    <mergeCell ref="C93:C95"/>
    <mergeCell ref="D93:D95"/>
    <mergeCell ref="E93:E95"/>
    <mergeCell ref="B96:B98"/>
    <mergeCell ref="C96:C98"/>
    <mergeCell ref="D96:D98"/>
    <mergeCell ref="E96:E98"/>
    <mergeCell ref="B99:B101"/>
    <mergeCell ref="C99:C101"/>
    <mergeCell ref="D99:D101"/>
    <mergeCell ref="E99:E101"/>
    <mergeCell ref="B102:B104"/>
    <mergeCell ref="C102:C104"/>
    <mergeCell ref="D102:D104"/>
    <mergeCell ref="B105:B107"/>
    <mergeCell ref="C105:C107"/>
    <mergeCell ref="D105:D107"/>
    <mergeCell ref="E105:E107"/>
    <mergeCell ref="E102:E104"/>
    <mergeCell ref="B111:B113"/>
    <mergeCell ref="C111:C113"/>
    <mergeCell ref="D111:D113"/>
    <mergeCell ref="I102:I104"/>
    <mergeCell ref="F93:F95"/>
    <mergeCell ref="G93:G95"/>
    <mergeCell ref="H93:H95"/>
    <mergeCell ref="I93:I95"/>
    <mergeCell ref="J93:J176"/>
    <mergeCell ref="F96:F98"/>
    <mergeCell ref="G96:G98"/>
    <mergeCell ref="H96:H98"/>
    <mergeCell ref="I96:I98"/>
    <mergeCell ref="F99:F101"/>
    <mergeCell ref="G99:G101"/>
    <mergeCell ref="H99:H101"/>
    <mergeCell ref="I99:I101"/>
    <mergeCell ref="G105:G107"/>
    <mergeCell ref="H105:H107"/>
    <mergeCell ref="I105:I107"/>
    <mergeCell ref="F105:F107"/>
    <mergeCell ref="F102:F104"/>
    <mergeCell ref="G102:G104"/>
    <mergeCell ref="H102:H104"/>
    <mergeCell ref="G108:G110"/>
    <mergeCell ref="H108:H110"/>
    <mergeCell ref="I108:I110"/>
    <mergeCell ref="E111:E113"/>
    <mergeCell ref="F111:F113"/>
    <mergeCell ref="G111:G113"/>
    <mergeCell ref="H111:H113"/>
    <mergeCell ref="I111:I113"/>
    <mergeCell ref="B108:B110"/>
    <mergeCell ref="C108:C110"/>
    <mergeCell ref="D108:D110"/>
    <mergeCell ref="E108:E110"/>
    <mergeCell ref="F108:F110"/>
    <mergeCell ref="G114:G116"/>
    <mergeCell ref="H114:H116"/>
    <mergeCell ref="I114:I116"/>
    <mergeCell ref="B117:B119"/>
    <mergeCell ref="C117:C119"/>
    <mergeCell ref="D117:D119"/>
    <mergeCell ref="E117:E119"/>
    <mergeCell ref="F117:F119"/>
    <mergeCell ref="G117:G119"/>
    <mergeCell ref="H117:H119"/>
    <mergeCell ref="I117:I119"/>
    <mergeCell ref="B114:B116"/>
    <mergeCell ref="C114:C116"/>
    <mergeCell ref="D114:D116"/>
    <mergeCell ref="E114:E116"/>
    <mergeCell ref="F114:F116"/>
    <mergeCell ref="G120:G122"/>
    <mergeCell ref="H120:H122"/>
    <mergeCell ref="I120:I122"/>
    <mergeCell ref="B123:B125"/>
    <mergeCell ref="C123:C125"/>
    <mergeCell ref="D123:D125"/>
    <mergeCell ref="E123:E125"/>
    <mergeCell ref="F123:F125"/>
    <mergeCell ref="G123:G125"/>
    <mergeCell ref="H123:H125"/>
    <mergeCell ref="I123:I125"/>
    <mergeCell ref="B120:B122"/>
    <mergeCell ref="C120:C122"/>
    <mergeCell ref="D120:D122"/>
    <mergeCell ref="E120:E122"/>
    <mergeCell ref="F120:F122"/>
    <mergeCell ref="G126:G128"/>
    <mergeCell ref="H126:H128"/>
    <mergeCell ref="I126:I128"/>
    <mergeCell ref="B129:B131"/>
    <mergeCell ref="C129:C131"/>
    <mergeCell ref="D129:D131"/>
    <mergeCell ref="E129:E131"/>
    <mergeCell ref="F129:F131"/>
    <mergeCell ref="G129:G131"/>
    <mergeCell ref="H129:H131"/>
    <mergeCell ref="I129:I131"/>
    <mergeCell ref="B126:B128"/>
    <mergeCell ref="C126:C128"/>
    <mergeCell ref="D126:D128"/>
    <mergeCell ref="E126:E128"/>
    <mergeCell ref="F126:F128"/>
    <mergeCell ref="G132:G134"/>
    <mergeCell ref="H132:H134"/>
    <mergeCell ref="I132:I134"/>
    <mergeCell ref="B135:B137"/>
    <mergeCell ref="C135:C137"/>
    <mergeCell ref="D135:D137"/>
    <mergeCell ref="E135:E137"/>
    <mergeCell ref="F135:F137"/>
    <mergeCell ref="G135:G137"/>
    <mergeCell ref="H135:H137"/>
    <mergeCell ref="I135:I137"/>
    <mergeCell ref="B132:B134"/>
    <mergeCell ref="C132:C134"/>
    <mergeCell ref="D132:D134"/>
    <mergeCell ref="E132:E134"/>
    <mergeCell ref="F132:F134"/>
    <mergeCell ref="G138:G140"/>
    <mergeCell ref="H138:H140"/>
    <mergeCell ref="I138:I140"/>
    <mergeCell ref="B141:B143"/>
    <mergeCell ref="C141:C143"/>
    <mergeCell ref="D141:D143"/>
    <mergeCell ref="E141:E143"/>
    <mergeCell ref="F141:F143"/>
    <mergeCell ref="G141:G143"/>
    <mergeCell ref="H141:H143"/>
    <mergeCell ref="I141:I143"/>
    <mergeCell ref="B138:B140"/>
    <mergeCell ref="C138:C140"/>
    <mergeCell ref="D138:D140"/>
    <mergeCell ref="E138:E140"/>
    <mergeCell ref="F138:F140"/>
    <mergeCell ref="G144:G146"/>
    <mergeCell ref="H144:H146"/>
    <mergeCell ref="I144:I146"/>
    <mergeCell ref="B147:B149"/>
    <mergeCell ref="C147:C149"/>
    <mergeCell ref="D147:D149"/>
    <mergeCell ref="E147:E149"/>
    <mergeCell ref="F147:F149"/>
    <mergeCell ref="G147:G149"/>
    <mergeCell ref="H147:H149"/>
    <mergeCell ref="I147:I149"/>
    <mergeCell ref="B144:B146"/>
    <mergeCell ref="C144:C146"/>
    <mergeCell ref="D144:D146"/>
    <mergeCell ref="E144:E146"/>
    <mergeCell ref="F144:F146"/>
    <mergeCell ref="G150:G152"/>
    <mergeCell ref="H150:H152"/>
    <mergeCell ref="I150:I152"/>
    <mergeCell ref="B153:B155"/>
    <mergeCell ref="C153:C155"/>
    <mergeCell ref="D153:D155"/>
    <mergeCell ref="E153:E155"/>
    <mergeCell ref="F153:F155"/>
    <mergeCell ref="G153:G155"/>
    <mergeCell ref="H153:H155"/>
    <mergeCell ref="I153:I155"/>
    <mergeCell ref="B150:B152"/>
    <mergeCell ref="C150:C152"/>
    <mergeCell ref="D150:D152"/>
    <mergeCell ref="E150:E152"/>
    <mergeCell ref="F150:F152"/>
    <mergeCell ref="G156:G158"/>
    <mergeCell ref="H156:H158"/>
    <mergeCell ref="I156:I158"/>
    <mergeCell ref="B159:B161"/>
    <mergeCell ref="C159:C161"/>
    <mergeCell ref="D159:D161"/>
    <mergeCell ref="E159:E161"/>
    <mergeCell ref="F159:F161"/>
    <mergeCell ref="G159:G161"/>
    <mergeCell ref="H159:H161"/>
    <mergeCell ref="I159:I161"/>
    <mergeCell ref="B156:B158"/>
    <mergeCell ref="C156:C158"/>
    <mergeCell ref="D156:D158"/>
    <mergeCell ref="E156:E158"/>
    <mergeCell ref="F156:F158"/>
    <mergeCell ref="G162:G164"/>
    <mergeCell ref="H162:H164"/>
    <mergeCell ref="I162:I164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B162:B164"/>
    <mergeCell ref="C162:C164"/>
    <mergeCell ref="D162:D164"/>
    <mergeCell ref="E162:E164"/>
    <mergeCell ref="F162:F164"/>
    <mergeCell ref="G168:G170"/>
    <mergeCell ref="H168:H170"/>
    <mergeCell ref="I168:I170"/>
    <mergeCell ref="B171:B173"/>
    <mergeCell ref="C171:C173"/>
    <mergeCell ref="D171:D173"/>
    <mergeCell ref="E171:E173"/>
    <mergeCell ref="F171:F173"/>
    <mergeCell ref="G171:G173"/>
    <mergeCell ref="H171:H173"/>
    <mergeCell ref="I171:I173"/>
    <mergeCell ref="B168:B170"/>
    <mergeCell ref="C168:C170"/>
    <mergeCell ref="D168:D170"/>
    <mergeCell ref="E168:E170"/>
    <mergeCell ref="F168:F170"/>
    <mergeCell ref="G174:G176"/>
    <mergeCell ref="H174:H176"/>
    <mergeCell ref="I174:I176"/>
    <mergeCell ref="B177:B179"/>
    <mergeCell ref="C177:C179"/>
    <mergeCell ref="D177:D179"/>
    <mergeCell ref="E177:E179"/>
    <mergeCell ref="F177:F179"/>
    <mergeCell ref="G177:G179"/>
    <mergeCell ref="H177:H179"/>
    <mergeCell ref="I177:I179"/>
    <mergeCell ref="B174:B176"/>
    <mergeCell ref="C174:C176"/>
    <mergeCell ref="D174:D176"/>
    <mergeCell ref="E174:E176"/>
    <mergeCell ref="F174:F176"/>
    <mergeCell ref="D183:D185"/>
    <mergeCell ref="E183:E185"/>
    <mergeCell ref="B186:B188"/>
    <mergeCell ref="C186:C188"/>
    <mergeCell ref="D186:D188"/>
    <mergeCell ref="E186:E188"/>
    <mergeCell ref="B189:B191"/>
    <mergeCell ref="C189:C191"/>
    <mergeCell ref="D189:D191"/>
    <mergeCell ref="I189:I191"/>
    <mergeCell ref="F180:F182"/>
    <mergeCell ref="G180:G182"/>
    <mergeCell ref="H180:H182"/>
    <mergeCell ref="I180:I182"/>
    <mergeCell ref="J180:J263"/>
    <mergeCell ref="F183:F185"/>
    <mergeCell ref="G183:G185"/>
    <mergeCell ref="H183:H185"/>
    <mergeCell ref="I183:I185"/>
    <mergeCell ref="F186:F188"/>
    <mergeCell ref="G186:G188"/>
    <mergeCell ref="H186:H188"/>
    <mergeCell ref="I186:I188"/>
    <mergeCell ref="G192:G194"/>
    <mergeCell ref="H192:H194"/>
    <mergeCell ref="I192:I194"/>
    <mergeCell ref="G195:G197"/>
    <mergeCell ref="H195:H197"/>
    <mergeCell ref="I195:I197"/>
    <mergeCell ref="G201:G203"/>
    <mergeCell ref="H201:H203"/>
    <mergeCell ref="I201:I203"/>
    <mergeCell ref="G207:G209"/>
    <mergeCell ref="B192:B194"/>
    <mergeCell ref="C192:C194"/>
    <mergeCell ref="D192:D194"/>
    <mergeCell ref="E192:E194"/>
    <mergeCell ref="F192:F194"/>
    <mergeCell ref="E189:E191"/>
    <mergeCell ref="F189:F191"/>
    <mergeCell ref="G189:G191"/>
    <mergeCell ref="H189:H191"/>
    <mergeCell ref="B198:B200"/>
    <mergeCell ref="C198:C200"/>
    <mergeCell ref="D198:D200"/>
    <mergeCell ref="E198:E200"/>
    <mergeCell ref="F198:F200"/>
    <mergeCell ref="G198:G200"/>
    <mergeCell ref="H198:H200"/>
    <mergeCell ref="I198:I200"/>
    <mergeCell ref="B195:B197"/>
    <mergeCell ref="C195:C197"/>
    <mergeCell ref="D195:D197"/>
    <mergeCell ref="E195:E197"/>
    <mergeCell ref="F195:F197"/>
    <mergeCell ref="B204:B206"/>
    <mergeCell ref="C204:C206"/>
    <mergeCell ref="D204:D206"/>
    <mergeCell ref="E204:E206"/>
    <mergeCell ref="F204:F206"/>
    <mergeCell ref="G204:G206"/>
    <mergeCell ref="H204:H206"/>
    <mergeCell ref="I204:I206"/>
    <mergeCell ref="B201:B203"/>
    <mergeCell ref="C201:C203"/>
    <mergeCell ref="D201:D203"/>
    <mergeCell ref="E201:E203"/>
    <mergeCell ref="F201:F203"/>
    <mergeCell ref="H207:H209"/>
    <mergeCell ref="I207:I209"/>
    <mergeCell ref="B210:B212"/>
    <mergeCell ref="C210:C212"/>
    <mergeCell ref="D210:D212"/>
    <mergeCell ref="E210:E212"/>
    <mergeCell ref="F210:F212"/>
    <mergeCell ref="G210:G212"/>
    <mergeCell ref="H210:H212"/>
    <mergeCell ref="I210:I212"/>
    <mergeCell ref="B207:B209"/>
    <mergeCell ref="C207:C209"/>
    <mergeCell ref="D207:D209"/>
    <mergeCell ref="E207:E209"/>
    <mergeCell ref="F207:F209"/>
    <mergeCell ref="G213:G215"/>
    <mergeCell ref="H213:H215"/>
    <mergeCell ref="I213:I215"/>
    <mergeCell ref="B216:B218"/>
    <mergeCell ref="C216:C218"/>
    <mergeCell ref="D216:D218"/>
    <mergeCell ref="E216:E218"/>
    <mergeCell ref="F216:F218"/>
    <mergeCell ref="G216:G218"/>
    <mergeCell ref="H216:H218"/>
    <mergeCell ref="I216:I218"/>
    <mergeCell ref="B213:B215"/>
    <mergeCell ref="C213:C215"/>
    <mergeCell ref="D213:D215"/>
    <mergeCell ref="E213:E215"/>
    <mergeCell ref="F213:F215"/>
    <mergeCell ref="G219:G221"/>
    <mergeCell ref="H219:H221"/>
    <mergeCell ref="I219:I221"/>
    <mergeCell ref="B222:B224"/>
    <mergeCell ref="C222:C224"/>
    <mergeCell ref="D222:D224"/>
    <mergeCell ref="E222:E224"/>
    <mergeCell ref="F222:F224"/>
    <mergeCell ref="G222:G224"/>
    <mergeCell ref="H222:H224"/>
    <mergeCell ref="I222:I224"/>
    <mergeCell ref="B219:B221"/>
    <mergeCell ref="C219:C221"/>
    <mergeCell ref="D219:D221"/>
    <mergeCell ref="E219:E221"/>
    <mergeCell ref="F219:F221"/>
    <mergeCell ref="G225:G227"/>
    <mergeCell ref="H225:H227"/>
    <mergeCell ref="I225:I227"/>
    <mergeCell ref="B228:B230"/>
    <mergeCell ref="C228:C230"/>
    <mergeCell ref="D228:D230"/>
    <mergeCell ref="E228:E230"/>
    <mergeCell ref="F228:F230"/>
    <mergeCell ref="G228:G230"/>
    <mergeCell ref="H228:H230"/>
    <mergeCell ref="I228:I230"/>
    <mergeCell ref="B225:B227"/>
    <mergeCell ref="C225:C227"/>
    <mergeCell ref="D225:D227"/>
    <mergeCell ref="E225:E227"/>
    <mergeCell ref="F225:F227"/>
    <mergeCell ref="G231:G233"/>
    <mergeCell ref="H231:H233"/>
    <mergeCell ref="I231:I233"/>
    <mergeCell ref="B234:B236"/>
    <mergeCell ref="C234:C236"/>
    <mergeCell ref="D234:D236"/>
    <mergeCell ref="E234:E236"/>
    <mergeCell ref="F234:F236"/>
    <mergeCell ref="G234:G236"/>
    <mergeCell ref="H234:H236"/>
    <mergeCell ref="I234:I236"/>
    <mergeCell ref="B231:B233"/>
    <mergeCell ref="C231:C233"/>
    <mergeCell ref="D231:D233"/>
    <mergeCell ref="E231:E233"/>
    <mergeCell ref="F231:F233"/>
    <mergeCell ref="G237:G239"/>
    <mergeCell ref="H237:H239"/>
    <mergeCell ref="I237:I239"/>
    <mergeCell ref="B240:B242"/>
    <mergeCell ref="C240:C242"/>
    <mergeCell ref="D240:D242"/>
    <mergeCell ref="E240:E242"/>
    <mergeCell ref="F240:F242"/>
    <mergeCell ref="G240:G242"/>
    <mergeCell ref="H240:H242"/>
    <mergeCell ref="I240:I242"/>
    <mergeCell ref="B237:B239"/>
    <mergeCell ref="C237:C239"/>
    <mergeCell ref="D237:D239"/>
    <mergeCell ref="E237:E239"/>
    <mergeCell ref="F237:F239"/>
    <mergeCell ref="G243:G245"/>
    <mergeCell ref="H243:H245"/>
    <mergeCell ref="I243:I245"/>
    <mergeCell ref="B246:B248"/>
    <mergeCell ref="C246:C248"/>
    <mergeCell ref="D246:D248"/>
    <mergeCell ref="E246:E248"/>
    <mergeCell ref="F246:F248"/>
    <mergeCell ref="G246:G248"/>
    <mergeCell ref="H246:H248"/>
    <mergeCell ref="I246:I248"/>
    <mergeCell ref="B243:B245"/>
    <mergeCell ref="C243:C245"/>
    <mergeCell ref="D243:D245"/>
    <mergeCell ref="E243:E245"/>
    <mergeCell ref="F243:F245"/>
    <mergeCell ref="G249:G251"/>
    <mergeCell ref="H249:H251"/>
    <mergeCell ref="I249:I251"/>
    <mergeCell ref="B252:B254"/>
    <mergeCell ref="C252:C254"/>
    <mergeCell ref="D252:D254"/>
    <mergeCell ref="E252:E254"/>
    <mergeCell ref="F252:F254"/>
    <mergeCell ref="G252:G254"/>
    <mergeCell ref="H252:H254"/>
    <mergeCell ref="I252:I254"/>
    <mergeCell ref="B249:B251"/>
    <mergeCell ref="C249:C251"/>
    <mergeCell ref="D249:D251"/>
    <mergeCell ref="E249:E251"/>
    <mergeCell ref="F249:F251"/>
    <mergeCell ref="G255:G257"/>
    <mergeCell ref="H255:H257"/>
    <mergeCell ref="I255:I257"/>
    <mergeCell ref="B258:B260"/>
    <mergeCell ref="C258:C260"/>
    <mergeCell ref="D258:D260"/>
    <mergeCell ref="E258:E260"/>
    <mergeCell ref="F258:F260"/>
    <mergeCell ref="G258:G260"/>
    <mergeCell ref="H258:H260"/>
    <mergeCell ref="I258:I260"/>
    <mergeCell ref="B255:B257"/>
    <mergeCell ref="C255:C257"/>
    <mergeCell ref="D255:D257"/>
    <mergeCell ref="E255:E257"/>
    <mergeCell ref="F255:F257"/>
    <mergeCell ref="A268:K268"/>
    <mergeCell ref="G261:G263"/>
    <mergeCell ref="H261:H263"/>
    <mergeCell ref="I261:I263"/>
    <mergeCell ref="B264:B266"/>
    <mergeCell ref="C264:C266"/>
    <mergeCell ref="D264:D266"/>
    <mergeCell ref="E264:E266"/>
    <mergeCell ref="F264:F266"/>
    <mergeCell ref="G264:G266"/>
    <mergeCell ref="H264:H266"/>
    <mergeCell ref="I264:I266"/>
    <mergeCell ref="B261:B263"/>
    <mergeCell ref="C261:C263"/>
    <mergeCell ref="D261:D263"/>
    <mergeCell ref="E261:E263"/>
    <mergeCell ref="F261:F263"/>
    <mergeCell ref="A180:A263"/>
    <mergeCell ref="B180:B182"/>
    <mergeCell ref="C180:C182"/>
    <mergeCell ref="D180:D182"/>
    <mergeCell ref="E180:E182"/>
    <mergeCell ref="B183:B185"/>
    <mergeCell ref="C183:C185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Normal="100" workbookViewId="0">
      <selection activeCell="C23" sqref="C23"/>
    </sheetView>
  </sheetViews>
  <sheetFormatPr baseColWidth="10" defaultRowHeight="12"/>
  <cols>
    <col min="1" max="1" width="17.140625" style="305" bestFit="1" customWidth="1"/>
    <col min="2" max="2" width="14.85546875" style="305" customWidth="1"/>
    <col min="3" max="3" width="24.5703125" style="305" bestFit="1" customWidth="1"/>
    <col min="4" max="4" width="13.7109375" style="305" customWidth="1"/>
    <col min="5" max="5" width="35.85546875" style="305" bestFit="1" customWidth="1"/>
    <col min="6" max="16384" width="11.42578125" style="299"/>
  </cols>
  <sheetData>
    <row r="1" spans="1:5" ht="15.75">
      <c r="A1" s="298" t="s">
        <v>7707</v>
      </c>
      <c r="B1" s="298" t="s">
        <v>213</v>
      </c>
      <c r="C1" s="298" t="s">
        <v>7708</v>
      </c>
      <c r="D1" s="298" t="s">
        <v>7709</v>
      </c>
      <c r="E1" s="298" t="s">
        <v>7710</v>
      </c>
    </row>
    <row r="2" spans="1:5" ht="15.75">
      <c r="A2" s="300" t="s">
        <v>7904</v>
      </c>
      <c r="B2" s="301">
        <v>41117</v>
      </c>
      <c r="C2" s="302"/>
      <c r="D2" s="302"/>
      <c r="E2" s="302" t="s">
        <v>7905</v>
      </c>
    </row>
    <row r="3" spans="1:5" ht="15.75">
      <c r="A3" s="300" t="s">
        <v>7906</v>
      </c>
      <c r="B3" s="301">
        <v>41117</v>
      </c>
      <c r="C3" s="302"/>
      <c r="D3" s="302"/>
      <c r="E3" s="302"/>
    </row>
    <row r="4" spans="1:5" ht="15.75">
      <c r="A4" s="300" t="s">
        <v>7907</v>
      </c>
      <c r="B4" s="301">
        <v>41118</v>
      </c>
      <c r="C4" s="302"/>
      <c r="D4" s="302"/>
      <c r="E4" s="302"/>
    </row>
    <row r="5" spans="1:5" ht="15.75">
      <c r="A5" s="300" t="s">
        <v>7908</v>
      </c>
      <c r="B5" s="301">
        <v>41120</v>
      </c>
      <c r="C5" s="302"/>
      <c r="D5" s="302"/>
      <c r="E5" s="302"/>
    </row>
    <row r="6" spans="1:5" ht="15.75">
      <c r="A6" s="300" t="s">
        <v>7907</v>
      </c>
      <c r="B6" s="301">
        <v>41122</v>
      </c>
      <c r="C6" s="302"/>
      <c r="D6" s="302"/>
      <c r="E6" s="302"/>
    </row>
    <row r="7" spans="1:5" ht="47.25">
      <c r="A7" s="300" t="s">
        <v>7909</v>
      </c>
      <c r="B7" s="301">
        <v>41159</v>
      </c>
      <c r="C7" s="303" t="s">
        <v>7931</v>
      </c>
      <c r="D7" s="299"/>
      <c r="E7" s="303" t="s">
        <v>7910</v>
      </c>
    </row>
    <row r="8" spans="1:5" ht="15.75">
      <c r="A8" s="300" t="s">
        <v>7911</v>
      </c>
      <c r="B8" s="306" t="s">
        <v>7912</v>
      </c>
      <c r="C8" s="302"/>
      <c r="D8" s="302"/>
      <c r="E8" s="302" t="s">
        <v>7913</v>
      </c>
    </row>
    <row r="9" spans="1:5" ht="15.75">
      <c r="A9" s="300" t="s">
        <v>7911</v>
      </c>
      <c r="B9" s="306">
        <v>41538</v>
      </c>
      <c r="C9" s="302"/>
      <c r="D9" s="302"/>
      <c r="E9" s="302" t="s">
        <v>7913</v>
      </c>
    </row>
    <row r="10" spans="1:5" ht="15.75">
      <c r="A10" s="300" t="s">
        <v>7914</v>
      </c>
      <c r="B10" s="301">
        <v>41184</v>
      </c>
      <c r="C10" s="302" t="s">
        <v>7915</v>
      </c>
      <c r="D10" s="302"/>
      <c r="E10" s="302" t="s">
        <v>7916</v>
      </c>
    </row>
    <row r="11" spans="1:5" ht="15.75">
      <c r="A11" s="300" t="s">
        <v>7914</v>
      </c>
      <c r="B11" s="301">
        <v>41201</v>
      </c>
      <c r="C11" s="302" t="s">
        <v>7917</v>
      </c>
      <c r="D11" s="302"/>
      <c r="E11" s="302" t="s">
        <v>7916</v>
      </c>
    </row>
    <row r="12" spans="1:5" ht="31.5">
      <c r="A12" s="300" t="s">
        <v>7918</v>
      </c>
      <c r="B12" s="301">
        <v>41212</v>
      </c>
      <c r="C12" s="304" t="s">
        <v>7919</v>
      </c>
      <c r="D12" s="307" t="s">
        <v>7921</v>
      </c>
      <c r="E12" s="302" t="s">
        <v>7920</v>
      </c>
    </row>
    <row r="13" spans="1:5" ht="15.75">
      <c r="A13" s="300" t="s">
        <v>7914</v>
      </c>
      <c r="B13" s="301">
        <v>41212</v>
      </c>
      <c r="C13" s="302" t="s">
        <v>7922</v>
      </c>
      <c r="D13" s="302"/>
      <c r="E13" s="302" t="s">
        <v>7923</v>
      </c>
    </row>
    <row r="14" spans="1:5" ht="15.75">
      <c r="A14" s="300" t="s">
        <v>7904</v>
      </c>
      <c r="B14" s="301">
        <v>41319</v>
      </c>
      <c r="C14" s="302" t="s">
        <v>7924</v>
      </c>
      <c r="D14" s="302"/>
      <c r="E14" s="302" t="s">
        <v>7937</v>
      </c>
    </row>
    <row r="15" spans="1:5" ht="15.75">
      <c r="A15" s="300" t="s">
        <v>7904</v>
      </c>
      <c r="B15" s="301">
        <v>41347</v>
      </c>
      <c r="C15" s="302" t="s">
        <v>7925</v>
      </c>
      <c r="D15" s="302"/>
      <c r="E15" s="302" t="s">
        <v>7926</v>
      </c>
    </row>
    <row r="16" spans="1:5" ht="15.75">
      <c r="A16" s="300" t="s">
        <v>7914</v>
      </c>
      <c r="B16" s="301">
        <v>41354</v>
      </c>
      <c r="C16" s="302" t="s">
        <v>7927</v>
      </c>
      <c r="D16" s="302"/>
      <c r="E16" s="302" t="s">
        <v>7928</v>
      </c>
    </row>
    <row r="17" spans="1:5" ht="15.75">
      <c r="A17" s="300" t="s">
        <v>7914</v>
      </c>
      <c r="B17" s="301">
        <v>41354</v>
      </c>
      <c r="C17" s="302" t="s">
        <v>7929</v>
      </c>
      <c r="D17" s="302"/>
      <c r="E17" s="302" t="s">
        <v>7930</v>
      </c>
    </row>
    <row r="18" spans="1:5" ht="15.75">
      <c r="A18" s="300" t="s">
        <v>7914</v>
      </c>
      <c r="B18" s="301">
        <v>41380</v>
      </c>
      <c r="C18" s="302" t="s">
        <v>7932</v>
      </c>
      <c r="D18" s="302"/>
      <c r="E18" s="302" t="s">
        <v>7934</v>
      </c>
    </row>
    <row r="19" spans="1:5" ht="15.75">
      <c r="A19" s="300" t="s">
        <v>7914</v>
      </c>
      <c r="B19" s="301">
        <v>41380</v>
      </c>
      <c r="C19" s="302" t="s">
        <v>7933</v>
      </c>
      <c r="D19" s="302"/>
      <c r="E19" s="302" t="s">
        <v>7935</v>
      </c>
    </row>
    <row r="20" spans="1:5" ht="15.75">
      <c r="A20" s="300" t="s">
        <v>7904</v>
      </c>
      <c r="B20" s="301">
        <v>41381</v>
      </c>
      <c r="C20" s="302" t="s">
        <v>7936</v>
      </c>
      <c r="D20" s="302"/>
      <c r="E20" s="302" t="s">
        <v>7937</v>
      </c>
    </row>
    <row r="21" spans="1:5" ht="15.75">
      <c r="A21" s="300" t="s">
        <v>7938</v>
      </c>
      <c r="B21" s="301">
        <v>41401</v>
      </c>
      <c r="C21" s="302" t="s">
        <v>7939</v>
      </c>
      <c r="D21" s="302"/>
      <c r="E21" s="302" t="s">
        <v>7941</v>
      </c>
    </row>
    <row r="22" spans="1:5" ht="15.75">
      <c r="A22" s="300" t="s">
        <v>7938</v>
      </c>
      <c r="B22" s="301">
        <v>41401</v>
      </c>
      <c r="C22" s="302" t="s">
        <v>7940</v>
      </c>
      <c r="D22" s="302"/>
      <c r="E22" s="302" t="s">
        <v>7942</v>
      </c>
    </row>
    <row r="23" spans="1:5" ht="15.75">
      <c r="A23" s="300" t="s">
        <v>7914</v>
      </c>
      <c r="B23" s="301">
        <v>41430</v>
      </c>
      <c r="C23" s="302" t="s">
        <v>7917</v>
      </c>
      <c r="D23" s="302"/>
      <c r="E23" s="302" t="s">
        <v>7916</v>
      </c>
    </row>
    <row r="24" spans="1:5" ht="15.75">
      <c r="A24" s="300" t="s">
        <v>7938</v>
      </c>
      <c r="B24" s="301">
        <v>41432</v>
      </c>
      <c r="C24" s="302" t="s">
        <v>7939</v>
      </c>
      <c r="D24" s="302"/>
      <c r="E24" s="302" t="s">
        <v>7943</v>
      </c>
    </row>
    <row r="25" spans="1:5" ht="15.75">
      <c r="A25" s="300" t="s">
        <v>7938</v>
      </c>
      <c r="B25" s="301">
        <v>41432</v>
      </c>
      <c r="C25" s="302" t="s">
        <v>7940</v>
      </c>
      <c r="D25" s="302"/>
      <c r="E25" s="302" t="s">
        <v>7942</v>
      </c>
    </row>
    <row r="26" spans="1:5" ht="15.75">
      <c r="A26" s="300" t="s">
        <v>7909</v>
      </c>
      <c r="B26" s="301">
        <v>41478</v>
      </c>
      <c r="C26" s="303" t="s">
        <v>7944</v>
      </c>
      <c r="D26" s="302"/>
      <c r="E26" s="302" t="s">
        <v>7946</v>
      </c>
    </row>
    <row r="27" spans="1:5" ht="15.75">
      <c r="A27" s="300" t="s">
        <v>7909</v>
      </c>
      <c r="B27" s="301">
        <v>41478</v>
      </c>
      <c r="C27" s="303" t="s">
        <v>7945</v>
      </c>
      <c r="D27" s="302"/>
      <c r="E27" s="302" t="s">
        <v>7947</v>
      </c>
    </row>
    <row r="28" spans="1:5">
      <c r="D28" s="299"/>
      <c r="E28" s="299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2015-02-12T08:02:52Z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